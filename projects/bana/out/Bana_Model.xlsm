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hecks_1_Stored" vbProcedure="false">Dashboard!$H$92:$O$92</definedName>
    <definedName function="false" hidden="false" name="Checks_2_Stored" vbProcedure="false">Dashboard!$H$93:$O$93</definedName>
    <definedName function="false" hidden="false" name="COD_IRR_1_Stored" vbProcedure="false">Dashboard!$H$78:$O$78</definedName>
    <definedName function="false" hidden="false" name="COD_IRR_2_Stored" vbProcedure="false">Dashboard!$H$79:$O$79</definedName>
    <definedName function="false" hidden="false" name="COD_MOIC_1_Stored" vbProcedure="false">Dashboard!$H$80:$O$80</definedName>
    <definedName function="false" hidden="false" name="COD_MOIC_2_Stored" vbProcedure="false">Dashboard!$H$81:$O$81</definedName>
    <definedName function="false" hidden="false" name="Dash_Community" vbProcedure="false">Dashboard!$E$13:$F$13</definedName>
    <definedName function="false" hidden="false" name="Dash_EU_Transformer" vbProcedure="false">Dashboard!$E$18:$F$18</definedName>
    <definedName function="false" hidden="false" name="Dash_EU_Turbine" vbProcedure="false">Dashboard!$E$17:$F$17</definedName>
    <definedName function="false" hidden="false" name="Dash_Municipal" vbProcedure="false">Dashboard!$E$12:$F$12</definedName>
    <definedName function="false" hidden="false" name="Dash_Partial" vbProcedure="false">Dashboard!$E$15:$F$15</definedName>
    <definedName function="false" hidden="false" name="Dash_PB_Mult" vbProcedure="false">Dashboard!$E$14:$F$14</definedName>
    <definedName function="false" hidden="false" name="Dash_Shared" vbProcedure="false">Dashboard!$E$16:$F$16</definedName>
    <definedName function="false" hidden="false" name="Days_In_Year" vbProcedure="false">Inputs!$F$13</definedName>
    <definedName function="false" hidden="false" name="Debt_COD_1_Stored" vbProcedure="false">Dashboard!$H$86:$O$86</definedName>
    <definedName function="false" hidden="false" name="Debt_COD_2_Stored" vbProcedure="false">Dashboard!$H$87:$O$87</definedName>
    <definedName function="false" hidden="false" name="Equity_COD_1_Stored" vbProcedure="false">Dashboard!$H$88:$O$88</definedName>
    <definedName function="false" hidden="false" name="Equity_COD_2_Stored" vbProcedure="false">Dashboard!$H$89:$O$89</definedName>
    <definedName function="false" hidden="false" name="GoalSeek_Topics" vbProcedure="false">Inputs!$F$95</definedName>
    <definedName function="false" hidden="false" name="HTM_IRR_1_Stored" vbProcedure="false">Dashboard!$H$82:$O$82</definedName>
    <definedName function="false" hidden="false" name="HTM_IRR_2_Stored" vbProcedure="false">Dashboard!$H$83:$O$83</definedName>
    <definedName function="false" hidden="false" name="HTM_MOIC_1_Stored" vbProcedure="false">Dashboard!$H$84:$O$84</definedName>
    <definedName function="false" hidden="false" name="HTM_MOIC_2_Stored" vbProcedure="false">Dashboard!$H$85:$O$85</definedName>
    <definedName function="false" hidden="false" name="In_Admin" vbProcedure="false">Inputs!$F$76</definedName>
    <definedName function="false" hidden="false" name="In_Award_Date" vbProcedure="false">Inputs!$F$21</definedName>
    <definedName function="false" hidden="false" name="In_Bench_Wind" vbProcedure="false">Inputs!$F$50</definedName>
    <definedName function="false" hidden="false" name="In_Bid_Date" vbProcedure="false">Inputs!$F$20</definedName>
    <definedName function="false" hidden="false" name="In_Bid_Rate" vbProcedure="false">Inputs!$F$52</definedName>
    <definedName function="false" hidden="false" name="In_Capex_Contingency" vbProcedure="false">Inputs!$F$65</definedName>
    <definedName function="false" hidden="false" name="In_CIT" vbProcedure="false">Inputs!$F$40</definedName>
    <definedName function="false" hidden="false" name="In_Closing" vbProcedure="false">Inputs!$F$24</definedName>
    <definedName function="false" hidden="false" name="In_COD" vbProcedure="false">Inputs!$F$27</definedName>
    <definedName function="false" hidden="false" name="In_COD_Price" vbProcedure="false">Inputs!$F$36</definedName>
    <definedName function="false" hidden="false" name="In_COD_Price_CN" vbProcedure="false">Inputs!$F$37</definedName>
    <definedName function="false" hidden="false" name="In_Commitment_Fee" vbProcedure="false">Inputs!$F$90</definedName>
    <definedName function="false" hidden="false" name="In_Curtailment" vbProcedure="false">Inputs!$F$69</definedName>
    <definedName function="false" hidden="false" name="In_DD" vbProcedure="false">Inputs!$F$34</definedName>
    <definedName function="false" hidden="false" name="In_Debt_Rate" vbProcedure="false">Inputs!$F$88</definedName>
    <definedName function="false" hidden="false" name="In_Debt_Tenor" vbProcedure="false">Inputs!$F$87</definedName>
    <definedName function="false" hidden="false" name="In_Decision_Date" vbProcedure="false">Inputs!$F$22</definedName>
    <definedName function="false" hidden="false" name="In_Degradation" vbProcedure="false">Inputs!$F$70</definedName>
    <definedName function="false" hidden="false" name="In_Dep_Years" vbProcedure="false">Inputs!$F$42</definedName>
    <definedName function="false" hidden="false" name="In_Devex" vbProcedure="false">Inputs!$F$35</definedName>
    <definedName function="false" hidden="false" name="In_Direct_Fee" vbProcedure="false">Inputs!$F$55</definedName>
    <definedName function="false" hidden="false" name="In_Discount_Rate" vbProcedure="false">Inputs!$F$39</definedName>
    <definedName function="false" hidden="false" name="In_DSCR" vbProcedure="false">Inputs!$F$86</definedName>
    <definedName function="false" hidden="false" name="In_DSRA_Months" vbProcedure="false">Inputs!$F$91</definedName>
    <definedName function="false" hidden="false" name="In_Fixed_Opex" vbProcedure="false">Inputs!$F$74</definedName>
    <definedName function="false" hidden="false" name="In_FX" vbProcedure="false">Inputs!$F$32</definedName>
    <definedName function="false" hidden="false" name="In_Gearing" vbProcedure="false">Inputs!$F$84</definedName>
    <definedName function="false" hidden="false" name="In_Gearing_CN" vbProcedure="false">Inputs!$F$85</definedName>
    <definedName function="false" hidden="false" name="In_Guarantee_Fee" vbProcedure="false">Inputs!$F$57</definedName>
    <definedName function="false" hidden="false" name="In_HCSSZ_Date" vbProcedure="false">Inputs!$F$26</definedName>
    <definedName function="false" hidden="false" name="In_HIPA" vbProcedure="false">Inputs!$F$80</definedName>
    <definedName function="false" hidden="false" name="In_Indirect_Fee" vbProcedure="false">Inputs!$F$56</definedName>
    <definedName function="false" hidden="false" name="In_Innovation" vbProcedure="false">Inputs!$F$81</definedName>
    <definedName function="false" hidden="false" name="In_Lease" vbProcedure="false">Inputs!$F$75</definedName>
    <definedName function="false" hidden="false" name="In_Life" vbProcedure="false">Inputs!$F$28</definedName>
    <definedName function="false" hidden="false" name="In_Loss_Cap" vbProcedure="false">Inputs!$F$43</definedName>
    <definedName function="false" hidden="false" name="In_Loss_Years" vbProcedure="false">Inputs!$F$44</definedName>
    <definedName function="false" hidden="false" name="In_MEKH" vbProcedure="false">Inputs!$F$79</definedName>
    <definedName function="false" hidden="false" name="In_Model_Start" vbProcedure="false">Inputs!$F$19</definedName>
    <definedName function="false" hidden="false" name="In_MVA" vbProcedure="false">Inputs!$F$48</definedName>
    <definedName function="false" hidden="false" name="In_NTP" vbProcedure="false">Inputs!$F$25</definedName>
    <definedName function="false" hidden="false" name="In_Opex_Contingency" vbProcedure="false">Inputs!$F$77</definedName>
    <definedName function="false" hidden="false" name="In_Opex_Esc" vbProcedure="false">Inputs!$F$78</definedName>
    <definedName function="false" hidden="false" name="In_Other_Wind" vbProcedure="false">Inputs!$F$62</definedName>
    <definedName function="false" hidden="false" name="In_P50_Hours" vbProcedure="false">Inputs!$F$68</definedName>
    <definedName function="false" hidden="false" name="In_Part_Fee" vbProcedure="false">Inputs!$F$51</definedName>
    <definedName function="false" hidden="false" name="In_PB_Days" vbProcedure="false">Inputs!$F$23</definedName>
    <definedName function="false" hidden="false" name="In_PB_Rate" vbProcedure="false">Inputs!$F$53</definedName>
    <definedName function="false" hidden="false" name="In_PB_Release" vbProcedure="false">Inputs!$F$29</definedName>
    <definedName function="false" hidden="false" name="In_PPA_Esc" vbProcedure="false">Inputs!$F$72</definedName>
    <definedName function="false" hidden="false" name="In_PPA_Price" vbProcedure="false">Inputs!$F$71</definedName>
    <definedName function="false" hidden="false" name="In_Purchase_Price" vbProcedure="false">Inputs!$F$33</definedName>
    <definedName function="false" hidden="false" name="In_Sale_Costs" vbProcedure="false">Inputs!$F$38</definedName>
    <definedName function="false" hidden="false" name="In_Sale_Gain_Taxed" vbProcedure="false">Inputs!$F$41</definedName>
    <definedName function="false" hidden="false" name="In_Substation" vbProcedure="false">Inputs!$F$63</definedName>
    <definedName function="false" hidden="false" name="In_Substation_CN" vbProcedure="false">Inputs!$F$64</definedName>
    <definedName function="false" hidden="false" name="In_TSO_Security" vbProcedure="false">Inputs!$F$54</definedName>
    <definedName function="false" hidden="false" name="In_Turbine" vbProcedure="false">Inputs!$F$60</definedName>
    <definedName function="false" hidden="false" name="In_Turbine_CN" vbProcedure="false">Inputs!$F$61</definedName>
    <definedName function="false" hidden="false" name="In_Upfront_Fee" vbProcedure="false">Inputs!$F$89</definedName>
    <definedName function="false" hidden="false" name="In_Var_Opex" vbProcedure="false">Inputs!$F$73</definedName>
    <definedName function="false" hidden="false" name="In_Wind_MW" vbProcedure="false">Inputs!$F$49</definedName>
    <definedName function="false" hidden="false" name="Live_Results" vbProcedure="false">Dashboard!$E$78:$E$93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Dashboard!$H$90:$O$90</definedName>
    <definedName function="false" hidden="false" name="Min_DSCR_2_Stored" vbProcedure="false">Dashboard!$H$91:$O$91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5_Pts" vbProcedure="false">Curves!$J$16:$J$16</definedName>
    <definedName function="false" hidden="false" name="Osz5_W" vbProcedure="false">Curves!$E$16</definedName>
    <definedName function="false" hidden="false" name="Osz6_Incl" vbProcedure="false">Curves!$J$14:$S$14</definedName>
    <definedName function="false" hidden="false" name="Osz6_LB" vbProcedure="false">Curves!$J$13:$S$13</definedName>
    <definedName function="false" hidden="false" name="Osz6_Pts" vbProcedure="false">Curves!$J$15:$T$15</definedName>
    <definedName function="false" hidden="false" name="Osz6_W" vbProcedure="false">Curves!$E$15</definedName>
    <definedName function="false" hidden="false" name="Osz8_Pts" vbProcedure="false">Curves!$J$17:$J$17</definedName>
    <definedName function="false" hidden="false" name="Osz8_W" vbProcedure="false">Curves!$E$17</definedName>
    <definedName function="false" hidden="false" name="Osz9a_Pts" vbProcedure="false">Curves!$J$18:$J$18</definedName>
    <definedName function="false" hidden="false" name="Osz9b_Pts" vbProcedure="false">Curves!$J$19:$J$19</definedName>
    <definedName function="false" hidden="false" name="Osz9_W" vbProcedure="false">Curves!$E$18</definedName>
    <definedName function="false" hidden="false" name="Out_Capacity_Used_1" vbProcedure="false">Dashboard!$E$65</definedName>
    <definedName function="false" hidden="false" name="Out_Capacity_Used_2" vbProcedure="false">Dashboard!$F$65</definedName>
    <definedName function="false" hidden="false" name="Out_Checks_1" vbProcedure="false">Dashboard!$E$75</definedName>
    <definedName function="false" hidden="false" name="Out_Checks_2" vbProcedure="false">Dashboard!$F$75</definedName>
    <definedName function="false" hidden="false" name="Out_COD_IRR_1" vbProcedure="false">Dashboard!$E$24</definedName>
    <definedName function="false" hidden="false" name="Out_COD_IRR_2" vbProcedure="false">Dashboard!$F$24</definedName>
    <definedName function="false" hidden="false" name="Out_COD_MOIC_1" vbProcedure="false">Dashboard!$E$25</definedName>
    <definedName function="false" hidden="false" name="Out_COD_MOIC_2" vbProcedure="false">Dashboard!$F$25</definedName>
    <definedName function="false" hidden="false" name="Out_COD_NPV_1" vbProcedure="false">Dashboard!$E$26</definedName>
    <definedName function="false" hidden="false" name="Out_COD_NPV_2" vbProcedure="false">Dashboard!$F$26</definedName>
    <definedName function="false" hidden="false" name="Out_COD_Price_1" vbProcedure="false">Dashboard!$E$57</definedName>
    <definedName function="false" hidden="false" name="Out_COD_Price_2" vbProcedure="false">Dashboard!$F$57</definedName>
    <definedName function="false" hidden="false" name="Out_COD_Proceeds_1" vbProcedure="false">Dashboard!$E$58</definedName>
    <definedName function="false" hidden="false" name="Out_COD_Proceeds_2" vbProcedure="false">Dashboard!$F$58</definedName>
    <definedName function="false" hidden="false" name="Out_COD_Profit_1" vbProcedure="false">Dashboard!$E$23</definedName>
    <definedName function="false" hidden="false" name="Out_COD_Profit_2" vbProcedure="false">Dashboard!$F$23</definedName>
    <definedName function="false" hidden="false" name="Out_COD_Tax_1" vbProcedure="false">Dashboard!$E$59</definedName>
    <definedName function="false" hidden="false" name="Out_COD_Tax_2" vbProcedure="false">Dashboard!$F$59</definedName>
    <definedName function="false" hidden="false" name="Out_Debt_Capacity_1" vbProcedure="false">Dashboard!$E$62</definedName>
    <definedName function="false" hidden="false" name="Out_Debt_Capacity_2" vbProcedure="false">Dashboard!$F$62</definedName>
    <definedName function="false" hidden="false" name="Out_Debt_COD_1" vbProcedure="false">Dashboard!$E$42</definedName>
    <definedName function="false" hidden="false" name="Out_Debt_COD_2" vbProcedure="false">Dashboard!$F$42</definedName>
    <definedName function="false" hidden="false" name="Out_Debt_Share_1" vbProcedure="false">Dashboard!$E$64</definedName>
    <definedName function="false" hidden="false" name="Out_Debt_Share_2" vbProcedure="false">Dashboard!$F$64</definedName>
    <definedName function="false" hidden="false" name="Out_DSRA_1" vbProcedure="false">Dashboard!$E$66</definedName>
    <definedName function="false" hidden="false" name="Out_DSRA_2" vbProcedure="false">Dashboard!$F$66</definedName>
    <definedName function="false" hidden="false" name="Out_EBITDA_Life_1" vbProcedure="false">Dashboard!$E$72</definedName>
    <definedName function="false" hidden="false" name="Out_EBITDA_Life_2" vbProcedure="false">Dashboard!$F$72</definedName>
    <definedName function="false" hidden="false" name="Out_EBITDA_Year1_1" vbProcedure="false">Dashboard!$E$70</definedName>
    <definedName function="false" hidden="false" name="Out_EBITDA_Year1_2" vbProcedure="false">Dashboard!$F$70</definedName>
    <definedName function="false" hidden="false" name="Out_Equity_COD_1" vbProcedure="false">Dashboard!$E$43</definedName>
    <definedName function="false" hidden="false" name="Out_Equity_COD_2" vbProcedure="false">Dashboard!$F$43</definedName>
    <definedName function="false" hidden="false" name="Out_Equity_Peak_HTM_1" vbProcedure="false">Dashboard!$E$44</definedName>
    <definedName function="false" hidden="false" name="Out_Equity_Peak_HTM_2" vbProcedure="false">Dashboard!$F$44</definedName>
    <definedName function="false" hidden="false" name="Out_Gearing_Cap_1" vbProcedure="false">Dashboard!$E$63</definedName>
    <definedName function="false" hidden="false" name="Out_Gearing_Cap_2" vbProcedure="false">Dashboard!$F$63</definedName>
    <definedName function="false" hidden="false" name="Out_Gearing_Uses_1" vbProcedure="false">Dashboard!$E$45</definedName>
    <definedName function="false" hidden="false" name="Out_Gearing_Uses_2" vbProcedure="false">Dashboard!$F$45</definedName>
    <definedName function="false" hidden="false" name="Out_Gen_Year1_1" vbProcedure="false">Dashboard!$E$68</definedName>
    <definedName function="false" hidden="false" name="Out_Gen_Year1_2" vbProcedure="false">Dashboard!$F$68</definedName>
    <definedName function="false" hidden="false" name="Out_Guarantee_Fees_COD_1" vbProcedure="false">Dashboard!$E$54</definedName>
    <definedName function="false" hidden="false" name="Out_Guarantee_Fees_COD_2" vbProcedure="false">Dashboard!$F$54</definedName>
    <definedName function="false" hidden="false" name="Out_HTM_IRR_1" vbProcedure="false">Dashboard!$E$28</definedName>
    <definedName function="false" hidden="false" name="Out_HTM_IRR_2" vbProcedure="false">Dashboard!$F$28</definedName>
    <definedName function="false" hidden="false" name="Out_HTM_MOIC_1" vbProcedure="false">Dashboard!$E$29</definedName>
    <definedName function="false" hidden="false" name="Out_HTM_MOIC_2" vbProcedure="false">Dashboard!$F$29</definedName>
    <definedName function="false" hidden="false" name="Out_HTM_NPV_1" vbProcedure="false">Dashboard!$E$30</definedName>
    <definedName function="false" hidden="false" name="Out_HTM_NPV_2" vbProcedure="false">Dashboard!$F$30</definedName>
    <definedName function="false" hidden="false" name="Out_HTM_Profit_1" vbProcedure="false">Dashboard!$E$27</definedName>
    <definedName function="false" hidden="false" name="Out_HTM_Profit_2" vbProcedure="false">Dashboard!$F$27</definedName>
    <definedName function="false" hidden="false" name="Out_Min_DSCR_1" vbProcedure="false">Dashboard!$E$67</definedName>
    <definedName function="false" hidden="false" name="Out_Min_DSCR_2" vbProcedure="false">Dashboard!$F$67</definedName>
    <definedName function="false" hidden="false" name="Out_Points_1" vbProcedure="false">Dashboard!$E$19</definedName>
    <definedName function="false" hidden="false" name="Out_Points_2" vbProcedure="false">Dashboard!$F$19</definedName>
    <definedName function="false" hidden="false" name="Out_Project_IRR_1" vbProcedure="false">Dashboard!$E$31</definedName>
    <definedName function="false" hidden="false" name="Out_Project_IRR_2" vbProcedure="false">Dashboard!$F$31</definedName>
    <definedName function="false" hidden="false" name="Out_Revenue_Life_1" vbProcedure="false">Dashboard!$E$71</definedName>
    <definedName function="false" hidden="false" name="Out_Revenue_Life_2" vbProcedure="false">Dashboard!$F$71</definedName>
    <definedName function="false" hidden="false" name="Out_Revenue_Year1_1" vbProcedure="false">Dashboard!$E$69</definedName>
    <definedName function="false" hidden="false" name="Out_Revenue_Year1_2" vbProcedure="false">Dashboard!$F$69</definedName>
    <definedName function="false" hidden="false" name="Out_Sec_bid_1" vbProcedure="false">Dashboard!$E$49</definedName>
    <definedName function="false" hidden="false" name="Out_Sec_bid_2" vbProcedure="false">Dashboard!$F$49</definedName>
    <definedName function="false" hidden="false" name="Out_Sec_direct_1" vbProcedure="false">Dashboard!$E$52</definedName>
    <definedName function="false" hidden="false" name="Out_Sec_direct_2" vbProcedure="false">Dashboard!$F$52</definedName>
    <definedName function="false" hidden="false" name="Out_Sec_fee_1" vbProcedure="false">Dashboard!$E$48</definedName>
    <definedName function="false" hidden="false" name="Out_Sec_fee_2" vbProcedure="false">Dashboard!$F$48</definedName>
    <definedName function="false" hidden="false" name="Out_Sec_indirect_1" vbProcedure="false">Dashboard!$E$53</definedName>
    <definedName function="false" hidden="false" name="Out_Sec_indirect_2" vbProcedure="false">Dashboard!$F$53</definedName>
    <definedName function="false" hidden="false" name="Out_Sec_pb_1" vbProcedure="false">Dashboard!$E$50</definedName>
    <definedName function="false" hidden="false" name="Out_Sec_pb_2" vbProcedure="false">Dashboard!$F$50</definedName>
    <definedName function="false" hidden="false" name="Out_Sec_tso_1" vbProcedure="false">Dashboard!$E$51</definedName>
    <definedName function="false" hidden="false" name="Out_Sec_tso_2" vbProcedure="false">Dashboard!$F$51</definedName>
    <definedName function="false" hidden="false" name="Out_Tax_Life_1" vbProcedure="false">Dashboard!$E$73</definedName>
    <definedName function="false" hidden="false" name="Out_Tax_Life_2" vbProcedure="false">Dashboard!$F$73</definedName>
    <definedName function="false" hidden="false" name="Out_Tax_Losses_Lapsed_1" vbProcedure="false">Dashboard!$E$74</definedName>
    <definedName function="false" hidden="false" name="Out_Tax_Losses_Lapsed_2" vbProcedure="false">Dashboard!$F$74</definedName>
    <definedName function="false" hidden="false" name="Out_Uses_Capex_1" vbProcedure="false">Dashboard!$E$36</definedName>
    <definedName function="false" hidden="false" name="Out_Uses_Capex_2" vbProcedure="false">Dashboard!$F$36</definedName>
    <definedName function="false" hidden="false" name="Out_Uses_Connection_1" vbProcedure="false">Dashboard!$E$37</definedName>
    <definedName function="false" hidden="false" name="Out_Uses_Connection_2" vbProcedure="false">Dashboard!$F$37</definedName>
    <definedName function="false" hidden="false" name="Out_Uses_Development_1" vbProcedure="false">Dashboard!$E$34</definedName>
    <definedName function="false" hidden="false" name="Out_Uses_Development_2" vbProcedure="false">Dashboard!$F$34</definedName>
    <definedName function="false" hidden="false" name="Out_Uses_Financing_1" vbProcedure="false">Dashboard!$E$39</definedName>
    <definedName function="false" hidden="false" name="Out_Uses_Financing_2" vbProcedure="false">Dashboard!$F$39</definedName>
    <definedName function="false" hidden="false" name="Out_Uses_Lease_1" vbProcedure="false">Dashboard!$E$40</definedName>
    <definedName function="false" hidden="false" name="Out_Uses_Lease_2" vbProcedure="false">Dashboard!$F$40</definedName>
    <definedName function="false" hidden="false" name="Out_Uses_Municipal_1" vbProcedure="false">Dashboard!$E$38</definedName>
    <definedName function="false" hidden="false" name="Out_Uses_Municipal_2" vbProcedure="false">Dashboard!$F$38</definedName>
    <definedName function="false" hidden="false" name="Out_Uses_Securities_1" vbProcedure="false">Dashboard!$E$35</definedName>
    <definedName function="false" hidden="false" name="Out_Uses_Securities_2" vbProcedure="false">Dashboard!$F$35</definedName>
    <definedName function="false" hidden="false" name="Out_Uses_Total_1" vbProcedure="false">Dashboard!$E$41</definedName>
    <definedName function="false" hidden="false" name="Out_Uses_Total_2" vbProcedure="false">Dashboard!$F$41</definedName>
    <definedName function="false" hidden="false" name="Points_Decimals" vbProcedure="false">Inputs!$F$47</definedName>
    <definedName function="false" hidden="false" name="Scenario_Name" vbProcedure="false">Dashboard!$S$12</definedName>
    <definedName function="false" hidden="false" name="Scenario_Names" vbProcedure="false">Inputs!$H$7:$O$7</definedName>
    <definedName function="false" hidden="false" name="Scenario_Selected" vbProcedure="false">Inputs!$F$5</definedName>
    <definedName function="false" hidden="false" name="Solver_Topics" vbProcedure="false">Inputs!$F$94</definedName>
    <definedName function="false" hidden="false" name="Stored_Results" vbProcedure="false">Dashboard!$H$78:$O$93</definedName>
    <definedName function="false" hidden="false" name="Tax_1_Copy" vbProcedure="false">Calc_1!$J$97:$EO$97</definedName>
    <definedName function="false" hidden="false" name="Tax_1_Delta" vbProcedure="false">Calc_1!$I$98</definedName>
    <definedName function="false" hidden="false" name="Tax_1_Paste" vbProcedure="false">Calc_1!$J$70:$EO$70</definedName>
    <definedName function="false" hidden="false" name="Tax_2_Copy" vbProcedure="false">Calc_2!$J$97:$EO$97</definedName>
    <definedName function="false" hidden="false" name="Tax_2_Delta" vbProcedure="false">Calc_2!$I$98</definedName>
    <definedName function="false" hidden="false" name="Tax_2_Paste" vbProcedure="false">Calc_2!$J$70:$EO$70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<sst xmlns="http://schemas.openxmlformats.org/spreadsheetml/2006/main" count="1022" uniqueCount="432">
  <si>
    <t xml:space="preserve">Project Bana</t>
  </si>
  <si>
    <t xml:space="preserve">50 MW onshore wind, Ács Katódgyár – sale at COD vs hold to maturity</t>
  </si>
  <si>
    <t xml:space="preserve">Version</t>
  </si>
  <si>
    <t xml:space="preserve">v1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</si>
  <si>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</si>
  <si>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</si>
  <si>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</si>
  <si>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</si>
  <si>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</si>
  <si>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</si>
  <si>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</si>
  <si>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</si>
  <si>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</si>
  <si>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</si>
  <si>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</si>
  <si>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</si>
  <si>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</si>
  <si>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</si>
  <si>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</si>
  <si>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</si>
  <si>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</si>
  <si>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</si>
  <si>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</si>
  <si>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</si>
  <si>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</si>
  <si>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</si>
  <si>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Performance security multiple (ÖSZ-6)</t>
  </si>
  <si>
    <t xml:space="preserve">≥ 1.0</t>
  </si>
  <si>
    <t xml:space="preserve">Key assumptions (live)</t>
  </si>
  <si>
    <t xml:space="preserve">Partial award accepted (ÖSZ-5)</t>
  </si>
  <si>
    <t xml:space="preserve">flag</t>
  </si>
  <si>
    <t xml:space="preserve">0 / 1</t>
  </si>
  <si>
    <t xml:space="preserve">Purchase price</t>
  </si>
  <si>
    <t xml:space="preserve">EUR k</t>
  </si>
  <si>
    <t xml:space="preserve">Shared connection (ÖSZ-8)</t>
  </si>
  <si>
    <t xml:space="preserve">COD</t>
  </si>
  <si>
    <t xml:space="preserve">date</t>
  </si>
  <si>
    <t xml:space="preserve">EU turbines ≥ 80 % (ÖSZ-9), sets the route</t>
  </si>
  <si>
    <t xml:space="preserve">COD price, EU</t>
  </si>
  <si>
    <t xml:space="preserve">EU transformers ≥ 80 % (ÖSZ-9)</t>
  </si>
  <si>
    <t xml:space="preserve">COD price, CN</t>
  </si>
  <si>
    <t xml:space="preserve">Points total</t>
  </si>
  <si>
    <t xml:space="preserve">points</t>
  </si>
  <si>
    <t xml:space="preserve">Turbine price, EU</t>
  </si>
  <si>
    <t xml:space="preserve">Commitments within the offerable range</t>
  </si>
  <si>
    <t xml:space="preserve">Turbine price, CN</t>
  </si>
  <si>
    <t xml:space="preserve">Net P50 hours</t>
  </si>
  <si>
    <t xml:space="preserve">h/yr</t>
  </si>
  <si>
    <t xml:space="preserve">Returns at a glance</t>
  </si>
  <si>
    <t xml:space="preserve">PPA price at COD, whole life</t>
  </si>
  <si>
    <t xml:space="preserve">FEP profit – sale at COD</t>
  </si>
  <si>
    <t xml:space="preserve">EUR m</t>
  </si>
  <si>
    <t xml:space="preserve">Debt rate</t>
  </si>
  <si>
    <t xml:space="preserve">%</t>
  </si>
  <si>
    <t xml:space="preserve">FEP IRR – sale at COD</t>
  </si>
  <si>
    <t xml:space="preserve">Target DSCR</t>
  </si>
  <si>
    <t xml:space="preserve">FEP MOIC – sale at COD</t>
  </si>
  <si>
    <t xml:space="preserve">Tenor from COD</t>
  </si>
  <si>
    <t xml:space="preserve">years</t>
  </si>
  <si>
    <t xml:space="preserve">FEP NPV – sale at COD</t>
  </si>
  <si>
    <t xml:space="preserve">Debt share cap, EU</t>
  </si>
  <si>
    <t xml:space="preserve">FEP profit – hold to maturity</t>
  </si>
  <si>
    <t xml:space="preserve">Debt share cap, CN</t>
  </si>
  <si>
    <t xml:space="preserve">FEP IRR – hold to maturity</t>
  </si>
  <si>
    <t xml:space="preserve">CIT</t>
  </si>
  <si>
    <t xml:space="preserve">FEP MOIC – hold to maturity</t>
  </si>
  <si>
    <t xml:space="preserve">Discount rate</t>
  </si>
  <si>
    <t xml:space="preserve">FEP NPV – hold to maturity</t>
  </si>
  <si>
    <t xml:space="preserve">FX</t>
  </si>
  <si>
    <t xml:space="preserve">HUF/EUR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</si>
  <si>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</si>
  <si>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</si>
  <si>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</si>
  <si>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</si>
  <si>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</si>
  <si>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</si>
  <si>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</si>
  <si>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</si>
  <si>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</si>
  <si>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</si>
  <si>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</si>
  <si>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</si>
  <si>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</si>
  <si>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</si>
  <si>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</si>
  <si>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</si>
  <si>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</si>
  <si>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</si>
  <si>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</si>
  <si>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</si>
  <si>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</si>
  <si>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</si>
  <si>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</si>
  <si>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</si>
  <si>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</si>
  <si>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</si>
  <si>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</si>
  <si>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</si>
  <si>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</si>
  <si>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</si>
  <si>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</si>
  <si>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</si>
  <si>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</si>
  <si>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Hold to maturity: debt and tax</t>
  </si>
  <si>
    <t xml:space="preserve">Debt capacity at target DSCR (PV at COD)</t>
  </si>
  <si>
    <t xml:space="preserve">Debt share cap of construction cost</t>
  </si>
  <si>
    <t xml:space="preserve">Debt share of construction cost, sized</t>
  </si>
  <si>
    <t xml:space="preserve">Share of the DSCR capacity used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</si>
  <si>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</si>
  <si>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</si>
  <si>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</si>
  <si>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</si>
  <si>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</si>
  <si>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</si>
  <si>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</si>
  <si>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</si>
  <si>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</si>
  <si>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</si>
  <si>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</si>
  <si>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</si>
  <si>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</si>
  <si>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</si>
  <si>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</si>
  <si>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</si>
  <si>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</si>
  <si>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</si>
  <si>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</si>
  <si>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</si>
  <si>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</si>
  <si>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</si>
  <si>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</si>
  <si>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</si>
  <si>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</si>
  <si>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</si>
  <si>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</si>
  <si>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</si>
  <si>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</si>
  <si>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</si>
  <si>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</si>
  <si>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</si>
  <si>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</si>
  <si>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</si>
  <si>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</si>
  <si>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</si>
  <si>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Turbine +10%</t>
  </si>
  <si>
    <t xml:space="preserve">Yield −10%</t>
  </si>
  <si>
    <t xml:space="preserve">PPA −10%</t>
  </si>
  <si>
    <t xml:space="preserve">Purchase +10%</t>
  </si>
  <si>
    <t xml:space="preserve">Rate +1 pp</t>
  </si>
  <si>
    <t xml:space="preserve">Tenor 10 years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</si>
  <si>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</si>
  <si>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</si>
  <si>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</si>
  <si>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</si>
  <si>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</si>
  <si>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</si>
  <si>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</si>
  <si>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</si>
  <si>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</si>
  <si>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</si>
  <si>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</si>
  <si>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</si>
  <si>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</si>
  <si>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</si>
  <si>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</si>
  <si>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</si>
  <si>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</si>
  <si>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</si>
  <si>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</si>
  <si>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</si>
  <si>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</si>
  <si>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</si>
  <si>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</si>
  <si>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</si>
  <si>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</si>
  <si>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</si>
  <si>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</si>
  <si>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</si>
  <si>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</si>
  <si>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</si>
  <si>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</si>
  <si>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</si>
  <si>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</si>
  <si>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</si>
  <si>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</si>
  <si>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</si>
  <si>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</si>
  <si>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</si>
  <si>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</si>
  <si>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</si>
  <si>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</si>
  <si>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</si>
  <si>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</si>
  <si>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</si>
  <si>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</si>
  <si>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</si>
  <si>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</si>
  <si>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</si>
  <si>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</si>
  <si>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</si>
  <si>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</si>
  <si>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</si>
  <si>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</si>
  <si>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</t>
  </si>
  <si>
    <t xml:space="preserve">Bana v3 Inputs E12; Tao. 19. §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</si>
  <si>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</si>
  <si>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</si>
  <si>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</si>
  <si>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</si>
  <si>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</si>
  <si>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</si>
  <si>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</si>
  <si>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</si>
  <si>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</si>
  <si>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</si>
  <si>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</si>
  <si>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</si>
  <si>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MVA</t>
  </si>
  <si>
    <t xml:space="preserve">MEKH Annex 1; Bana v3 Inputs E281</t>
  </si>
  <si>
    <t xml:space="preserve">Installed wind</t>
  </si>
  <si>
    <t xml:space="preserve">MW</t>
  </si>
  <si>
    <t xml:space="preserve">Bana v3 Inputs E297</t>
  </si>
  <si>
    <t xml:space="preserve">Security base: benchmark investment, wind</t>
  </si>
  <si>
    <t xml:space="preserve">mHUF/MW</t>
  </si>
  <si>
    <t xml:space="preserve">Kiírás Annex 2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</si>
  <si>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</si>
  <si>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</si>
  <si>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</si>
  <si>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</si>
  <si>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</si>
  <si>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</si>
  <si>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</si>
  <si>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</si>
  <si>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</si>
  <si>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</si>
  <si>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</si>
  <si>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</si>
  <si>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</si>
  <si>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</si>
  <si>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</si>
  <si>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</si>
  <si>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</si>
  <si>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</si>
  <si>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12-Oct-26 (Bora SPEC v2.1)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</si>
  <si>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</si>
  <si>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</si>
  <si>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</si>
  <si>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</si>
  <si>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</si>
  <si>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</si>
  <si>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</si>
  <si>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</si>
  <si>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</si>
  <si>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</si>
  <si>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Operations</t>
  </si>
  <si>
    <t xml:space="preserve">Bana v3 Inputs E179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</si>
  <si>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</si>
  <si>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</si>
  <si>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</si>
  <si>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</si>
  <si>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</si>
  <si>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User 13-Oct-26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</si>
  <si>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</si>
  <si>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</si>
  <si>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</si>
  <si>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</si>
  <si>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</si>
  <si>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</si>
  <si>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</si>
  <si>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</si>
  <si>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</si>
  <si>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</si>
  <si>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</si>
  <si>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</si>
  <si>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</si>
  <si>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</si>
  <si>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</si>
  <si>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</si>
  <si>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</si>
  <si>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</si>
  <si>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</si>
  <si>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</si>
  <si>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</si>
  <si>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cap of construction cost, EU</t>
  </si>
  <si>
    <t xml:space="preserve">Rock Assumptions G547</t>
  </si>
  <si>
    <t xml:space="preserve">Debt share cap of construction cost, CN</t>
  </si>
  <si>
    <t xml:space="preserve">Rock G547 less 10 pp (Bana v3 CN)</t>
  </si>
  <si>
    <t xml:space="preserve">Target DSCR for sizing and sculpting</t>
  </si>
  <si>
    <t xml:space="preserve">Rock Assumptions G549</t>
  </si>
  <si>
    <t xml:space="preserve">Rock G540; set 8: Bana v3 E220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</si>
  <si>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</si>
  <si>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</si>
  <si>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</si>
  <si>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</si>
  <si>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</si>
  <si>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</si>
  <si>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</si>
  <si>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</si>
  <si>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</si>
  <si>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</si>
  <si>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</si>
  <si>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</si>
  <si>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</si>
  <si>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</si>
  <si>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</si>
  <si>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</si>
  <si>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</si>
  <si>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</si>
  <si>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</si>
  <si>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</si>
  <si>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</si>
  <si>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</si>
  <si>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</si>
  <si>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</si>
  <si>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</si>
  <si>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</si>
  <si>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</si>
  <si>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</si>
  <si>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</si>
  <si>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</si>
  <si>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</si>
  <si>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</si>
  <si>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</si>
  <si>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</si>
  <si>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</si>
  <si>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</si>
  <si>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</si>
  <si>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</si>
  <si>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</si>
  <si>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</si>
  <si>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</si>
  <si>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</si>
  <si>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</si>
  <si>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</si>
  <si>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</si>
  <si>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</si>
  <si>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</si>
  <si>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</si>
  <si>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</si>
  <si>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</si>
  <si>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</si>
  <si>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</si>
  <si>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</si>
  <si>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</si>
  <si>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</si>
  <si>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</si>
  <si>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</si>
  <si>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</si>
  <si>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Failed range tests (E: ÖSZ-1 and -2, F: ÖSZ-6)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</si>
  <si>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</si>
  <si>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</si>
  <si>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</si>
  <si>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</si>
  <si>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</si>
  <si>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</si>
  <si>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</si>
  <si>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</si>
  <si>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</si>
  <si>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</si>
  <si>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</si>
  <si>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</si>
  <si>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</si>
  <si>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</si>
  <si>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</si>
  <si>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</si>
  <si>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</si>
  <si>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</si>
  <si>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</si>
  <si>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</si>
  <si>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</si>
  <si>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MWh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</si>
  <si>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</si>
  <si>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</si>
  <si>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</si>
  <si>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</si>
  <si>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</si>
  <si>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</si>
  <si>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</si>
  <si>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</si>
  <si>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</si>
  <si>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Debt service at target DSCR (E: PV at COD = capacity)</t>
  </si>
  <si>
    <t xml:space="preserve">Debt share cap, this route</t>
  </si>
  <si>
    <t xml:space="preserve">Debt share of construction cost (E), share of capacity used (F)</t>
  </si>
  <si>
    <t xml:space="preserve">Interest paid</t>
  </si>
  <si>
    <t xml:space="preserve">Debt service (sculpted)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</si>
  <si>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</si>
  <si>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</si>
  <si>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</si>
  <si>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</si>
  <si>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</si>
  <si>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</si>
  <si>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</si>
  <si>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</si>
  <si>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</si>
  <si>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</si>
  <si>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</si>
  <si>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</si>
  <si>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</si>
  <si>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</si>
  <si>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</si>
  <si>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</si>
  <si>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</si>
  <si>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– copy</t>
  </si>
  <si>
    <t xml:space="preserve">Corporate income tax – delta</t>
  </si>
  <si>
    <t xml:space="preserve">Funding to COD (E: uses and sources)</t>
  </si>
  <si>
    <t xml:space="preserve">FEP equity (E), peak including the DSRA (F)</t>
  </si>
  <si>
    <t xml:space="preserve">FEP contributions to COD</t>
  </si>
  <si>
    <t xml:space="preserve">FEP cash flow – sale at COD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</si>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</sst>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0\x"/>
    <numFmt numFmtId="170" formatCode="0;\-0;\–"/>
    <numFmt numFmtId="171" formatCode="#,##0.0;\(#,##0.0\);\–"/>
    <numFmt numFmtId="172" formatCode="0.0%;\(0.0%\);\–"/>
    <numFmt numFmtId="173" formatCode="0"/>
    <numFmt numFmtId="174" formatCode="0.000"/>
    <numFmt numFmtId="175" formatCode="0.00%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S95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3"/>
    <col collapsed="false" customWidth="true" hidden="false" outlineLevel="0" max="17" min="17" style="0" width="34"/>
    <col collapsed="false" customWidth="true" hidden="false" outlineLevel="0" max="18" min="18" style="0" width="10"/>
    <col collapsed="false" customWidth="true" hidden="false" outlineLevel="0" max="19" min="19" style="0" width="12"/>
    <col collapsed="false" customWidth="false" hidden="true" outlineLevel="1" max="16384" min="20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46308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Q9" s="7" t="s">
        <v>11</v>
      </c>
      <c r="R9" s="7" t="s">
        <v>8</v>
      </c>
      <c r="S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Q11" s="9" t="s">
        <v>5</v>
      </c>
      <c r="R11" s="9"/>
      <c r="S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35</v>
      </c>
      <c r="F12" s="12" t="n">
        <v>35</v>
      </c>
      <c r="H12" s="13" t="s">
        <v>20</v>
      </c>
      <c r="I12" s="14" t="n">
        <f aca="false">Calc_1!$F$24</f>
        <v>11</v>
      </c>
      <c r="J12" s="14" t="n">
        <f aca="false">Calc_2!$F$24</f>
        <v>11</v>
      </c>
      <c r="Q12" s="13" t="s">
        <v>5</v>
      </c>
      <c r="R12" s="11" t="s">
        <v>21</v>
      </c>
      <c r="S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2.5</v>
      </c>
      <c r="F13" s="16" t="n">
        <v>2.5</v>
      </c>
      <c r="H13" s="13" t="s">
        <v>25</v>
      </c>
      <c r="I13" s="14" t="n">
        <f aca="false">Calc_1!$F$25</f>
        <v>6</v>
      </c>
      <c r="J13" s="14" t="n">
        <f aca="false">Calc_2!$F$25</f>
        <v>6</v>
      </c>
    </row>
    <row r="14" customFormat="false" ht="15" hidden="false" customHeight="false" outlineLevel="0" collapsed="false">
      <c r="C14" s="0" t="s">
        <v>26</v>
      </c>
      <c r="D14" s="11" t="s">
        <v>13</v>
      </c>
      <c r="E14" s="17" t="n">
        <v>1</v>
      </c>
      <c r="F14" s="17" t="n">
        <v>1</v>
      </c>
      <c r="H14" s="13" t="s">
        <v>27</v>
      </c>
      <c r="I14" s="14" t="n">
        <f aca="false">Calc_1!$F$27</f>
        <v>0</v>
      </c>
      <c r="J14" s="14" t="n">
        <f aca="false">Calc_2!$F$27</f>
        <v>0</v>
      </c>
      <c r="Q14" s="9" t="s">
        <v>28</v>
      </c>
      <c r="R14" s="9"/>
      <c r="S14" s="9"/>
    </row>
    <row r="15" customFormat="false" ht="15" hidden="false" customHeight="false" outlineLevel="0" collapsed="false">
      <c r="C15" s="0" t="s">
        <v>29</v>
      </c>
      <c r="D15" s="11" t="s">
        <v>30</v>
      </c>
      <c r="E15" s="18" t="n">
        <v>0</v>
      </c>
      <c r="F15" s="18" t="n">
        <v>0</v>
      </c>
      <c r="H15" s="13" t="s">
        <v>31</v>
      </c>
      <c r="I15" s="14" t="n">
        <f aca="false">Calc_1!$F$26</f>
        <v>0</v>
      </c>
      <c r="J15" s="14" t="n">
        <f aca="false">Calc_2!$F$26</f>
        <v>0</v>
      </c>
      <c r="Q15" s="13" t="s">
        <v>32</v>
      </c>
      <c r="R15" s="11" t="s">
        <v>33</v>
      </c>
      <c r="S15" s="19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30</v>
      </c>
      <c r="E16" s="18" t="n">
        <v>0</v>
      </c>
      <c r="F16" s="18" t="n">
        <v>0</v>
      </c>
      <c r="H16" s="13" t="s">
        <v>31</v>
      </c>
      <c r="I16" s="14" t="n">
        <f aca="false">Calc_1!$F$28</f>
        <v>0</v>
      </c>
      <c r="J16" s="14" t="n">
        <f aca="false">Calc_2!$F$28</f>
        <v>0</v>
      </c>
      <c r="Q16" s="13" t="s">
        <v>35</v>
      </c>
      <c r="R16" s="11" t="s">
        <v>36</v>
      </c>
      <c r="S16" s="20" t="n">
        <f aca="false">In_COD</f>
        <v>47756</v>
      </c>
    </row>
    <row r="17" customFormat="false" ht="15" hidden="false" customHeight="false" outlineLevel="0" collapsed="false">
      <c r="C17" s="0" t="s">
        <v>37</v>
      </c>
      <c r="D17" s="11" t="s">
        <v>30</v>
      </c>
      <c r="E17" s="18" t="n">
        <v>1</v>
      </c>
      <c r="F17" s="18" t="n">
        <v>0</v>
      </c>
      <c r="H17" s="13" t="s">
        <v>31</v>
      </c>
      <c r="I17" s="14" t="n">
        <f aca="false">Calc_1!$F$29</f>
        <v>12</v>
      </c>
      <c r="J17" s="14" t="n">
        <f aca="false">Calc_2!$F$29</f>
        <v>0</v>
      </c>
      <c r="Q17" s="13" t="s">
        <v>38</v>
      </c>
      <c r="R17" s="11" t="s">
        <v>19</v>
      </c>
      <c r="S17" s="19" t="n">
        <f aca="false">In_COD_Price</f>
        <v>2450</v>
      </c>
    </row>
    <row r="18" customFormat="false" ht="15" hidden="false" customHeight="false" outlineLevel="0" collapsed="false">
      <c r="C18" s="0" t="s">
        <v>39</v>
      </c>
      <c r="D18" s="11" t="s">
        <v>30</v>
      </c>
      <c r="E18" s="18" t="n">
        <v>0</v>
      </c>
      <c r="F18" s="18" t="n">
        <v>0</v>
      </c>
      <c r="H18" s="13" t="s">
        <v>31</v>
      </c>
      <c r="I18" s="14" t="n">
        <f aca="false">Calc_1!$F$30</f>
        <v>0</v>
      </c>
      <c r="J18" s="14" t="n">
        <f aca="false">Calc_2!$F$30</f>
        <v>0</v>
      </c>
      <c r="Q18" s="13" t="s">
        <v>40</v>
      </c>
      <c r="R18" s="11" t="s">
        <v>19</v>
      </c>
      <c r="S18" s="19" t="n">
        <f aca="false">In_COD_Price_CN</f>
        <v>2100</v>
      </c>
    </row>
    <row r="19" customFormat="false" ht="15" hidden="false" customHeight="false" outlineLevel="0" collapsed="false">
      <c r="C19" s="21" t="s">
        <v>41</v>
      </c>
      <c r="D19" s="11" t="s">
        <v>42</v>
      </c>
      <c r="E19" s="22" t="n">
        <f aca="false">Calc_1!$E31</f>
        <v>29</v>
      </c>
      <c r="F19" s="22" t="n">
        <f aca="false">Calc_2!$E31</f>
        <v>17</v>
      </c>
      <c r="Q19" s="13" t="s">
        <v>43</v>
      </c>
      <c r="R19" s="11" t="s">
        <v>19</v>
      </c>
      <c r="S19" s="19" t="n">
        <f aca="false">In_Turbine</f>
        <v>600</v>
      </c>
    </row>
    <row r="20" customFormat="false" ht="15" hidden="false" customHeight="false" outlineLevel="0" collapsed="false">
      <c r="C20" s="0" t="s">
        <v>44</v>
      </c>
      <c r="D20" s="11" t="s">
        <v>30</v>
      </c>
      <c r="E20" s="23" t="str">
        <f aca="false">IF(Calc_1!$E32+Calc_1!$F32=0,"OK","CHECK")</f>
        <v>OK</v>
      </c>
      <c r="F20" s="23" t="str">
        <f aca="false">IF(Calc_2!$E32+Calc_2!$F32=0,"OK","CHECK")</f>
        <v>OK</v>
      </c>
      <c r="Q20" s="13" t="s">
        <v>45</v>
      </c>
      <c r="R20" s="11" t="s">
        <v>19</v>
      </c>
      <c r="S20" s="19" t="n">
        <f aca="false">In_Turbine_CN</f>
        <v>500</v>
      </c>
    </row>
    <row r="21" customFormat="false" ht="15" hidden="false" customHeight="false" outlineLevel="0" collapsed="false">
      <c r="Q21" s="0" t="s">
        <v>46</v>
      </c>
      <c r="R21" s="11" t="s">
        <v>47</v>
      </c>
      <c r="S21" s="19" t="n">
        <f aca="false">In_P50_Hours</f>
        <v>2460</v>
      </c>
    </row>
    <row r="22" customFormat="false" ht="15" hidden="false" customHeight="false" outlineLevel="0" collapsed="false">
      <c r="A22" s="9" t="s">
        <v>13</v>
      </c>
      <c r="B22" s="9"/>
      <c r="C22" s="9" t="s">
        <v>48</v>
      </c>
      <c r="D22" s="9"/>
      <c r="E22" s="10" t="s">
        <v>9</v>
      </c>
      <c r="F22" s="10" t="s">
        <v>10</v>
      </c>
      <c r="G22" s="9"/>
      <c r="H22" s="9"/>
      <c r="I22" s="9"/>
      <c r="J22" s="9"/>
      <c r="K22" s="9"/>
      <c r="L22" s="9"/>
      <c r="M22" s="9"/>
      <c r="N22" s="9"/>
      <c r="O22" s="9"/>
      <c r="Q22" s="13" t="s">
        <v>49</v>
      </c>
      <c r="R22" s="11" t="s">
        <v>24</v>
      </c>
      <c r="S22" s="24" t="n">
        <f aca="false">In_PPA_Price</f>
        <v>90</v>
      </c>
    </row>
    <row r="23" customFormat="false" ht="15" hidden="false" customHeight="false" outlineLevel="0" collapsed="false">
      <c r="C23" s="0" t="s">
        <v>50</v>
      </c>
      <c r="D23" s="11" t="s">
        <v>51</v>
      </c>
      <c r="E23" s="25" t="n">
        <f aca="false">Calc_1!$I117/Thousand</f>
        <v>38.5828003320338</v>
      </c>
      <c r="F23" s="25" t="n">
        <f aca="false">Calc_2!$I117/Thousand</f>
        <v>28.4745454583916</v>
      </c>
      <c r="Q23" s="13" t="s">
        <v>52</v>
      </c>
      <c r="R23" s="11" t="s">
        <v>53</v>
      </c>
      <c r="S23" s="26" t="n">
        <f aca="false">In_Debt_Rate</f>
        <v>0.05</v>
      </c>
    </row>
    <row r="24" customFormat="false" ht="15" hidden="false" customHeight="false" outlineLevel="0" collapsed="false">
      <c r="C24" s="21" t="s">
        <v>54</v>
      </c>
      <c r="D24" s="11" t="s">
        <v>53</v>
      </c>
      <c r="E24" s="27" t="n">
        <f aca="false">Calc_1!$E118</f>
        <v>0.609860122902974</v>
      </c>
      <c r="F24" s="27" t="n">
        <f aca="false">Calc_2!$E118</f>
        <v>0.467905968268763</v>
      </c>
      <c r="Q24" s="13" t="s">
        <v>55</v>
      </c>
      <c r="R24" s="11" t="s">
        <v>13</v>
      </c>
      <c r="S24" s="28" t="n">
        <f aca="false">In_DSCR</f>
        <v>1.2</v>
      </c>
    </row>
    <row r="25" customFormat="false" ht="15" hidden="false" customHeight="false" outlineLevel="0" collapsed="false">
      <c r="C25" s="0" t="s">
        <v>56</v>
      </c>
      <c r="D25" s="11" t="s">
        <v>13</v>
      </c>
      <c r="E25" s="28" t="n">
        <f aca="false">Calc_1!$E119</f>
        <v>2.7111566965103</v>
      </c>
      <c r="F25" s="28" t="n">
        <f aca="false">Calc_2!$E119</f>
        <v>2.03445720312476</v>
      </c>
      <c r="Q25" s="13" t="s">
        <v>57</v>
      </c>
      <c r="R25" s="11" t="s">
        <v>58</v>
      </c>
      <c r="S25" s="29" t="n">
        <f aca="false">In_Debt_Tenor</f>
        <v>18</v>
      </c>
    </row>
    <row r="26" customFormat="false" ht="15" hidden="false" customHeight="false" outlineLevel="0" collapsed="false">
      <c r="C26" s="0" t="s">
        <v>59</v>
      </c>
      <c r="D26" s="11" t="s">
        <v>51</v>
      </c>
      <c r="E26" s="25" t="n">
        <f aca="false">Calc_1!$E120/Thousand</f>
        <v>26.4899461134572</v>
      </c>
      <c r="F26" s="25" t="n">
        <f aca="false">Calc_2!$E120/Thousand</f>
        <v>18.6440867129192</v>
      </c>
      <c r="Q26" s="13" t="s">
        <v>60</v>
      </c>
      <c r="R26" s="11" t="s">
        <v>53</v>
      </c>
      <c r="S26" s="26" t="n">
        <f aca="false">In_Gearing</f>
        <v>0.8</v>
      </c>
    </row>
    <row r="27" customFormat="false" ht="15" hidden="false" customHeight="false" outlineLevel="0" collapsed="false">
      <c r="C27" s="0" t="s">
        <v>61</v>
      </c>
      <c r="D27" s="11" t="s">
        <v>51</v>
      </c>
      <c r="E27" s="25" t="n">
        <f aca="false">Calc_1!$I125/Thousand</f>
        <v>125.480298811613</v>
      </c>
      <c r="F27" s="25" t="n">
        <f aca="false">Calc_2!$I125/Thousand</f>
        <v>138.100576225961</v>
      </c>
      <c r="Q27" s="13" t="s">
        <v>62</v>
      </c>
      <c r="R27" s="11" t="s">
        <v>53</v>
      </c>
      <c r="S27" s="26" t="n">
        <f aca="false">In_Gearing_CN</f>
        <v>0.7</v>
      </c>
    </row>
    <row r="28" customFormat="false" ht="15" hidden="false" customHeight="false" outlineLevel="0" collapsed="false">
      <c r="C28" s="21" t="s">
        <v>63</v>
      </c>
      <c r="D28" s="11" t="s">
        <v>53</v>
      </c>
      <c r="E28" s="27" t="n">
        <f aca="false">Calc_1!$E126</f>
        <v>0.122239087401663</v>
      </c>
      <c r="F28" s="27" t="n">
        <f aca="false">Calc_2!$E126</f>
        <v>0.128179632485241</v>
      </c>
      <c r="Q28" s="13" t="s">
        <v>64</v>
      </c>
      <c r="R28" s="11" t="s">
        <v>53</v>
      </c>
      <c r="S28" s="26" t="n">
        <f aca="false">In_CIT</f>
        <v>0.09</v>
      </c>
    </row>
    <row r="29" customFormat="false" ht="15" hidden="false" customHeight="false" outlineLevel="0" collapsed="false">
      <c r="C29" s="0" t="s">
        <v>65</v>
      </c>
      <c r="D29" s="11" t="s">
        <v>13</v>
      </c>
      <c r="E29" s="28" t="n">
        <f aca="false">Calc_1!$E127</f>
        <v>6.26590951121959</v>
      </c>
      <c r="F29" s="28" t="n">
        <f aca="false">Calc_2!$E127</f>
        <v>5.83720792652839</v>
      </c>
      <c r="Q29" s="13" t="s">
        <v>66</v>
      </c>
      <c r="R29" s="11" t="s">
        <v>53</v>
      </c>
      <c r="S29" s="26" t="n">
        <f aca="false">In_Discount_Rate</f>
        <v>0.08</v>
      </c>
    </row>
    <row r="30" customFormat="false" ht="15" hidden="false" customHeight="false" outlineLevel="0" collapsed="false">
      <c r="C30" s="0" t="s">
        <v>67</v>
      </c>
      <c r="D30" s="11" t="s">
        <v>51</v>
      </c>
      <c r="E30" s="25" t="n">
        <f aca="false">Calc_1!$E128/Thousand</f>
        <v>13.1143168111505</v>
      </c>
      <c r="F30" s="25" t="n">
        <f aca="false">Calc_2!$E128/Thousand</f>
        <v>16.3156538438964</v>
      </c>
      <c r="Q30" s="13" t="s">
        <v>68</v>
      </c>
      <c r="R30" s="11" t="s">
        <v>69</v>
      </c>
      <c r="S30" s="19" t="n">
        <f aca="false">In_FX</f>
        <v>365</v>
      </c>
    </row>
    <row r="31" customFormat="false" ht="15" hidden="false" customHeight="false" outlineLevel="0" collapsed="false">
      <c r="C31" s="0" t="s">
        <v>70</v>
      </c>
      <c r="D31" s="11" t="s">
        <v>53</v>
      </c>
      <c r="E31" s="26" t="n">
        <f aca="false">Calc_1!$E124</f>
        <v>0.0884140389577776</v>
      </c>
      <c r="F31" s="26" t="n">
        <f aca="false">Calc_2!$E124</f>
        <v>0.0964986484460369</v>
      </c>
    </row>
    <row r="33" customFormat="false" ht="15" hidden="false" customHeight="false" outlineLevel="0" collapsed="false">
      <c r="A33" s="9" t="s">
        <v>13</v>
      </c>
      <c r="B33" s="9"/>
      <c r="C33" s="9" t="s">
        <v>71</v>
      </c>
      <c r="D33" s="9"/>
      <c r="E33" s="10" t="s">
        <v>9</v>
      </c>
      <c r="F33" s="10" t="s">
        <v>10</v>
      </c>
      <c r="G33" s="9"/>
      <c r="H33" s="9"/>
      <c r="I33" s="9"/>
      <c r="J33" s="9"/>
      <c r="K33" s="9"/>
      <c r="L33" s="9"/>
      <c r="M33" s="9"/>
      <c r="N33" s="9"/>
      <c r="O33" s="9"/>
    </row>
    <row r="34" customFormat="false" ht="15" hidden="false" customHeight="false" outlineLevel="0" collapsed="false">
      <c r="C34" s="0" t="s">
        <v>72</v>
      </c>
      <c r="D34" s="11" t="s">
        <v>51</v>
      </c>
      <c r="E34" s="25" t="n">
        <f aca="false">Calc_1!$E101/Thousand</f>
        <v>5.15</v>
      </c>
      <c r="F34" s="25" t="n">
        <f aca="false">Calc_2!$E101/Thousand</f>
        <v>5.15</v>
      </c>
    </row>
    <row r="35" customFormat="false" ht="15" hidden="false" customHeight="false" outlineLevel="0" collapsed="false">
      <c r="C35" s="0" t="s">
        <v>73</v>
      </c>
      <c r="D35" s="11" t="s">
        <v>51</v>
      </c>
      <c r="E35" s="25" t="n">
        <f aca="false">Calc_1!$E102/Thousand</f>
        <v>0.932208819665979</v>
      </c>
      <c r="F35" s="25" t="n">
        <f aca="false">Calc_2!$E102/Thousand</f>
        <v>0.932208819665979</v>
      </c>
    </row>
    <row r="36" customFormat="false" ht="15" hidden="false" customHeight="false" outlineLevel="0" collapsed="false">
      <c r="C36" s="0" t="s">
        <v>74</v>
      </c>
      <c r="D36" s="11" t="s">
        <v>51</v>
      </c>
      <c r="E36" s="25" t="n">
        <f aca="false">Calc_1!$E103/Thousand</f>
        <v>62.7375</v>
      </c>
      <c r="F36" s="25" t="n">
        <f aca="false">Calc_2!$E103/Thousand</f>
        <v>56.2275</v>
      </c>
    </row>
    <row r="37" customFormat="false" ht="15" hidden="false" customHeight="false" outlineLevel="0" collapsed="false">
      <c r="C37" s="0" t="s">
        <v>75</v>
      </c>
      <c r="D37" s="11" t="s">
        <v>51</v>
      </c>
      <c r="E37" s="25" t="n">
        <f aca="false">Calc_1!$E104/Thousand</f>
        <v>8.15482315068493</v>
      </c>
      <c r="F37" s="25" t="n">
        <f aca="false">Calc_2!$E104/Thousand</f>
        <v>8.15482315068493</v>
      </c>
    </row>
    <row r="38" customFormat="false" ht="15" hidden="false" customHeight="false" outlineLevel="0" collapsed="false">
      <c r="C38" s="0" t="s">
        <v>76</v>
      </c>
      <c r="D38" s="11" t="s">
        <v>51</v>
      </c>
      <c r="E38" s="25" t="n">
        <f aca="false">Calc_1!$E105/Thousand</f>
        <v>1.75</v>
      </c>
      <c r="F38" s="25" t="n">
        <f aca="false">Calc_2!$E105/Thousand</f>
        <v>1.75</v>
      </c>
    </row>
    <row r="39" customFormat="false" ht="15" hidden="false" customHeight="false" outlineLevel="0" collapsed="false">
      <c r="C39" s="0" t="s">
        <v>77</v>
      </c>
      <c r="D39" s="11" t="s">
        <v>51</v>
      </c>
      <c r="E39" s="25" t="n">
        <f aca="false">Calc_1!$E106/Thousand</f>
        <v>4.38342206349338</v>
      </c>
      <c r="F39" s="25" t="n">
        <f aca="false">Calc_2!$E106/Thousand</f>
        <v>3.50167693713561</v>
      </c>
    </row>
    <row r="40" customFormat="false" ht="15" hidden="false" customHeight="false" outlineLevel="0" collapsed="false">
      <c r="C40" s="0" t="s">
        <v>78</v>
      </c>
      <c r="D40" s="11" t="s">
        <v>51</v>
      </c>
      <c r="E40" s="25" t="n">
        <f aca="false">Calc_1!$E107/Thousand</f>
        <v>0.309245634121894</v>
      </c>
      <c r="F40" s="25" t="n">
        <f aca="false">Calc_2!$E107/Thousand</f>
        <v>0.309245634121894</v>
      </c>
    </row>
    <row r="41" customFormat="false" ht="15" hidden="false" customHeight="false" outlineLevel="0" collapsed="false">
      <c r="C41" s="21" t="s">
        <v>79</v>
      </c>
      <c r="D41" s="11" t="s">
        <v>51</v>
      </c>
      <c r="E41" s="22" t="n">
        <f aca="false">Calc_1!$E108/Thousand</f>
        <v>83.4171996679662</v>
      </c>
      <c r="F41" s="22" t="n">
        <f aca="false">Calc_2!$E108/Thousand</f>
        <v>76.0254545416084</v>
      </c>
    </row>
    <row r="42" customFormat="false" ht="15" hidden="false" customHeight="false" outlineLevel="0" collapsed="false">
      <c r="C42" s="0" t="s">
        <v>80</v>
      </c>
      <c r="D42" s="11" t="s">
        <v>51</v>
      </c>
      <c r="E42" s="25" t="n">
        <f aca="false">Calc_1!$E83/Thousand</f>
        <v>60.8694105550703</v>
      </c>
      <c r="F42" s="25" t="n">
        <f aca="false">Calc_2!$E83/Thousand</f>
        <v>48.4993806041085</v>
      </c>
    </row>
    <row r="43" customFormat="false" ht="15" hidden="false" customHeight="false" outlineLevel="0" collapsed="false">
      <c r="C43" s="21" t="s">
        <v>81</v>
      </c>
      <c r="D43" s="11" t="s">
        <v>51</v>
      </c>
      <c r="E43" s="22" t="n">
        <f aca="false">Calc_1!$E109/Thousand</f>
        <v>22.5477891128959</v>
      </c>
      <c r="F43" s="22" t="n">
        <f aca="false">Calc_2!$E109/Thousand</f>
        <v>27.5260739374999</v>
      </c>
    </row>
    <row r="44" customFormat="false" ht="15" hidden="false" customHeight="false" outlineLevel="0" collapsed="false">
      <c r="C44" s="0" t="s">
        <v>82</v>
      </c>
      <c r="D44" s="11" t="s">
        <v>51</v>
      </c>
      <c r="E44" s="25" t="n">
        <f aca="false">Calc_1!$F109/Thousand</f>
        <v>23.8287989081969</v>
      </c>
      <c r="F44" s="25" t="n">
        <f aca="false">Calc_2!$F109/Thousand</f>
        <v>28.5496464744848</v>
      </c>
    </row>
    <row r="45" customFormat="false" ht="15" hidden="false" customHeight="false" outlineLevel="0" collapsed="false">
      <c r="C45" s="0" t="s">
        <v>83</v>
      </c>
      <c r="D45" s="11" t="s">
        <v>53</v>
      </c>
      <c r="E45" s="26" t="n">
        <f aca="false">Calc_1!$E110</f>
        <v>0.729698560936532</v>
      </c>
      <c r="F45" s="26" t="n">
        <f aca="false">Calc_2!$E110</f>
        <v>0.637936082020595</v>
      </c>
    </row>
    <row r="47" customFormat="false" ht="15" hidden="false" customHeight="false" outlineLevel="0" collapsed="false">
      <c r="A47" s="9" t="s">
        <v>13</v>
      </c>
      <c r="B47" s="9"/>
      <c r="C47" s="9" t="s">
        <v>84</v>
      </c>
      <c r="D47" s="9"/>
      <c r="E47" s="10" t="s">
        <v>9</v>
      </c>
      <c r="F47" s="10" t="s">
        <v>10</v>
      </c>
      <c r="G47" s="9"/>
      <c r="H47" s="10" t="s">
        <v>85</v>
      </c>
      <c r="I47" s="10" t="s">
        <v>86</v>
      </c>
      <c r="J47" s="10" t="s">
        <v>87</v>
      </c>
      <c r="K47" s="9"/>
      <c r="L47" s="9"/>
      <c r="M47" s="9"/>
      <c r="N47" s="9"/>
      <c r="O47" s="9"/>
    </row>
    <row r="48" customFormat="false" ht="15" hidden="false" customHeight="false" outlineLevel="0" collapsed="false">
      <c r="C48" s="0" t="s">
        <v>88</v>
      </c>
      <c r="D48" s="11" t="s">
        <v>51</v>
      </c>
      <c r="E48" s="30" t="n">
        <f aca="false">Calc_1!$E39/Thousand</f>
        <v>0.00821917808219178</v>
      </c>
      <c r="F48" s="30" t="n">
        <f aca="false">Calc_2!$E39/Thousand</f>
        <v>0.00821917808219178</v>
      </c>
      <c r="H48" s="13" t="s">
        <v>89</v>
      </c>
      <c r="I48" s="20" t="n">
        <f aca="false">In_Bid_Date</f>
        <v>46325</v>
      </c>
      <c r="J48" s="31" t="s">
        <v>90</v>
      </c>
    </row>
    <row r="49" customFormat="false" ht="15" hidden="false" customHeight="false" outlineLevel="0" collapsed="false">
      <c r="C49" s="0" t="s">
        <v>91</v>
      </c>
      <c r="D49" s="11" t="s">
        <v>51</v>
      </c>
      <c r="E49" s="30" t="n">
        <f aca="false">Calc_1!$E40/Thousand</f>
        <v>0.278082191780822</v>
      </c>
      <c r="F49" s="30" t="n">
        <f aca="false">Calc_2!$E40/Thousand</f>
        <v>0.278082191780822</v>
      </c>
      <c r="H49" s="13" t="s">
        <v>92</v>
      </c>
      <c r="I49" s="20" t="n">
        <f aca="false">In_Bid_Date</f>
        <v>46325</v>
      </c>
      <c r="J49" s="20" t="n">
        <f aca="false">Calc_1!$F$41</f>
        <v>46433</v>
      </c>
    </row>
    <row r="50" customFormat="false" ht="15" hidden="false" customHeight="false" outlineLevel="0" collapsed="false">
      <c r="C50" s="0" t="s">
        <v>93</v>
      </c>
      <c r="D50" s="11" t="s">
        <v>51</v>
      </c>
      <c r="E50" s="30" t="n">
        <f aca="false">Calc_1!$E41/Thousand</f>
        <v>1.39041095890411</v>
      </c>
      <c r="F50" s="30" t="n">
        <f aca="false">Calc_2!$E41/Thousand</f>
        <v>1.39041095890411</v>
      </c>
      <c r="H50" s="13" t="s">
        <v>92</v>
      </c>
      <c r="I50" s="20" t="n">
        <f aca="false">Calc_1!$F$41</f>
        <v>46433</v>
      </c>
      <c r="J50" s="20" t="n">
        <f aca="false">In_PB_Release</f>
        <v>48669</v>
      </c>
    </row>
    <row r="51" customFormat="false" ht="15" hidden="false" customHeight="false" outlineLevel="0" collapsed="false">
      <c r="C51" s="0" t="s">
        <v>94</v>
      </c>
      <c r="D51" s="11" t="s">
        <v>51</v>
      </c>
      <c r="E51" s="30" t="n">
        <f aca="false">Calc_1!$E42/Thousand</f>
        <v>0.616438356164384</v>
      </c>
      <c r="F51" s="30" t="n">
        <f aca="false">Calc_2!$E42/Thousand</f>
        <v>0.616438356164384</v>
      </c>
      <c r="H51" s="13" t="s">
        <v>89</v>
      </c>
      <c r="I51" s="20" t="n">
        <f aca="false">Calc_1!$F$41</f>
        <v>46433</v>
      </c>
      <c r="J51" s="31" t="s">
        <v>95</v>
      </c>
    </row>
    <row r="52" customFormat="false" ht="15" hidden="false" customHeight="false" outlineLevel="0" collapsed="false">
      <c r="C52" s="0" t="s">
        <v>96</v>
      </c>
      <c r="D52" s="11" t="s">
        <v>51</v>
      </c>
      <c r="E52" s="30" t="n">
        <f aca="false">Calc_1!$E43/Thousand</f>
        <v>1.26027397260274</v>
      </c>
      <c r="F52" s="30" t="n">
        <f aca="false">Calc_2!$E43/Thousand</f>
        <v>1.26027397260274</v>
      </c>
      <c r="H52" s="13" t="s">
        <v>89</v>
      </c>
      <c r="I52" s="20" t="n">
        <f aca="false">In_HCSSZ_Date</f>
        <v>47126</v>
      </c>
      <c r="J52" s="31" t="s">
        <v>90</v>
      </c>
    </row>
    <row r="53" customFormat="false" ht="15" hidden="false" customHeight="false" outlineLevel="0" collapsed="false">
      <c r="C53" s="0" t="s">
        <v>97</v>
      </c>
      <c r="D53" s="11" t="s">
        <v>51</v>
      </c>
      <c r="E53" s="30" t="n">
        <f aca="false">Calc_1!$E44/Thousand</f>
        <v>6.89454917808219</v>
      </c>
      <c r="F53" s="30" t="n">
        <f aca="false">Calc_2!$E44/Thousand</f>
        <v>6.89454917808219</v>
      </c>
      <c r="H53" s="13" t="s">
        <v>89</v>
      </c>
      <c r="I53" s="20" t="n">
        <f aca="false">In_HCSSZ_Date</f>
        <v>47126</v>
      </c>
      <c r="J53" s="31" t="s">
        <v>90</v>
      </c>
    </row>
    <row r="54" customFormat="false" ht="15" hidden="false" customHeight="false" outlineLevel="0" collapsed="false">
      <c r="C54" s="0" t="s">
        <v>98</v>
      </c>
      <c r="D54" s="11" t="s">
        <v>51</v>
      </c>
      <c r="E54" s="30" t="n">
        <f aca="false">(-Calc_1!$E46)/Thousand</f>
        <v>0.307551285419403</v>
      </c>
      <c r="F54" s="30" t="n">
        <f aca="false">(-Calc_2!$E46)/Thousand</f>
        <v>0.307551285419403</v>
      </c>
    </row>
    <row r="56" customFormat="false" ht="15" hidden="false" customHeight="false" outlineLevel="0" collapsed="false">
      <c r="A56" s="9" t="s">
        <v>13</v>
      </c>
      <c r="B56" s="9"/>
      <c r="C56" s="9" t="s">
        <v>99</v>
      </c>
      <c r="D56" s="9"/>
      <c r="E56" s="10" t="s">
        <v>9</v>
      </c>
      <c r="F56" s="10" t="s">
        <v>10</v>
      </c>
      <c r="G56" s="9"/>
      <c r="H56" s="9"/>
      <c r="I56" s="9"/>
      <c r="J56" s="9"/>
      <c r="K56" s="9"/>
      <c r="L56" s="9"/>
      <c r="M56" s="9"/>
      <c r="N56" s="9"/>
      <c r="O56" s="9"/>
    </row>
    <row r="57" customFormat="false" ht="15" hidden="false" customHeight="false" outlineLevel="0" collapsed="false">
      <c r="C57" s="0" t="s">
        <v>100</v>
      </c>
      <c r="D57" s="11" t="s">
        <v>51</v>
      </c>
      <c r="E57" s="25" t="n">
        <f aca="false">Calc_1!$E114/Thousand</f>
        <v>122.5</v>
      </c>
      <c r="F57" s="25" t="n">
        <f aca="false">Calc_2!$E114/Thousand</f>
        <v>105</v>
      </c>
    </row>
    <row r="58" customFormat="false" ht="15" hidden="false" customHeight="false" outlineLevel="0" collapsed="false">
      <c r="C58" s="0" t="s">
        <v>101</v>
      </c>
      <c r="D58" s="11" t="s">
        <v>51</v>
      </c>
      <c r="E58" s="25" t="n">
        <f aca="false">Calc_1!$E115/Thousand</f>
        <v>61.1305894449297</v>
      </c>
      <c r="F58" s="25" t="n">
        <f aca="false">Calc_2!$E115/Thousand</f>
        <v>56.0006193958915</v>
      </c>
    </row>
    <row r="59" customFormat="false" ht="15" hidden="false" customHeight="false" outlineLevel="0" collapsed="false">
      <c r="C59" s="0" t="s">
        <v>102</v>
      </c>
      <c r="D59" s="11" t="s">
        <v>51</v>
      </c>
      <c r="E59" s="25" t="n">
        <f aca="false">Calc_1!$E116/Thousand</f>
        <v>-0</v>
      </c>
      <c r="F59" s="25" t="n">
        <f aca="false">Calc_2!$E116/Thousand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103</v>
      </c>
      <c r="D61" s="9"/>
      <c r="E61" s="10" t="s">
        <v>9</v>
      </c>
      <c r="F61" s="10" t="s">
        <v>10</v>
      </c>
      <c r="G61" s="9"/>
      <c r="H61" s="9"/>
      <c r="I61" s="9"/>
      <c r="J61" s="9"/>
      <c r="K61" s="9"/>
      <c r="L61" s="9"/>
      <c r="M61" s="9"/>
      <c r="N61" s="9"/>
      <c r="O61" s="9"/>
    </row>
    <row r="62" customFormat="false" ht="15" hidden="false" customHeight="false" outlineLevel="0" collapsed="false">
      <c r="C62" s="0" t="s">
        <v>104</v>
      </c>
      <c r="D62" s="11" t="s">
        <v>51</v>
      </c>
      <c r="E62" s="25" t="n">
        <f aca="false">Calc_1!$E72/Thousand</f>
        <v>80.3835635223005</v>
      </c>
      <c r="F62" s="25" t="n">
        <f aca="false">Calc_2!$E72/Thousand</f>
        <v>79.7236901170473</v>
      </c>
    </row>
    <row r="63" customFormat="false" ht="15" hidden="false" customHeight="false" outlineLevel="0" collapsed="false">
      <c r="C63" s="0" t="s">
        <v>105</v>
      </c>
      <c r="D63" s="11" t="s">
        <v>53</v>
      </c>
      <c r="E63" s="26" t="n">
        <f aca="false">Calc_1!$E73</f>
        <v>0.8</v>
      </c>
      <c r="F63" s="26" t="n">
        <f aca="false">Calc_2!$E73</f>
        <v>0.7</v>
      </c>
    </row>
    <row r="64" customFormat="false" ht="15" hidden="false" customHeight="false" outlineLevel="0" collapsed="false">
      <c r="C64" s="0" t="s">
        <v>106</v>
      </c>
      <c r="D64" s="11" t="s">
        <v>53</v>
      </c>
      <c r="E64" s="26" t="n">
        <f aca="false">Calc_1!$E74</f>
        <v>0.8</v>
      </c>
      <c r="F64" s="26" t="n">
        <f aca="false">Calc_2!$E74</f>
        <v>0.7</v>
      </c>
    </row>
    <row r="65" customFormat="false" ht="15" hidden="false" customHeight="false" outlineLevel="0" collapsed="false">
      <c r="C65" s="0" t="s">
        <v>107</v>
      </c>
      <c r="D65" s="11" t="s">
        <v>53</v>
      </c>
      <c r="E65" s="26" t="n">
        <f aca="false">Calc_1!$F74</f>
        <v>0.757237025678558</v>
      </c>
      <c r="F65" s="26" t="n">
        <f aca="false">Calc_2!$F74</f>
        <v>0.60834339871754</v>
      </c>
    </row>
    <row r="66" customFormat="false" ht="15" hidden="false" customHeight="false" outlineLevel="0" collapsed="false">
      <c r="C66" s="0" t="s">
        <v>108</v>
      </c>
      <c r="D66" s="11" t="s">
        <v>51</v>
      </c>
      <c r="E66" s="25" t="n">
        <f aca="false">Calc_1!$E86/Thousand</f>
        <v>1.28100979530102</v>
      </c>
      <c r="F66" s="25" t="n">
        <f aca="false">Calc_2!$E86/Thousand</f>
        <v>1.02357253698485</v>
      </c>
    </row>
    <row r="67" customFormat="false" ht="15" hidden="false" customHeight="false" outlineLevel="0" collapsed="false">
      <c r="C67" s="0" t="s">
        <v>109</v>
      </c>
      <c r="D67" s="11" t="s">
        <v>13</v>
      </c>
      <c r="E67" s="28" t="n">
        <f aca="false">Calc_1!$E87</f>
        <v>1.58470856456693</v>
      </c>
      <c r="F67" s="28" t="n">
        <f aca="false">Calc_2!$E87</f>
        <v>1.97257010190255</v>
      </c>
    </row>
    <row r="68" customFormat="false" ht="15" hidden="false" customHeight="false" outlineLevel="0" collapsed="false">
      <c r="C68" s="0" t="s">
        <v>110</v>
      </c>
      <c r="D68" s="11" t="s">
        <v>111</v>
      </c>
      <c r="E68" s="32" t="n">
        <f aca="false">Calc_1!$E59/Thousand</f>
        <v>120.448851945205</v>
      </c>
      <c r="F68" s="32" t="n">
        <f aca="false">Calc_2!$E59/Thousand</f>
        <v>120.448851945205</v>
      </c>
    </row>
    <row r="69" customFormat="false" ht="15" hidden="false" customHeight="false" outlineLevel="0" collapsed="false">
      <c r="C69" s="0" t="s">
        <v>112</v>
      </c>
      <c r="D69" s="11" t="s">
        <v>51</v>
      </c>
      <c r="E69" s="25" t="n">
        <f aca="false">Calc_1!$E60/Thousand</f>
        <v>10.9488006418192</v>
      </c>
      <c r="F69" s="25" t="n">
        <f aca="false">Calc_2!$E60/Thousand</f>
        <v>10.9488006418192</v>
      </c>
    </row>
    <row r="70" customFormat="false" ht="15" hidden="false" customHeight="false" outlineLevel="0" collapsed="false">
      <c r="C70" s="0" t="s">
        <v>113</v>
      </c>
      <c r="D70" s="11" t="s">
        <v>51</v>
      </c>
      <c r="E70" s="25" t="n">
        <f aca="false">Calc_1!$E67/Thousand</f>
        <v>8.22944447199028</v>
      </c>
      <c r="F70" s="25" t="n">
        <f aca="false">Calc_2!$E67/Thousand</f>
        <v>8.22944447199028</v>
      </c>
    </row>
    <row r="71" customFormat="false" ht="15" hidden="false" customHeight="false" outlineLevel="0" collapsed="false">
      <c r="C71" s="0" t="s">
        <v>114</v>
      </c>
      <c r="D71" s="11" t="s">
        <v>51</v>
      </c>
      <c r="E71" s="25" t="n">
        <f aca="false">Calc_1!$I60/Thousand</f>
        <v>363.558718290489</v>
      </c>
      <c r="F71" s="25" t="n">
        <f aca="false">Calc_2!$I60/Thousand</f>
        <v>363.558718290489</v>
      </c>
    </row>
    <row r="72" customFormat="false" ht="15" hidden="false" customHeight="false" outlineLevel="0" collapsed="false">
      <c r="C72" s="0" t="s">
        <v>115</v>
      </c>
      <c r="D72" s="11" t="s">
        <v>51</v>
      </c>
      <c r="E72" s="25" t="n">
        <f aca="false">Calc_1!$I67/Thousand</f>
        <v>253.072486108741</v>
      </c>
      <c r="F72" s="25" t="n">
        <f aca="false">Calc_2!$I67/Thousand</f>
        <v>253.072486108741</v>
      </c>
    </row>
    <row r="73" customFormat="false" ht="15" hidden="false" customHeight="false" outlineLevel="0" collapsed="false">
      <c r="C73" s="0" t="s">
        <v>116</v>
      </c>
      <c r="D73" s="11" t="s">
        <v>51</v>
      </c>
      <c r="E73" s="25" t="n">
        <f aca="false">(SUM(Calc_1!$J97:$EO97))/Thousand</f>
        <v>-12.450386328891</v>
      </c>
      <c r="F73" s="25" t="n">
        <f aca="false">(SUM(Calc_2!$J97:$EO97))/Thousand</f>
        <v>-13.6582987476225</v>
      </c>
    </row>
    <row r="74" customFormat="false" ht="15" hidden="false" customHeight="false" outlineLevel="0" collapsed="false">
      <c r="C74" s="0" t="s">
        <v>117</v>
      </c>
      <c r="D74" s="11" t="s">
        <v>51</v>
      </c>
      <c r="E74" s="25" t="n">
        <f aca="false">(-Calc_1!$I95)/Thousand</f>
        <v>0.406940736063059</v>
      </c>
      <c r="F74" s="25" t="n">
        <f aca="false">(-Calc_2!$I95)/Thousand</f>
        <v>-0</v>
      </c>
    </row>
    <row r="75" customFormat="false" ht="15" hidden="false" customHeight="false" outlineLevel="0" collapsed="false">
      <c r="C75" s="0" t="s">
        <v>118</v>
      </c>
      <c r="D75" s="11" t="s">
        <v>119</v>
      </c>
      <c r="E75" s="29" t="n">
        <f aca="false">Model_Checks</f>
        <v>0</v>
      </c>
      <c r="F75" s="29" t="n">
        <f aca="false">Model_Checks</f>
        <v>0</v>
      </c>
    </row>
    <row r="77" customFormat="false" ht="15" hidden="false" customHeight="false" outlineLevel="0" collapsed="false">
      <c r="A77" s="9" t="s">
        <v>13</v>
      </c>
      <c r="B77" s="9"/>
      <c r="C77" s="9" t="s">
        <v>120</v>
      </c>
      <c r="D77" s="9"/>
      <c r="E77" s="10" t="s">
        <v>12</v>
      </c>
      <c r="F77" s="10"/>
      <c r="G77" s="9"/>
      <c r="H77" s="10" t="str">
        <f aca="false">Inputs!H$7</f>
        <v>Base</v>
      </c>
      <c r="I77" s="10" t="str">
        <f aca="false">Inputs!I$7</f>
        <v>COD price −10%</v>
      </c>
      <c r="J77" s="10" t="str">
        <f aca="false">Inputs!J$7</f>
        <v>Turbine +10%</v>
      </c>
      <c r="K77" s="10" t="str">
        <f aca="false">Inputs!K$7</f>
        <v>Yield −10%</v>
      </c>
      <c r="L77" s="10" t="str">
        <f aca="false">Inputs!L$7</f>
        <v>PPA −10%</v>
      </c>
      <c r="M77" s="10" t="str">
        <f aca="false">Inputs!M$7</f>
        <v>Purchase +10%</v>
      </c>
      <c r="N77" s="10" t="str">
        <f aca="false">Inputs!N$7</f>
        <v>Rate +1 pp</v>
      </c>
      <c r="O77" s="10" t="str">
        <f aca="false">Inputs!O$7</f>
        <v>Tenor 10 years</v>
      </c>
    </row>
    <row r="78" customFormat="false" ht="15" hidden="false" customHeight="false" outlineLevel="0" collapsed="false">
      <c r="C78" s="0" t="s">
        <v>121</v>
      </c>
      <c r="D78" s="11" t="s">
        <v>53</v>
      </c>
      <c r="E78" s="26" t="n">
        <f aca="false">Calc_1!$E118</f>
        <v>0.609860122902974</v>
      </c>
      <c r="H78" s="33" t="n">
        <v>0.609860122902974</v>
      </c>
      <c r="I78" s="33" t="n">
        <v>0.469042017715837</v>
      </c>
      <c r="J78" s="33" t="n">
        <v>0.569697824187249</v>
      </c>
      <c r="K78" s="33" t="n">
        <v>0.609860122902974</v>
      </c>
      <c r="L78" s="33" t="n">
        <v>0.609860122902974</v>
      </c>
      <c r="M78" s="33" t="n">
        <v>0.583076290621991</v>
      </c>
      <c r="N78" s="33" t="n">
        <v>0.603665493916701</v>
      </c>
      <c r="O78" s="33" t="n">
        <v>0.570858509619806</v>
      </c>
    </row>
    <row r="79" customFormat="false" ht="15" hidden="false" customHeight="false" outlineLevel="0" collapsed="false">
      <c r="C79" s="0" t="s">
        <v>122</v>
      </c>
      <c r="D79" s="11" t="s">
        <v>53</v>
      </c>
      <c r="E79" s="26" t="n">
        <f aca="false">Calc_2!$E118</f>
        <v>0.467905968268763</v>
      </c>
      <c r="H79" s="33" t="n">
        <v>0.467905968268763</v>
      </c>
      <c r="I79" s="33" t="n">
        <v>0.329575748664791</v>
      </c>
      <c r="J79" s="33" t="n">
        <v>0.429641233595853</v>
      </c>
      <c r="K79" s="33" t="n">
        <v>0.467905968268763</v>
      </c>
      <c r="L79" s="33" t="n">
        <v>0.467905968268763</v>
      </c>
      <c r="M79" s="33" t="n">
        <v>0.446074814662352</v>
      </c>
      <c r="N79" s="33" t="n">
        <v>0.462242289744324</v>
      </c>
      <c r="O79" s="33" t="n">
        <v>0.467905968268763</v>
      </c>
    </row>
    <row r="80" customFormat="false" ht="15" hidden="false" customHeight="false" outlineLevel="0" collapsed="false">
      <c r="C80" s="0" t="s">
        <v>123</v>
      </c>
      <c r="D80" s="11" t="s">
        <v>13</v>
      </c>
      <c r="E80" s="28" t="n">
        <f aca="false">Calc_1!$E119</f>
        <v>2.7111566965103</v>
      </c>
      <c r="H80" s="34" t="n">
        <v>2.7111566965103</v>
      </c>
      <c r="I80" s="34" t="n">
        <v>2.16786617970332</v>
      </c>
      <c r="J80" s="34" t="n">
        <v>2.51609195126479</v>
      </c>
      <c r="K80" s="34" t="n">
        <v>2.7111566965103</v>
      </c>
      <c r="L80" s="34" t="n">
        <v>2.7111566965103</v>
      </c>
      <c r="M80" s="34" t="n">
        <v>2.65810722695301</v>
      </c>
      <c r="N80" s="34" t="n">
        <v>2.68475656168098</v>
      </c>
      <c r="O80" s="34" t="n">
        <v>2.29978825122907</v>
      </c>
    </row>
    <row r="81" customFormat="false" ht="15" hidden="false" customHeight="false" outlineLevel="0" collapsed="false">
      <c r="C81" s="0" t="s">
        <v>124</v>
      </c>
      <c r="D81" s="11" t="s">
        <v>13</v>
      </c>
      <c r="E81" s="28" t="n">
        <f aca="false">Calc_2!$E119</f>
        <v>2.03445720312476</v>
      </c>
      <c r="H81" s="34" t="n">
        <v>2.03445720312476</v>
      </c>
      <c r="I81" s="34" t="n">
        <v>1.65300069669231</v>
      </c>
      <c r="J81" s="34" t="n">
        <v>1.90654811355785</v>
      </c>
      <c r="K81" s="34" t="n">
        <v>2.03445720312476</v>
      </c>
      <c r="L81" s="34" t="n">
        <v>2.03445720312476</v>
      </c>
      <c r="M81" s="34" t="n">
        <v>2.00173260626205</v>
      </c>
      <c r="N81" s="34" t="n">
        <v>2.01732978197699</v>
      </c>
      <c r="O81" s="34" t="n">
        <v>2.03445720312476</v>
      </c>
    </row>
    <row r="82" customFormat="false" ht="15" hidden="false" customHeight="false" outlineLevel="0" collapsed="false">
      <c r="C82" s="0" t="s">
        <v>125</v>
      </c>
      <c r="D82" s="11" t="s">
        <v>53</v>
      </c>
      <c r="E82" s="26" t="n">
        <f aca="false">Calc_1!$E126</f>
        <v>0.122239087401663</v>
      </c>
      <c r="H82" s="33" t="n">
        <v>0.122239087401675</v>
      </c>
      <c r="I82" s="33" t="n">
        <v>0.122239087401675</v>
      </c>
      <c r="J82" s="33" t="n">
        <v>0.114642859030817</v>
      </c>
      <c r="K82" s="33" t="n">
        <v>0.0959613115656118</v>
      </c>
      <c r="L82" s="33" t="n">
        <v>0.0931284809991229</v>
      </c>
      <c r="M82" s="33" t="n">
        <v>0.120031528009347</v>
      </c>
      <c r="N82" s="33" t="n">
        <v>0.111646030954094</v>
      </c>
      <c r="O82" s="33" t="n">
        <v>0.099506954670839</v>
      </c>
    </row>
    <row r="83" customFormat="false" ht="15" hidden="false" customHeight="false" outlineLevel="0" collapsed="false">
      <c r="C83" s="0" t="s">
        <v>126</v>
      </c>
      <c r="D83" s="11" t="s">
        <v>53</v>
      </c>
      <c r="E83" s="26" t="n">
        <f aca="false">Calc_2!$E126</f>
        <v>0.128179632485241</v>
      </c>
      <c r="H83" s="33" t="n">
        <v>0.128179632485244</v>
      </c>
      <c r="I83" s="33" t="n">
        <v>0.128179632485244</v>
      </c>
      <c r="J83" s="33" t="n">
        <v>0.122061251463647</v>
      </c>
      <c r="K83" s="33" t="n">
        <v>0.104668247871542</v>
      </c>
      <c r="L83" s="33" t="n">
        <v>0.102100102658373</v>
      </c>
      <c r="M83" s="33" t="n">
        <v>0.12607007525608</v>
      </c>
      <c r="N83" s="33" t="n">
        <v>0.120596030102144</v>
      </c>
      <c r="O83" s="33" t="n">
        <v>0.112032034963555</v>
      </c>
    </row>
    <row r="84" customFormat="false" ht="15" hidden="false" customHeight="false" outlineLevel="0" collapsed="false">
      <c r="C84" s="0" t="s">
        <v>127</v>
      </c>
      <c r="D84" s="11" t="s">
        <v>13</v>
      </c>
      <c r="E84" s="28" t="n">
        <f aca="false">Calc_1!$E127</f>
        <v>6.26590951121959</v>
      </c>
      <c r="H84" s="34" t="n">
        <v>6.26590951121952</v>
      </c>
      <c r="I84" s="34" t="n">
        <v>6.26590951121952</v>
      </c>
      <c r="J84" s="34" t="n">
        <v>5.92772976424685</v>
      </c>
      <c r="K84" s="34" t="n">
        <v>5.04354414938913</v>
      </c>
      <c r="L84" s="34" t="n">
        <v>4.90753266544885</v>
      </c>
      <c r="M84" s="34" t="n">
        <v>6.15131224984704</v>
      </c>
      <c r="N84" s="34" t="n">
        <v>5.92323654386686</v>
      </c>
      <c r="O84" s="34" t="n">
        <v>5.45406509532812</v>
      </c>
    </row>
    <row r="85" customFormat="false" ht="15" hidden="false" customHeight="false" outlineLevel="0" collapsed="false">
      <c r="C85" s="0" t="s">
        <v>128</v>
      </c>
      <c r="D85" s="11" t="s">
        <v>13</v>
      </c>
      <c r="E85" s="28" t="n">
        <f aca="false">Calc_2!$E127</f>
        <v>5.83720792652839</v>
      </c>
      <c r="H85" s="34" t="n">
        <v>5.83720792652838</v>
      </c>
      <c r="I85" s="34" t="n">
        <v>5.83720792652838</v>
      </c>
      <c r="J85" s="34" t="n">
        <v>5.57646982428384</v>
      </c>
      <c r="K85" s="34" t="n">
        <v>4.82158988942524</v>
      </c>
      <c r="L85" s="34" t="n">
        <v>4.70795591251938</v>
      </c>
      <c r="M85" s="34" t="n">
        <v>5.74804507536681</v>
      </c>
      <c r="N85" s="34" t="n">
        <v>5.61289868906045</v>
      </c>
      <c r="O85" s="34" t="n">
        <v>6.12296889434913</v>
      </c>
    </row>
    <row r="86" customFormat="false" ht="15" hidden="false" customHeight="false" outlineLevel="0" collapsed="false">
      <c r="C86" s="0" t="s">
        <v>129</v>
      </c>
      <c r="D86" s="11" t="s">
        <v>51</v>
      </c>
      <c r="E86" s="25" t="n">
        <f aca="false">Calc_1!$E83/Thousand</f>
        <v>60.8694105550703</v>
      </c>
      <c r="H86" s="35" t="n">
        <v>60.8694105550703</v>
      </c>
      <c r="I86" s="35" t="n">
        <v>60.8694105550703</v>
      </c>
      <c r="J86" s="35" t="n">
        <v>63.5024171716111</v>
      </c>
      <c r="K86" s="35" t="n">
        <v>60.8694105550703</v>
      </c>
      <c r="L86" s="35" t="n">
        <v>60.8694105550703</v>
      </c>
      <c r="M86" s="35" t="n">
        <v>60.8694105550703</v>
      </c>
      <c r="N86" s="35" t="n">
        <v>61.4379628012176</v>
      </c>
      <c r="O86" s="35" t="n">
        <v>52.6912452269277</v>
      </c>
    </row>
    <row r="87" customFormat="false" ht="15" hidden="false" customHeight="false" outlineLevel="0" collapsed="false">
      <c r="C87" s="0" t="s">
        <v>130</v>
      </c>
      <c r="D87" s="11" t="s">
        <v>51</v>
      </c>
      <c r="E87" s="25" t="n">
        <f aca="false">Calc_2!$E83/Thousand</f>
        <v>48.4993806041085</v>
      </c>
      <c r="H87" s="35" t="n">
        <v>48.4993806041085</v>
      </c>
      <c r="I87" s="35" t="n">
        <v>48.4993806041085</v>
      </c>
      <c r="J87" s="35" t="n">
        <v>50.4192812620029</v>
      </c>
      <c r="K87" s="35" t="n">
        <v>48.4993806041085</v>
      </c>
      <c r="L87" s="35" t="n">
        <v>48.4993806041085</v>
      </c>
      <c r="M87" s="35" t="n">
        <v>48.4993806041085</v>
      </c>
      <c r="N87" s="35" t="n">
        <v>48.9547550571737</v>
      </c>
      <c r="O87" s="35" t="n">
        <v>48.4993806041085</v>
      </c>
    </row>
    <row r="88" customFormat="false" ht="15" hidden="false" customHeight="false" outlineLevel="0" collapsed="false">
      <c r="C88" s="0" t="s">
        <v>131</v>
      </c>
      <c r="D88" s="11" t="s">
        <v>51</v>
      </c>
      <c r="E88" s="25" t="n">
        <f aca="false">Calc_1!$E109/Thousand</f>
        <v>22.5477891128959</v>
      </c>
      <c r="H88" s="35" t="n">
        <v>22.5477891128959</v>
      </c>
      <c r="I88" s="35" t="n">
        <v>22.5477891128959</v>
      </c>
      <c r="J88" s="35" t="n">
        <v>23.249381962763</v>
      </c>
      <c r="K88" s="35" t="n">
        <v>22.5477891128959</v>
      </c>
      <c r="L88" s="35" t="n">
        <v>22.5477891128959</v>
      </c>
      <c r="M88" s="35" t="n">
        <v>22.9977891128959</v>
      </c>
      <c r="N88" s="35" t="n">
        <v>22.5577387772035</v>
      </c>
      <c r="O88" s="35" t="n">
        <v>30.1370157604866</v>
      </c>
    </row>
    <row r="89" customFormat="false" ht="15" hidden="false" customHeight="false" outlineLevel="0" collapsed="false">
      <c r="C89" s="0" t="s">
        <v>132</v>
      </c>
      <c r="D89" s="11" t="s">
        <v>51</v>
      </c>
      <c r="E89" s="25" t="n">
        <f aca="false">Calc_2!$E109/Thousand</f>
        <v>27.5260739374999</v>
      </c>
      <c r="H89" s="35" t="n">
        <v>27.5260739374999</v>
      </c>
      <c r="I89" s="35" t="n">
        <v>27.5260739374999</v>
      </c>
      <c r="J89" s="35" t="n">
        <v>28.3657770571947</v>
      </c>
      <c r="K89" s="35" t="n">
        <v>27.5260739374999</v>
      </c>
      <c r="L89" s="35" t="n">
        <v>27.5260739374999</v>
      </c>
      <c r="M89" s="35" t="n">
        <v>27.9760739374999</v>
      </c>
      <c r="N89" s="35" t="n">
        <v>27.5340429904285</v>
      </c>
      <c r="O89" s="35" t="n">
        <v>27.5260739374999</v>
      </c>
    </row>
    <row r="90" customFormat="false" ht="15" hidden="false" customHeight="false" outlineLevel="0" collapsed="false">
      <c r="C90" s="0" t="s">
        <v>133</v>
      </c>
      <c r="D90" s="11" t="s">
        <v>13</v>
      </c>
      <c r="E90" s="28" t="n">
        <f aca="false">Calc_1!$E87</f>
        <v>1.58470856456693</v>
      </c>
      <c r="H90" s="34" t="n">
        <v>1.58470856456746</v>
      </c>
      <c r="I90" s="34" t="n">
        <v>1.58470856456746</v>
      </c>
      <c r="J90" s="34" t="n">
        <v>1.52260877323397</v>
      </c>
      <c r="K90" s="34" t="n">
        <v>1.40283207368025</v>
      </c>
      <c r="L90" s="34" t="n">
        <v>1.38398227409906</v>
      </c>
      <c r="M90" s="34" t="n">
        <v>1.5850565585253</v>
      </c>
      <c r="N90" s="34" t="n">
        <v>1.46226459776238</v>
      </c>
      <c r="O90" s="34" t="n">
        <v>1.2</v>
      </c>
    </row>
    <row r="91" customFormat="false" ht="15" hidden="false" customHeight="false" outlineLevel="0" collapsed="false">
      <c r="C91" s="0" t="s">
        <v>134</v>
      </c>
      <c r="D91" s="11" t="s">
        <v>13</v>
      </c>
      <c r="E91" s="28" t="n">
        <f aca="false">Calc_2!$E87</f>
        <v>1.97257010190255</v>
      </c>
      <c r="H91" s="34" t="n">
        <v>1.97257010190282</v>
      </c>
      <c r="I91" s="34" t="n">
        <v>1.97257010190282</v>
      </c>
      <c r="J91" s="34" t="n">
        <v>1.90169610294629</v>
      </c>
      <c r="K91" s="34" t="n">
        <v>1.74648177988328</v>
      </c>
      <c r="L91" s="34" t="n">
        <v>1.72284329307287</v>
      </c>
      <c r="M91" s="34" t="n">
        <v>1.97306216700375</v>
      </c>
      <c r="N91" s="34" t="n">
        <v>1.81953796590212</v>
      </c>
      <c r="O91" s="34" t="n">
        <v>1.29691225710622</v>
      </c>
    </row>
    <row r="92" customFormat="false" ht="15" hidden="false" customHeight="false" outlineLevel="0" collapsed="false">
      <c r="C92" s="0" t="s">
        <v>135</v>
      </c>
      <c r="D92" s="11" t="s">
        <v>119</v>
      </c>
      <c r="E92" s="29" t="n">
        <f aca="false">Model_Checks</f>
        <v>0</v>
      </c>
      <c r="H92" s="36" t="n">
        <v>0</v>
      </c>
      <c r="I92" s="36" t="n">
        <v>0</v>
      </c>
      <c r="J92" s="36" t="n">
        <v>0</v>
      </c>
      <c r="K92" s="36" t="n">
        <v>0</v>
      </c>
      <c r="L92" s="36" t="n">
        <v>0</v>
      </c>
      <c r="M92" s="36" t="n">
        <v>0</v>
      </c>
      <c r="N92" s="36" t="n">
        <v>0</v>
      </c>
      <c r="O92" s="36" t="n">
        <v>0</v>
      </c>
    </row>
    <row r="93" customFormat="false" ht="15" hidden="false" customHeight="false" outlineLevel="0" collapsed="false">
      <c r="C93" s="0" t="s">
        <v>136</v>
      </c>
      <c r="D93" s="11" t="s">
        <v>119</v>
      </c>
      <c r="E93" s="29" t="n">
        <f aca="false">Model_Checks</f>
        <v>0</v>
      </c>
      <c r="H93" s="36" t="n">
        <v>0</v>
      </c>
      <c r="I93" s="36" t="n">
        <v>0</v>
      </c>
      <c r="J93" s="36" t="n">
        <v>0</v>
      </c>
      <c r="K93" s="36" t="n">
        <v>0</v>
      </c>
      <c r="L93" s="36" t="n">
        <v>0</v>
      </c>
      <c r="M93" s="36" t="n">
        <v>0</v>
      </c>
      <c r="N93" s="36" t="n">
        <v>0</v>
      </c>
      <c r="O93" s="36" t="n">
        <v>0</v>
      </c>
    </row>
    <row r="95" customFormat="false" ht="15" hidden="false" customHeight="false" outlineLevel="0" collapsed="false">
      <c r="C95" s="37" t="s">
        <v>137</v>
      </c>
    </row>
  </sheetData>
  <conditionalFormatting sqref="E20:F20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5:F15" type="list">
      <formula1>"0,1"</formula1>
      <formula2>0</formula2>
    </dataValidation>
    <dataValidation allowBlank="false" errorStyle="stop" operator="between" showDropDown="false" showErrorMessage="false" showInputMessage="false" sqref="E16:F16" type="list">
      <formula1>"0,1"</formula1>
      <formula2>0</formula2>
    </dataValidation>
    <dataValidation allowBlank="false" errorStyle="stop" operator="between" showDropDown="false" showErrorMessage="false" showInputMessage="false" sqref="E17:F17" type="list">
      <formula1>"0,1"</formula1>
      <formula2>0</formula2>
    </dataValidation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S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9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4" customFormat="false" ht="15" hidden="false" customHeight="false" outlineLevel="0" collapsed="false">
      <c r="B4" s="0" t="s">
        <v>138</v>
      </c>
      <c r="D4" s="0" t="s">
        <v>139</v>
      </c>
      <c r="F4" s="38" t="str">
        <f aca="false">Scenario_Name</f>
        <v>Base</v>
      </c>
    </row>
    <row r="5" customFormat="false" ht="15" hidden="false" customHeight="false" outlineLevel="0" collapsed="false">
      <c r="B5" s="0" t="s">
        <v>140</v>
      </c>
      <c r="F5" s="39" t="n">
        <f aca="false">MATCH(Scenario_Name,Scenario_Names,0)</f>
        <v>1</v>
      </c>
    </row>
    <row r="7" customFormat="false" ht="15" hidden="false" customHeight="false" outlineLevel="0" collapsed="false">
      <c r="B7" s="7" t="s">
        <v>141</v>
      </c>
      <c r="C7" s="7" t="s">
        <v>8</v>
      </c>
      <c r="D7" s="7" t="s">
        <v>142</v>
      </c>
      <c r="F7" s="8" t="s">
        <v>12</v>
      </c>
      <c r="H7" s="40" t="s">
        <v>22</v>
      </c>
      <c r="I7" s="40" t="s">
        <v>143</v>
      </c>
      <c r="J7" s="40" t="s">
        <v>144</v>
      </c>
      <c r="K7" s="40" t="s">
        <v>145</v>
      </c>
      <c r="L7" s="40" t="s">
        <v>146</v>
      </c>
      <c r="M7" s="40" t="s">
        <v>147</v>
      </c>
      <c r="N7" s="40" t="s">
        <v>148</v>
      </c>
      <c r="O7" s="40" t="s">
        <v>149</v>
      </c>
    </row>
    <row r="10" customFormat="false" ht="15" hidden="false" customHeight="false" outlineLevel="0" collapsed="false">
      <c r="A10" s="9" t="s">
        <v>13</v>
      </c>
      <c r="B10" s="9"/>
      <c r="C10" s="9" t="s">
        <v>150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151</v>
      </c>
      <c r="C11" s="11" t="s">
        <v>119</v>
      </c>
      <c r="D11" s="13" t="s">
        <v>152</v>
      </c>
      <c r="F11" s="40" t="n">
        <v>1000</v>
      </c>
    </row>
    <row r="12" customFormat="false" ht="15" hidden="false" customHeight="false" outlineLevel="0" collapsed="false">
      <c r="B12" s="0" t="s">
        <v>153</v>
      </c>
      <c r="C12" s="11" t="s">
        <v>119</v>
      </c>
      <c r="D12" s="13" t="s">
        <v>152</v>
      </c>
      <c r="F12" s="40" t="n">
        <v>1000000</v>
      </c>
    </row>
    <row r="13" customFormat="false" ht="15" hidden="false" customHeight="false" outlineLevel="0" collapsed="false">
      <c r="B13" s="0" t="s">
        <v>154</v>
      </c>
      <c r="C13" s="11" t="s">
        <v>155</v>
      </c>
      <c r="D13" s="13" t="s">
        <v>156</v>
      </c>
      <c r="F13" s="40" t="n">
        <v>365</v>
      </c>
    </row>
    <row r="14" customFormat="false" ht="15" hidden="false" customHeight="false" outlineLevel="0" collapsed="false">
      <c r="B14" s="0" t="s">
        <v>157</v>
      </c>
      <c r="C14" s="11" t="s">
        <v>158</v>
      </c>
      <c r="F14" s="40" t="n">
        <v>12</v>
      </c>
    </row>
    <row r="15" customFormat="false" ht="15" hidden="false" customHeight="false" outlineLevel="0" collapsed="false">
      <c r="B15" s="0" t="s">
        <v>159</v>
      </c>
      <c r="C15" s="11" t="s">
        <v>158</v>
      </c>
      <c r="D15" s="13" t="s">
        <v>160</v>
      </c>
      <c r="F15" s="40" t="n">
        <v>3</v>
      </c>
    </row>
    <row r="16" customFormat="false" ht="15" hidden="false" customHeight="false" outlineLevel="0" collapsed="false">
      <c r="B16" s="0" t="s">
        <v>161</v>
      </c>
      <c r="C16" s="11" t="s">
        <v>119</v>
      </c>
      <c r="D16" s="13" t="s">
        <v>162</v>
      </c>
      <c r="F16" s="40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163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164</v>
      </c>
      <c r="C19" s="11" t="s">
        <v>36</v>
      </c>
      <c r="D19" s="13" t="s">
        <v>165</v>
      </c>
      <c r="F19" s="41" t="n">
        <f aca="false">IF(INDEX($H19:$O19,1,Scenario_Selected)="",$H19,INDEX($H19:$O19,1,Scenario_Selected))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</row>
    <row r="20" customFormat="false" ht="15" hidden="false" customHeight="false" outlineLevel="0" collapsed="false">
      <c r="B20" s="0" t="s">
        <v>166</v>
      </c>
      <c r="C20" s="11" t="s">
        <v>36</v>
      </c>
      <c r="D20" s="13" t="s">
        <v>167</v>
      </c>
      <c r="F20" s="41" t="n">
        <f aca="false">IF(INDEX($H20:$O20,1,Scenario_Selected)="",$H20,INDEX($H20:$O20,1,Scenario_Selected))</f>
        <v>46325</v>
      </c>
      <c r="H20" s="4" t="n">
        <v>46325</v>
      </c>
      <c r="I20" s="4"/>
      <c r="J20" s="4"/>
      <c r="K20" s="4"/>
      <c r="L20" s="4"/>
      <c r="M20" s="4"/>
      <c r="N20" s="4"/>
      <c r="O20" s="4"/>
    </row>
    <row r="21" customFormat="false" ht="15" hidden="false" customHeight="false" outlineLevel="0" collapsed="false">
      <c r="B21" s="0" t="s">
        <v>168</v>
      </c>
      <c r="C21" s="11" t="s">
        <v>36</v>
      </c>
      <c r="D21" s="13" t="s">
        <v>169</v>
      </c>
      <c r="F21" s="41" t="n">
        <f aca="false">IF(INDEX($H21:$O21,1,Scenario_Selected)="",$H21,INDEX($H21:$O21,1,Scenario_Selected))</f>
        <v>46369</v>
      </c>
      <c r="H21" s="4" t="n">
        <v>46369</v>
      </c>
      <c r="I21" s="4"/>
      <c r="J21" s="4"/>
      <c r="K21" s="4"/>
      <c r="L21" s="4"/>
      <c r="M21" s="4"/>
      <c r="N21" s="4"/>
      <c r="O21" s="4"/>
    </row>
    <row r="22" customFormat="false" ht="15" hidden="false" customHeight="false" outlineLevel="0" collapsed="false">
      <c r="B22" s="0" t="s">
        <v>170</v>
      </c>
      <c r="C22" s="11" t="s">
        <v>36</v>
      </c>
      <c r="D22" s="13" t="s">
        <v>171</v>
      </c>
      <c r="F22" s="41" t="n">
        <f aca="false">IF(INDEX($H22:$O22,1,Scenario_Selected)="",$H22,INDEX($H22:$O22,1,Scenario_Selected))</f>
        <v>46418</v>
      </c>
      <c r="H22" s="4" t="n">
        <v>46418</v>
      </c>
      <c r="I22" s="4"/>
      <c r="J22" s="4"/>
      <c r="K22" s="4"/>
      <c r="L22" s="4"/>
      <c r="M22" s="4"/>
      <c r="N22" s="4"/>
      <c r="O22" s="4"/>
    </row>
    <row r="23" customFormat="false" ht="15" hidden="false" customHeight="false" outlineLevel="0" collapsed="false">
      <c r="B23" s="0" t="s">
        <v>172</v>
      </c>
      <c r="C23" s="11" t="s">
        <v>155</v>
      </c>
      <c r="D23" s="13" t="s">
        <v>173</v>
      </c>
      <c r="F23" s="39" t="n">
        <f aca="false">IF(INDEX($H23:$O23,1,Scenario_Selected)="",$H23,INDEX($H23:$O23,1,Scenario_Selected))</f>
        <v>15</v>
      </c>
      <c r="H23" s="42" t="n">
        <v>15</v>
      </c>
      <c r="I23" s="42"/>
      <c r="J23" s="42"/>
      <c r="K23" s="42"/>
      <c r="L23" s="42"/>
      <c r="M23" s="42"/>
      <c r="N23" s="42"/>
      <c r="O23" s="42"/>
    </row>
    <row r="24" customFormat="false" ht="15" hidden="false" customHeight="false" outlineLevel="0" collapsed="false">
      <c r="B24" s="0" t="s">
        <v>174</v>
      </c>
      <c r="C24" s="11" t="s">
        <v>36</v>
      </c>
      <c r="D24" s="13" t="s">
        <v>175</v>
      </c>
      <c r="F24" s="41" t="n">
        <f aca="false">IF(INDEX($H24:$O24,1,Scenario_Selected)="",$H24,INDEX($H24:$O24,1,Scenario_Selected))</f>
        <v>46387</v>
      </c>
      <c r="H24" s="4" t="n">
        <v>46387</v>
      </c>
      <c r="I24" s="4"/>
      <c r="J24" s="4"/>
      <c r="K24" s="4"/>
      <c r="L24" s="4"/>
      <c r="M24" s="4"/>
      <c r="N24" s="4"/>
      <c r="O24" s="4"/>
    </row>
    <row r="25" customFormat="false" ht="15" hidden="false" customHeight="false" outlineLevel="0" collapsed="false">
      <c r="B25" s="0" t="s">
        <v>176</v>
      </c>
      <c r="C25" s="11" t="s">
        <v>36</v>
      </c>
      <c r="D25" s="13" t="s">
        <v>177</v>
      </c>
      <c r="F25" s="41" t="n">
        <f aca="false">IF(INDEX($H25:$O25,1,Scenario_Selected)="",$H25,INDEX($H25:$O25,1,Scenario_Selected))</f>
        <v>47026</v>
      </c>
      <c r="H25" s="4" t="n">
        <v>47026</v>
      </c>
      <c r="I25" s="4"/>
      <c r="J25" s="4"/>
      <c r="K25" s="4"/>
      <c r="L25" s="4"/>
      <c r="M25" s="4"/>
      <c r="N25" s="4"/>
      <c r="O25" s="4"/>
    </row>
    <row r="26" customFormat="false" ht="15" hidden="false" customHeight="false" outlineLevel="0" collapsed="false">
      <c r="B26" s="0" t="s">
        <v>178</v>
      </c>
      <c r="C26" s="11" t="s">
        <v>36</v>
      </c>
      <c r="D26" s="13" t="s">
        <v>179</v>
      </c>
      <c r="F26" s="41" t="n">
        <f aca="false">IF(INDEX($H26:$O26,1,Scenario_Selected)="",$H26,INDEX($H26:$O26,1,Scenario_Selected))</f>
        <v>47126</v>
      </c>
      <c r="H26" s="4" t="n">
        <v>47126</v>
      </c>
      <c r="I26" s="4"/>
      <c r="J26" s="4"/>
      <c r="K26" s="4"/>
      <c r="L26" s="4"/>
      <c r="M26" s="4"/>
      <c r="N26" s="4"/>
      <c r="O26" s="4"/>
    </row>
    <row r="27" customFormat="false" ht="15" hidden="false" customHeight="false" outlineLevel="0" collapsed="false">
      <c r="B27" s="0" t="s">
        <v>180</v>
      </c>
      <c r="C27" s="11" t="s">
        <v>36</v>
      </c>
      <c r="D27" s="13" t="s">
        <v>181</v>
      </c>
      <c r="F27" s="41" t="n">
        <f aca="false">IF(INDEX($H27:$O27,1,Scenario_Selected)="",$H27,INDEX($H27:$O27,1,Scenario_Selected))</f>
        <v>47756</v>
      </c>
      <c r="H27" s="4" t="n">
        <v>47756</v>
      </c>
      <c r="I27" s="4"/>
      <c r="J27" s="4"/>
      <c r="K27" s="4"/>
      <c r="L27" s="4"/>
      <c r="M27" s="4"/>
      <c r="N27" s="4"/>
      <c r="O27" s="4"/>
    </row>
    <row r="28" customFormat="false" ht="15" hidden="false" customHeight="false" outlineLevel="0" collapsed="false">
      <c r="B28" s="0" t="s">
        <v>182</v>
      </c>
      <c r="C28" s="11" t="s">
        <v>58</v>
      </c>
      <c r="D28" s="13" t="s">
        <v>183</v>
      </c>
      <c r="F28" s="39" t="n">
        <f aca="false">IF(INDEX($H28:$O28,1,Scenario_Selected)="",$H28,INDEX($H28:$O28,1,Scenario_Selected))</f>
        <v>30</v>
      </c>
      <c r="H28" s="42" t="n">
        <v>30</v>
      </c>
      <c r="I28" s="42"/>
      <c r="J28" s="42"/>
      <c r="K28" s="42"/>
      <c r="L28" s="42"/>
      <c r="M28" s="42"/>
      <c r="N28" s="42"/>
      <c r="O28" s="42"/>
    </row>
    <row r="29" customFormat="false" ht="15" hidden="false" customHeight="false" outlineLevel="0" collapsed="false">
      <c r="B29" s="0" t="s">
        <v>184</v>
      </c>
      <c r="C29" s="11" t="s">
        <v>36</v>
      </c>
      <c r="D29" s="13" t="s">
        <v>185</v>
      </c>
      <c r="F29" s="41" t="n">
        <f aca="false">IF(INDEX($H29:$O29,1,Scenario_Selected)="",$H29,INDEX($H29:$O29,1,Scenario_Selected))</f>
        <v>48669</v>
      </c>
      <c r="H29" s="4" t="n">
        <v>48669</v>
      </c>
      <c r="I29" s="4"/>
      <c r="J29" s="4"/>
      <c r="K29" s="4"/>
      <c r="L29" s="4"/>
      <c r="M29" s="4"/>
      <c r="N29" s="4"/>
      <c r="O29" s="4"/>
    </row>
    <row r="31" customFormat="false" ht="15" hidden="false" customHeight="false" outlineLevel="0" collapsed="false">
      <c r="A31" s="9" t="s">
        <v>13</v>
      </c>
      <c r="B31" s="9"/>
      <c r="C31" s="9" t="s">
        <v>186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187</v>
      </c>
      <c r="C32" s="11" t="s">
        <v>69</v>
      </c>
      <c r="D32" s="13" t="s">
        <v>188</v>
      </c>
      <c r="F32" s="43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  <c r="N32" s="12"/>
      <c r="O32" s="12"/>
    </row>
    <row r="33" customFormat="false" ht="15" hidden="false" customHeight="false" outlineLevel="0" collapsed="false">
      <c r="B33" s="0" t="s">
        <v>189</v>
      </c>
      <c r="C33" s="11" t="s">
        <v>33</v>
      </c>
      <c r="D33" s="13" t="s">
        <v>190</v>
      </c>
      <c r="F33" s="43" t="n">
        <f aca="false">IF(INDEX($H33:$O33,1,Scenario_Selected)="",$H33,INDEX($H33:$O33,1,Scenario_Selected))</f>
        <v>4500</v>
      </c>
      <c r="H33" s="12" t="n">
        <v>4500</v>
      </c>
      <c r="I33" s="12"/>
      <c r="J33" s="12"/>
      <c r="K33" s="12"/>
      <c r="L33" s="12"/>
      <c r="M33" s="12" t="n">
        <v>4950</v>
      </c>
      <c r="N33" s="12"/>
      <c r="O33" s="12"/>
    </row>
    <row r="34" customFormat="false" ht="15" hidden="false" customHeight="false" outlineLevel="0" collapsed="false">
      <c r="B34" s="0" t="s">
        <v>191</v>
      </c>
      <c r="C34" s="11" t="s">
        <v>33</v>
      </c>
      <c r="D34" s="13" t="s">
        <v>192</v>
      </c>
      <c r="F34" s="43" t="n">
        <f aca="false">IF(INDEX($H34:$O34,1,Scenario_Selected)="",$H34,INDEX($H34:$O34,1,Scenario_Selected))</f>
        <v>150</v>
      </c>
      <c r="H34" s="12" t="n">
        <v>150</v>
      </c>
      <c r="I34" s="12"/>
      <c r="J34" s="12"/>
      <c r="K34" s="12"/>
      <c r="L34" s="12"/>
      <c r="M34" s="12"/>
      <c r="N34" s="12"/>
      <c r="O34" s="12"/>
    </row>
    <row r="35" customFormat="false" ht="15" hidden="false" customHeight="false" outlineLevel="0" collapsed="false">
      <c r="B35" s="0" t="s">
        <v>193</v>
      </c>
      <c r="C35" s="11" t="s">
        <v>33</v>
      </c>
      <c r="D35" s="13" t="s">
        <v>194</v>
      </c>
      <c r="F35" s="43" t="n">
        <f aca="false">IF(INDEX($H35:$O35,1,Scenario_Selected)="",$H35,INDEX($H35:$O35,1,Scenario_Selected))</f>
        <v>500</v>
      </c>
      <c r="H35" s="12" t="n">
        <v>500</v>
      </c>
      <c r="I35" s="12"/>
      <c r="J35" s="12"/>
      <c r="K35" s="12"/>
      <c r="L35" s="12"/>
      <c r="M35" s="12"/>
      <c r="N35" s="12"/>
      <c r="O35" s="12"/>
    </row>
    <row r="36" customFormat="false" ht="15" hidden="false" customHeight="false" outlineLevel="0" collapsed="false">
      <c r="B36" s="0" t="s">
        <v>195</v>
      </c>
      <c r="C36" s="11" t="s">
        <v>19</v>
      </c>
      <c r="D36" s="13" t="s">
        <v>196</v>
      </c>
      <c r="F36" s="43" t="n">
        <f aca="false">IF(INDEX($H36:$O36,1,Scenario_Selected)="",$H36,INDEX($H36:$O36,1,Scenario_Selected))</f>
        <v>2450</v>
      </c>
      <c r="H36" s="12" t="n">
        <v>2450</v>
      </c>
      <c r="I36" s="12" t="n">
        <v>2205</v>
      </c>
      <c r="J36" s="12"/>
      <c r="K36" s="12"/>
      <c r="L36" s="12"/>
      <c r="M36" s="12"/>
      <c r="N36" s="12"/>
      <c r="O36" s="12"/>
    </row>
    <row r="37" customFormat="false" ht="15" hidden="false" customHeight="false" outlineLevel="0" collapsed="false">
      <c r="B37" s="0" t="s">
        <v>197</v>
      </c>
      <c r="C37" s="11" t="s">
        <v>19</v>
      </c>
      <c r="D37" s="13" t="s">
        <v>198</v>
      </c>
      <c r="F37" s="43" t="n">
        <f aca="false">IF(INDEX($H37:$O37,1,Scenario_Selected)="",$H37,INDEX($H37:$O37,1,Scenario_Selected))</f>
        <v>2100</v>
      </c>
      <c r="H37" s="12" t="n">
        <v>2100</v>
      </c>
      <c r="I37" s="12" t="n">
        <v>1890</v>
      </c>
      <c r="J37" s="12"/>
      <c r="K37" s="12"/>
      <c r="L37" s="12"/>
      <c r="M37" s="12"/>
      <c r="N37" s="12"/>
      <c r="O37" s="12"/>
    </row>
    <row r="38" customFormat="false" ht="15" hidden="false" customHeight="false" outlineLevel="0" collapsed="false">
      <c r="B38" s="0" t="s">
        <v>199</v>
      </c>
      <c r="C38" s="11" t="s">
        <v>33</v>
      </c>
      <c r="D38" s="13" t="s">
        <v>200</v>
      </c>
      <c r="F38" s="43" t="n">
        <f aca="false">IF(INDEX($H38:$O38,1,Scenario_Selected)="",$H38,INDEX($H38:$O38,1,Scenario_Selected))</f>
        <v>500</v>
      </c>
      <c r="H38" s="12" t="n">
        <v>500</v>
      </c>
      <c r="I38" s="12"/>
      <c r="J38" s="12"/>
      <c r="K38" s="12"/>
      <c r="L38" s="12"/>
      <c r="M38" s="12"/>
      <c r="N38" s="12"/>
      <c r="O38" s="12"/>
    </row>
    <row r="39" customFormat="false" ht="15" hidden="false" customHeight="false" outlineLevel="0" collapsed="false">
      <c r="B39" s="0" t="s">
        <v>201</v>
      </c>
      <c r="C39" s="11" t="s">
        <v>53</v>
      </c>
      <c r="D39" s="13" t="s">
        <v>202</v>
      </c>
      <c r="F39" s="44" t="n">
        <f aca="false">IF(INDEX($H39:$O39,1,Scenario_Selected)="",$H39,INDEX($H39:$O39,1,Scenario_Selected))</f>
        <v>0.08</v>
      </c>
      <c r="H39" s="45" t="n">
        <v>0.08</v>
      </c>
      <c r="I39" s="45"/>
      <c r="J39" s="45"/>
      <c r="K39" s="45"/>
      <c r="L39" s="45"/>
      <c r="M39" s="45"/>
      <c r="N39" s="45"/>
      <c r="O39" s="45"/>
    </row>
    <row r="40" customFormat="false" ht="15" hidden="false" customHeight="false" outlineLevel="0" collapsed="false">
      <c r="B40" s="0" t="s">
        <v>203</v>
      </c>
      <c r="C40" s="11" t="s">
        <v>53</v>
      </c>
      <c r="D40" s="13" t="s">
        <v>204</v>
      </c>
      <c r="F40" s="44" t="n">
        <f aca="false">IF(INDEX($H40:$O40,1,Scenario_Selected)="",$H40,INDEX($H40:$O40,1,Scenario_Selected))</f>
        <v>0.09</v>
      </c>
      <c r="H40" s="45" t="n">
        <v>0.09</v>
      </c>
      <c r="I40" s="45"/>
      <c r="J40" s="45"/>
      <c r="K40" s="45"/>
      <c r="L40" s="45"/>
      <c r="M40" s="45"/>
      <c r="N40" s="45"/>
      <c r="O40" s="45"/>
    </row>
    <row r="41" customFormat="false" ht="15" hidden="false" customHeight="false" outlineLevel="0" collapsed="false">
      <c r="B41" s="0" t="s">
        <v>205</v>
      </c>
      <c r="C41" s="11" t="s">
        <v>30</v>
      </c>
      <c r="D41" s="13" t="s">
        <v>206</v>
      </c>
      <c r="F41" s="46" t="n">
        <f aca="false">IF(INDEX($H41:$O41,1,Scenario_Selected)="",$H41,INDEX($H41:$O41,1,Scenario_Selected))</f>
        <v>0</v>
      </c>
      <c r="H41" s="18" t="n">
        <v>0</v>
      </c>
      <c r="I41" s="18"/>
      <c r="J41" s="18"/>
      <c r="K41" s="18"/>
      <c r="L41" s="18"/>
      <c r="M41" s="18"/>
      <c r="N41" s="18"/>
      <c r="O41" s="18"/>
    </row>
    <row r="42" customFormat="false" ht="15" hidden="false" customHeight="false" outlineLevel="0" collapsed="false">
      <c r="B42" s="0" t="s">
        <v>207</v>
      </c>
      <c r="C42" s="11" t="s">
        <v>58</v>
      </c>
      <c r="D42" s="13" t="s">
        <v>208</v>
      </c>
      <c r="F42" s="39" t="n">
        <f aca="false">IF(INDEX($H42:$O42,1,Scenario_Selected)="",$H42,INDEX($H42:$O42,1,Scenario_Selected))</f>
        <v>20</v>
      </c>
      <c r="H42" s="42" t="n">
        <v>20</v>
      </c>
      <c r="I42" s="42"/>
      <c r="J42" s="42"/>
      <c r="K42" s="42"/>
      <c r="L42" s="42"/>
      <c r="M42" s="42"/>
      <c r="N42" s="42"/>
      <c r="O42" s="42"/>
    </row>
    <row r="43" customFormat="false" ht="15" hidden="false" customHeight="false" outlineLevel="0" collapsed="false">
      <c r="B43" s="0" t="s">
        <v>209</v>
      </c>
      <c r="C43" s="11" t="s">
        <v>53</v>
      </c>
      <c r="D43" s="13" t="s">
        <v>210</v>
      </c>
      <c r="F43" s="44" t="n">
        <f aca="false">IF(INDEX($H43:$O43,1,Scenario_Selected)="",$H43,INDEX($H43:$O43,1,Scenario_Selected))</f>
        <v>0.5</v>
      </c>
      <c r="H43" s="45" t="n">
        <v>0.5</v>
      </c>
      <c r="I43" s="45"/>
      <c r="J43" s="45"/>
      <c r="K43" s="45"/>
      <c r="L43" s="45"/>
      <c r="M43" s="45"/>
      <c r="N43" s="45"/>
      <c r="O43" s="45"/>
    </row>
    <row r="44" customFormat="false" ht="15" hidden="false" customHeight="false" outlineLevel="0" collapsed="false">
      <c r="B44" s="0" t="s">
        <v>211</v>
      </c>
      <c r="C44" s="11" t="s">
        <v>58</v>
      </c>
      <c r="D44" s="13" t="s">
        <v>212</v>
      </c>
      <c r="F44" s="39" t="n">
        <f aca="false">IF(INDEX($H44:$O44,1,Scenario_Selected)="",$H44,INDEX($H44:$O44,1,Scenario_Selected))</f>
        <v>5</v>
      </c>
      <c r="H44" s="42" t="n">
        <v>5</v>
      </c>
      <c r="I44" s="42"/>
      <c r="J44" s="42"/>
      <c r="K44" s="42"/>
      <c r="L44" s="42"/>
      <c r="M44" s="42"/>
      <c r="N44" s="42"/>
      <c r="O44" s="42"/>
    </row>
    <row r="46" customFormat="false" ht="15" hidden="false" customHeight="false" outlineLevel="0" collapsed="false">
      <c r="A46" s="9" t="s">
        <v>13</v>
      </c>
      <c r="B46" s="9"/>
      <c r="C46" s="9" t="s">
        <v>213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</row>
    <row r="47" customFormat="false" ht="15" hidden="false" customHeight="false" outlineLevel="0" collapsed="false">
      <c r="B47" s="0" t="s">
        <v>214</v>
      </c>
      <c r="C47" s="11" t="s">
        <v>119</v>
      </c>
      <c r="D47" s="13" t="s">
        <v>215</v>
      </c>
      <c r="F47" s="40" t="n">
        <v>2</v>
      </c>
    </row>
    <row r="48" customFormat="false" ht="15" hidden="false" customHeight="false" outlineLevel="0" collapsed="false">
      <c r="B48" s="0" t="s">
        <v>216</v>
      </c>
      <c r="C48" s="11" t="s">
        <v>217</v>
      </c>
      <c r="D48" s="13" t="s">
        <v>218</v>
      </c>
      <c r="F48" s="43" t="n">
        <f aca="false">IF(INDEX($H48:$O48,1,Scenario_Selected)="",$H48,INDEX($H48:$O48,1,Scenario_Selected))</f>
        <v>50</v>
      </c>
      <c r="H48" s="12" t="n">
        <v>50</v>
      </c>
      <c r="I48" s="12"/>
      <c r="J48" s="12"/>
      <c r="K48" s="12"/>
      <c r="L48" s="12"/>
      <c r="M48" s="12"/>
      <c r="N48" s="12"/>
      <c r="O48" s="12"/>
    </row>
    <row r="49" customFormat="false" ht="15" hidden="false" customHeight="false" outlineLevel="0" collapsed="false">
      <c r="B49" s="0" t="s">
        <v>219</v>
      </c>
      <c r="C49" s="11" t="s">
        <v>220</v>
      </c>
      <c r="D49" s="13" t="s">
        <v>221</v>
      </c>
      <c r="F49" s="43" t="n">
        <f aca="false">IF(INDEX($H49:$O49,1,Scenario_Selected)="",$H49,INDEX($H49:$O49,1,Scenario_Selected))</f>
        <v>50</v>
      </c>
      <c r="H49" s="12" t="n">
        <v>50</v>
      </c>
      <c r="I49" s="12"/>
      <c r="J49" s="12"/>
      <c r="K49" s="12"/>
      <c r="L49" s="12"/>
      <c r="M49" s="12"/>
      <c r="N49" s="12"/>
      <c r="O49" s="12"/>
    </row>
    <row r="50" customFormat="false" ht="15" hidden="false" customHeight="false" outlineLevel="0" collapsed="false">
      <c r="B50" s="0" t="s">
        <v>222</v>
      </c>
      <c r="C50" s="11" t="s">
        <v>223</v>
      </c>
      <c r="D50" s="13" t="s">
        <v>224</v>
      </c>
      <c r="F50" s="43" t="n">
        <f aca="false">IF(INDEX($H50:$O50,1,Scenario_Selected)="",$H50,INDEX($H50:$O50,1,Scenario_Selected))</f>
        <v>406</v>
      </c>
      <c r="H50" s="12" t="n">
        <v>406</v>
      </c>
      <c r="I50" s="12"/>
      <c r="J50" s="12"/>
      <c r="K50" s="12"/>
      <c r="L50" s="12"/>
      <c r="M50" s="12"/>
      <c r="N50" s="12"/>
      <c r="O50" s="12"/>
    </row>
    <row r="51" customFormat="false" ht="15" hidden="false" customHeight="false" outlineLevel="0" collapsed="false">
      <c r="B51" s="0" t="s">
        <v>225</v>
      </c>
      <c r="C51" s="11" t="s">
        <v>226</v>
      </c>
      <c r="D51" s="13" t="s">
        <v>227</v>
      </c>
      <c r="F51" s="32" t="n">
        <f aca="false">IF(INDEX($H51:$O51,1,Scenario_Selected)="",$H51,INDEX($H51:$O51,1,Scenario_Selected))</f>
        <v>3</v>
      </c>
      <c r="H51" s="47" t="n">
        <v>3</v>
      </c>
      <c r="I51" s="47"/>
      <c r="J51" s="47"/>
      <c r="K51" s="47"/>
      <c r="L51" s="47"/>
      <c r="M51" s="47"/>
      <c r="N51" s="47"/>
      <c r="O51" s="47"/>
    </row>
    <row r="52" customFormat="false" ht="15" hidden="false" customHeight="false" outlineLevel="0" collapsed="false">
      <c r="B52" s="0" t="s">
        <v>228</v>
      </c>
      <c r="C52" s="11" t="s">
        <v>53</v>
      </c>
      <c r="D52" s="13" t="s">
        <v>229</v>
      </c>
      <c r="F52" s="48" t="n">
        <f aca="false">IF(INDEX($H52:$O52,1,Scenario_Selected)="",$H52,INDEX($H52:$O52,1,Scenario_Selected))</f>
        <v>0.005</v>
      </c>
      <c r="H52" s="49" t="n">
        <v>0.005</v>
      </c>
      <c r="I52" s="49"/>
      <c r="J52" s="49"/>
      <c r="K52" s="49"/>
      <c r="L52" s="49"/>
      <c r="M52" s="49"/>
      <c r="N52" s="49"/>
      <c r="O52" s="49"/>
    </row>
    <row r="53" customFormat="false" ht="15" hidden="false" customHeight="false" outlineLevel="0" collapsed="false">
      <c r="B53" s="0" t="s">
        <v>230</v>
      </c>
      <c r="C53" s="11" t="s">
        <v>53</v>
      </c>
      <c r="D53" s="13" t="s">
        <v>231</v>
      </c>
      <c r="F53" s="48" t="n">
        <f aca="false">IF(INDEX($H53:$O53,1,Scenario_Selected)="",$H53,INDEX($H53:$O53,1,Scenario_Selected))</f>
        <v>0.025</v>
      </c>
      <c r="H53" s="49" t="n">
        <v>0.025</v>
      </c>
      <c r="I53" s="49"/>
      <c r="J53" s="49"/>
      <c r="K53" s="49"/>
      <c r="L53" s="49"/>
      <c r="M53" s="49"/>
      <c r="N53" s="49"/>
      <c r="O53" s="49"/>
    </row>
    <row r="54" customFormat="false" ht="15" hidden="false" customHeight="false" outlineLevel="0" collapsed="false">
      <c r="B54" s="0" t="s">
        <v>232</v>
      </c>
      <c r="C54" s="11" t="s">
        <v>233</v>
      </c>
      <c r="D54" s="13" t="s">
        <v>234</v>
      </c>
      <c r="F54" s="32" t="n">
        <f aca="false">IF(INDEX($H54:$O54,1,Scenario_Selected)="",$H54,INDEX($H54:$O54,1,Scenario_Selected))</f>
        <v>4.5</v>
      </c>
      <c r="H54" s="47" t="n">
        <v>4.5</v>
      </c>
      <c r="I54" s="47"/>
      <c r="J54" s="47"/>
      <c r="K54" s="47"/>
      <c r="L54" s="47"/>
      <c r="M54" s="47"/>
      <c r="N54" s="47"/>
      <c r="O54" s="47"/>
    </row>
    <row r="55" customFormat="false" ht="15" hidden="false" customHeight="false" outlineLevel="0" collapsed="false">
      <c r="B55" s="0" t="s">
        <v>235</v>
      </c>
      <c r="C55" s="11" t="s">
        <v>226</v>
      </c>
      <c r="D55" s="13" t="s">
        <v>236</v>
      </c>
      <c r="F55" s="32" t="n">
        <f aca="false">IF(INDEX($H55:$O55,1,Scenario_Selected)="",$H55,INDEX($H55:$O55,1,Scenario_Selected))</f>
        <v>460</v>
      </c>
      <c r="H55" s="47" t="n">
        <v>460</v>
      </c>
      <c r="I55" s="47"/>
      <c r="J55" s="47"/>
      <c r="K55" s="47"/>
      <c r="L55" s="47"/>
      <c r="M55" s="47"/>
      <c r="N55" s="47"/>
      <c r="O55" s="47"/>
    </row>
    <row r="56" customFormat="false" ht="15" hidden="false" customHeight="false" outlineLevel="0" collapsed="false">
      <c r="B56" s="0" t="s">
        <v>237</v>
      </c>
      <c r="C56" s="11" t="s">
        <v>233</v>
      </c>
      <c r="D56" s="13" t="s">
        <v>238</v>
      </c>
      <c r="F56" s="25" t="n">
        <f aca="false">IF(INDEX($H56:$O56,1,Scenario_Selected)="",$H56,INDEX($H56:$O56,1,Scenario_Selected))</f>
        <v>54.830209</v>
      </c>
      <c r="H56" s="16" t="n">
        <v>54.830209</v>
      </c>
      <c r="I56" s="16"/>
      <c r="J56" s="16"/>
      <c r="K56" s="16"/>
      <c r="L56" s="16"/>
      <c r="M56" s="16"/>
      <c r="N56" s="16"/>
      <c r="O56" s="16"/>
    </row>
    <row r="57" customFormat="false" ht="15" hidden="false" customHeight="false" outlineLevel="0" collapsed="false">
      <c r="B57" s="0" t="s">
        <v>239</v>
      </c>
      <c r="C57" s="11" t="s">
        <v>53</v>
      </c>
      <c r="D57" s="13" t="s">
        <v>240</v>
      </c>
      <c r="F57" s="44" t="n">
        <f aca="false">IF(INDEX($H57:$O57,1,Scenario_Selected)="",$H57,INDEX($H57:$O57,1,Scenario_Selected))</f>
        <v>0.06</v>
      </c>
      <c r="H57" s="45" t="n">
        <v>0.06</v>
      </c>
      <c r="I57" s="45"/>
      <c r="J57" s="45"/>
      <c r="K57" s="45"/>
      <c r="L57" s="45"/>
      <c r="M57" s="45"/>
      <c r="N57" s="45"/>
      <c r="O57" s="45"/>
    </row>
    <row r="59" customFormat="false" ht="15" hidden="false" customHeight="false" outlineLevel="0" collapsed="false">
      <c r="A59" s="9" t="s">
        <v>13</v>
      </c>
      <c r="B59" s="9"/>
      <c r="C59" s="9" t="s">
        <v>241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</row>
    <row r="60" customFormat="false" ht="15" hidden="false" customHeight="false" outlineLevel="0" collapsed="false">
      <c r="B60" s="0" t="s">
        <v>242</v>
      </c>
      <c r="C60" s="11" t="s">
        <v>19</v>
      </c>
      <c r="D60" s="13" t="s">
        <v>243</v>
      </c>
      <c r="F60" s="43" t="n">
        <f aca="false">IF(INDEX($H60:$O60,1,Scenario_Selected)="",$H60,INDEX($H60:$O60,1,Scenario_Selected))</f>
        <v>600</v>
      </c>
      <c r="H60" s="12" t="n">
        <v>600</v>
      </c>
      <c r="I60" s="12"/>
      <c r="J60" s="12" t="n">
        <v>660</v>
      </c>
      <c r="K60" s="12"/>
      <c r="L60" s="12"/>
      <c r="M60" s="12"/>
      <c r="N60" s="12"/>
      <c r="O60" s="12"/>
    </row>
    <row r="61" customFormat="false" ht="15" hidden="false" customHeight="false" outlineLevel="0" collapsed="false">
      <c r="B61" s="0" t="s">
        <v>244</v>
      </c>
      <c r="C61" s="11" t="s">
        <v>19</v>
      </c>
      <c r="D61" s="13" t="s">
        <v>245</v>
      </c>
      <c r="F61" s="43" t="n">
        <f aca="false">IF(INDEX($H61:$O61,1,Scenario_Selected)="",$H61,INDEX($H61:$O61,1,Scenario_Selected))</f>
        <v>500</v>
      </c>
      <c r="H61" s="12" t="n">
        <v>500</v>
      </c>
      <c r="I61" s="12"/>
      <c r="J61" s="12" t="n">
        <v>550</v>
      </c>
      <c r="K61" s="12"/>
      <c r="L61" s="12"/>
      <c r="M61" s="12"/>
      <c r="N61" s="12"/>
      <c r="O61" s="12"/>
    </row>
    <row r="62" customFormat="false" ht="15" hidden="false" customHeight="false" outlineLevel="0" collapsed="false">
      <c r="B62" s="0" t="s">
        <v>246</v>
      </c>
      <c r="C62" s="11" t="s">
        <v>19</v>
      </c>
      <c r="D62" s="13" t="s">
        <v>247</v>
      </c>
      <c r="F62" s="43" t="n">
        <f aca="false">IF(INDEX($H62:$O62,1,Scenario_Selected)="",$H62,INDEX($H62:$O62,1,Scenario_Selected))</f>
        <v>355</v>
      </c>
      <c r="H62" s="12" t="n">
        <v>355</v>
      </c>
      <c r="I62" s="12"/>
      <c r="J62" s="12"/>
      <c r="K62" s="12"/>
      <c r="L62" s="12"/>
      <c r="M62" s="12"/>
      <c r="N62" s="12"/>
      <c r="O62" s="12"/>
    </row>
    <row r="63" customFormat="false" ht="15" hidden="false" customHeight="false" outlineLevel="0" collapsed="false">
      <c r="B63" s="0" t="s">
        <v>248</v>
      </c>
      <c r="C63" s="11" t="s">
        <v>33</v>
      </c>
      <c r="D63" s="13" t="s">
        <v>249</v>
      </c>
      <c r="F63" s="43" t="n">
        <f aca="false">IF(INDEX($H63:$O63,1,Scenario_Selected)="",$H63,INDEX($H63:$O63,1,Scenario_Selected))</f>
        <v>12000</v>
      </c>
      <c r="H63" s="12" t="n">
        <v>12000</v>
      </c>
      <c r="I63" s="12"/>
      <c r="J63" s="12"/>
      <c r="K63" s="12"/>
      <c r="L63" s="12"/>
      <c r="M63" s="12"/>
      <c r="N63" s="12"/>
      <c r="O63" s="12"/>
    </row>
    <row r="64" customFormat="false" ht="15" hidden="false" customHeight="false" outlineLevel="0" collapsed="false">
      <c r="B64" s="0" t="s">
        <v>250</v>
      </c>
      <c r="C64" s="11" t="s">
        <v>33</v>
      </c>
      <c r="D64" s="13" t="s">
        <v>251</v>
      </c>
      <c r="F64" s="43" t="n">
        <f aca="false">IF(INDEX($H64:$O64,1,Scenario_Selected)="",$H64,INDEX($H64:$O64,1,Scenario_Selected))</f>
        <v>10800</v>
      </c>
      <c r="H64" s="12" t="n">
        <v>10800</v>
      </c>
      <c r="I64" s="12"/>
      <c r="J64" s="12"/>
      <c r="K64" s="12"/>
      <c r="L64" s="12"/>
      <c r="M64" s="12"/>
      <c r="N64" s="12"/>
      <c r="O64" s="12"/>
    </row>
    <row r="65" customFormat="false" ht="15" hidden="false" customHeight="false" outlineLevel="0" collapsed="false">
      <c r="B65" s="0" t="s">
        <v>252</v>
      </c>
      <c r="C65" s="11" t="s">
        <v>53</v>
      </c>
      <c r="D65" s="13" t="s">
        <v>253</v>
      </c>
      <c r="F65" s="44" t="n">
        <f aca="false">IF(INDEX($H65:$O65,1,Scenario_Selected)="",$H65,INDEX($H65:$O65,1,Scenario_Selected))</f>
        <v>0.05</v>
      </c>
      <c r="H65" s="45" t="n">
        <v>0.05</v>
      </c>
      <c r="I65" s="45"/>
      <c r="J65" s="45"/>
      <c r="K65" s="45"/>
      <c r="L65" s="45"/>
      <c r="M65" s="45"/>
      <c r="N65" s="45"/>
      <c r="O65" s="45"/>
    </row>
    <row r="67" customFormat="false" ht="15" hidden="false" customHeight="false" outlineLevel="0" collapsed="false">
      <c r="A67" s="9" t="s">
        <v>13</v>
      </c>
      <c r="B67" s="9"/>
      <c r="C67" s="9" t="s">
        <v>254</v>
      </c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</row>
    <row r="68" customFormat="false" ht="15" hidden="false" customHeight="false" outlineLevel="0" collapsed="false">
      <c r="B68" s="0" t="s">
        <v>46</v>
      </c>
      <c r="C68" s="11" t="s">
        <v>47</v>
      </c>
      <c r="D68" s="13" t="s">
        <v>255</v>
      </c>
      <c r="F68" s="43" t="n">
        <f aca="false">IF(INDEX($H68:$O68,1,Scenario_Selected)="",$H68,INDEX($H68:$O68,1,Scenario_Selected))</f>
        <v>2460</v>
      </c>
      <c r="H68" s="12" t="n">
        <v>2460</v>
      </c>
      <c r="I68" s="12"/>
      <c r="J68" s="12"/>
      <c r="K68" s="12" t="n">
        <v>2214</v>
      </c>
      <c r="L68" s="12"/>
      <c r="M68" s="12"/>
      <c r="N68" s="12"/>
      <c r="O68" s="12"/>
    </row>
    <row r="69" customFormat="false" ht="15" hidden="false" customHeight="false" outlineLevel="0" collapsed="false">
      <c r="B69" s="0" t="s">
        <v>256</v>
      </c>
      <c r="C69" s="11" t="s">
        <v>53</v>
      </c>
      <c r="D69" s="13" t="s">
        <v>257</v>
      </c>
      <c r="F69" s="44" t="n">
        <f aca="false">IF(INDEX($H69:$O69,1,Scenario_Selected)="",$H69,INDEX($H69:$O69,1,Scenario_Selected))</f>
        <v>0.02</v>
      </c>
      <c r="H69" s="45" t="n">
        <v>0.02</v>
      </c>
      <c r="I69" s="45"/>
      <c r="J69" s="45"/>
      <c r="K69" s="45"/>
      <c r="L69" s="45"/>
      <c r="M69" s="45"/>
      <c r="N69" s="45"/>
      <c r="O69" s="45"/>
    </row>
    <row r="70" customFormat="false" ht="15" hidden="false" customHeight="false" outlineLevel="0" collapsed="false">
      <c r="B70" s="0" t="s">
        <v>258</v>
      </c>
      <c r="C70" s="11" t="s">
        <v>53</v>
      </c>
      <c r="D70" s="13" t="s">
        <v>259</v>
      </c>
      <c r="F70" s="48" t="n">
        <f aca="false">IF(INDEX($H70:$O70,1,Scenario_Selected)="",$H70,INDEX($H70:$O70,1,Scenario_Selected))</f>
        <v>0.003</v>
      </c>
      <c r="H70" s="49" t="n">
        <v>0.003</v>
      </c>
      <c r="I70" s="49"/>
      <c r="J70" s="49"/>
      <c r="K70" s="49"/>
      <c r="L70" s="49"/>
      <c r="M70" s="49"/>
      <c r="N70" s="49"/>
      <c r="O70" s="49"/>
    </row>
    <row r="71" customFormat="false" ht="15" hidden="false" customHeight="false" outlineLevel="0" collapsed="false">
      <c r="B71" s="0" t="s">
        <v>260</v>
      </c>
      <c r="C71" s="11" t="s">
        <v>24</v>
      </c>
      <c r="D71" s="13" t="s">
        <v>261</v>
      </c>
      <c r="F71" s="32" t="n">
        <f aca="false">IF(INDEX($H71:$O71,1,Scenario_Selected)="",$H71,INDEX($H71:$O71,1,Scenario_Selected))</f>
        <v>90</v>
      </c>
      <c r="H71" s="47" t="n">
        <v>90</v>
      </c>
      <c r="I71" s="47"/>
      <c r="J71" s="47"/>
      <c r="K71" s="47"/>
      <c r="L71" s="47" t="n">
        <v>81</v>
      </c>
      <c r="M71" s="47"/>
      <c r="N71" s="47"/>
      <c r="O71" s="47"/>
    </row>
    <row r="72" customFormat="false" ht="15" hidden="false" customHeight="false" outlineLevel="0" collapsed="false">
      <c r="B72" s="0" t="s">
        <v>262</v>
      </c>
      <c r="C72" s="11" t="s">
        <v>53</v>
      </c>
      <c r="D72" s="13" t="s">
        <v>263</v>
      </c>
      <c r="F72" s="44" t="n">
        <f aca="false">IF(INDEX($H72:$O72,1,Scenario_Selected)="",$H72,INDEX($H72:$O72,1,Scenario_Selected))</f>
        <v>0.01</v>
      </c>
      <c r="H72" s="45" t="n">
        <v>0.01</v>
      </c>
      <c r="I72" s="45"/>
      <c r="J72" s="45"/>
      <c r="K72" s="45"/>
      <c r="L72" s="45"/>
      <c r="M72" s="45"/>
      <c r="N72" s="45"/>
      <c r="O72" s="45"/>
    </row>
    <row r="73" customFormat="false" ht="15" hidden="false" customHeight="false" outlineLevel="0" collapsed="false">
      <c r="B73" s="0" t="s">
        <v>264</v>
      </c>
      <c r="C73" s="11" t="s">
        <v>24</v>
      </c>
      <c r="D73" s="13" t="s">
        <v>265</v>
      </c>
      <c r="F73" s="32" t="n">
        <f aca="false">IF(INDEX($H73:$O73,1,Scenario_Selected)="",$H73,INDEX($H73:$O73,1,Scenario_Selected))</f>
        <v>5</v>
      </c>
      <c r="H73" s="47" t="n">
        <v>5</v>
      </c>
      <c r="I73" s="47"/>
      <c r="J73" s="47"/>
      <c r="K73" s="47"/>
      <c r="L73" s="47"/>
      <c r="M73" s="47"/>
      <c r="N73" s="47"/>
      <c r="O73" s="47"/>
    </row>
    <row r="74" customFormat="false" ht="15" hidden="false" customHeight="false" outlineLevel="0" collapsed="false">
      <c r="B74" s="0" t="s">
        <v>266</v>
      </c>
      <c r="C74" s="11" t="s">
        <v>19</v>
      </c>
      <c r="D74" s="13" t="s">
        <v>267</v>
      </c>
      <c r="F74" s="43" t="n">
        <f aca="false">IF(INDEX($H74:$O74,1,Scenario_Selected)="",$H74,INDEX($H74:$O74,1,Scenario_Selected))</f>
        <v>22</v>
      </c>
      <c r="H74" s="12" t="n">
        <v>22</v>
      </c>
      <c r="I74" s="12"/>
      <c r="J74" s="12"/>
      <c r="K74" s="12"/>
      <c r="L74" s="12"/>
      <c r="M74" s="12"/>
      <c r="N74" s="12"/>
      <c r="O74" s="12"/>
    </row>
    <row r="75" customFormat="false" ht="15" hidden="false" customHeight="false" outlineLevel="0" collapsed="false">
      <c r="B75" s="0" t="s">
        <v>268</v>
      </c>
      <c r="C75" s="11" t="s">
        <v>19</v>
      </c>
      <c r="D75" s="13" t="s">
        <v>269</v>
      </c>
      <c r="F75" s="43" t="n">
        <f aca="false">IF(INDEX($H75:$O75,1,Scenario_Selected)="",$H75,INDEX($H75:$O75,1,Scenario_Selected))</f>
        <v>3</v>
      </c>
      <c r="H75" s="12" t="n">
        <v>3</v>
      </c>
      <c r="I75" s="12"/>
      <c r="J75" s="12"/>
      <c r="K75" s="12"/>
      <c r="L75" s="12"/>
      <c r="M75" s="12"/>
      <c r="N75" s="12"/>
      <c r="O75" s="12"/>
    </row>
    <row r="76" customFormat="false" ht="15" hidden="false" customHeight="false" outlineLevel="0" collapsed="false">
      <c r="B76" s="0" t="s">
        <v>270</v>
      </c>
      <c r="C76" s="11" t="s">
        <v>33</v>
      </c>
      <c r="D76" s="13" t="s">
        <v>271</v>
      </c>
      <c r="F76" s="43" t="n">
        <f aca="false">IF(INDEX($H76:$O76,1,Scenario_Selected)="",$H76,INDEX($H76:$O76,1,Scenario_Selected))</f>
        <v>150</v>
      </c>
      <c r="H76" s="12" t="n">
        <v>150</v>
      </c>
      <c r="I76" s="12"/>
      <c r="J76" s="12"/>
      <c r="K76" s="12"/>
      <c r="L76" s="12"/>
      <c r="M76" s="12"/>
      <c r="N76" s="12"/>
      <c r="O76" s="12"/>
    </row>
    <row r="77" customFormat="false" ht="15" hidden="false" customHeight="false" outlineLevel="0" collapsed="false">
      <c r="B77" s="0" t="s">
        <v>272</v>
      </c>
      <c r="C77" s="11" t="s">
        <v>53</v>
      </c>
      <c r="D77" s="13" t="s">
        <v>273</v>
      </c>
      <c r="F77" s="44" t="n">
        <f aca="false">IF(INDEX($H77:$O77,1,Scenario_Selected)="",$H77,INDEX($H77:$O77,1,Scenario_Selected))</f>
        <v>0.05</v>
      </c>
      <c r="H77" s="45" t="n">
        <v>0.05</v>
      </c>
      <c r="I77" s="45"/>
      <c r="J77" s="45"/>
      <c r="K77" s="45"/>
      <c r="L77" s="45"/>
      <c r="M77" s="45"/>
      <c r="N77" s="45"/>
      <c r="O77" s="45"/>
    </row>
    <row r="78" customFormat="false" ht="15" hidden="false" customHeight="false" outlineLevel="0" collapsed="false">
      <c r="B78" s="0" t="s">
        <v>274</v>
      </c>
      <c r="C78" s="11" t="s">
        <v>53</v>
      </c>
      <c r="D78" s="13" t="s">
        <v>275</v>
      </c>
      <c r="F78" s="44" t="n">
        <f aca="false">IF(INDEX($H78:$O78,1,Scenario_Selected)="",$H78,INDEX($H78:$O78,1,Scenario_Selected))</f>
        <v>0.025</v>
      </c>
      <c r="H78" s="45" t="n">
        <v>0.025</v>
      </c>
      <c r="I78" s="45"/>
      <c r="J78" s="45"/>
      <c r="K78" s="45"/>
      <c r="L78" s="45"/>
      <c r="M78" s="45"/>
      <c r="N78" s="45"/>
      <c r="O78" s="45"/>
    </row>
    <row r="79" customFormat="false" ht="15" hidden="false" customHeight="false" outlineLevel="0" collapsed="false">
      <c r="B79" s="0" t="s">
        <v>276</v>
      </c>
      <c r="C79" s="11" t="s">
        <v>53</v>
      </c>
      <c r="D79" s="13" t="s">
        <v>277</v>
      </c>
      <c r="F79" s="48" t="n">
        <f aca="false">IF(INDEX($H79:$O79,1,Scenario_Selected)="",$H79,INDEX($H79:$O79,1,Scenario_Selected))</f>
        <v>0.001</v>
      </c>
      <c r="H79" s="49" t="n">
        <v>0.001</v>
      </c>
      <c r="I79" s="49"/>
      <c r="J79" s="49"/>
      <c r="K79" s="49"/>
      <c r="L79" s="49"/>
      <c r="M79" s="49"/>
      <c r="N79" s="49"/>
      <c r="O79" s="49"/>
    </row>
    <row r="80" customFormat="false" ht="15" hidden="false" customHeight="false" outlineLevel="0" collapsed="false">
      <c r="B80" s="0" t="s">
        <v>278</v>
      </c>
      <c r="C80" s="11" t="s">
        <v>53</v>
      </c>
      <c r="D80" s="13" t="s">
        <v>279</v>
      </c>
      <c r="F80" s="44" t="n">
        <f aca="false">IF(INDEX($H80:$O80,1,Scenario_Selected)="",$H80,INDEX($H80:$O80,1,Scenario_Selected))</f>
        <v>0.02</v>
      </c>
      <c r="H80" s="45" t="n">
        <v>0.02</v>
      </c>
      <c r="I80" s="45"/>
      <c r="J80" s="45"/>
      <c r="K80" s="45"/>
      <c r="L80" s="45"/>
      <c r="M80" s="45"/>
      <c r="N80" s="45"/>
      <c r="O80" s="45"/>
    </row>
    <row r="81" customFormat="false" ht="15" hidden="false" customHeight="false" outlineLevel="0" collapsed="false">
      <c r="B81" s="0" t="s">
        <v>280</v>
      </c>
      <c r="C81" s="11" t="s">
        <v>53</v>
      </c>
      <c r="D81" s="13" t="s">
        <v>281</v>
      </c>
      <c r="F81" s="48" t="n">
        <f aca="false">IF(INDEX($H81:$O81,1,Scenario_Selected)="",$H81,INDEX($H81:$O81,1,Scenario_Selected))</f>
        <v>0.003</v>
      </c>
      <c r="H81" s="49" t="n">
        <v>0.003</v>
      </c>
      <c r="I81" s="49"/>
      <c r="J81" s="49"/>
      <c r="K81" s="49"/>
      <c r="L81" s="49"/>
      <c r="M81" s="49"/>
      <c r="N81" s="49"/>
      <c r="O81" s="49"/>
    </row>
    <row r="83" customFormat="false" ht="15" hidden="false" customHeight="false" outlineLevel="0" collapsed="false">
      <c r="A83" s="9" t="s">
        <v>13</v>
      </c>
      <c r="B83" s="9"/>
      <c r="C83" s="9" t="s">
        <v>282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</row>
    <row r="84" customFormat="false" ht="15" hidden="false" customHeight="false" outlineLevel="0" collapsed="false">
      <c r="B84" s="0" t="s">
        <v>283</v>
      </c>
      <c r="C84" s="11" t="s">
        <v>53</v>
      </c>
      <c r="D84" s="13" t="s">
        <v>284</v>
      </c>
      <c r="F84" s="44" t="n">
        <f aca="false">IF(INDEX($H84:$O84,1,Scenario_Selected)="",$H84,INDEX($H84:$O84,1,Scenario_Selected))</f>
        <v>0.8</v>
      </c>
      <c r="H84" s="45" t="n">
        <v>0.8</v>
      </c>
      <c r="I84" s="45"/>
      <c r="J84" s="45"/>
      <c r="K84" s="45"/>
      <c r="L84" s="45"/>
      <c r="M84" s="45"/>
      <c r="N84" s="45"/>
      <c r="O84" s="45"/>
    </row>
    <row r="85" customFormat="false" ht="15" hidden="false" customHeight="false" outlineLevel="0" collapsed="false">
      <c r="B85" s="0" t="s">
        <v>285</v>
      </c>
      <c r="C85" s="11" t="s">
        <v>53</v>
      </c>
      <c r="D85" s="13" t="s">
        <v>286</v>
      </c>
      <c r="F85" s="44" t="n">
        <f aca="false">IF(INDEX($H85:$O85,1,Scenario_Selected)="",$H85,INDEX($H85:$O85,1,Scenario_Selected))</f>
        <v>0.7</v>
      </c>
      <c r="H85" s="45" t="n">
        <v>0.7</v>
      </c>
      <c r="I85" s="45"/>
      <c r="J85" s="45"/>
      <c r="K85" s="45"/>
      <c r="L85" s="45"/>
      <c r="M85" s="45"/>
      <c r="N85" s="45"/>
      <c r="O85" s="45"/>
    </row>
    <row r="86" customFormat="false" ht="15" hidden="false" customHeight="false" outlineLevel="0" collapsed="false">
      <c r="B86" s="0" t="s">
        <v>287</v>
      </c>
      <c r="C86" s="11" t="s">
        <v>13</v>
      </c>
      <c r="D86" s="13" t="s">
        <v>288</v>
      </c>
      <c r="F86" s="50" t="n">
        <f aca="false">IF(INDEX($H86:$O86,1,Scenario_Selected)="",$H86,INDEX($H86:$O86,1,Scenario_Selected))</f>
        <v>1.2</v>
      </c>
      <c r="H86" s="17" t="n">
        <v>1.2</v>
      </c>
      <c r="I86" s="17"/>
      <c r="J86" s="17"/>
      <c r="K86" s="17"/>
      <c r="L86" s="17"/>
      <c r="M86" s="17"/>
      <c r="N86" s="17"/>
      <c r="O86" s="17"/>
    </row>
    <row r="87" customFormat="false" ht="15" hidden="false" customHeight="false" outlineLevel="0" collapsed="false">
      <c r="B87" s="0" t="s">
        <v>57</v>
      </c>
      <c r="C87" s="11" t="s">
        <v>58</v>
      </c>
      <c r="D87" s="13" t="s">
        <v>289</v>
      </c>
      <c r="F87" s="39" t="n">
        <f aca="false">IF(INDEX($H87:$O87,1,Scenario_Selected)="",$H87,INDEX($H87:$O87,1,Scenario_Selected))</f>
        <v>18</v>
      </c>
      <c r="H87" s="42" t="n">
        <v>18</v>
      </c>
      <c r="I87" s="42"/>
      <c r="J87" s="42"/>
      <c r="K87" s="42"/>
      <c r="L87" s="42"/>
      <c r="M87" s="42"/>
      <c r="N87" s="42"/>
      <c r="O87" s="42" t="n">
        <v>10</v>
      </c>
    </row>
    <row r="88" customFormat="false" ht="15" hidden="false" customHeight="false" outlineLevel="0" collapsed="false">
      <c r="B88" s="0" t="s">
        <v>290</v>
      </c>
      <c r="C88" s="11" t="s">
        <v>53</v>
      </c>
      <c r="D88" s="13" t="s">
        <v>291</v>
      </c>
      <c r="F88" s="44" t="n">
        <f aca="false">IF(INDEX($H88:$O88,1,Scenario_Selected)="",$H88,INDEX($H88:$O88,1,Scenario_Selected))</f>
        <v>0.05</v>
      </c>
      <c r="H88" s="45" t="n">
        <v>0.05</v>
      </c>
      <c r="I88" s="45"/>
      <c r="J88" s="45"/>
      <c r="K88" s="45"/>
      <c r="L88" s="45"/>
      <c r="M88" s="45"/>
      <c r="N88" s="45" t="n">
        <v>0.06</v>
      </c>
      <c r="O88" s="45"/>
    </row>
    <row r="89" customFormat="false" ht="15" hidden="false" customHeight="false" outlineLevel="0" collapsed="false">
      <c r="B89" s="0" t="s">
        <v>292</v>
      </c>
      <c r="C89" s="11" t="s">
        <v>53</v>
      </c>
      <c r="D89" s="13" t="s">
        <v>293</v>
      </c>
      <c r="F89" s="48" t="n">
        <f aca="false">IF(INDEX($H89:$O89,1,Scenario_Selected)="",$H89,INDEX($H89:$O89,1,Scenario_Selected))</f>
        <v>0.0175</v>
      </c>
      <c r="H89" s="49" t="n">
        <v>0.0175</v>
      </c>
      <c r="I89" s="49"/>
      <c r="J89" s="49"/>
      <c r="K89" s="49"/>
      <c r="L89" s="49"/>
      <c r="M89" s="49"/>
      <c r="N89" s="49"/>
      <c r="O89" s="49"/>
    </row>
    <row r="90" customFormat="false" ht="15" hidden="false" customHeight="false" outlineLevel="0" collapsed="false">
      <c r="B90" s="0" t="s">
        <v>294</v>
      </c>
      <c r="C90" s="11" t="s">
        <v>53</v>
      </c>
      <c r="D90" s="13" t="s">
        <v>295</v>
      </c>
      <c r="F90" s="48" t="n">
        <f aca="false">IF(INDEX($H90:$O90,1,Scenario_Selected)="",$H90,INDEX($H90:$O90,1,Scenario_Selected))</f>
        <v>0.009</v>
      </c>
      <c r="H90" s="49" t="n">
        <v>0.009</v>
      </c>
      <c r="I90" s="49"/>
      <c r="J90" s="49"/>
      <c r="K90" s="49"/>
      <c r="L90" s="49"/>
      <c r="M90" s="49"/>
      <c r="N90" s="49"/>
      <c r="O90" s="49"/>
    </row>
    <row r="91" customFormat="false" ht="15" hidden="false" customHeight="false" outlineLevel="0" collapsed="false">
      <c r="B91" s="0" t="s">
        <v>296</v>
      </c>
      <c r="C91" s="11" t="s">
        <v>158</v>
      </c>
      <c r="D91" s="13" t="s">
        <v>297</v>
      </c>
      <c r="F91" s="39" t="n">
        <f aca="false">IF(INDEX($H91:$O91,1,Scenario_Selected)="",$H91,INDEX($H91:$O91,1,Scenario_Selected))</f>
        <v>6</v>
      </c>
      <c r="H91" s="42" t="n">
        <v>6</v>
      </c>
      <c r="I91" s="42"/>
      <c r="J91" s="42"/>
      <c r="K91" s="42"/>
      <c r="L91" s="42"/>
      <c r="M91" s="42"/>
      <c r="N91" s="42"/>
      <c r="O91" s="42"/>
    </row>
    <row r="93" customFormat="false" ht="15" hidden="false" customHeight="false" outlineLevel="0" collapsed="false">
      <c r="A93" s="9" t="s">
        <v>13</v>
      </c>
      <c r="B93" s="9"/>
      <c r="C93" s="9" t="s">
        <v>298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</row>
    <row r="94" customFormat="false" ht="15" hidden="false" customHeight="false" outlineLevel="0" collapsed="false">
      <c r="B94" s="0" t="s">
        <v>299</v>
      </c>
      <c r="C94" s="11" t="s">
        <v>21</v>
      </c>
      <c r="D94" s="13" t="s">
        <v>300</v>
      </c>
      <c r="F94" s="3" t="s">
        <v>301</v>
      </c>
    </row>
    <row r="95" customFormat="false" ht="15" hidden="false" customHeight="false" outlineLevel="0" collapsed="false">
      <c r="B95" s="0" t="s">
        <v>302</v>
      </c>
      <c r="C95" s="11" t="s">
        <v>21</v>
      </c>
      <c r="D95" s="13" t="s">
        <v>303</v>
      </c>
      <c r="F95" s="3"/>
    </row>
    <row r="97" customFormat="false" ht="15" hidden="false" customHeight="false" outlineLevel="0" collapsed="false">
      <c r="C97" s="37" t="s">
        <v>137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304</v>
      </c>
      <c r="D5" s="9"/>
      <c r="E5" s="9" t="s">
        <v>305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306</v>
      </c>
      <c r="F6" s="8" t="s">
        <v>307</v>
      </c>
      <c r="J6" s="8" t="s">
        <v>308</v>
      </c>
    </row>
    <row r="7" customFormat="false" ht="15" hidden="false" customHeight="false" outlineLevel="0" collapsed="false">
      <c r="C7" s="0" t="s">
        <v>309</v>
      </c>
      <c r="D7" s="11" t="s">
        <v>19</v>
      </c>
      <c r="E7" s="40" t="n">
        <v>10</v>
      </c>
      <c r="F7" s="40" t="n">
        <v>50</v>
      </c>
      <c r="J7" s="40" t="n">
        <v>10</v>
      </c>
      <c r="K7" s="40" t="n">
        <v>15</v>
      </c>
      <c r="L7" s="40" t="n">
        <v>20</v>
      </c>
      <c r="M7" s="40" t="n">
        <v>25</v>
      </c>
      <c r="N7" s="40" t="n">
        <v>30</v>
      </c>
      <c r="O7" s="40" t="n">
        <v>35</v>
      </c>
      <c r="P7" s="40" t="n">
        <v>40</v>
      </c>
      <c r="Q7" s="40" t="n">
        <v>45</v>
      </c>
      <c r="R7" s="40" t="n">
        <v>50</v>
      </c>
    </row>
    <row r="8" customFormat="false" ht="15" hidden="false" customHeight="false" outlineLevel="0" collapsed="false">
      <c r="C8" s="0" t="s">
        <v>310</v>
      </c>
      <c r="D8" s="11" t="s">
        <v>30</v>
      </c>
      <c r="J8" s="18" t="n">
        <v>0</v>
      </c>
      <c r="K8" s="18" t="n">
        <v>0</v>
      </c>
      <c r="L8" s="18" t="n">
        <v>0</v>
      </c>
      <c r="M8" s="18" t="n">
        <v>0</v>
      </c>
      <c r="N8" s="18" t="n">
        <v>0</v>
      </c>
      <c r="O8" s="18" t="n">
        <v>0</v>
      </c>
      <c r="P8" s="18" t="n">
        <v>0</v>
      </c>
      <c r="Q8" s="18" t="n">
        <v>0</v>
      </c>
      <c r="R8" s="18" t="n">
        <v>1</v>
      </c>
    </row>
    <row r="9" customFormat="false" ht="15" hidden="false" customHeight="false" outlineLevel="0" collapsed="false">
      <c r="C9" s="0" t="s">
        <v>311</v>
      </c>
      <c r="D9" s="11" t="s">
        <v>42</v>
      </c>
      <c r="E9" s="45" t="n">
        <v>0.2</v>
      </c>
      <c r="J9" s="42" t="n">
        <v>0</v>
      </c>
      <c r="K9" s="42" t="n">
        <v>10</v>
      </c>
      <c r="L9" s="42" t="n">
        <v>20</v>
      </c>
      <c r="M9" s="42" t="n">
        <v>30</v>
      </c>
      <c r="N9" s="42" t="n">
        <v>40</v>
      </c>
      <c r="O9" s="42" t="n">
        <v>55</v>
      </c>
      <c r="P9" s="42" t="n">
        <v>70</v>
      </c>
      <c r="Q9" s="42" t="n">
        <v>80</v>
      </c>
      <c r="R9" s="42" t="n">
        <v>90</v>
      </c>
      <c r="S9" s="42" t="n">
        <v>100</v>
      </c>
    </row>
    <row r="10" customFormat="false" ht="15" hidden="false" customHeight="false" outlineLevel="0" collapsed="false">
      <c r="C10" s="0" t="s">
        <v>312</v>
      </c>
      <c r="D10" s="11" t="s">
        <v>24</v>
      </c>
      <c r="E10" s="40" t="n">
        <v>2</v>
      </c>
      <c r="F10" s="40" t="n">
        <v>3</v>
      </c>
      <c r="J10" s="40" t="n">
        <v>2</v>
      </c>
      <c r="K10" s="40" t="n">
        <v>2.1</v>
      </c>
      <c r="L10" s="40" t="n">
        <v>2.2</v>
      </c>
      <c r="M10" s="40" t="n">
        <v>2.3</v>
      </c>
      <c r="N10" s="40" t="n">
        <v>2.4</v>
      </c>
      <c r="O10" s="40" t="n">
        <v>2.5</v>
      </c>
      <c r="P10" s="40" t="n">
        <v>2.6</v>
      </c>
      <c r="Q10" s="40" t="n">
        <v>2.7</v>
      </c>
      <c r="R10" s="40" t="n">
        <v>2.8</v>
      </c>
      <c r="S10" s="40" t="n">
        <v>2.9</v>
      </c>
      <c r="T10" s="40" t="n">
        <v>3</v>
      </c>
    </row>
    <row r="11" customFormat="false" ht="15" hidden="false" customHeight="false" outlineLevel="0" collapsed="false">
      <c r="C11" s="0" t="s">
        <v>313</v>
      </c>
      <c r="D11" s="11" t="s">
        <v>30</v>
      </c>
      <c r="J11" s="18" t="n">
        <v>0</v>
      </c>
      <c r="K11" s="18" t="n">
        <v>0</v>
      </c>
      <c r="L11" s="18" t="n">
        <v>0</v>
      </c>
      <c r="M11" s="18" t="n">
        <v>0</v>
      </c>
      <c r="N11" s="18" t="n">
        <v>0</v>
      </c>
      <c r="O11" s="18" t="n">
        <v>0</v>
      </c>
      <c r="P11" s="18" t="n">
        <v>0</v>
      </c>
      <c r="Q11" s="18" t="n">
        <v>0</v>
      </c>
      <c r="R11" s="18" t="n">
        <v>0</v>
      </c>
      <c r="S11" s="18" t="n">
        <v>0</v>
      </c>
      <c r="T11" s="18" t="n">
        <v>1</v>
      </c>
    </row>
    <row r="12" customFormat="false" ht="15" hidden="false" customHeight="false" outlineLevel="0" collapsed="false">
      <c r="C12" s="0" t="s">
        <v>314</v>
      </c>
      <c r="D12" s="11" t="s">
        <v>42</v>
      </c>
      <c r="E12" s="45" t="n">
        <v>0.15</v>
      </c>
      <c r="J12" s="42" t="n">
        <v>0</v>
      </c>
      <c r="K12" s="42" t="n">
        <v>5</v>
      </c>
      <c r="L12" s="42" t="n">
        <v>10</v>
      </c>
      <c r="M12" s="42" t="n">
        <v>20</v>
      </c>
      <c r="N12" s="42" t="n">
        <v>30</v>
      </c>
      <c r="O12" s="42" t="n">
        <v>40</v>
      </c>
      <c r="P12" s="42" t="n">
        <v>50</v>
      </c>
      <c r="Q12" s="42" t="n">
        <v>60</v>
      </c>
      <c r="R12" s="42" t="n">
        <v>70</v>
      </c>
      <c r="S12" s="42" t="n">
        <v>80</v>
      </c>
      <c r="T12" s="42" t="n">
        <v>90</v>
      </c>
      <c r="U12" s="42" t="n">
        <v>100</v>
      </c>
    </row>
    <row r="13" customFormat="false" ht="15" hidden="false" customHeight="false" outlineLevel="0" collapsed="false">
      <c r="C13" s="0" t="s">
        <v>315</v>
      </c>
      <c r="D13" s="11" t="s">
        <v>13</v>
      </c>
      <c r="J13" s="40" t="n">
        <v>1</v>
      </c>
      <c r="K13" s="40" t="n">
        <v>1.2</v>
      </c>
      <c r="L13" s="40" t="n">
        <v>1.3</v>
      </c>
      <c r="M13" s="40" t="n">
        <v>1.4</v>
      </c>
      <c r="N13" s="40" t="n">
        <v>1.5</v>
      </c>
      <c r="O13" s="40" t="n">
        <v>1.6</v>
      </c>
      <c r="P13" s="40" t="n">
        <v>1.7</v>
      </c>
      <c r="Q13" s="40" t="n">
        <v>1.8</v>
      </c>
      <c r="R13" s="40" t="n">
        <v>1.9</v>
      </c>
      <c r="S13" s="40" t="n">
        <v>2</v>
      </c>
    </row>
    <row r="14" customFormat="false" ht="15" hidden="false" customHeight="false" outlineLevel="0" collapsed="false">
      <c r="C14" s="0" t="s">
        <v>316</v>
      </c>
      <c r="D14" s="11" t="s">
        <v>30</v>
      </c>
      <c r="J14" s="18" t="n">
        <v>0</v>
      </c>
      <c r="K14" s="18" t="n">
        <v>1</v>
      </c>
      <c r="L14" s="18" t="n">
        <v>1</v>
      </c>
      <c r="M14" s="18" t="n">
        <v>1</v>
      </c>
      <c r="N14" s="18" t="n">
        <v>1</v>
      </c>
      <c r="O14" s="18" t="n">
        <v>1</v>
      </c>
      <c r="P14" s="18" t="n">
        <v>1</v>
      </c>
      <c r="Q14" s="18" t="n">
        <v>1</v>
      </c>
      <c r="R14" s="18" t="n">
        <v>1</v>
      </c>
      <c r="S14" s="18" t="n">
        <v>1</v>
      </c>
    </row>
    <row r="15" customFormat="false" ht="15" hidden="false" customHeight="false" outlineLevel="0" collapsed="false">
      <c r="C15" s="0" t="s">
        <v>317</v>
      </c>
      <c r="D15" s="11" t="s">
        <v>42</v>
      </c>
      <c r="E15" s="45" t="n">
        <v>0.05</v>
      </c>
      <c r="J15" s="42" t="n">
        <v>0</v>
      </c>
      <c r="K15" s="42" t="n">
        <v>10</v>
      </c>
      <c r="L15" s="42" t="n">
        <v>20</v>
      </c>
      <c r="M15" s="42" t="n">
        <v>30</v>
      </c>
      <c r="N15" s="42" t="n">
        <v>40</v>
      </c>
      <c r="O15" s="42" t="n">
        <v>50</v>
      </c>
      <c r="P15" s="42" t="n">
        <v>60</v>
      </c>
      <c r="Q15" s="42" t="n">
        <v>70</v>
      </c>
      <c r="R15" s="42" t="n">
        <v>80</v>
      </c>
      <c r="S15" s="42" t="n">
        <v>90</v>
      </c>
      <c r="T15" s="42" t="n">
        <v>100</v>
      </c>
    </row>
    <row r="16" customFormat="false" ht="15" hidden="false" customHeight="false" outlineLevel="0" collapsed="false">
      <c r="C16" s="0" t="s">
        <v>318</v>
      </c>
      <c r="D16" s="11" t="s">
        <v>42</v>
      </c>
      <c r="E16" s="45" t="n">
        <v>0.05</v>
      </c>
      <c r="J16" s="42" t="n">
        <v>100</v>
      </c>
    </row>
    <row r="17" customFormat="false" ht="15" hidden="false" customHeight="false" outlineLevel="0" collapsed="false">
      <c r="C17" s="0" t="s">
        <v>319</v>
      </c>
      <c r="D17" s="11" t="s">
        <v>42</v>
      </c>
      <c r="E17" s="45" t="n">
        <v>0.05</v>
      </c>
      <c r="J17" s="42" t="n">
        <v>100</v>
      </c>
    </row>
    <row r="18" customFormat="false" ht="15" hidden="false" customHeight="false" outlineLevel="0" collapsed="false">
      <c r="C18" s="0" t="s">
        <v>320</v>
      </c>
      <c r="D18" s="11" t="s">
        <v>42</v>
      </c>
      <c r="E18" s="45" t="n">
        <v>0.15</v>
      </c>
      <c r="J18" s="42" t="n">
        <v>80</v>
      </c>
    </row>
    <row r="19" customFormat="false" ht="15" hidden="false" customHeight="false" outlineLevel="0" collapsed="false">
      <c r="C19" s="0" t="s">
        <v>321</v>
      </c>
      <c r="D19" s="11" t="s">
        <v>42</v>
      </c>
      <c r="J19" s="42" t="n">
        <v>20</v>
      </c>
    </row>
    <row r="21" customFormat="false" ht="15" hidden="false" customHeight="false" outlineLevel="0" collapsed="false">
      <c r="C21" s="37" t="s">
        <v>137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3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2" t="n">
        <v>1</v>
      </c>
      <c r="C1" s="13" t="s">
        <v>322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323</v>
      </c>
      <c r="D3" s="11" t="s">
        <v>36</v>
      </c>
      <c r="J3" s="41" t="n">
        <f aca="false">I$4+1</f>
        <v>46296</v>
      </c>
      <c r="K3" s="41" t="n">
        <f aca="false">J$4+1</f>
        <v>46388</v>
      </c>
      <c r="L3" s="41" t="n">
        <f aca="false">K$4+1</f>
        <v>46478</v>
      </c>
      <c r="M3" s="41" t="n">
        <f aca="false">L$4+1</f>
        <v>46569</v>
      </c>
      <c r="N3" s="41" t="n">
        <f aca="false">M$4+1</f>
        <v>46661</v>
      </c>
      <c r="O3" s="41" t="n">
        <f aca="false">N$4+1</f>
        <v>46753</v>
      </c>
      <c r="P3" s="41" t="n">
        <f aca="false">O$4+1</f>
        <v>46844</v>
      </c>
      <c r="Q3" s="41" t="n">
        <f aca="false">P$4+1</f>
        <v>46935</v>
      </c>
      <c r="R3" s="41" t="n">
        <f aca="false">Q$4+1</f>
        <v>47027</v>
      </c>
      <c r="S3" s="41" t="n">
        <f aca="false">R$4+1</f>
        <v>47119</v>
      </c>
      <c r="T3" s="41" t="n">
        <f aca="false">S$4+1</f>
        <v>47209</v>
      </c>
      <c r="U3" s="41" t="n">
        <f aca="false">T$4+1</f>
        <v>47300</v>
      </c>
      <c r="V3" s="41" t="n">
        <f aca="false">U$4+1</f>
        <v>47392</v>
      </c>
      <c r="W3" s="41" t="n">
        <f aca="false">V$4+1</f>
        <v>47484</v>
      </c>
      <c r="X3" s="41" t="n">
        <f aca="false">W$4+1</f>
        <v>47574</v>
      </c>
      <c r="Y3" s="41" t="n">
        <f aca="false">X$4+1</f>
        <v>47665</v>
      </c>
      <c r="Z3" s="41" t="n">
        <f aca="false">Y$4+1</f>
        <v>47757</v>
      </c>
      <c r="AA3" s="41" t="n">
        <f aca="false">Z$4+1</f>
        <v>47849</v>
      </c>
      <c r="AB3" s="41" t="n">
        <f aca="false">AA$4+1</f>
        <v>47939</v>
      </c>
      <c r="AC3" s="41" t="n">
        <f aca="false">AB$4+1</f>
        <v>48030</v>
      </c>
      <c r="AD3" s="41" t="n">
        <f aca="false">AC$4+1</f>
        <v>48122</v>
      </c>
      <c r="AE3" s="41" t="n">
        <f aca="false">AD$4+1</f>
        <v>48214</v>
      </c>
      <c r="AF3" s="41" t="n">
        <f aca="false">AE$4+1</f>
        <v>48305</v>
      </c>
      <c r="AG3" s="41" t="n">
        <f aca="false">AF$4+1</f>
        <v>48396</v>
      </c>
      <c r="AH3" s="41" t="n">
        <f aca="false">AG$4+1</f>
        <v>48488</v>
      </c>
      <c r="AI3" s="41" t="n">
        <f aca="false">AH$4+1</f>
        <v>48580</v>
      </c>
      <c r="AJ3" s="41" t="n">
        <f aca="false">AI$4+1</f>
        <v>48670</v>
      </c>
      <c r="AK3" s="41" t="n">
        <f aca="false">AJ$4+1</f>
        <v>48761</v>
      </c>
      <c r="AL3" s="41" t="n">
        <f aca="false">AK$4+1</f>
        <v>48853</v>
      </c>
      <c r="AM3" s="41" t="n">
        <f aca="false">AL$4+1</f>
        <v>48945</v>
      </c>
      <c r="AN3" s="41" t="n">
        <f aca="false">AM$4+1</f>
        <v>49035</v>
      </c>
      <c r="AO3" s="41" t="n">
        <f aca="false">AN$4+1</f>
        <v>49126</v>
      </c>
      <c r="AP3" s="41" t="n">
        <f aca="false">AO$4+1</f>
        <v>49218</v>
      </c>
      <c r="AQ3" s="41" t="n">
        <f aca="false">AP$4+1</f>
        <v>49310</v>
      </c>
      <c r="AR3" s="41" t="n">
        <f aca="false">AQ$4+1</f>
        <v>49400</v>
      </c>
      <c r="AS3" s="41" t="n">
        <f aca="false">AR$4+1</f>
        <v>49491</v>
      </c>
      <c r="AT3" s="41" t="n">
        <f aca="false">AS$4+1</f>
        <v>49583</v>
      </c>
      <c r="AU3" s="41" t="n">
        <f aca="false">AT$4+1</f>
        <v>49675</v>
      </c>
      <c r="AV3" s="41" t="n">
        <f aca="false">AU$4+1</f>
        <v>49766</v>
      </c>
      <c r="AW3" s="41" t="n">
        <f aca="false">AV$4+1</f>
        <v>49857</v>
      </c>
      <c r="AX3" s="41" t="n">
        <f aca="false">AW$4+1</f>
        <v>49949</v>
      </c>
      <c r="AY3" s="41" t="n">
        <f aca="false">AX$4+1</f>
        <v>50041</v>
      </c>
      <c r="AZ3" s="41" t="n">
        <f aca="false">AY$4+1</f>
        <v>50131</v>
      </c>
      <c r="BA3" s="41" t="n">
        <f aca="false">AZ$4+1</f>
        <v>50222</v>
      </c>
      <c r="BB3" s="41" t="n">
        <f aca="false">BA$4+1</f>
        <v>50314</v>
      </c>
      <c r="BC3" s="41" t="n">
        <f aca="false">BB$4+1</f>
        <v>50406</v>
      </c>
      <c r="BD3" s="41" t="n">
        <f aca="false">BC$4+1</f>
        <v>50496</v>
      </c>
      <c r="BE3" s="41" t="n">
        <f aca="false">BD$4+1</f>
        <v>50587</v>
      </c>
      <c r="BF3" s="41" t="n">
        <f aca="false">BE$4+1</f>
        <v>50679</v>
      </c>
      <c r="BG3" s="41" t="n">
        <f aca="false">BF$4+1</f>
        <v>50771</v>
      </c>
      <c r="BH3" s="41" t="n">
        <f aca="false">BG$4+1</f>
        <v>50861</v>
      </c>
      <c r="BI3" s="41" t="n">
        <f aca="false">BH$4+1</f>
        <v>50952</v>
      </c>
      <c r="BJ3" s="41" t="n">
        <f aca="false">BI$4+1</f>
        <v>51044</v>
      </c>
      <c r="BK3" s="41" t="n">
        <f aca="false">BJ$4+1</f>
        <v>51136</v>
      </c>
      <c r="BL3" s="41" t="n">
        <f aca="false">BK$4+1</f>
        <v>51227</v>
      </c>
      <c r="BM3" s="41" t="n">
        <f aca="false">BL$4+1</f>
        <v>51318</v>
      </c>
      <c r="BN3" s="41" t="n">
        <f aca="false">BM$4+1</f>
        <v>51410</v>
      </c>
      <c r="BO3" s="41" t="n">
        <f aca="false">BN$4+1</f>
        <v>51502</v>
      </c>
      <c r="BP3" s="41" t="n">
        <f aca="false">BO$4+1</f>
        <v>51592</v>
      </c>
      <c r="BQ3" s="41" t="n">
        <f aca="false">BP$4+1</f>
        <v>51683</v>
      </c>
      <c r="BR3" s="41" t="n">
        <f aca="false">BQ$4+1</f>
        <v>51775</v>
      </c>
      <c r="BS3" s="41" t="n">
        <f aca="false">BR$4+1</f>
        <v>51867</v>
      </c>
      <c r="BT3" s="41" t="n">
        <f aca="false">BS$4+1</f>
        <v>51957</v>
      </c>
      <c r="BU3" s="41" t="n">
        <f aca="false">BT$4+1</f>
        <v>52048</v>
      </c>
      <c r="BV3" s="41" t="n">
        <f aca="false">BU$4+1</f>
        <v>52140</v>
      </c>
      <c r="BW3" s="41" t="n">
        <f aca="false">BV$4+1</f>
        <v>52232</v>
      </c>
      <c r="BX3" s="41" t="n">
        <f aca="false">BW$4+1</f>
        <v>52322</v>
      </c>
      <c r="BY3" s="41" t="n">
        <f aca="false">BX$4+1</f>
        <v>52413</v>
      </c>
      <c r="BZ3" s="41" t="n">
        <f aca="false">BY$4+1</f>
        <v>52505</v>
      </c>
      <c r="CA3" s="41" t="n">
        <f aca="false">BZ$4+1</f>
        <v>52597</v>
      </c>
      <c r="CB3" s="41" t="n">
        <f aca="false">CA$4+1</f>
        <v>52688</v>
      </c>
      <c r="CC3" s="41" t="n">
        <f aca="false">CB$4+1</f>
        <v>52779</v>
      </c>
      <c r="CD3" s="41" t="n">
        <f aca="false">CC$4+1</f>
        <v>52871</v>
      </c>
      <c r="CE3" s="41" t="n">
        <f aca="false">CD$4+1</f>
        <v>52963</v>
      </c>
      <c r="CF3" s="41" t="n">
        <f aca="false">CE$4+1</f>
        <v>53053</v>
      </c>
      <c r="CG3" s="41" t="n">
        <f aca="false">CF$4+1</f>
        <v>53144</v>
      </c>
      <c r="CH3" s="41" t="n">
        <f aca="false">CG$4+1</f>
        <v>53236</v>
      </c>
      <c r="CI3" s="41" t="n">
        <f aca="false">CH$4+1</f>
        <v>53328</v>
      </c>
      <c r="CJ3" s="41" t="n">
        <f aca="false">CI$4+1</f>
        <v>53418</v>
      </c>
      <c r="CK3" s="41" t="n">
        <f aca="false">CJ$4+1</f>
        <v>53509</v>
      </c>
      <c r="CL3" s="41" t="n">
        <f aca="false">CK$4+1</f>
        <v>53601</v>
      </c>
      <c r="CM3" s="41" t="n">
        <f aca="false">CL$4+1</f>
        <v>53693</v>
      </c>
      <c r="CN3" s="41" t="n">
        <f aca="false">CM$4+1</f>
        <v>53783</v>
      </c>
      <c r="CO3" s="41" t="n">
        <f aca="false">CN$4+1</f>
        <v>53874</v>
      </c>
      <c r="CP3" s="41" t="n">
        <f aca="false">CO$4+1</f>
        <v>53966</v>
      </c>
      <c r="CQ3" s="41" t="n">
        <f aca="false">CP$4+1</f>
        <v>54058</v>
      </c>
      <c r="CR3" s="41" t="n">
        <f aca="false">CQ$4+1</f>
        <v>54149</v>
      </c>
      <c r="CS3" s="41" t="n">
        <f aca="false">CR$4+1</f>
        <v>54240</v>
      </c>
      <c r="CT3" s="41" t="n">
        <f aca="false">CS$4+1</f>
        <v>54332</v>
      </c>
      <c r="CU3" s="41" t="n">
        <f aca="false">CT$4+1</f>
        <v>54424</v>
      </c>
      <c r="CV3" s="41" t="n">
        <f aca="false">CU$4+1</f>
        <v>54514</v>
      </c>
      <c r="CW3" s="41" t="n">
        <f aca="false">CV$4+1</f>
        <v>54605</v>
      </c>
      <c r="CX3" s="41" t="n">
        <f aca="false">CW$4+1</f>
        <v>54697</v>
      </c>
      <c r="CY3" s="41" t="n">
        <f aca="false">CX$4+1</f>
        <v>54789</v>
      </c>
      <c r="CZ3" s="41" t="n">
        <f aca="false">CY$4+1</f>
        <v>54879</v>
      </c>
      <c r="DA3" s="41" t="n">
        <f aca="false">CZ$4+1</f>
        <v>54970</v>
      </c>
      <c r="DB3" s="41" t="n">
        <f aca="false">DA$4+1</f>
        <v>55062</v>
      </c>
      <c r="DC3" s="41" t="n">
        <f aca="false">DB$4+1</f>
        <v>55154</v>
      </c>
      <c r="DD3" s="41" t="n">
        <f aca="false">DC$4+1</f>
        <v>55244</v>
      </c>
      <c r="DE3" s="41" t="n">
        <f aca="false">DD$4+1</f>
        <v>55335</v>
      </c>
      <c r="DF3" s="41" t="n">
        <f aca="false">DE$4+1</f>
        <v>55427</v>
      </c>
      <c r="DG3" s="41" t="n">
        <f aca="false">DF$4+1</f>
        <v>55519</v>
      </c>
      <c r="DH3" s="41" t="n">
        <f aca="false">DG$4+1</f>
        <v>55610</v>
      </c>
      <c r="DI3" s="41" t="n">
        <f aca="false">DH$4+1</f>
        <v>55701</v>
      </c>
      <c r="DJ3" s="41" t="n">
        <f aca="false">DI$4+1</f>
        <v>55793</v>
      </c>
      <c r="DK3" s="41" t="n">
        <f aca="false">DJ$4+1</f>
        <v>55885</v>
      </c>
      <c r="DL3" s="41" t="n">
        <f aca="false">DK$4+1</f>
        <v>55975</v>
      </c>
      <c r="DM3" s="41" t="n">
        <f aca="false">DL$4+1</f>
        <v>56066</v>
      </c>
      <c r="DN3" s="41" t="n">
        <f aca="false">DM$4+1</f>
        <v>56158</v>
      </c>
      <c r="DO3" s="41" t="n">
        <f aca="false">DN$4+1</f>
        <v>56250</v>
      </c>
      <c r="DP3" s="41" t="n">
        <f aca="false">DO$4+1</f>
        <v>56340</v>
      </c>
      <c r="DQ3" s="41" t="n">
        <f aca="false">DP$4+1</f>
        <v>56431</v>
      </c>
      <c r="DR3" s="41" t="n">
        <f aca="false">DQ$4+1</f>
        <v>56523</v>
      </c>
      <c r="DS3" s="41" t="n">
        <f aca="false">DR$4+1</f>
        <v>56615</v>
      </c>
      <c r="DT3" s="41" t="n">
        <f aca="false">DS$4+1</f>
        <v>56705</v>
      </c>
      <c r="DU3" s="41" t="n">
        <f aca="false">DT$4+1</f>
        <v>56796</v>
      </c>
      <c r="DV3" s="41" t="n">
        <f aca="false">DU$4+1</f>
        <v>56888</v>
      </c>
      <c r="DW3" s="41" t="n">
        <f aca="false">DV$4+1</f>
        <v>56980</v>
      </c>
      <c r="DX3" s="41" t="n">
        <f aca="false">DW$4+1</f>
        <v>57071</v>
      </c>
      <c r="DY3" s="41" t="n">
        <f aca="false">DX$4+1</f>
        <v>57162</v>
      </c>
      <c r="DZ3" s="41" t="n">
        <f aca="false">DY$4+1</f>
        <v>57254</v>
      </c>
      <c r="EA3" s="41" t="n">
        <f aca="false">DZ$4+1</f>
        <v>57346</v>
      </c>
      <c r="EB3" s="41" t="n">
        <f aca="false">EA$4+1</f>
        <v>57436</v>
      </c>
      <c r="EC3" s="41" t="n">
        <f aca="false">EB$4+1</f>
        <v>57527</v>
      </c>
      <c r="ED3" s="41" t="n">
        <f aca="false">EC$4+1</f>
        <v>57619</v>
      </c>
      <c r="EE3" s="41" t="n">
        <f aca="false">ED$4+1</f>
        <v>57711</v>
      </c>
      <c r="EF3" s="41" t="n">
        <f aca="false">EE$4+1</f>
        <v>57801</v>
      </c>
      <c r="EG3" s="41" t="n">
        <f aca="false">EF$4+1</f>
        <v>57892</v>
      </c>
      <c r="EH3" s="41" t="n">
        <f aca="false">EG$4+1</f>
        <v>57984</v>
      </c>
      <c r="EI3" s="41" t="n">
        <f aca="false">EH$4+1</f>
        <v>58076</v>
      </c>
      <c r="EJ3" s="41" t="n">
        <f aca="false">EI$4+1</f>
        <v>58166</v>
      </c>
      <c r="EK3" s="41" t="n">
        <f aca="false">EJ$4+1</f>
        <v>58257</v>
      </c>
      <c r="EL3" s="41" t="n">
        <f aca="false">EK$4+1</f>
        <v>58349</v>
      </c>
      <c r="EM3" s="41" t="n">
        <f aca="false">EL$4+1</f>
        <v>58441</v>
      </c>
      <c r="EN3" s="41" t="n">
        <f aca="false">EM$4+1</f>
        <v>58532</v>
      </c>
      <c r="EO3" s="41" t="n">
        <f aca="false">EN$4+1</f>
        <v>58623</v>
      </c>
    </row>
    <row r="4" customFormat="false" ht="15" hidden="false" customHeight="false" outlineLevel="0" collapsed="false">
      <c r="C4" s="0" t="s">
        <v>324</v>
      </c>
      <c r="D4" s="11" t="s">
        <v>36</v>
      </c>
      <c r="I4" s="41" t="n">
        <f aca="false">In_Model_Start-1</f>
        <v>46295</v>
      </c>
      <c r="J4" s="51" t="n">
        <f aca="false">EOMONTH(J$3,Months_Per_Period-1)</f>
        <v>46387</v>
      </c>
      <c r="K4" s="51" t="n">
        <f aca="false">EOMONTH(K$3,Months_Per_Period-1)</f>
        <v>46477</v>
      </c>
      <c r="L4" s="51" t="n">
        <f aca="false">EOMONTH(L$3,Months_Per_Period-1)</f>
        <v>46568</v>
      </c>
      <c r="M4" s="51" t="n">
        <f aca="false">EOMONTH(M$3,Months_Per_Period-1)</f>
        <v>46660</v>
      </c>
      <c r="N4" s="51" t="n">
        <f aca="false">EOMONTH(N$3,Months_Per_Period-1)</f>
        <v>46752</v>
      </c>
      <c r="O4" s="51" t="n">
        <f aca="false">EOMONTH(O$3,Months_Per_Period-1)</f>
        <v>46843</v>
      </c>
      <c r="P4" s="51" t="n">
        <f aca="false">EOMONTH(P$3,Months_Per_Period-1)</f>
        <v>46934</v>
      </c>
      <c r="Q4" s="51" t="n">
        <f aca="false">EOMONTH(Q$3,Months_Per_Period-1)</f>
        <v>47026</v>
      </c>
      <c r="R4" s="51" t="n">
        <f aca="false">EOMONTH(R$3,Months_Per_Period-1)</f>
        <v>47118</v>
      </c>
      <c r="S4" s="51" t="n">
        <f aca="false">EOMONTH(S$3,Months_Per_Period-1)</f>
        <v>47208</v>
      </c>
      <c r="T4" s="51" t="n">
        <f aca="false">EOMONTH(T$3,Months_Per_Period-1)</f>
        <v>47299</v>
      </c>
      <c r="U4" s="51" t="n">
        <f aca="false">EOMONTH(U$3,Months_Per_Period-1)</f>
        <v>47391</v>
      </c>
      <c r="V4" s="51" t="n">
        <f aca="false">EOMONTH(V$3,Months_Per_Period-1)</f>
        <v>47483</v>
      </c>
      <c r="W4" s="51" t="n">
        <f aca="false">EOMONTH(W$3,Months_Per_Period-1)</f>
        <v>47573</v>
      </c>
      <c r="X4" s="51" t="n">
        <f aca="false">EOMONTH(X$3,Months_Per_Period-1)</f>
        <v>47664</v>
      </c>
      <c r="Y4" s="51" t="n">
        <f aca="false">EOMONTH(Y$3,Months_Per_Period-1)</f>
        <v>47756</v>
      </c>
      <c r="Z4" s="51" t="n">
        <f aca="false">EOMONTH(Z$3,Months_Per_Period-1)</f>
        <v>47848</v>
      </c>
      <c r="AA4" s="51" t="n">
        <f aca="false">EOMONTH(AA$3,Months_Per_Period-1)</f>
        <v>47938</v>
      </c>
      <c r="AB4" s="51" t="n">
        <f aca="false">EOMONTH(AB$3,Months_Per_Period-1)</f>
        <v>48029</v>
      </c>
      <c r="AC4" s="51" t="n">
        <f aca="false">EOMONTH(AC$3,Months_Per_Period-1)</f>
        <v>48121</v>
      </c>
      <c r="AD4" s="51" t="n">
        <f aca="false">EOMONTH(AD$3,Months_Per_Period-1)</f>
        <v>48213</v>
      </c>
      <c r="AE4" s="51" t="n">
        <f aca="false">EOMONTH(AE$3,Months_Per_Period-1)</f>
        <v>48304</v>
      </c>
      <c r="AF4" s="51" t="n">
        <f aca="false">EOMONTH(AF$3,Months_Per_Period-1)</f>
        <v>48395</v>
      </c>
      <c r="AG4" s="51" t="n">
        <f aca="false">EOMONTH(AG$3,Months_Per_Period-1)</f>
        <v>48487</v>
      </c>
      <c r="AH4" s="51" t="n">
        <f aca="false">EOMONTH(AH$3,Months_Per_Period-1)</f>
        <v>48579</v>
      </c>
      <c r="AI4" s="51" t="n">
        <f aca="false">EOMONTH(AI$3,Months_Per_Period-1)</f>
        <v>48669</v>
      </c>
      <c r="AJ4" s="51" t="n">
        <f aca="false">EOMONTH(AJ$3,Months_Per_Period-1)</f>
        <v>48760</v>
      </c>
      <c r="AK4" s="51" t="n">
        <f aca="false">EOMONTH(AK$3,Months_Per_Period-1)</f>
        <v>48852</v>
      </c>
      <c r="AL4" s="51" t="n">
        <f aca="false">EOMONTH(AL$3,Months_Per_Period-1)</f>
        <v>48944</v>
      </c>
      <c r="AM4" s="51" t="n">
        <f aca="false">EOMONTH(AM$3,Months_Per_Period-1)</f>
        <v>49034</v>
      </c>
      <c r="AN4" s="51" t="n">
        <f aca="false">EOMONTH(AN$3,Months_Per_Period-1)</f>
        <v>49125</v>
      </c>
      <c r="AO4" s="51" t="n">
        <f aca="false">EOMONTH(AO$3,Months_Per_Period-1)</f>
        <v>49217</v>
      </c>
      <c r="AP4" s="51" t="n">
        <f aca="false">EOMONTH(AP$3,Months_Per_Period-1)</f>
        <v>49309</v>
      </c>
      <c r="AQ4" s="51" t="n">
        <f aca="false">EOMONTH(AQ$3,Months_Per_Period-1)</f>
        <v>49399</v>
      </c>
      <c r="AR4" s="51" t="n">
        <f aca="false">EOMONTH(AR$3,Months_Per_Period-1)</f>
        <v>49490</v>
      </c>
      <c r="AS4" s="51" t="n">
        <f aca="false">EOMONTH(AS$3,Months_Per_Period-1)</f>
        <v>49582</v>
      </c>
      <c r="AT4" s="51" t="n">
        <f aca="false">EOMONTH(AT$3,Months_Per_Period-1)</f>
        <v>49674</v>
      </c>
      <c r="AU4" s="51" t="n">
        <f aca="false">EOMONTH(AU$3,Months_Per_Period-1)</f>
        <v>49765</v>
      </c>
      <c r="AV4" s="51" t="n">
        <f aca="false">EOMONTH(AV$3,Months_Per_Period-1)</f>
        <v>49856</v>
      </c>
      <c r="AW4" s="51" t="n">
        <f aca="false">EOMONTH(AW$3,Months_Per_Period-1)</f>
        <v>49948</v>
      </c>
      <c r="AX4" s="51" t="n">
        <f aca="false">EOMONTH(AX$3,Months_Per_Period-1)</f>
        <v>50040</v>
      </c>
      <c r="AY4" s="51" t="n">
        <f aca="false">EOMONTH(AY$3,Months_Per_Period-1)</f>
        <v>50130</v>
      </c>
      <c r="AZ4" s="51" t="n">
        <f aca="false">EOMONTH(AZ$3,Months_Per_Period-1)</f>
        <v>50221</v>
      </c>
      <c r="BA4" s="51" t="n">
        <f aca="false">EOMONTH(BA$3,Months_Per_Period-1)</f>
        <v>50313</v>
      </c>
      <c r="BB4" s="51" t="n">
        <f aca="false">EOMONTH(BB$3,Months_Per_Period-1)</f>
        <v>50405</v>
      </c>
      <c r="BC4" s="51" t="n">
        <f aca="false">EOMONTH(BC$3,Months_Per_Period-1)</f>
        <v>50495</v>
      </c>
      <c r="BD4" s="51" t="n">
        <f aca="false">EOMONTH(BD$3,Months_Per_Period-1)</f>
        <v>50586</v>
      </c>
      <c r="BE4" s="51" t="n">
        <f aca="false">EOMONTH(BE$3,Months_Per_Period-1)</f>
        <v>50678</v>
      </c>
      <c r="BF4" s="51" t="n">
        <f aca="false">EOMONTH(BF$3,Months_Per_Period-1)</f>
        <v>50770</v>
      </c>
      <c r="BG4" s="51" t="n">
        <f aca="false">EOMONTH(BG$3,Months_Per_Period-1)</f>
        <v>50860</v>
      </c>
      <c r="BH4" s="51" t="n">
        <f aca="false">EOMONTH(BH$3,Months_Per_Period-1)</f>
        <v>50951</v>
      </c>
      <c r="BI4" s="51" t="n">
        <f aca="false">EOMONTH(BI$3,Months_Per_Period-1)</f>
        <v>51043</v>
      </c>
      <c r="BJ4" s="51" t="n">
        <f aca="false">EOMONTH(BJ$3,Months_Per_Period-1)</f>
        <v>51135</v>
      </c>
      <c r="BK4" s="51" t="n">
        <f aca="false">EOMONTH(BK$3,Months_Per_Period-1)</f>
        <v>51226</v>
      </c>
      <c r="BL4" s="51" t="n">
        <f aca="false">EOMONTH(BL$3,Months_Per_Period-1)</f>
        <v>51317</v>
      </c>
      <c r="BM4" s="51" t="n">
        <f aca="false">EOMONTH(BM$3,Months_Per_Period-1)</f>
        <v>51409</v>
      </c>
      <c r="BN4" s="51" t="n">
        <f aca="false">EOMONTH(BN$3,Months_Per_Period-1)</f>
        <v>51501</v>
      </c>
      <c r="BO4" s="51" t="n">
        <f aca="false">EOMONTH(BO$3,Months_Per_Period-1)</f>
        <v>51591</v>
      </c>
      <c r="BP4" s="51" t="n">
        <f aca="false">EOMONTH(BP$3,Months_Per_Period-1)</f>
        <v>51682</v>
      </c>
      <c r="BQ4" s="51" t="n">
        <f aca="false">EOMONTH(BQ$3,Months_Per_Period-1)</f>
        <v>51774</v>
      </c>
      <c r="BR4" s="51" t="n">
        <f aca="false">EOMONTH(BR$3,Months_Per_Period-1)</f>
        <v>51866</v>
      </c>
      <c r="BS4" s="51" t="n">
        <f aca="false">EOMONTH(BS$3,Months_Per_Period-1)</f>
        <v>51956</v>
      </c>
      <c r="BT4" s="51" t="n">
        <f aca="false">EOMONTH(BT$3,Months_Per_Period-1)</f>
        <v>52047</v>
      </c>
      <c r="BU4" s="51" t="n">
        <f aca="false">EOMONTH(BU$3,Months_Per_Period-1)</f>
        <v>52139</v>
      </c>
      <c r="BV4" s="51" t="n">
        <f aca="false">EOMONTH(BV$3,Months_Per_Period-1)</f>
        <v>52231</v>
      </c>
      <c r="BW4" s="51" t="n">
        <f aca="false">EOMONTH(BW$3,Months_Per_Period-1)</f>
        <v>52321</v>
      </c>
      <c r="BX4" s="51" t="n">
        <f aca="false">EOMONTH(BX$3,Months_Per_Period-1)</f>
        <v>52412</v>
      </c>
      <c r="BY4" s="51" t="n">
        <f aca="false">EOMONTH(BY$3,Months_Per_Period-1)</f>
        <v>52504</v>
      </c>
      <c r="BZ4" s="51" t="n">
        <f aca="false">EOMONTH(BZ$3,Months_Per_Period-1)</f>
        <v>52596</v>
      </c>
      <c r="CA4" s="51" t="n">
        <f aca="false">EOMONTH(CA$3,Months_Per_Period-1)</f>
        <v>52687</v>
      </c>
      <c r="CB4" s="51" t="n">
        <f aca="false">EOMONTH(CB$3,Months_Per_Period-1)</f>
        <v>52778</v>
      </c>
      <c r="CC4" s="51" t="n">
        <f aca="false">EOMONTH(CC$3,Months_Per_Period-1)</f>
        <v>52870</v>
      </c>
      <c r="CD4" s="51" t="n">
        <f aca="false">EOMONTH(CD$3,Months_Per_Period-1)</f>
        <v>52962</v>
      </c>
      <c r="CE4" s="51" t="n">
        <f aca="false">EOMONTH(CE$3,Months_Per_Period-1)</f>
        <v>53052</v>
      </c>
      <c r="CF4" s="51" t="n">
        <f aca="false">EOMONTH(CF$3,Months_Per_Period-1)</f>
        <v>53143</v>
      </c>
      <c r="CG4" s="51" t="n">
        <f aca="false">EOMONTH(CG$3,Months_Per_Period-1)</f>
        <v>53235</v>
      </c>
      <c r="CH4" s="51" t="n">
        <f aca="false">EOMONTH(CH$3,Months_Per_Period-1)</f>
        <v>53327</v>
      </c>
      <c r="CI4" s="51" t="n">
        <f aca="false">EOMONTH(CI$3,Months_Per_Period-1)</f>
        <v>53417</v>
      </c>
      <c r="CJ4" s="51" t="n">
        <f aca="false">EOMONTH(CJ$3,Months_Per_Period-1)</f>
        <v>53508</v>
      </c>
      <c r="CK4" s="51" t="n">
        <f aca="false">EOMONTH(CK$3,Months_Per_Period-1)</f>
        <v>53600</v>
      </c>
      <c r="CL4" s="51" t="n">
        <f aca="false">EOMONTH(CL$3,Months_Per_Period-1)</f>
        <v>53692</v>
      </c>
      <c r="CM4" s="51" t="n">
        <f aca="false">EOMONTH(CM$3,Months_Per_Period-1)</f>
        <v>53782</v>
      </c>
      <c r="CN4" s="51" t="n">
        <f aca="false">EOMONTH(CN$3,Months_Per_Period-1)</f>
        <v>53873</v>
      </c>
      <c r="CO4" s="51" t="n">
        <f aca="false">EOMONTH(CO$3,Months_Per_Period-1)</f>
        <v>53965</v>
      </c>
      <c r="CP4" s="51" t="n">
        <f aca="false">EOMONTH(CP$3,Months_Per_Period-1)</f>
        <v>54057</v>
      </c>
      <c r="CQ4" s="51" t="n">
        <f aca="false">EOMONTH(CQ$3,Months_Per_Period-1)</f>
        <v>54148</v>
      </c>
      <c r="CR4" s="51" t="n">
        <f aca="false">EOMONTH(CR$3,Months_Per_Period-1)</f>
        <v>54239</v>
      </c>
      <c r="CS4" s="51" t="n">
        <f aca="false">EOMONTH(CS$3,Months_Per_Period-1)</f>
        <v>54331</v>
      </c>
      <c r="CT4" s="51" t="n">
        <f aca="false">EOMONTH(CT$3,Months_Per_Period-1)</f>
        <v>54423</v>
      </c>
      <c r="CU4" s="51" t="n">
        <f aca="false">EOMONTH(CU$3,Months_Per_Period-1)</f>
        <v>54513</v>
      </c>
      <c r="CV4" s="51" t="n">
        <f aca="false">EOMONTH(CV$3,Months_Per_Period-1)</f>
        <v>54604</v>
      </c>
      <c r="CW4" s="51" t="n">
        <f aca="false">EOMONTH(CW$3,Months_Per_Period-1)</f>
        <v>54696</v>
      </c>
      <c r="CX4" s="51" t="n">
        <f aca="false">EOMONTH(CX$3,Months_Per_Period-1)</f>
        <v>54788</v>
      </c>
      <c r="CY4" s="51" t="n">
        <f aca="false">EOMONTH(CY$3,Months_Per_Period-1)</f>
        <v>54878</v>
      </c>
      <c r="CZ4" s="51" t="n">
        <f aca="false">EOMONTH(CZ$3,Months_Per_Period-1)</f>
        <v>54969</v>
      </c>
      <c r="DA4" s="51" t="n">
        <f aca="false">EOMONTH(DA$3,Months_Per_Period-1)</f>
        <v>55061</v>
      </c>
      <c r="DB4" s="51" t="n">
        <f aca="false">EOMONTH(DB$3,Months_Per_Period-1)</f>
        <v>55153</v>
      </c>
      <c r="DC4" s="51" t="n">
        <f aca="false">EOMONTH(DC$3,Months_Per_Period-1)</f>
        <v>55243</v>
      </c>
      <c r="DD4" s="51" t="n">
        <f aca="false">EOMONTH(DD$3,Months_Per_Period-1)</f>
        <v>55334</v>
      </c>
      <c r="DE4" s="51" t="n">
        <f aca="false">EOMONTH(DE$3,Months_Per_Period-1)</f>
        <v>55426</v>
      </c>
      <c r="DF4" s="51" t="n">
        <f aca="false">EOMONTH(DF$3,Months_Per_Period-1)</f>
        <v>55518</v>
      </c>
      <c r="DG4" s="51" t="n">
        <f aca="false">EOMONTH(DG$3,Months_Per_Period-1)</f>
        <v>55609</v>
      </c>
      <c r="DH4" s="51" t="n">
        <f aca="false">EOMONTH(DH$3,Months_Per_Period-1)</f>
        <v>55700</v>
      </c>
      <c r="DI4" s="51" t="n">
        <f aca="false">EOMONTH(DI$3,Months_Per_Period-1)</f>
        <v>55792</v>
      </c>
      <c r="DJ4" s="51" t="n">
        <f aca="false">EOMONTH(DJ$3,Months_Per_Period-1)</f>
        <v>55884</v>
      </c>
      <c r="DK4" s="51" t="n">
        <f aca="false">EOMONTH(DK$3,Months_Per_Period-1)</f>
        <v>55974</v>
      </c>
      <c r="DL4" s="51" t="n">
        <f aca="false">EOMONTH(DL$3,Months_Per_Period-1)</f>
        <v>56065</v>
      </c>
      <c r="DM4" s="51" t="n">
        <f aca="false">EOMONTH(DM$3,Months_Per_Period-1)</f>
        <v>56157</v>
      </c>
      <c r="DN4" s="51" t="n">
        <f aca="false">EOMONTH(DN$3,Months_Per_Period-1)</f>
        <v>56249</v>
      </c>
      <c r="DO4" s="51" t="n">
        <f aca="false">EOMONTH(DO$3,Months_Per_Period-1)</f>
        <v>56339</v>
      </c>
      <c r="DP4" s="51" t="n">
        <f aca="false">EOMONTH(DP$3,Months_Per_Period-1)</f>
        <v>56430</v>
      </c>
      <c r="DQ4" s="51" t="n">
        <f aca="false">EOMONTH(DQ$3,Months_Per_Period-1)</f>
        <v>56522</v>
      </c>
      <c r="DR4" s="51" t="n">
        <f aca="false">EOMONTH(DR$3,Months_Per_Period-1)</f>
        <v>56614</v>
      </c>
      <c r="DS4" s="51" t="n">
        <f aca="false">EOMONTH(DS$3,Months_Per_Period-1)</f>
        <v>56704</v>
      </c>
      <c r="DT4" s="51" t="n">
        <f aca="false">EOMONTH(DT$3,Months_Per_Period-1)</f>
        <v>56795</v>
      </c>
      <c r="DU4" s="51" t="n">
        <f aca="false">EOMONTH(DU$3,Months_Per_Period-1)</f>
        <v>56887</v>
      </c>
      <c r="DV4" s="51" t="n">
        <f aca="false">EOMONTH(DV$3,Months_Per_Period-1)</f>
        <v>56979</v>
      </c>
      <c r="DW4" s="51" t="n">
        <f aca="false">EOMONTH(DW$3,Months_Per_Period-1)</f>
        <v>57070</v>
      </c>
      <c r="DX4" s="51" t="n">
        <f aca="false">EOMONTH(DX$3,Months_Per_Period-1)</f>
        <v>57161</v>
      </c>
      <c r="DY4" s="51" t="n">
        <f aca="false">EOMONTH(DY$3,Months_Per_Period-1)</f>
        <v>57253</v>
      </c>
      <c r="DZ4" s="51" t="n">
        <f aca="false">EOMONTH(DZ$3,Months_Per_Period-1)</f>
        <v>57345</v>
      </c>
      <c r="EA4" s="51" t="n">
        <f aca="false">EOMONTH(EA$3,Months_Per_Period-1)</f>
        <v>57435</v>
      </c>
      <c r="EB4" s="51" t="n">
        <f aca="false">EOMONTH(EB$3,Months_Per_Period-1)</f>
        <v>57526</v>
      </c>
      <c r="EC4" s="51" t="n">
        <f aca="false">EOMONTH(EC$3,Months_Per_Period-1)</f>
        <v>57618</v>
      </c>
      <c r="ED4" s="51" t="n">
        <f aca="false">EOMONTH(ED$3,Months_Per_Period-1)</f>
        <v>57710</v>
      </c>
      <c r="EE4" s="51" t="n">
        <f aca="false">EOMONTH(EE$3,Months_Per_Period-1)</f>
        <v>57800</v>
      </c>
      <c r="EF4" s="51" t="n">
        <f aca="false">EOMONTH(EF$3,Months_Per_Period-1)</f>
        <v>57891</v>
      </c>
      <c r="EG4" s="51" t="n">
        <f aca="false">EOMONTH(EG$3,Months_Per_Period-1)</f>
        <v>57983</v>
      </c>
      <c r="EH4" s="51" t="n">
        <f aca="false">EOMONTH(EH$3,Months_Per_Period-1)</f>
        <v>58075</v>
      </c>
      <c r="EI4" s="51" t="n">
        <f aca="false">EOMONTH(EI$3,Months_Per_Period-1)</f>
        <v>58165</v>
      </c>
      <c r="EJ4" s="51" t="n">
        <f aca="false">EOMONTH(EJ$3,Months_Per_Period-1)</f>
        <v>58256</v>
      </c>
      <c r="EK4" s="51" t="n">
        <f aca="false">EOMONTH(EK$3,Months_Per_Period-1)</f>
        <v>58348</v>
      </c>
      <c r="EL4" s="51" t="n">
        <f aca="false">EOMONTH(EL$3,Months_Per_Period-1)</f>
        <v>58440</v>
      </c>
      <c r="EM4" s="51" t="n">
        <f aca="false">EOMONTH(EM$3,Months_Per_Period-1)</f>
        <v>58531</v>
      </c>
      <c r="EN4" s="51" t="n">
        <f aca="false">EOMONTH(EN$3,Months_Per_Period-1)</f>
        <v>58622</v>
      </c>
      <c r="EO4" s="51" t="n">
        <f aca="false">EOMONTH(EO$3,Months_Per_Period-1)</f>
        <v>58714</v>
      </c>
    </row>
    <row r="5" customFormat="false" ht="15" hidden="false" customHeight="false" outlineLevel="0" collapsed="false">
      <c r="C5" s="0" t="s">
        <v>325</v>
      </c>
      <c r="D5" s="11" t="s">
        <v>155</v>
      </c>
      <c r="J5" s="39" t="n">
        <f aca="false">J$4-J$3+1</f>
        <v>92</v>
      </c>
      <c r="K5" s="39" t="n">
        <f aca="false">K$4-K$3+1</f>
        <v>90</v>
      </c>
      <c r="L5" s="39" t="n">
        <f aca="false">L$4-L$3+1</f>
        <v>91</v>
      </c>
      <c r="M5" s="39" t="n">
        <f aca="false">M$4-M$3+1</f>
        <v>92</v>
      </c>
      <c r="N5" s="39" t="n">
        <f aca="false">N$4-N$3+1</f>
        <v>92</v>
      </c>
      <c r="O5" s="39" t="n">
        <f aca="false">O$4-O$3+1</f>
        <v>91</v>
      </c>
      <c r="P5" s="39" t="n">
        <f aca="false">P$4-P$3+1</f>
        <v>91</v>
      </c>
      <c r="Q5" s="39" t="n">
        <f aca="false">Q$4-Q$3+1</f>
        <v>92</v>
      </c>
      <c r="R5" s="39" t="n">
        <f aca="false">R$4-R$3+1</f>
        <v>92</v>
      </c>
      <c r="S5" s="39" t="n">
        <f aca="false">S$4-S$3+1</f>
        <v>90</v>
      </c>
      <c r="T5" s="39" t="n">
        <f aca="false">T$4-T$3+1</f>
        <v>91</v>
      </c>
      <c r="U5" s="39" t="n">
        <f aca="false">U$4-U$3+1</f>
        <v>92</v>
      </c>
      <c r="V5" s="39" t="n">
        <f aca="false">V$4-V$3+1</f>
        <v>92</v>
      </c>
      <c r="W5" s="39" t="n">
        <f aca="false">W$4-W$3+1</f>
        <v>90</v>
      </c>
      <c r="X5" s="39" t="n">
        <f aca="false">X$4-X$3+1</f>
        <v>91</v>
      </c>
      <c r="Y5" s="39" t="n">
        <f aca="false">Y$4-Y$3+1</f>
        <v>92</v>
      </c>
      <c r="Z5" s="39" t="n">
        <f aca="false">Z$4-Z$3+1</f>
        <v>92</v>
      </c>
      <c r="AA5" s="39" t="n">
        <f aca="false">AA$4-AA$3+1</f>
        <v>90</v>
      </c>
      <c r="AB5" s="39" t="n">
        <f aca="false">AB$4-AB$3+1</f>
        <v>91</v>
      </c>
      <c r="AC5" s="39" t="n">
        <f aca="false">AC$4-AC$3+1</f>
        <v>92</v>
      </c>
      <c r="AD5" s="39" t="n">
        <f aca="false">AD$4-AD$3+1</f>
        <v>92</v>
      </c>
      <c r="AE5" s="39" t="n">
        <f aca="false">AE$4-AE$3+1</f>
        <v>91</v>
      </c>
      <c r="AF5" s="39" t="n">
        <f aca="false">AF$4-AF$3+1</f>
        <v>91</v>
      </c>
      <c r="AG5" s="39" t="n">
        <f aca="false">AG$4-AG$3+1</f>
        <v>92</v>
      </c>
      <c r="AH5" s="39" t="n">
        <f aca="false">AH$4-AH$3+1</f>
        <v>92</v>
      </c>
      <c r="AI5" s="39" t="n">
        <f aca="false">AI$4-AI$3+1</f>
        <v>90</v>
      </c>
      <c r="AJ5" s="39" t="n">
        <f aca="false">AJ$4-AJ$3+1</f>
        <v>91</v>
      </c>
      <c r="AK5" s="39" t="n">
        <f aca="false">AK$4-AK$3+1</f>
        <v>92</v>
      </c>
      <c r="AL5" s="39" t="n">
        <f aca="false">AL$4-AL$3+1</f>
        <v>92</v>
      </c>
      <c r="AM5" s="39" t="n">
        <f aca="false">AM$4-AM$3+1</f>
        <v>90</v>
      </c>
      <c r="AN5" s="39" t="n">
        <f aca="false">AN$4-AN$3+1</f>
        <v>91</v>
      </c>
      <c r="AO5" s="39" t="n">
        <f aca="false">AO$4-AO$3+1</f>
        <v>92</v>
      </c>
      <c r="AP5" s="39" t="n">
        <f aca="false">AP$4-AP$3+1</f>
        <v>92</v>
      </c>
      <c r="AQ5" s="39" t="n">
        <f aca="false">AQ$4-AQ$3+1</f>
        <v>90</v>
      </c>
      <c r="AR5" s="39" t="n">
        <f aca="false">AR$4-AR$3+1</f>
        <v>91</v>
      </c>
      <c r="AS5" s="39" t="n">
        <f aca="false">AS$4-AS$3+1</f>
        <v>92</v>
      </c>
      <c r="AT5" s="39" t="n">
        <f aca="false">AT$4-AT$3+1</f>
        <v>92</v>
      </c>
      <c r="AU5" s="39" t="n">
        <f aca="false">AU$4-AU$3+1</f>
        <v>91</v>
      </c>
      <c r="AV5" s="39" t="n">
        <f aca="false">AV$4-AV$3+1</f>
        <v>91</v>
      </c>
      <c r="AW5" s="39" t="n">
        <f aca="false">AW$4-AW$3+1</f>
        <v>92</v>
      </c>
      <c r="AX5" s="39" t="n">
        <f aca="false">AX$4-AX$3+1</f>
        <v>92</v>
      </c>
      <c r="AY5" s="39" t="n">
        <f aca="false">AY$4-AY$3+1</f>
        <v>90</v>
      </c>
      <c r="AZ5" s="39" t="n">
        <f aca="false">AZ$4-AZ$3+1</f>
        <v>91</v>
      </c>
      <c r="BA5" s="39" t="n">
        <f aca="false">BA$4-BA$3+1</f>
        <v>92</v>
      </c>
      <c r="BB5" s="39" t="n">
        <f aca="false">BB$4-BB$3+1</f>
        <v>92</v>
      </c>
      <c r="BC5" s="39" t="n">
        <f aca="false">BC$4-BC$3+1</f>
        <v>90</v>
      </c>
      <c r="BD5" s="39" t="n">
        <f aca="false">BD$4-BD$3+1</f>
        <v>91</v>
      </c>
      <c r="BE5" s="39" t="n">
        <f aca="false">BE$4-BE$3+1</f>
        <v>92</v>
      </c>
      <c r="BF5" s="39" t="n">
        <f aca="false">BF$4-BF$3+1</f>
        <v>92</v>
      </c>
      <c r="BG5" s="39" t="n">
        <f aca="false">BG$4-BG$3+1</f>
        <v>90</v>
      </c>
      <c r="BH5" s="39" t="n">
        <f aca="false">BH$4-BH$3+1</f>
        <v>91</v>
      </c>
      <c r="BI5" s="39" t="n">
        <f aca="false">BI$4-BI$3+1</f>
        <v>92</v>
      </c>
      <c r="BJ5" s="39" t="n">
        <f aca="false">BJ$4-BJ$3+1</f>
        <v>92</v>
      </c>
      <c r="BK5" s="39" t="n">
        <f aca="false">BK$4-BK$3+1</f>
        <v>91</v>
      </c>
      <c r="BL5" s="39" t="n">
        <f aca="false">BL$4-BL$3+1</f>
        <v>91</v>
      </c>
      <c r="BM5" s="39" t="n">
        <f aca="false">BM$4-BM$3+1</f>
        <v>92</v>
      </c>
      <c r="BN5" s="39" t="n">
        <f aca="false">BN$4-BN$3+1</f>
        <v>92</v>
      </c>
      <c r="BO5" s="39" t="n">
        <f aca="false">BO$4-BO$3+1</f>
        <v>90</v>
      </c>
      <c r="BP5" s="39" t="n">
        <f aca="false">BP$4-BP$3+1</f>
        <v>91</v>
      </c>
      <c r="BQ5" s="39" t="n">
        <f aca="false">BQ$4-BQ$3+1</f>
        <v>92</v>
      </c>
      <c r="BR5" s="39" t="n">
        <f aca="false">BR$4-BR$3+1</f>
        <v>92</v>
      </c>
      <c r="BS5" s="39" t="n">
        <f aca="false">BS$4-BS$3+1</f>
        <v>90</v>
      </c>
      <c r="BT5" s="39" t="n">
        <f aca="false">BT$4-BT$3+1</f>
        <v>91</v>
      </c>
      <c r="BU5" s="39" t="n">
        <f aca="false">BU$4-BU$3+1</f>
        <v>92</v>
      </c>
      <c r="BV5" s="39" t="n">
        <f aca="false">BV$4-BV$3+1</f>
        <v>92</v>
      </c>
      <c r="BW5" s="39" t="n">
        <f aca="false">BW$4-BW$3+1</f>
        <v>90</v>
      </c>
      <c r="BX5" s="39" t="n">
        <f aca="false">BX$4-BX$3+1</f>
        <v>91</v>
      </c>
      <c r="BY5" s="39" t="n">
        <f aca="false">BY$4-BY$3+1</f>
        <v>92</v>
      </c>
      <c r="BZ5" s="39" t="n">
        <f aca="false">BZ$4-BZ$3+1</f>
        <v>92</v>
      </c>
      <c r="CA5" s="39" t="n">
        <f aca="false">CA$4-CA$3+1</f>
        <v>91</v>
      </c>
      <c r="CB5" s="39" t="n">
        <f aca="false">CB$4-CB$3+1</f>
        <v>91</v>
      </c>
      <c r="CC5" s="39" t="n">
        <f aca="false">CC$4-CC$3+1</f>
        <v>92</v>
      </c>
      <c r="CD5" s="39" t="n">
        <f aca="false">CD$4-CD$3+1</f>
        <v>92</v>
      </c>
      <c r="CE5" s="39" t="n">
        <f aca="false">CE$4-CE$3+1</f>
        <v>90</v>
      </c>
      <c r="CF5" s="39" t="n">
        <f aca="false">CF$4-CF$3+1</f>
        <v>91</v>
      </c>
      <c r="CG5" s="39" t="n">
        <f aca="false">CG$4-CG$3+1</f>
        <v>92</v>
      </c>
      <c r="CH5" s="39" t="n">
        <f aca="false">CH$4-CH$3+1</f>
        <v>92</v>
      </c>
      <c r="CI5" s="39" t="n">
        <f aca="false">CI$4-CI$3+1</f>
        <v>90</v>
      </c>
      <c r="CJ5" s="39" t="n">
        <f aca="false">CJ$4-CJ$3+1</f>
        <v>91</v>
      </c>
      <c r="CK5" s="39" t="n">
        <f aca="false">CK$4-CK$3+1</f>
        <v>92</v>
      </c>
      <c r="CL5" s="39" t="n">
        <f aca="false">CL$4-CL$3+1</f>
        <v>92</v>
      </c>
      <c r="CM5" s="39" t="n">
        <f aca="false">CM$4-CM$3+1</f>
        <v>90</v>
      </c>
      <c r="CN5" s="39" t="n">
        <f aca="false">CN$4-CN$3+1</f>
        <v>91</v>
      </c>
      <c r="CO5" s="39" t="n">
        <f aca="false">CO$4-CO$3+1</f>
        <v>92</v>
      </c>
      <c r="CP5" s="39" t="n">
        <f aca="false">CP$4-CP$3+1</f>
        <v>92</v>
      </c>
      <c r="CQ5" s="39" t="n">
        <f aca="false">CQ$4-CQ$3+1</f>
        <v>91</v>
      </c>
      <c r="CR5" s="39" t="n">
        <f aca="false">CR$4-CR$3+1</f>
        <v>91</v>
      </c>
      <c r="CS5" s="39" t="n">
        <f aca="false">CS$4-CS$3+1</f>
        <v>92</v>
      </c>
      <c r="CT5" s="39" t="n">
        <f aca="false">CT$4-CT$3+1</f>
        <v>92</v>
      </c>
      <c r="CU5" s="39" t="n">
        <f aca="false">CU$4-CU$3+1</f>
        <v>90</v>
      </c>
      <c r="CV5" s="39" t="n">
        <f aca="false">CV$4-CV$3+1</f>
        <v>91</v>
      </c>
      <c r="CW5" s="39" t="n">
        <f aca="false">CW$4-CW$3+1</f>
        <v>92</v>
      </c>
      <c r="CX5" s="39" t="n">
        <f aca="false">CX$4-CX$3+1</f>
        <v>92</v>
      </c>
      <c r="CY5" s="39" t="n">
        <f aca="false">CY$4-CY$3+1</f>
        <v>90</v>
      </c>
      <c r="CZ5" s="39" t="n">
        <f aca="false">CZ$4-CZ$3+1</f>
        <v>91</v>
      </c>
      <c r="DA5" s="39" t="n">
        <f aca="false">DA$4-DA$3+1</f>
        <v>92</v>
      </c>
      <c r="DB5" s="39" t="n">
        <f aca="false">DB$4-DB$3+1</f>
        <v>92</v>
      </c>
      <c r="DC5" s="39" t="n">
        <f aca="false">DC$4-DC$3+1</f>
        <v>90</v>
      </c>
      <c r="DD5" s="39" t="n">
        <f aca="false">DD$4-DD$3+1</f>
        <v>91</v>
      </c>
      <c r="DE5" s="39" t="n">
        <f aca="false">DE$4-DE$3+1</f>
        <v>92</v>
      </c>
      <c r="DF5" s="39" t="n">
        <f aca="false">DF$4-DF$3+1</f>
        <v>92</v>
      </c>
      <c r="DG5" s="39" t="n">
        <f aca="false">DG$4-DG$3+1</f>
        <v>91</v>
      </c>
      <c r="DH5" s="39" t="n">
        <f aca="false">DH$4-DH$3+1</f>
        <v>91</v>
      </c>
      <c r="DI5" s="39" t="n">
        <f aca="false">DI$4-DI$3+1</f>
        <v>92</v>
      </c>
      <c r="DJ5" s="39" t="n">
        <f aca="false">DJ$4-DJ$3+1</f>
        <v>92</v>
      </c>
      <c r="DK5" s="39" t="n">
        <f aca="false">DK$4-DK$3+1</f>
        <v>90</v>
      </c>
      <c r="DL5" s="39" t="n">
        <f aca="false">DL$4-DL$3+1</f>
        <v>91</v>
      </c>
      <c r="DM5" s="39" t="n">
        <f aca="false">DM$4-DM$3+1</f>
        <v>92</v>
      </c>
      <c r="DN5" s="39" t="n">
        <f aca="false">DN$4-DN$3+1</f>
        <v>92</v>
      </c>
      <c r="DO5" s="39" t="n">
        <f aca="false">DO$4-DO$3+1</f>
        <v>90</v>
      </c>
      <c r="DP5" s="39" t="n">
        <f aca="false">DP$4-DP$3+1</f>
        <v>91</v>
      </c>
      <c r="DQ5" s="39" t="n">
        <f aca="false">DQ$4-DQ$3+1</f>
        <v>92</v>
      </c>
      <c r="DR5" s="39" t="n">
        <f aca="false">DR$4-DR$3+1</f>
        <v>92</v>
      </c>
      <c r="DS5" s="39" t="n">
        <f aca="false">DS$4-DS$3+1</f>
        <v>90</v>
      </c>
      <c r="DT5" s="39" t="n">
        <f aca="false">DT$4-DT$3+1</f>
        <v>91</v>
      </c>
      <c r="DU5" s="39" t="n">
        <f aca="false">DU$4-DU$3+1</f>
        <v>92</v>
      </c>
      <c r="DV5" s="39" t="n">
        <f aca="false">DV$4-DV$3+1</f>
        <v>92</v>
      </c>
      <c r="DW5" s="39" t="n">
        <f aca="false">DW$4-DW$3+1</f>
        <v>91</v>
      </c>
      <c r="DX5" s="39" t="n">
        <f aca="false">DX$4-DX$3+1</f>
        <v>91</v>
      </c>
      <c r="DY5" s="39" t="n">
        <f aca="false">DY$4-DY$3+1</f>
        <v>92</v>
      </c>
      <c r="DZ5" s="39" t="n">
        <f aca="false">DZ$4-DZ$3+1</f>
        <v>92</v>
      </c>
      <c r="EA5" s="39" t="n">
        <f aca="false">EA$4-EA$3+1</f>
        <v>90</v>
      </c>
      <c r="EB5" s="39" t="n">
        <f aca="false">EB$4-EB$3+1</f>
        <v>91</v>
      </c>
      <c r="EC5" s="39" t="n">
        <f aca="false">EC$4-EC$3+1</f>
        <v>92</v>
      </c>
      <c r="ED5" s="39" t="n">
        <f aca="false">ED$4-ED$3+1</f>
        <v>92</v>
      </c>
      <c r="EE5" s="39" t="n">
        <f aca="false">EE$4-EE$3+1</f>
        <v>90</v>
      </c>
      <c r="EF5" s="39" t="n">
        <f aca="false">EF$4-EF$3+1</f>
        <v>91</v>
      </c>
      <c r="EG5" s="39" t="n">
        <f aca="false">EG$4-EG$3+1</f>
        <v>92</v>
      </c>
      <c r="EH5" s="39" t="n">
        <f aca="false">EH$4-EH$3+1</f>
        <v>92</v>
      </c>
      <c r="EI5" s="39" t="n">
        <f aca="false">EI$4-EI$3+1</f>
        <v>90</v>
      </c>
      <c r="EJ5" s="39" t="n">
        <f aca="false">EJ$4-EJ$3+1</f>
        <v>91</v>
      </c>
      <c r="EK5" s="39" t="n">
        <f aca="false">EK$4-EK$3+1</f>
        <v>92</v>
      </c>
      <c r="EL5" s="39" t="n">
        <f aca="false">EL$4-EL$3+1</f>
        <v>92</v>
      </c>
      <c r="EM5" s="39" t="n">
        <f aca="false">EM$4-EM$3+1</f>
        <v>91</v>
      </c>
      <c r="EN5" s="39" t="n">
        <f aca="false">EN$4-EN$3+1</f>
        <v>91</v>
      </c>
      <c r="EO5" s="39" t="n">
        <f aca="false">EO$4-EO$3+1</f>
        <v>92</v>
      </c>
    </row>
    <row r="6" customFormat="false" ht="15" hidden="false" customHeight="false" outlineLevel="0" collapsed="false">
      <c r="C6" s="0" t="s">
        <v>326</v>
      </c>
      <c r="D6" s="11" t="s">
        <v>327</v>
      </c>
      <c r="J6" s="52" t="n">
        <f aca="false">J$5/Days_In_Year</f>
        <v>0.252054794520548</v>
      </c>
      <c r="K6" s="52" t="n">
        <f aca="false">K$5/Days_In_Year</f>
        <v>0.246575342465753</v>
      </c>
      <c r="L6" s="52" t="n">
        <f aca="false">L$5/Days_In_Year</f>
        <v>0.249315068493151</v>
      </c>
      <c r="M6" s="52" t="n">
        <f aca="false">M$5/Days_In_Year</f>
        <v>0.252054794520548</v>
      </c>
      <c r="N6" s="52" t="n">
        <f aca="false">N$5/Days_In_Year</f>
        <v>0.252054794520548</v>
      </c>
      <c r="O6" s="52" t="n">
        <f aca="false">O$5/Days_In_Year</f>
        <v>0.249315068493151</v>
      </c>
      <c r="P6" s="52" t="n">
        <f aca="false">P$5/Days_In_Year</f>
        <v>0.249315068493151</v>
      </c>
      <c r="Q6" s="52" t="n">
        <f aca="false">Q$5/Days_In_Year</f>
        <v>0.252054794520548</v>
      </c>
      <c r="R6" s="52" t="n">
        <f aca="false">R$5/Days_In_Year</f>
        <v>0.252054794520548</v>
      </c>
      <c r="S6" s="52" t="n">
        <f aca="false">S$5/Days_In_Year</f>
        <v>0.246575342465753</v>
      </c>
      <c r="T6" s="52" t="n">
        <f aca="false">T$5/Days_In_Year</f>
        <v>0.249315068493151</v>
      </c>
      <c r="U6" s="52" t="n">
        <f aca="false">U$5/Days_In_Year</f>
        <v>0.252054794520548</v>
      </c>
      <c r="V6" s="52" t="n">
        <f aca="false">V$5/Days_In_Year</f>
        <v>0.252054794520548</v>
      </c>
      <c r="W6" s="52" t="n">
        <f aca="false">W$5/Days_In_Year</f>
        <v>0.246575342465753</v>
      </c>
      <c r="X6" s="52" t="n">
        <f aca="false">X$5/Days_In_Year</f>
        <v>0.249315068493151</v>
      </c>
      <c r="Y6" s="52" t="n">
        <f aca="false">Y$5/Days_In_Year</f>
        <v>0.252054794520548</v>
      </c>
      <c r="Z6" s="52" t="n">
        <f aca="false">Z$5/Days_In_Year</f>
        <v>0.252054794520548</v>
      </c>
      <c r="AA6" s="52" t="n">
        <f aca="false">AA$5/Days_In_Year</f>
        <v>0.246575342465753</v>
      </c>
      <c r="AB6" s="52" t="n">
        <f aca="false">AB$5/Days_In_Year</f>
        <v>0.249315068493151</v>
      </c>
      <c r="AC6" s="52" t="n">
        <f aca="false">AC$5/Days_In_Year</f>
        <v>0.252054794520548</v>
      </c>
      <c r="AD6" s="52" t="n">
        <f aca="false">AD$5/Days_In_Year</f>
        <v>0.252054794520548</v>
      </c>
      <c r="AE6" s="52" t="n">
        <f aca="false">AE$5/Days_In_Year</f>
        <v>0.249315068493151</v>
      </c>
      <c r="AF6" s="52" t="n">
        <f aca="false">AF$5/Days_In_Year</f>
        <v>0.249315068493151</v>
      </c>
      <c r="AG6" s="52" t="n">
        <f aca="false">AG$5/Days_In_Year</f>
        <v>0.252054794520548</v>
      </c>
      <c r="AH6" s="52" t="n">
        <f aca="false">AH$5/Days_In_Year</f>
        <v>0.252054794520548</v>
      </c>
      <c r="AI6" s="52" t="n">
        <f aca="false">AI$5/Days_In_Year</f>
        <v>0.246575342465753</v>
      </c>
      <c r="AJ6" s="52" t="n">
        <f aca="false">AJ$5/Days_In_Year</f>
        <v>0.249315068493151</v>
      </c>
      <c r="AK6" s="52" t="n">
        <f aca="false">AK$5/Days_In_Year</f>
        <v>0.252054794520548</v>
      </c>
      <c r="AL6" s="52" t="n">
        <f aca="false">AL$5/Days_In_Year</f>
        <v>0.252054794520548</v>
      </c>
      <c r="AM6" s="52" t="n">
        <f aca="false">AM$5/Days_In_Year</f>
        <v>0.246575342465753</v>
      </c>
      <c r="AN6" s="52" t="n">
        <f aca="false">AN$5/Days_In_Year</f>
        <v>0.249315068493151</v>
      </c>
      <c r="AO6" s="52" t="n">
        <f aca="false">AO$5/Days_In_Year</f>
        <v>0.252054794520548</v>
      </c>
      <c r="AP6" s="52" t="n">
        <f aca="false">AP$5/Days_In_Year</f>
        <v>0.252054794520548</v>
      </c>
      <c r="AQ6" s="52" t="n">
        <f aca="false">AQ$5/Days_In_Year</f>
        <v>0.246575342465753</v>
      </c>
      <c r="AR6" s="52" t="n">
        <f aca="false">AR$5/Days_In_Year</f>
        <v>0.249315068493151</v>
      </c>
      <c r="AS6" s="52" t="n">
        <f aca="false">AS$5/Days_In_Year</f>
        <v>0.252054794520548</v>
      </c>
      <c r="AT6" s="52" t="n">
        <f aca="false">AT$5/Days_In_Year</f>
        <v>0.252054794520548</v>
      </c>
      <c r="AU6" s="52" t="n">
        <f aca="false">AU$5/Days_In_Year</f>
        <v>0.249315068493151</v>
      </c>
      <c r="AV6" s="52" t="n">
        <f aca="false">AV$5/Days_In_Year</f>
        <v>0.249315068493151</v>
      </c>
      <c r="AW6" s="52" t="n">
        <f aca="false">AW$5/Days_In_Year</f>
        <v>0.252054794520548</v>
      </c>
      <c r="AX6" s="52" t="n">
        <f aca="false">AX$5/Days_In_Year</f>
        <v>0.252054794520548</v>
      </c>
      <c r="AY6" s="52" t="n">
        <f aca="false">AY$5/Days_In_Year</f>
        <v>0.246575342465753</v>
      </c>
      <c r="AZ6" s="52" t="n">
        <f aca="false">AZ$5/Days_In_Year</f>
        <v>0.249315068493151</v>
      </c>
      <c r="BA6" s="52" t="n">
        <f aca="false">BA$5/Days_In_Year</f>
        <v>0.252054794520548</v>
      </c>
      <c r="BB6" s="52" t="n">
        <f aca="false">BB$5/Days_In_Year</f>
        <v>0.252054794520548</v>
      </c>
      <c r="BC6" s="52" t="n">
        <f aca="false">BC$5/Days_In_Year</f>
        <v>0.246575342465753</v>
      </c>
      <c r="BD6" s="52" t="n">
        <f aca="false">BD$5/Days_In_Year</f>
        <v>0.249315068493151</v>
      </c>
      <c r="BE6" s="52" t="n">
        <f aca="false">BE$5/Days_In_Year</f>
        <v>0.252054794520548</v>
      </c>
      <c r="BF6" s="52" t="n">
        <f aca="false">BF$5/Days_In_Year</f>
        <v>0.252054794520548</v>
      </c>
      <c r="BG6" s="52" t="n">
        <f aca="false">BG$5/Days_In_Year</f>
        <v>0.246575342465753</v>
      </c>
      <c r="BH6" s="52" t="n">
        <f aca="false">BH$5/Days_In_Year</f>
        <v>0.249315068493151</v>
      </c>
      <c r="BI6" s="52" t="n">
        <f aca="false">BI$5/Days_In_Year</f>
        <v>0.252054794520548</v>
      </c>
      <c r="BJ6" s="52" t="n">
        <f aca="false">BJ$5/Days_In_Year</f>
        <v>0.252054794520548</v>
      </c>
      <c r="BK6" s="52" t="n">
        <f aca="false">BK$5/Days_In_Year</f>
        <v>0.249315068493151</v>
      </c>
      <c r="BL6" s="52" t="n">
        <f aca="false">BL$5/Days_In_Year</f>
        <v>0.249315068493151</v>
      </c>
      <c r="BM6" s="52" t="n">
        <f aca="false">BM$5/Days_In_Year</f>
        <v>0.252054794520548</v>
      </c>
      <c r="BN6" s="52" t="n">
        <f aca="false">BN$5/Days_In_Year</f>
        <v>0.252054794520548</v>
      </c>
      <c r="BO6" s="52" t="n">
        <f aca="false">BO$5/Days_In_Year</f>
        <v>0.246575342465753</v>
      </c>
      <c r="BP6" s="52" t="n">
        <f aca="false">BP$5/Days_In_Year</f>
        <v>0.249315068493151</v>
      </c>
      <c r="BQ6" s="52" t="n">
        <f aca="false">BQ$5/Days_In_Year</f>
        <v>0.252054794520548</v>
      </c>
      <c r="BR6" s="52" t="n">
        <f aca="false">BR$5/Days_In_Year</f>
        <v>0.252054794520548</v>
      </c>
      <c r="BS6" s="52" t="n">
        <f aca="false">BS$5/Days_In_Year</f>
        <v>0.246575342465753</v>
      </c>
      <c r="BT6" s="52" t="n">
        <f aca="false">BT$5/Days_In_Year</f>
        <v>0.249315068493151</v>
      </c>
      <c r="BU6" s="52" t="n">
        <f aca="false">BU$5/Days_In_Year</f>
        <v>0.252054794520548</v>
      </c>
      <c r="BV6" s="52" t="n">
        <f aca="false">BV$5/Days_In_Year</f>
        <v>0.252054794520548</v>
      </c>
      <c r="BW6" s="52" t="n">
        <f aca="false">BW$5/Days_In_Year</f>
        <v>0.246575342465753</v>
      </c>
      <c r="BX6" s="52" t="n">
        <f aca="false">BX$5/Days_In_Year</f>
        <v>0.249315068493151</v>
      </c>
      <c r="BY6" s="52" t="n">
        <f aca="false">BY$5/Days_In_Year</f>
        <v>0.252054794520548</v>
      </c>
      <c r="BZ6" s="52" t="n">
        <f aca="false">BZ$5/Days_In_Year</f>
        <v>0.252054794520548</v>
      </c>
      <c r="CA6" s="52" t="n">
        <f aca="false">CA$5/Days_In_Year</f>
        <v>0.249315068493151</v>
      </c>
      <c r="CB6" s="52" t="n">
        <f aca="false">CB$5/Days_In_Year</f>
        <v>0.249315068493151</v>
      </c>
      <c r="CC6" s="52" t="n">
        <f aca="false">CC$5/Days_In_Year</f>
        <v>0.252054794520548</v>
      </c>
      <c r="CD6" s="52" t="n">
        <f aca="false">CD$5/Days_In_Year</f>
        <v>0.252054794520548</v>
      </c>
      <c r="CE6" s="52" t="n">
        <f aca="false">CE$5/Days_In_Year</f>
        <v>0.246575342465753</v>
      </c>
      <c r="CF6" s="52" t="n">
        <f aca="false">CF$5/Days_In_Year</f>
        <v>0.249315068493151</v>
      </c>
      <c r="CG6" s="52" t="n">
        <f aca="false">CG$5/Days_In_Year</f>
        <v>0.252054794520548</v>
      </c>
      <c r="CH6" s="52" t="n">
        <f aca="false">CH$5/Days_In_Year</f>
        <v>0.252054794520548</v>
      </c>
      <c r="CI6" s="52" t="n">
        <f aca="false">CI$5/Days_In_Year</f>
        <v>0.246575342465753</v>
      </c>
      <c r="CJ6" s="52" t="n">
        <f aca="false">CJ$5/Days_In_Year</f>
        <v>0.249315068493151</v>
      </c>
      <c r="CK6" s="52" t="n">
        <f aca="false">CK$5/Days_In_Year</f>
        <v>0.252054794520548</v>
      </c>
      <c r="CL6" s="52" t="n">
        <f aca="false">CL$5/Days_In_Year</f>
        <v>0.252054794520548</v>
      </c>
      <c r="CM6" s="52" t="n">
        <f aca="false">CM$5/Days_In_Year</f>
        <v>0.246575342465753</v>
      </c>
      <c r="CN6" s="52" t="n">
        <f aca="false">CN$5/Days_In_Year</f>
        <v>0.249315068493151</v>
      </c>
      <c r="CO6" s="52" t="n">
        <f aca="false">CO$5/Days_In_Year</f>
        <v>0.252054794520548</v>
      </c>
      <c r="CP6" s="52" t="n">
        <f aca="false">CP$5/Days_In_Year</f>
        <v>0.252054794520548</v>
      </c>
      <c r="CQ6" s="52" t="n">
        <f aca="false">CQ$5/Days_In_Year</f>
        <v>0.249315068493151</v>
      </c>
      <c r="CR6" s="52" t="n">
        <f aca="false">CR$5/Days_In_Year</f>
        <v>0.249315068493151</v>
      </c>
      <c r="CS6" s="52" t="n">
        <f aca="false">CS$5/Days_In_Year</f>
        <v>0.252054794520548</v>
      </c>
      <c r="CT6" s="52" t="n">
        <f aca="false">CT$5/Days_In_Year</f>
        <v>0.252054794520548</v>
      </c>
      <c r="CU6" s="52" t="n">
        <f aca="false">CU$5/Days_In_Year</f>
        <v>0.246575342465753</v>
      </c>
      <c r="CV6" s="52" t="n">
        <f aca="false">CV$5/Days_In_Year</f>
        <v>0.249315068493151</v>
      </c>
      <c r="CW6" s="52" t="n">
        <f aca="false">CW$5/Days_In_Year</f>
        <v>0.252054794520548</v>
      </c>
      <c r="CX6" s="52" t="n">
        <f aca="false">CX$5/Days_In_Year</f>
        <v>0.252054794520548</v>
      </c>
      <c r="CY6" s="52" t="n">
        <f aca="false">CY$5/Days_In_Year</f>
        <v>0.246575342465753</v>
      </c>
      <c r="CZ6" s="52" t="n">
        <f aca="false">CZ$5/Days_In_Year</f>
        <v>0.249315068493151</v>
      </c>
      <c r="DA6" s="52" t="n">
        <f aca="false">DA$5/Days_In_Year</f>
        <v>0.252054794520548</v>
      </c>
      <c r="DB6" s="52" t="n">
        <f aca="false">DB$5/Days_In_Year</f>
        <v>0.252054794520548</v>
      </c>
      <c r="DC6" s="52" t="n">
        <f aca="false">DC$5/Days_In_Year</f>
        <v>0.246575342465753</v>
      </c>
      <c r="DD6" s="52" t="n">
        <f aca="false">DD$5/Days_In_Year</f>
        <v>0.249315068493151</v>
      </c>
      <c r="DE6" s="52" t="n">
        <f aca="false">DE$5/Days_In_Year</f>
        <v>0.252054794520548</v>
      </c>
      <c r="DF6" s="52" t="n">
        <f aca="false">DF$5/Days_In_Year</f>
        <v>0.252054794520548</v>
      </c>
      <c r="DG6" s="52" t="n">
        <f aca="false">DG$5/Days_In_Year</f>
        <v>0.249315068493151</v>
      </c>
      <c r="DH6" s="52" t="n">
        <f aca="false">DH$5/Days_In_Year</f>
        <v>0.249315068493151</v>
      </c>
      <c r="DI6" s="52" t="n">
        <f aca="false">DI$5/Days_In_Year</f>
        <v>0.252054794520548</v>
      </c>
      <c r="DJ6" s="52" t="n">
        <f aca="false">DJ$5/Days_In_Year</f>
        <v>0.252054794520548</v>
      </c>
      <c r="DK6" s="52" t="n">
        <f aca="false">DK$5/Days_In_Year</f>
        <v>0.246575342465753</v>
      </c>
      <c r="DL6" s="52" t="n">
        <f aca="false">DL$5/Days_In_Year</f>
        <v>0.249315068493151</v>
      </c>
      <c r="DM6" s="52" t="n">
        <f aca="false">DM$5/Days_In_Year</f>
        <v>0.252054794520548</v>
      </c>
      <c r="DN6" s="52" t="n">
        <f aca="false">DN$5/Days_In_Year</f>
        <v>0.252054794520548</v>
      </c>
      <c r="DO6" s="52" t="n">
        <f aca="false">DO$5/Days_In_Year</f>
        <v>0.246575342465753</v>
      </c>
      <c r="DP6" s="52" t="n">
        <f aca="false">DP$5/Days_In_Year</f>
        <v>0.249315068493151</v>
      </c>
      <c r="DQ6" s="52" t="n">
        <f aca="false">DQ$5/Days_In_Year</f>
        <v>0.252054794520548</v>
      </c>
      <c r="DR6" s="52" t="n">
        <f aca="false">DR$5/Days_In_Year</f>
        <v>0.252054794520548</v>
      </c>
      <c r="DS6" s="52" t="n">
        <f aca="false">DS$5/Days_In_Year</f>
        <v>0.246575342465753</v>
      </c>
      <c r="DT6" s="52" t="n">
        <f aca="false">DT$5/Days_In_Year</f>
        <v>0.249315068493151</v>
      </c>
      <c r="DU6" s="52" t="n">
        <f aca="false">DU$5/Days_In_Year</f>
        <v>0.252054794520548</v>
      </c>
      <c r="DV6" s="52" t="n">
        <f aca="false">DV$5/Days_In_Year</f>
        <v>0.252054794520548</v>
      </c>
      <c r="DW6" s="52" t="n">
        <f aca="false">DW$5/Days_In_Year</f>
        <v>0.249315068493151</v>
      </c>
      <c r="DX6" s="52" t="n">
        <f aca="false">DX$5/Days_In_Year</f>
        <v>0.249315068493151</v>
      </c>
      <c r="DY6" s="52" t="n">
        <f aca="false">DY$5/Days_In_Year</f>
        <v>0.252054794520548</v>
      </c>
      <c r="DZ6" s="52" t="n">
        <f aca="false">DZ$5/Days_In_Year</f>
        <v>0.252054794520548</v>
      </c>
      <c r="EA6" s="52" t="n">
        <f aca="false">EA$5/Days_In_Year</f>
        <v>0.246575342465753</v>
      </c>
      <c r="EB6" s="52" t="n">
        <f aca="false">EB$5/Days_In_Year</f>
        <v>0.249315068493151</v>
      </c>
      <c r="EC6" s="52" t="n">
        <f aca="false">EC$5/Days_In_Year</f>
        <v>0.252054794520548</v>
      </c>
      <c r="ED6" s="52" t="n">
        <f aca="false">ED$5/Days_In_Year</f>
        <v>0.252054794520548</v>
      </c>
      <c r="EE6" s="52" t="n">
        <f aca="false">EE$5/Days_In_Year</f>
        <v>0.246575342465753</v>
      </c>
      <c r="EF6" s="52" t="n">
        <f aca="false">EF$5/Days_In_Year</f>
        <v>0.249315068493151</v>
      </c>
      <c r="EG6" s="52" t="n">
        <f aca="false">EG$5/Days_In_Year</f>
        <v>0.252054794520548</v>
      </c>
      <c r="EH6" s="52" t="n">
        <f aca="false">EH$5/Days_In_Year</f>
        <v>0.252054794520548</v>
      </c>
      <c r="EI6" s="52" t="n">
        <f aca="false">EI$5/Days_In_Year</f>
        <v>0.246575342465753</v>
      </c>
      <c r="EJ6" s="52" t="n">
        <f aca="false">EJ$5/Days_In_Year</f>
        <v>0.249315068493151</v>
      </c>
      <c r="EK6" s="52" t="n">
        <f aca="false">EK$5/Days_In_Year</f>
        <v>0.252054794520548</v>
      </c>
      <c r="EL6" s="52" t="n">
        <f aca="false">EL$5/Days_In_Year</f>
        <v>0.252054794520548</v>
      </c>
      <c r="EM6" s="52" t="n">
        <f aca="false">EM$5/Days_In_Year</f>
        <v>0.249315068493151</v>
      </c>
      <c r="EN6" s="52" t="n">
        <f aca="false">EN$5/Days_In_Year</f>
        <v>0.249315068493151</v>
      </c>
      <c r="EO6" s="52" t="n">
        <f aca="false">EO$5/Days_In_Year</f>
        <v>0.252054794520548</v>
      </c>
    </row>
    <row r="7" customFormat="false" ht="15" hidden="false" customHeight="false" outlineLevel="0" collapsed="false">
      <c r="C7" s="0" t="s">
        <v>328</v>
      </c>
      <c r="D7" s="11" t="s">
        <v>329</v>
      </c>
      <c r="J7" s="39" t="n">
        <f aca="false">YEAR(J$4)</f>
        <v>2026</v>
      </c>
      <c r="K7" s="39" t="n">
        <f aca="false">YEAR(K$4)</f>
        <v>2027</v>
      </c>
      <c r="L7" s="39" t="n">
        <f aca="false">YEAR(L$4)</f>
        <v>2027</v>
      </c>
      <c r="M7" s="39" t="n">
        <f aca="false">YEAR(M$4)</f>
        <v>2027</v>
      </c>
      <c r="N7" s="39" t="n">
        <f aca="false">YEAR(N$4)</f>
        <v>2027</v>
      </c>
      <c r="O7" s="39" t="n">
        <f aca="false">YEAR(O$4)</f>
        <v>2028</v>
      </c>
      <c r="P7" s="39" t="n">
        <f aca="false">YEAR(P$4)</f>
        <v>2028</v>
      </c>
      <c r="Q7" s="39" t="n">
        <f aca="false">YEAR(Q$4)</f>
        <v>2028</v>
      </c>
      <c r="R7" s="39" t="n">
        <f aca="false">YEAR(R$4)</f>
        <v>2028</v>
      </c>
      <c r="S7" s="39" t="n">
        <f aca="false">YEAR(S$4)</f>
        <v>2029</v>
      </c>
      <c r="T7" s="39" t="n">
        <f aca="false">YEAR(T$4)</f>
        <v>2029</v>
      </c>
      <c r="U7" s="39" t="n">
        <f aca="false">YEAR(U$4)</f>
        <v>2029</v>
      </c>
      <c r="V7" s="39" t="n">
        <f aca="false">YEAR(V$4)</f>
        <v>2029</v>
      </c>
      <c r="W7" s="39" t="n">
        <f aca="false">YEAR(W$4)</f>
        <v>2030</v>
      </c>
      <c r="X7" s="39" t="n">
        <f aca="false">YEAR(X$4)</f>
        <v>2030</v>
      </c>
      <c r="Y7" s="39" t="n">
        <f aca="false">YEAR(Y$4)</f>
        <v>2030</v>
      </c>
      <c r="Z7" s="39" t="n">
        <f aca="false">YEAR(Z$4)</f>
        <v>2030</v>
      </c>
      <c r="AA7" s="39" t="n">
        <f aca="false">YEAR(AA$4)</f>
        <v>2031</v>
      </c>
      <c r="AB7" s="39" t="n">
        <f aca="false">YEAR(AB$4)</f>
        <v>2031</v>
      </c>
      <c r="AC7" s="39" t="n">
        <f aca="false">YEAR(AC$4)</f>
        <v>2031</v>
      </c>
      <c r="AD7" s="39" t="n">
        <f aca="false">YEAR(AD$4)</f>
        <v>2031</v>
      </c>
      <c r="AE7" s="39" t="n">
        <f aca="false">YEAR(AE$4)</f>
        <v>2032</v>
      </c>
      <c r="AF7" s="39" t="n">
        <f aca="false">YEAR(AF$4)</f>
        <v>2032</v>
      </c>
      <c r="AG7" s="39" t="n">
        <f aca="false">YEAR(AG$4)</f>
        <v>2032</v>
      </c>
      <c r="AH7" s="39" t="n">
        <f aca="false">YEAR(AH$4)</f>
        <v>2032</v>
      </c>
      <c r="AI7" s="39" t="n">
        <f aca="false">YEAR(AI$4)</f>
        <v>2033</v>
      </c>
      <c r="AJ7" s="39" t="n">
        <f aca="false">YEAR(AJ$4)</f>
        <v>2033</v>
      </c>
      <c r="AK7" s="39" t="n">
        <f aca="false">YEAR(AK$4)</f>
        <v>2033</v>
      </c>
      <c r="AL7" s="39" t="n">
        <f aca="false">YEAR(AL$4)</f>
        <v>2033</v>
      </c>
      <c r="AM7" s="39" t="n">
        <f aca="false">YEAR(AM$4)</f>
        <v>2034</v>
      </c>
      <c r="AN7" s="39" t="n">
        <f aca="false">YEAR(AN$4)</f>
        <v>2034</v>
      </c>
      <c r="AO7" s="39" t="n">
        <f aca="false">YEAR(AO$4)</f>
        <v>2034</v>
      </c>
      <c r="AP7" s="39" t="n">
        <f aca="false">YEAR(AP$4)</f>
        <v>2034</v>
      </c>
      <c r="AQ7" s="39" t="n">
        <f aca="false">YEAR(AQ$4)</f>
        <v>2035</v>
      </c>
      <c r="AR7" s="39" t="n">
        <f aca="false">YEAR(AR$4)</f>
        <v>2035</v>
      </c>
      <c r="AS7" s="39" t="n">
        <f aca="false">YEAR(AS$4)</f>
        <v>2035</v>
      </c>
      <c r="AT7" s="39" t="n">
        <f aca="false">YEAR(AT$4)</f>
        <v>2035</v>
      </c>
      <c r="AU7" s="39" t="n">
        <f aca="false">YEAR(AU$4)</f>
        <v>2036</v>
      </c>
      <c r="AV7" s="39" t="n">
        <f aca="false">YEAR(AV$4)</f>
        <v>2036</v>
      </c>
      <c r="AW7" s="39" t="n">
        <f aca="false">YEAR(AW$4)</f>
        <v>2036</v>
      </c>
      <c r="AX7" s="39" t="n">
        <f aca="false">YEAR(AX$4)</f>
        <v>2036</v>
      </c>
      <c r="AY7" s="39" t="n">
        <f aca="false">YEAR(AY$4)</f>
        <v>2037</v>
      </c>
      <c r="AZ7" s="39" t="n">
        <f aca="false">YEAR(AZ$4)</f>
        <v>2037</v>
      </c>
      <c r="BA7" s="39" t="n">
        <f aca="false">YEAR(BA$4)</f>
        <v>2037</v>
      </c>
      <c r="BB7" s="39" t="n">
        <f aca="false">YEAR(BB$4)</f>
        <v>2037</v>
      </c>
      <c r="BC7" s="39" t="n">
        <f aca="false">YEAR(BC$4)</f>
        <v>2038</v>
      </c>
      <c r="BD7" s="39" t="n">
        <f aca="false">YEAR(BD$4)</f>
        <v>2038</v>
      </c>
      <c r="BE7" s="39" t="n">
        <f aca="false">YEAR(BE$4)</f>
        <v>2038</v>
      </c>
      <c r="BF7" s="39" t="n">
        <f aca="false">YEAR(BF$4)</f>
        <v>2038</v>
      </c>
      <c r="BG7" s="39" t="n">
        <f aca="false">YEAR(BG$4)</f>
        <v>2039</v>
      </c>
      <c r="BH7" s="39" t="n">
        <f aca="false">YEAR(BH$4)</f>
        <v>2039</v>
      </c>
      <c r="BI7" s="39" t="n">
        <f aca="false">YEAR(BI$4)</f>
        <v>2039</v>
      </c>
      <c r="BJ7" s="39" t="n">
        <f aca="false">YEAR(BJ$4)</f>
        <v>2039</v>
      </c>
      <c r="BK7" s="39" t="n">
        <f aca="false">YEAR(BK$4)</f>
        <v>2040</v>
      </c>
      <c r="BL7" s="39" t="n">
        <f aca="false">YEAR(BL$4)</f>
        <v>2040</v>
      </c>
      <c r="BM7" s="39" t="n">
        <f aca="false">YEAR(BM$4)</f>
        <v>2040</v>
      </c>
      <c r="BN7" s="39" t="n">
        <f aca="false">YEAR(BN$4)</f>
        <v>2040</v>
      </c>
      <c r="BO7" s="39" t="n">
        <f aca="false">YEAR(BO$4)</f>
        <v>2041</v>
      </c>
      <c r="BP7" s="39" t="n">
        <f aca="false">YEAR(BP$4)</f>
        <v>2041</v>
      </c>
      <c r="BQ7" s="39" t="n">
        <f aca="false">YEAR(BQ$4)</f>
        <v>2041</v>
      </c>
      <c r="BR7" s="39" t="n">
        <f aca="false">YEAR(BR$4)</f>
        <v>2041</v>
      </c>
      <c r="BS7" s="39" t="n">
        <f aca="false">YEAR(BS$4)</f>
        <v>2042</v>
      </c>
      <c r="BT7" s="39" t="n">
        <f aca="false">YEAR(BT$4)</f>
        <v>2042</v>
      </c>
      <c r="BU7" s="39" t="n">
        <f aca="false">YEAR(BU$4)</f>
        <v>2042</v>
      </c>
      <c r="BV7" s="39" t="n">
        <f aca="false">YEAR(BV$4)</f>
        <v>2042</v>
      </c>
      <c r="BW7" s="39" t="n">
        <f aca="false">YEAR(BW$4)</f>
        <v>2043</v>
      </c>
      <c r="BX7" s="39" t="n">
        <f aca="false">YEAR(BX$4)</f>
        <v>2043</v>
      </c>
      <c r="BY7" s="39" t="n">
        <f aca="false">YEAR(BY$4)</f>
        <v>2043</v>
      </c>
      <c r="BZ7" s="39" t="n">
        <f aca="false">YEAR(BZ$4)</f>
        <v>2043</v>
      </c>
      <c r="CA7" s="39" t="n">
        <f aca="false">YEAR(CA$4)</f>
        <v>2044</v>
      </c>
      <c r="CB7" s="39" t="n">
        <f aca="false">YEAR(CB$4)</f>
        <v>2044</v>
      </c>
      <c r="CC7" s="39" t="n">
        <f aca="false">YEAR(CC$4)</f>
        <v>2044</v>
      </c>
      <c r="CD7" s="39" t="n">
        <f aca="false">YEAR(CD$4)</f>
        <v>2044</v>
      </c>
      <c r="CE7" s="39" t="n">
        <f aca="false">YEAR(CE$4)</f>
        <v>2045</v>
      </c>
      <c r="CF7" s="39" t="n">
        <f aca="false">YEAR(CF$4)</f>
        <v>2045</v>
      </c>
      <c r="CG7" s="39" t="n">
        <f aca="false">YEAR(CG$4)</f>
        <v>2045</v>
      </c>
      <c r="CH7" s="39" t="n">
        <f aca="false">YEAR(CH$4)</f>
        <v>2045</v>
      </c>
      <c r="CI7" s="39" t="n">
        <f aca="false">YEAR(CI$4)</f>
        <v>2046</v>
      </c>
      <c r="CJ7" s="39" t="n">
        <f aca="false">YEAR(CJ$4)</f>
        <v>2046</v>
      </c>
      <c r="CK7" s="39" t="n">
        <f aca="false">YEAR(CK$4)</f>
        <v>2046</v>
      </c>
      <c r="CL7" s="39" t="n">
        <f aca="false">YEAR(CL$4)</f>
        <v>2046</v>
      </c>
      <c r="CM7" s="39" t="n">
        <f aca="false">YEAR(CM$4)</f>
        <v>2047</v>
      </c>
      <c r="CN7" s="39" t="n">
        <f aca="false">YEAR(CN$4)</f>
        <v>2047</v>
      </c>
      <c r="CO7" s="39" t="n">
        <f aca="false">YEAR(CO$4)</f>
        <v>2047</v>
      </c>
      <c r="CP7" s="39" t="n">
        <f aca="false">YEAR(CP$4)</f>
        <v>2047</v>
      </c>
      <c r="CQ7" s="39" t="n">
        <f aca="false">YEAR(CQ$4)</f>
        <v>2048</v>
      </c>
      <c r="CR7" s="39" t="n">
        <f aca="false">YEAR(CR$4)</f>
        <v>2048</v>
      </c>
      <c r="CS7" s="39" t="n">
        <f aca="false">YEAR(CS$4)</f>
        <v>2048</v>
      </c>
      <c r="CT7" s="39" t="n">
        <f aca="false">YEAR(CT$4)</f>
        <v>2048</v>
      </c>
      <c r="CU7" s="39" t="n">
        <f aca="false">YEAR(CU$4)</f>
        <v>2049</v>
      </c>
      <c r="CV7" s="39" t="n">
        <f aca="false">YEAR(CV$4)</f>
        <v>2049</v>
      </c>
      <c r="CW7" s="39" t="n">
        <f aca="false">YEAR(CW$4)</f>
        <v>2049</v>
      </c>
      <c r="CX7" s="39" t="n">
        <f aca="false">YEAR(CX$4)</f>
        <v>2049</v>
      </c>
      <c r="CY7" s="39" t="n">
        <f aca="false">YEAR(CY$4)</f>
        <v>2050</v>
      </c>
      <c r="CZ7" s="39" t="n">
        <f aca="false">YEAR(CZ$4)</f>
        <v>2050</v>
      </c>
      <c r="DA7" s="39" t="n">
        <f aca="false">YEAR(DA$4)</f>
        <v>2050</v>
      </c>
      <c r="DB7" s="39" t="n">
        <f aca="false">YEAR(DB$4)</f>
        <v>2050</v>
      </c>
      <c r="DC7" s="39" t="n">
        <f aca="false">YEAR(DC$4)</f>
        <v>2051</v>
      </c>
      <c r="DD7" s="39" t="n">
        <f aca="false">YEAR(DD$4)</f>
        <v>2051</v>
      </c>
      <c r="DE7" s="39" t="n">
        <f aca="false">YEAR(DE$4)</f>
        <v>2051</v>
      </c>
      <c r="DF7" s="39" t="n">
        <f aca="false">YEAR(DF$4)</f>
        <v>2051</v>
      </c>
      <c r="DG7" s="39" t="n">
        <f aca="false">YEAR(DG$4)</f>
        <v>2052</v>
      </c>
      <c r="DH7" s="39" t="n">
        <f aca="false">YEAR(DH$4)</f>
        <v>2052</v>
      </c>
      <c r="DI7" s="39" t="n">
        <f aca="false">YEAR(DI$4)</f>
        <v>2052</v>
      </c>
      <c r="DJ7" s="39" t="n">
        <f aca="false">YEAR(DJ$4)</f>
        <v>2052</v>
      </c>
      <c r="DK7" s="39" t="n">
        <f aca="false">YEAR(DK$4)</f>
        <v>2053</v>
      </c>
      <c r="DL7" s="39" t="n">
        <f aca="false">YEAR(DL$4)</f>
        <v>2053</v>
      </c>
      <c r="DM7" s="39" t="n">
        <f aca="false">YEAR(DM$4)</f>
        <v>2053</v>
      </c>
      <c r="DN7" s="39" t="n">
        <f aca="false">YEAR(DN$4)</f>
        <v>2053</v>
      </c>
      <c r="DO7" s="39" t="n">
        <f aca="false">YEAR(DO$4)</f>
        <v>2054</v>
      </c>
      <c r="DP7" s="39" t="n">
        <f aca="false">YEAR(DP$4)</f>
        <v>2054</v>
      </c>
      <c r="DQ7" s="39" t="n">
        <f aca="false">YEAR(DQ$4)</f>
        <v>2054</v>
      </c>
      <c r="DR7" s="39" t="n">
        <f aca="false">YEAR(DR$4)</f>
        <v>2054</v>
      </c>
      <c r="DS7" s="39" t="n">
        <f aca="false">YEAR(DS$4)</f>
        <v>2055</v>
      </c>
      <c r="DT7" s="39" t="n">
        <f aca="false">YEAR(DT$4)</f>
        <v>2055</v>
      </c>
      <c r="DU7" s="39" t="n">
        <f aca="false">YEAR(DU$4)</f>
        <v>2055</v>
      </c>
      <c r="DV7" s="39" t="n">
        <f aca="false">YEAR(DV$4)</f>
        <v>2055</v>
      </c>
      <c r="DW7" s="39" t="n">
        <f aca="false">YEAR(DW$4)</f>
        <v>2056</v>
      </c>
      <c r="DX7" s="39" t="n">
        <f aca="false">YEAR(DX$4)</f>
        <v>2056</v>
      </c>
      <c r="DY7" s="39" t="n">
        <f aca="false">YEAR(DY$4)</f>
        <v>2056</v>
      </c>
      <c r="DZ7" s="39" t="n">
        <f aca="false">YEAR(DZ$4)</f>
        <v>2056</v>
      </c>
      <c r="EA7" s="39" t="n">
        <f aca="false">YEAR(EA$4)</f>
        <v>2057</v>
      </c>
      <c r="EB7" s="39" t="n">
        <f aca="false">YEAR(EB$4)</f>
        <v>2057</v>
      </c>
      <c r="EC7" s="39" t="n">
        <f aca="false">YEAR(EC$4)</f>
        <v>2057</v>
      </c>
      <c r="ED7" s="39" t="n">
        <f aca="false">YEAR(ED$4)</f>
        <v>2057</v>
      </c>
      <c r="EE7" s="39" t="n">
        <f aca="false">YEAR(EE$4)</f>
        <v>2058</v>
      </c>
      <c r="EF7" s="39" t="n">
        <f aca="false">YEAR(EF$4)</f>
        <v>2058</v>
      </c>
      <c r="EG7" s="39" t="n">
        <f aca="false">YEAR(EG$4)</f>
        <v>2058</v>
      </c>
      <c r="EH7" s="39" t="n">
        <f aca="false">YEAR(EH$4)</f>
        <v>2058</v>
      </c>
      <c r="EI7" s="39" t="n">
        <f aca="false">YEAR(EI$4)</f>
        <v>2059</v>
      </c>
      <c r="EJ7" s="39" t="n">
        <f aca="false">YEAR(EJ$4)</f>
        <v>2059</v>
      </c>
      <c r="EK7" s="39" t="n">
        <f aca="false">YEAR(EK$4)</f>
        <v>2059</v>
      </c>
      <c r="EL7" s="39" t="n">
        <f aca="false">YEAR(EL$4)</f>
        <v>2059</v>
      </c>
      <c r="EM7" s="39" t="n">
        <f aca="false">YEAR(EM$4)</f>
        <v>2060</v>
      </c>
      <c r="EN7" s="39" t="n">
        <f aca="false">YEAR(EN$4)</f>
        <v>2060</v>
      </c>
      <c r="EO7" s="39" t="n">
        <f aca="false">YEAR(EO$4)</f>
        <v>2060</v>
      </c>
    </row>
    <row r="8" customFormat="false" ht="15" hidden="false" customHeight="false" outlineLevel="0" collapsed="false">
      <c r="C8" s="0" t="s">
        <v>330</v>
      </c>
      <c r="D8" s="11" t="s">
        <v>119</v>
      </c>
      <c r="J8" s="39" t="n">
        <f aca="false">I$8+1</f>
        <v>1</v>
      </c>
      <c r="K8" s="39" t="n">
        <f aca="false">J$8+1</f>
        <v>2</v>
      </c>
      <c r="L8" s="39" t="n">
        <f aca="false">K$8+1</f>
        <v>3</v>
      </c>
      <c r="M8" s="39" t="n">
        <f aca="false">L$8+1</f>
        <v>4</v>
      </c>
      <c r="N8" s="39" t="n">
        <f aca="false">M$8+1</f>
        <v>5</v>
      </c>
      <c r="O8" s="39" t="n">
        <f aca="false">N$8+1</f>
        <v>6</v>
      </c>
      <c r="P8" s="39" t="n">
        <f aca="false">O$8+1</f>
        <v>7</v>
      </c>
      <c r="Q8" s="39" t="n">
        <f aca="false">P$8+1</f>
        <v>8</v>
      </c>
      <c r="R8" s="39" t="n">
        <f aca="false">Q$8+1</f>
        <v>9</v>
      </c>
      <c r="S8" s="39" t="n">
        <f aca="false">R$8+1</f>
        <v>10</v>
      </c>
      <c r="T8" s="39" t="n">
        <f aca="false">S$8+1</f>
        <v>11</v>
      </c>
      <c r="U8" s="39" t="n">
        <f aca="false">T$8+1</f>
        <v>12</v>
      </c>
      <c r="V8" s="39" t="n">
        <f aca="false">U$8+1</f>
        <v>13</v>
      </c>
      <c r="W8" s="39" t="n">
        <f aca="false">V$8+1</f>
        <v>14</v>
      </c>
      <c r="X8" s="39" t="n">
        <f aca="false">W$8+1</f>
        <v>15</v>
      </c>
      <c r="Y8" s="39" t="n">
        <f aca="false">X$8+1</f>
        <v>16</v>
      </c>
      <c r="Z8" s="39" t="n">
        <f aca="false">Y$8+1</f>
        <v>17</v>
      </c>
      <c r="AA8" s="39" t="n">
        <f aca="false">Z$8+1</f>
        <v>18</v>
      </c>
      <c r="AB8" s="39" t="n">
        <f aca="false">AA$8+1</f>
        <v>19</v>
      </c>
      <c r="AC8" s="39" t="n">
        <f aca="false">AB$8+1</f>
        <v>20</v>
      </c>
      <c r="AD8" s="39" t="n">
        <f aca="false">AC$8+1</f>
        <v>21</v>
      </c>
      <c r="AE8" s="39" t="n">
        <f aca="false">AD$8+1</f>
        <v>22</v>
      </c>
      <c r="AF8" s="39" t="n">
        <f aca="false">AE$8+1</f>
        <v>23</v>
      </c>
      <c r="AG8" s="39" t="n">
        <f aca="false">AF$8+1</f>
        <v>24</v>
      </c>
      <c r="AH8" s="39" t="n">
        <f aca="false">AG$8+1</f>
        <v>25</v>
      </c>
      <c r="AI8" s="39" t="n">
        <f aca="false">AH$8+1</f>
        <v>26</v>
      </c>
      <c r="AJ8" s="39" t="n">
        <f aca="false">AI$8+1</f>
        <v>27</v>
      </c>
      <c r="AK8" s="39" t="n">
        <f aca="false">AJ$8+1</f>
        <v>28</v>
      </c>
      <c r="AL8" s="39" t="n">
        <f aca="false">AK$8+1</f>
        <v>29</v>
      </c>
      <c r="AM8" s="39" t="n">
        <f aca="false">AL$8+1</f>
        <v>30</v>
      </c>
      <c r="AN8" s="39" t="n">
        <f aca="false">AM$8+1</f>
        <v>31</v>
      </c>
      <c r="AO8" s="39" t="n">
        <f aca="false">AN$8+1</f>
        <v>32</v>
      </c>
      <c r="AP8" s="39" t="n">
        <f aca="false">AO$8+1</f>
        <v>33</v>
      </c>
      <c r="AQ8" s="39" t="n">
        <f aca="false">AP$8+1</f>
        <v>34</v>
      </c>
      <c r="AR8" s="39" t="n">
        <f aca="false">AQ$8+1</f>
        <v>35</v>
      </c>
      <c r="AS8" s="39" t="n">
        <f aca="false">AR$8+1</f>
        <v>36</v>
      </c>
      <c r="AT8" s="39" t="n">
        <f aca="false">AS$8+1</f>
        <v>37</v>
      </c>
      <c r="AU8" s="39" t="n">
        <f aca="false">AT$8+1</f>
        <v>38</v>
      </c>
      <c r="AV8" s="39" t="n">
        <f aca="false">AU$8+1</f>
        <v>39</v>
      </c>
      <c r="AW8" s="39" t="n">
        <f aca="false">AV$8+1</f>
        <v>40</v>
      </c>
      <c r="AX8" s="39" t="n">
        <f aca="false">AW$8+1</f>
        <v>41</v>
      </c>
      <c r="AY8" s="39" t="n">
        <f aca="false">AX$8+1</f>
        <v>42</v>
      </c>
      <c r="AZ8" s="39" t="n">
        <f aca="false">AY$8+1</f>
        <v>43</v>
      </c>
      <c r="BA8" s="39" t="n">
        <f aca="false">AZ$8+1</f>
        <v>44</v>
      </c>
      <c r="BB8" s="39" t="n">
        <f aca="false">BA$8+1</f>
        <v>45</v>
      </c>
      <c r="BC8" s="39" t="n">
        <f aca="false">BB$8+1</f>
        <v>46</v>
      </c>
      <c r="BD8" s="39" t="n">
        <f aca="false">BC$8+1</f>
        <v>47</v>
      </c>
      <c r="BE8" s="39" t="n">
        <f aca="false">BD$8+1</f>
        <v>48</v>
      </c>
      <c r="BF8" s="39" t="n">
        <f aca="false">BE$8+1</f>
        <v>49</v>
      </c>
      <c r="BG8" s="39" t="n">
        <f aca="false">BF$8+1</f>
        <v>50</v>
      </c>
      <c r="BH8" s="39" t="n">
        <f aca="false">BG$8+1</f>
        <v>51</v>
      </c>
      <c r="BI8" s="39" t="n">
        <f aca="false">BH$8+1</f>
        <v>52</v>
      </c>
      <c r="BJ8" s="39" t="n">
        <f aca="false">BI$8+1</f>
        <v>53</v>
      </c>
      <c r="BK8" s="39" t="n">
        <f aca="false">BJ$8+1</f>
        <v>54</v>
      </c>
      <c r="BL8" s="39" t="n">
        <f aca="false">BK$8+1</f>
        <v>55</v>
      </c>
      <c r="BM8" s="39" t="n">
        <f aca="false">BL$8+1</f>
        <v>56</v>
      </c>
      <c r="BN8" s="39" t="n">
        <f aca="false">BM$8+1</f>
        <v>57</v>
      </c>
      <c r="BO8" s="39" t="n">
        <f aca="false">BN$8+1</f>
        <v>58</v>
      </c>
      <c r="BP8" s="39" t="n">
        <f aca="false">BO$8+1</f>
        <v>59</v>
      </c>
      <c r="BQ8" s="39" t="n">
        <f aca="false">BP$8+1</f>
        <v>60</v>
      </c>
      <c r="BR8" s="39" t="n">
        <f aca="false">BQ$8+1</f>
        <v>61</v>
      </c>
      <c r="BS8" s="39" t="n">
        <f aca="false">BR$8+1</f>
        <v>62</v>
      </c>
      <c r="BT8" s="39" t="n">
        <f aca="false">BS$8+1</f>
        <v>63</v>
      </c>
      <c r="BU8" s="39" t="n">
        <f aca="false">BT$8+1</f>
        <v>64</v>
      </c>
      <c r="BV8" s="39" t="n">
        <f aca="false">BU$8+1</f>
        <v>65</v>
      </c>
      <c r="BW8" s="39" t="n">
        <f aca="false">BV$8+1</f>
        <v>66</v>
      </c>
      <c r="BX8" s="39" t="n">
        <f aca="false">BW$8+1</f>
        <v>67</v>
      </c>
      <c r="BY8" s="39" t="n">
        <f aca="false">BX$8+1</f>
        <v>68</v>
      </c>
      <c r="BZ8" s="39" t="n">
        <f aca="false">BY$8+1</f>
        <v>69</v>
      </c>
      <c r="CA8" s="39" t="n">
        <f aca="false">BZ$8+1</f>
        <v>70</v>
      </c>
      <c r="CB8" s="39" t="n">
        <f aca="false">CA$8+1</f>
        <v>71</v>
      </c>
      <c r="CC8" s="39" t="n">
        <f aca="false">CB$8+1</f>
        <v>72</v>
      </c>
      <c r="CD8" s="39" t="n">
        <f aca="false">CC$8+1</f>
        <v>73</v>
      </c>
      <c r="CE8" s="39" t="n">
        <f aca="false">CD$8+1</f>
        <v>74</v>
      </c>
      <c r="CF8" s="39" t="n">
        <f aca="false">CE$8+1</f>
        <v>75</v>
      </c>
      <c r="CG8" s="39" t="n">
        <f aca="false">CF$8+1</f>
        <v>76</v>
      </c>
      <c r="CH8" s="39" t="n">
        <f aca="false">CG$8+1</f>
        <v>77</v>
      </c>
      <c r="CI8" s="39" t="n">
        <f aca="false">CH$8+1</f>
        <v>78</v>
      </c>
      <c r="CJ8" s="39" t="n">
        <f aca="false">CI$8+1</f>
        <v>79</v>
      </c>
      <c r="CK8" s="39" t="n">
        <f aca="false">CJ$8+1</f>
        <v>80</v>
      </c>
      <c r="CL8" s="39" t="n">
        <f aca="false">CK$8+1</f>
        <v>81</v>
      </c>
      <c r="CM8" s="39" t="n">
        <f aca="false">CL$8+1</f>
        <v>82</v>
      </c>
      <c r="CN8" s="39" t="n">
        <f aca="false">CM$8+1</f>
        <v>83</v>
      </c>
      <c r="CO8" s="39" t="n">
        <f aca="false">CN$8+1</f>
        <v>84</v>
      </c>
      <c r="CP8" s="39" t="n">
        <f aca="false">CO$8+1</f>
        <v>85</v>
      </c>
      <c r="CQ8" s="39" t="n">
        <f aca="false">CP$8+1</f>
        <v>86</v>
      </c>
      <c r="CR8" s="39" t="n">
        <f aca="false">CQ$8+1</f>
        <v>87</v>
      </c>
      <c r="CS8" s="39" t="n">
        <f aca="false">CR$8+1</f>
        <v>88</v>
      </c>
      <c r="CT8" s="39" t="n">
        <f aca="false">CS$8+1</f>
        <v>89</v>
      </c>
      <c r="CU8" s="39" t="n">
        <f aca="false">CT$8+1</f>
        <v>90</v>
      </c>
      <c r="CV8" s="39" t="n">
        <f aca="false">CU$8+1</f>
        <v>91</v>
      </c>
      <c r="CW8" s="39" t="n">
        <f aca="false">CV$8+1</f>
        <v>92</v>
      </c>
      <c r="CX8" s="39" t="n">
        <f aca="false">CW$8+1</f>
        <v>93</v>
      </c>
      <c r="CY8" s="39" t="n">
        <f aca="false">CX$8+1</f>
        <v>94</v>
      </c>
      <c r="CZ8" s="39" t="n">
        <f aca="false">CY$8+1</f>
        <v>95</v>
      </c>
      <c r="DA8" s="39" t="n">
        <f aca="false">CZ$8+1</f>
        <v>96</v>
      </c>
      <c r="DB8" s="39" t="n">
        <f aca="false">DA$8+1</f>
        <v>97</v>
      </c>
      <c r="DC8" s="39" t="n">
        <f aca="false">DB$8+1</f>
        <v>98</v>
      </c>
      <c r="DD8" s="39" t="n">
        <f aca="false">DC$8+1</f>
        <v>99</v>
      </c>
      <c r="DE8" s="39" t="n">
        <f aca="false">DD$8+1</f>
        <v>100</v>
      </c>
      <c r="DF8" s="39" t="n">
        <f aca="false">DE$8+1</f>
        <v>101</v>
      </c>
      <c r="DG8" s="39" t="n">
        <f aca="false">DF$8+1</f>
        <v>102</v>
      </c>
      <c r="DH8" s="39" t="n">
        <f aca="false">DG$8+1</f>
        <v>103</v>
      </c>
      <c r="DI8" s="39" t="n">
        <f aca="false">DH$8+1</f>
        <v>104</v>
      </c>
      <c r="DJ8" s="39" t="n">
        <f aca="false">DI$8+1</f>
        <v>105</v>
      </c>
      <c r="DK8" s="39" t="n">
        <f aca="false">DJ$8+1</f>
        <v>106</v>
      </c>
      <c r="DL8" s="39" t="n">
        <f aca="false">DK$8+1</f>
        <v>107</v>
      </c>
      <c r="DM8" s="39" t="n">
        <f aca="false">DL$8+1</f>
        <v>108</v>
      </c>
      <c r="DN8" s="39" t="n">
        <f aca="false">DM$8+1</f>
        <v>109</v>
      </c>
      <c r="DO8" s="39" t="n">
        <f aca="false">DN$8+1</f>
        <v>110</v>
      </c>
      <c r="DP8" s="39" t="n">
        <f aca="false">DO$8+1</f>
        <v>111</v>
      </c>
      <c r="DQ8" s="39" t="n">
        <f aca="false">DP$8+1</f>
        <v>112</v>
      </c>
      <c r="DR8" s="39" t="n">
        <f aca="false">DQ$8+1</f>
        <v>113</v>
      </c>
      <c r="DS8" s="39" t="n">
        <f aca="false">DR$8+1</f>
        <v>114</v>
      </c>
      <c r="DT8" s="39" t="n">
        <f aca="false">DS$8+1</f>
        <v>115</v>
      </c>
      <c r="DU8" s="39" t="n">
        <f aca="false">DT$8+1</f>
        <v>116</v>
      </c>
      <c r="DV8" s="39" t="n">
        <f aca="false">DU$8+1</f>
        <v>117</v>
      </c>
      <c r="DW8" s="39" t="n">
        <f aca="false">DV$8+1</f>
        <v>118</v>
      </c>
      <c r="DX8" s="39" t="n">
        <f aca="false">DW$8+1</f>
        <v>119</v>
      </c>
      <c r="DY8" s="39" t="n">
        <f aca="false">DX$8+1</f>
        <v>120</v>
      </c>
      <c r="DZ8" s="39" t="n">
        <f aca="false">DY$8+1</f>
        <v>121</v>
      </c>
      <c r="EA8" s="39" t="n">
        <f aca="false">DZ$8+1</f>
        <v>122</v>
      </c>
      <c r="EB8" s="39" t="n">
        <f aca="false">EA$8+1</f>
        <v>123</v>
      </c>
      <c r="EC8" s="39" t="n">
        <f aca="false">EB$8+1</f>
        <v>124</v>
      </c>
      <c r="ED8" s="39" t="n">
        <f aca="false">EC$8+1</f>
        <v>125</v>
      </c>
      <c r="EE8" s="39" t="n">
        <f aca="false">ED$8+1</f>
        <v>126</v>
      </c>
      <c r="EF8" s="39" t="n">
        <f aca="false">EE$8+1</f>
        <v>127</v>
      </c>
      <c r="EG8" s="39" t="n">
        <f aca="false">EF$8+1</f>
        <v>128</v>
      </c>
      <c r="EH8" s="39" t="n">
        <f aca="false">EG$8+1</f>
        <v>129</v>
      </c>
      <c r="EI8" s="39" t="n">
        <f aca="false">EH$8+1</f>
        <v>130</v>
      </c>
      <c r="EJ8" s="39" t="n">
        <f aca="false">EI$8+1</f>
        <v>131</v>
      </c>
      <c r="EK8" s="39" t="n">
        <f aca="false">EJ$8+1</f>
        <v>132</v>
      </c>
      <c r="EL8" s="39" t="n">
        <f aca="false">EK$8+1</f>
        <v>133</v>
      </c>
      <c r="EM8" s="39" t="n">
        <f aca="false">EL$8+1</f>
        <v>134</v>
      </c>
      <c r="EN8" s="39" t="n">
        <f aca="false">EM$8+1</f>
        <v>135</v>
      </c>
      <c r="EO8" s="39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331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332</v>
      </c>
      <c r="D12" s="11" t="s">
        <v>327</v>
      </c>
      <c r="E12" s="41" t="n">
        <f aca="false">In_NTP+1</f>
        <v>47027</v>
      </c>
      <c r="F12" s="20" t="n">
        <f aca="false">In_COD</f>
        <v>47756</v>
      </c>
      <c r="I12" s="52" t="n">
        <f aca="false">SUM(J12:EO12)</f>
        <v>1</v>
      </c>
      <c r="J12" s="52" t="n">
        <f aca="false">MAX(0,MIN($F12,J$4)-MAX($E12,J$3)+1)/($F12-$E12+1)</f>
        <v>0</v>
      </c>
      <c r="K12" s="52" t="n">
        <f aca="false">MAX(0,MIN($F12,K$4)-MAX($E12,K$3)+1)/($F12-$E12+1)</f>
        <v>0</v>
      </c>
      <c r="L12" s="52" t="n">
        <f aca="false">MAX(0,MIN($F12,L$4)-MAX($E12,L$3)+1)/($F12-$E12+1)</f>
        <v>0</v>
      </c>
      <c r="M12" s="52" t="n">
        <f aca="false">MAX(0,MIN($F12,M$4)-MAX($E12,M$3)+1)/($F12-$E12+1)</f>
        <v>0</v>
      </c>
      <c r="N12" s="52" t="n">
        <f aca="false">MAX(0,MIN($F12,N$4)-MAX($E12,N$3)+1)/($F12-$E12+1)</f>
        <v>0</v>
      </c>
      <c r="O12" s="52" t="n">
        <f aca="false">MAX(0,MIN($F12,O$4)-MAX($E12,O$3)+1)/($F12-$E12+1)</f>
        <v>0</v>
      </c>
      <c r="P12" s="52" t="n">
        <f aca="false">MAX(0,MIN($F12,P$4)-MAX($E12,P$3)+1)/($F12-$E12+1)</f>
        <v>0</v>
      </c>
      <c r="Q12" s="52" t="n">
        <f aca="false">MAX(0,MIN($F12,Q$4)-MAX($E12,Q$3)+1)/($F12-$E12+1)</f>
        <v>0</v>
      </c>
      <c r="R12" s="52" t="n">
        <f aca="false">MAX(0,MIN($F12,R$4)-MAX($E12,R$3)+1)/($F12-$E12+1)</f>
        <v>0.126027397260274</v>
      </c>
      <c r="S12" s="52" t="n">
        <f aca="false">MAX(0,MIN($F12,S$4)-MAX($E12,S$3)+1)/($F12-$E12+1)</f>
        <v>0.123287671232877</v>
      </c>
      <c r="T12" s="52" t="n">
        <f aca="false">MAX(0,MIN($F12,T$4)-MAX($E12,T$3)+1)/($F12-$E12+1)</f>
        <v>0.124657534246575</v>
      </c>
      <c r="U12" s="52" t="n">
        <f aca="false">MAX(0,MIN($F12,U$4)-MAX($E12,U$3)+1)/($F12-$E12+1)</f>
        <v>0.126027397260274</v>
      </c>
      <c r="V12" s="52" t="n">
        <f aca="false">MAX(0,MIN($F12,V$4)-MAX($E12,V$3)+1)/($F12-$E12+1)</f>
        <v>0.126027397260274</v>
      </c>
      <c r="W12" s="52" t="n">
        <f aca="false">MAX(0,MIN($F12,W$4)-MAX($E12,W$3)+1)/($F12-$E12+1)</f>
        <v>0.123287671232877</v>
      </c>
      <c r="X12" s="52" t="n">
        <f aca="false">MAX(0,MIN($F12,X$4)-MAX($E12,X$3)+1)/($F12-$E12+1)</f>
        <v>0.124657534246575</v>
      </c>
      <c r="Y12" s="52" t="n">
        <f aca="false">MAX(0,MIN($F12,Y$4)-MAX($E12,Y$3)+1)/($F12-$E12+1)</f>
        <v>0.126027397260274</v>
      </c>
      <c r="Z12" s="52" t="n">
        <f aca="false">MAX(0,MIN($F12,Z$4)-MAX($E12,Z$3)+1)/($F12-$E12+1)</f>
        <v>0</v>
      </c>
      <c r="AA12" s="52" t="n">
        <f aca="false">MAX(0,MIN($F12,AA$4)-MAX($E12,AA$3)+1)/($F12-$E12+1)</f>
        <v>0</v>
      </c>
      <c r="AB12" s="52" t="n">
        <f aca="false">MAX(0,MIN($F12,AB$4)-MAX($E12,AB$3)+1)/($F12-$E12+1)</f>
        <v>0</v>
      </c>
      <c r="AC12" s="52" t="n">
        <f aca="false">MAX(0,MIN($F12,AC$4)-MAX($E12,AC$3)+1)/($F12-$E12+1)</f>
        <v>0</v>
      </c>
      <c r="AD12" s="52" t="n">
        <f aca="false">MAX(0,MIN($F12,AD$4)-MAX($E12,AD$3)+1)/($F12-$E12+1)</f>
        <v>0</v>
      </c>
      <c r="AE12" s="52" t="n">
        <f aca="false">MAX(0,MIN($F12,AE$4)-MAX($E12,AE$3)+1)/($F12-$E12+1)</f>
        <v>0</v>
      </c>
      <c r="AF12" s="52" t="n">
        <f aca="false">MAX(0,MIN($F12,AF$4)-MAX($E12,AF$3)+1)/($F12-$E12+1)</f>
        <v>0</v>
      </c>
      <c r="AG12" s="52" t="n">
        <f aca="false">MAX(0,MIN($F12,AG$4)-MAX($E12,AG$3)+1)/($F12-$E12+1)</f>
        <v>0</v>
      </c>
      <c r="AH12" s="52" t="n">
        <f aca="false">MAX(0,MIN($F12,AH$4)-MAX($E12,AH$3)+1)/($F12-$E12+1)</f>
        <v>0</v>
      </c>
      <c r="AI12" s="52" t="n">
        <f aca="false">MAX(0,MIN($F12,AI$4)-MAX($E12,AI$3)+1)/($F12-$E12+1)</f>
        <v>0</v>
      </c>
      <c r="AJ12" s="52" t="n">
        <f aca="false">MAX(0,MIN($F12,AJ$4)-MAX($E12,AJ$3)+1)/($F12-$E12+1)</f>
        <v>0</v>
      </c>
      <c r="AK12" s="52" t="n">
        <f aca="false">MAX(0,MIN($F12,AK$4)-MAX($E12,AK$3)+1)/($F12-$E12+1)</f>
        <v>0</v>
      </c>
      <c r="AL12" s="52" t="n">
        <f aca="false">MAX(0,MIN($F12,AL$4)-MAX($E12,AL$3)+1)/($F12-$E12+1)</f>
        <v>0</v>
      </c>
      <c r="AM12" s="52" t="n">
        <f aca="false">MAX(0,MIN($F12,AM$4)-MAX($E12,AM$3)+1)/($F12-$E12+1)</f>
        <v>0</v>
      </c>
      <c r="AN12" s="52" t="n">
        <f aca="false">MAX(0,MIN($F12,AN$4)-MAX($E12,AN$3)+1)/($F12-$E12+1)</f>
        <v>0</v>
      </c>
      <c r="AO12" s="52" t="n">
        <f aca="false">MAX(0,MIN($F12,AO$4)-MAX($E12,AO$3)+1)/($F12-$E12+1)</f>
        <v>0</v>
      </c>
      <c r="AP12" s="52" t="n">
        <f aca="false">MAX(0,MIN($F12,AP$4)-MAX($E12,AP$3)+1)/($F12-$E12+1)</f>
        <v>0</v>
      </c>
      <c r="AQ12" s="52" t="n">
        <f aca="false">MAX(0,MIN($F12,AQ$4)-MAX($E12,AQ$3)+1)/($F12-$E12+1)</f>
        <v>0</v>
      </c>
      <c r="AR12" s="52" t="n">
        <f aca="false">MAX(0,MIN($F12,AR$4)-MAX($E12,AR$3)+1)/($F12-$E12+1)</f>
        <v>0</v>
      </c>
      <c r="AS12" s="52" t="n">
        <f aca="false">MAX(0,MIN($F12,AS$4)-MAX($E12,AS$3)+1)/($F12-$E12+1)</f>
        <v>0</v>
      </c>
      <c r="AT12" s="52" t="n">
        <f aca="false">MAX(0,MIN($F12,AT$4)-MAX($E12,AT$3)+1)/($F12-$E12+1)</f>
        <v>0</v>
      </c>
      <c r="AU12" s="52" t="n">
        <f aca="false">MAX(0,MIN($F12,AU$4)-MAX($E12,AU$3)+1)/($F12-$E12+1)</f>
        <v>0</v>
      </c>
      <c r="AV12" s="52" t="n">
        <f aca="false">MAX(0,MIN($F12,AV$4)-MAX($E12,AV$3)+1)/($F12-$E12+1)</f>
        <v>0</v>
      </c>
      <c r="AW12" s="52" t="n">
        <f aca="false">MAX(0,MIN($F12,AW$4)-MAX($E12,AW$3)+1)/($F12-$E12+1)</f>
        <v>0</v>
      </c>
      <c r="AX12" s="52" t="n">
        <f aca="false">MAX(0,MIN($F12,AX$4)-MAX($E12,AX$3)+1)/($F12-$E12+1)</f>
        <v>0</v>
      </c>
      <c r="AY12" s="52" t="n">
        <f aca="false">MAX(0,MIN($F12,AY$4)-MAX($E12,AY$3)+1)/($F12-$E12+1)</f>
        <v>0</v>
      </c>
      <c r="AZ12" s="52" t="n">
        <f aca="false">MAX(0,MIN($F12,AZ$4)-MAX($E12,AZ$3)+1)/($F12-$E12+1)</f>
        <v>0</v>
      </c>
      <c r="BA12" s="52" t="n">
        <f aca="false">MAX(0,MIN($F12,BA$4)-MAX($E12,BA$3)+1)/($F12-$E12+1)</f>
        <v>0</v>
      </c>
      <c r="BB12" s="52" t="n">
        <f aca="false">MAX(0,MIN($F12,BB$4)-MAX($E12,BB$3)+1)/($F12-$E12+1)</f>
        <v>0</v>
      </c>
      <c r="BC12" s="52" t="n">
        <f aca="false">MAX(0,MIN($F12,BC$4)-MAX($E12,BC$3)+1)/($F12-$E12+1)</f>
        <v>0</v>
      </c>
      <c r="BD12" s="52" t="n">
        <f aca="false">MAX(0,MIN($F12,BD$4)-MAX($E12,BD$3)+1)/($F12-$E12+1)</f>
        <v>0</v>
      </c>
      <c r="BE12" s="52" t="n">
        <f aca="false">MAX(0,MIN($F12,BE$4)-MAX($E12,BE$3)+1)/($F12-$E12+1)</f>
        <v>0</v>
      </c>
      <c r="BF12" s="52" t="n">
        <f aca="false">MAX(0,MIN($F12,BF$4)-MAX($E12,BF$3)+1)/($F12-$E12+1)</f>
        <v>0</v>
      </c>
      <c r="BG12" s="52" t="n">
        <f aca="false">MAX(0,MIN($F12,BG$4)-MAX($E12,BG$3)+1)/($F12-$E12+1)</f>
        <v>0</v>
      </c>
      <c r="BH12" s="52" t="n">
        <f aca="false">MAX(0,MIN($F12,BH$4)-MAX($E12,BH$3)+1)/($F12-$E12+1)</f>
        <v>0</v>
      </c>
      <c r="BI12" s="52" t="n">
        <f aca="false">MAX(0,MIN($F12,BI$4)-MAX($E12,BI$3)+1)/($F12-$E12+1)</f>
        <v>0</v>
      </c>
      <c r="BJ12" s="52" t="n">
        <f aca="false">MAX(0,MIN($F12,BJ$4)-MAX($E12,BJ$3)+1)/($F12-$E12+1)</f>
        <v>0</v>
      </c>
      <c r="BK12" s="52" t="n">
        <f aca="false">MAX(0,MIN($F12,BK$4)-MAX($E12,BK$3)+1)/($F12-$E12+1)</f>
        <v>0</v>
      </c>
      <c r="BL12" s="52" t="n">
        <f aca="false">MAX(0,MIN($F12,BL$4)-MAX($E12,BL$3)+1)/($F12-$E12+1)</f>
        <v>0</v>
      </c>
      <c r="BM12" s="52" t="n">
        <f aca="false">MAX(0,MIN($F12,BM$4)-MAX($E12,BM$3)+1)/($F12-$E12+1)</f>
        <v>0</v>
      </c>
      <c r="BN12" s="52" t="n">
        <f aca="false">MAX(0,MIN($F12,BN$4)-MAX($E12,BN$3)+1)/($F12-$E12+1)</f>
        <v>0</v>
      </c>
      <c r="BO12" s="52" t="n">
        <f aca="false">MAX(0,MIN($F12,BO$4)-MAX($E12,BO$3)+1)/($F12-$E12+1)</f>
        <v>0</v>
      </c>
      <c r="BP12" s="52" t="n">
        <f aca="false">MAX(0,MIN($F12,BP$4)-MAX($E12,BP$3)+1)/($F12-$E12+1)</f>
        <v>0</v>
      </c>
      <c r="BQ12" s="52" t="n">
        <f aca="false">MAX(0,MIN($F12,BQ$4)-MAX($E12,BQ$3)+1)/($F12-$E12+1)</f>
        <v>0</v>
      </c>
      <c r="BR12" s="52" t="n">
        <f aca="false">MAX(0,MIN($F12,BR$4)-MAX($E12,BR$3)+1)/($F12-$E12+1)</f>
        <v>0</v>
      </c>
      <c r="BS12" s="52" t="n">
        <f aca="false">MAX(0,MIN($F12,BS$4)-MAX($E12,BS$3)+1)/($F12-$E12+1)</f>
        <v>0</v>
      </c>
      <c r="BT12" s="52" t="n">
        <f aca="false">MAX(0,MIN($F12,BT$4)-MAX($E12,BT$3)+1)/($F12-$E12+1)</f>
        <v>0</v>
      </c>
      <c r="BU12" s="52" t="n">
        <f aca="false">MAX(0,MIN($F12,BU$4)-MAX($E12,BU$3)+1)/($F12-$E12+1)</f>
        <v>0</v>
      </c>
      <c r="BV12" s="52" t="n">
        <f aca="false">MAX(0,MIN($F12,BV$4)-MAX($E12,BV$3)+1)/($F12-$E12+1)</f>
        <v>0</v>
      </c>
      <c r="BW12" s="52" t="n">
        <f aca="false">MAX(0,MIN($F12,BW$4)-MAX($E12,BW$3)+1)/($F12-$E12+1)</f>
        <v>0</v>
      </c>
      <c r="BX12" s="52" t="n">
        <f aca="false">MAX(0,MIN($F12,BX$4)-MAX($E12,BX$3)+1)/($F12-$E12+1)</f>
        <v>0</v>
      </c>
      <c r="BY12" s="52" t="n">
        <f aca="false">MAX(0,MIN($F12,BY$4)-MAX($E12,BY$3)+1)/($F12-$E12+1)</f>
        <v>0</v>
      </c>
      <c r="BZ12" s="52" t="n">
        <f aca="false">MAX(0,MIN($F12,BZ$4)-MAX($E12,BZ$3)+1)/($F12-$E12+1)</f>
        <v>0</v>
      </c>
      <c r="CA12" s="52" t="n">
        <f aca="false">MAX(0,MIN($F12,CA$4)-MAX($E12,CA$3)+1)/($F12-$E12+1)</f>
        <v>0</v>
      </c>
      <c r="CB12" s="52" t="n">
        <f aca="false">MAX(0,MIN($F12,CB$4)-MAX($E12,CB$3)+1)/($F12-$E12+1)</f>
        <v>0</v>
      </c>
      <c r="CC12" s="52" t="n">
        <f aca="false">MAX(0,MIN($F12,CC$4)-MAX($E12,CC$3)+1)/($F12-$E12+1)</f>
        <v>0</v>
      </c>
      <c r="CD12" s="52" t="n">
        <f aca="false">MAX(0,MIN($F12,CD$4)-MAX($E12,CD$3)+1)/($F12-$E12+1)</f>
        <v>0</v>
      </c>
      <c r="CE12" s="52" t="n">
        <f aca="false">MAX(0,MIN($F12,CE$4)-MAX($E12,CE$3)+1)/($F12-$E12+1)</f>
        <v>0</v>
      </c>
      <c r="CF12" s="52" t="n">
        <f aca="false">MAX(0,MIN($F12,CF$4)-MAX($E12,CF$3)+1)/($F12-$E12+1)</f>
        <v>0</v>
      </c>
      <c r="CG12" s="52" t="n">
        <f aca="false">MAX(0,MIN($F12,CG$4)-MAX($E12,CG$3)+1)/($F12-$E12+1)</f>
        <v>0</v>
      </c>
      <c r="CH12" s="52" t="n">
        <f aca="false">MAX(0,MIN($F12,CH$4)-MAX($E12,CH$3)+1)/($F12-$E12+1)</f>
        <v>0</v>
      </c>
      <c r="CI12" s="52" t="n">
        <f aca="false">MAX(0,MIN($F12,CI$4)-MAX($E12,CI$3)+1)/($F12-$E12+1)</f>
        <v>0</v>
      </c>
      <c r="CJ12" s="52" t="n">
        <f aca="false">MAX(0,MIN($F12,CJ$4)-MAX($E12,CJ$3)+1)/($F12-$E12+1)</f>
        <v>0</v>
      </c>
      <c r="CK12" s="52" t="n">
        <f aca="false">MAX(0,MIN($F12,CK$4)-MAX($E12,CK$3)+1)/($F12-$E12+1)</f>
        <v>0</v>
      </c>
      <c r="CL12" s="52" t="n">
        <f aca="false">MAX(0,MIN($F12,CL$4)-MAX($E12,CL$3)+1)/($F12-$E12+1)</f>
        <v>0</v>
      </c>
      <c r="CM12" s="52" t="n">
        <f aca="false">MAX(0,MIN($F12,CM$4)-MAX($E12,CM$3)+1)/($F12-$E12+1)</f>
        <v>0</v>
      </c>
      <c r="CN12" s="52" t="n">
        <f aca="false">MAX(0,MIN($F12,CN$4)-MAX($E12,CN$3)+1)/($F12-$E12+1)</f>
        <v>0</v>
      </c>
      <c r="CO12" s="52" t="n">
        <f aca="false">MAX(0,MIN($F12,CO$4)-MAX($E12,CO$3)+1)/($F12-$E12+1)</f>
        <v>0</v>
      </c>
      <c r="CP12" s="52" t="n">
        <f aca="false">MAX(0,MIN($F12,CP$4)-MAX($E12,CP$3)+1)/($F12-$E12+1)</f>
        <v>0</v>
      </c>
      <c r="CQ12" s="52" t="n">
        <f aca="false">MAX(0,MIN($F12,CQ$4)-MAX($E12,CQ$3)+1)/($F12-$E12+1)</f>
        <v>0</v>
      </c>
      <c r="CR12" s="52" t="n">
        <f aca="false">MAX(0,MIN($F12,CR$4)-MAX($E12,CR$3)+1)/($F12-$E12+1)</f>
        <v>0</v>
      </c>
      <c r="CS12" s="52" t="n">
        <f aca="false">MAX(0,MIN($F12,CS$4)-MAX($E12,CS$3)+1)/($F12-$E12+1)</f>
        <v>0</v>
      </c>
      <c r="CT12" s="52" t="n">
        <f aca="false">MAX(0,MIN($F12,CT$4)-MAX($E12,CT$3)+1)/($F12-$E12+1)</f>
        <v>0</v>
      </c>
      <c r="CU12" s="52" t="n">
        <f aca="false">MAX(0,MIN($F12,CU$4)-MAX($E12,CU$3)+1)/($F12-$E12+1)</f>
        <v>0</v>
      </c>
      <c r="CV12" s="52" t="n">
        <f aca="false">MAX(0,MIN($F12,CV$4)-MAX($E12,CV$3)+1)/($F12-$E12+1)</f>
        <v>0</v>
      </c>
      <c r="CW12" s="52" t="n">
        <f aca="false">MAX(0,MIN($F12,CW$4)-MAX($E12,CW$3)+1)/($F12-$E12+1)</f>
        <v>0</v>
      </c>
      <c r="CX12" s="52" t="n">
        <f aca="false">MAX(0,MIN($F12,CX$4)-MAX($E12,CX$3)+1)/($F12-$E12+1)</f>
        <v>0</v>
      </c>
      <c r="CY12" s="52" t="n">
        <f aca="false">MAX(0,MIN($F12,CY$4)-MAX($E12,CY$3)+1)/($F12-$E12+1)</f>
        <v>0</v>
      </c>
      <c r="CZ12" s="52" t="n">
        <f aca="false">MAX(0,MIN($F12,CZ$4)-MAX($E12,CZ$3)+1)/($F12-$E12+1)</f>
        <v>0</v>
      </c>
      <c r="DA12" s="52" t="n">
        <f aca="false">MAX(0,MIN($F12,DA$4)-MAX($E12,DA$3)+1)/($F12-$E12+1)</f>
        <v>0</v>
      </c>
      <c r="DB12" s="52" t="n">
        <f aca="false">MAX(0,MIN($F12,DB$4)-MAX($E12,DB$3)+1)/($F12-$E12+1)</f>
        <v>0</v>
      </c>
      <c r="DC12" s="52" t="n">
        <f aca="false">MAX(0,MIN($F12,DC$4)-MAX($E12,DC$3)+1)/($F12-$E12+1)</f>
        <v>0</v>
      </c>
      <c r="DD12" s="52" t="n">
        <f aca="false">MAX(0,MIN($F12,DD$4)-MAX($E12,DD$3)+1)/($F12-$E12+1)</f>
        <v>0</v>
      </c>
      <c r="DE12" s="52" t="n">
        <f aca="false">MAX(0,MIN($F12,DE$4)-MAX($E12,DE$3)+1)/($F12-$E12+1)</f>
        <v>0</v>
      </c>
      <c r="DF12" s="52" t="n">
        <f aca="false">MAX(0,MIN($F12,DF$4)-MAX($E12,DF$3)+1)/($F12-$E12+1)</f>
        <v>0</v>
      </c>
      <c r="DG12" s="52" t="n">
        <f aca="false">MAX(0,MIN($F12,DG$4)-MAX($E12,DG$3)+1)/($F12-$E12+1)</f>
        <v>0</v>
      </c>
      <c r="DH12" s="52" t="n">
        <f aca="false">MAX(0,MIN($F12,DH$4)-MAX($E12,DH$3)+1)/($F12-$E12+1)</f>
        <v>0</v>
      </c>
      <c r="DI12" s="52" t="n">
        <f aca="false">MAX(0,MIN($F12,DI$4)-MAX($E12,DI$3)+1)/($F12-$E12+1)</f>
        <v>0</v>
      </c>
      <c r="DJ12" s="52" t="n">
        <f aca="false">MAX(0,MIN($F12,DJ$4)-MAX($E12,DJ$3)+1)/($F12-$E12+1)</f>
        <v>0</v>
      </c>
      <c r="DK12" s="52" t="n">
        <f aca="false">MAX(0,MIN($F12,DK$4)-MAX($E12,DK$3)+1)/($F12-$E12+1)</f>
        <v>0</v>
      </c>
      <c r="DL12" s="52" t="n">
        <f aca="false">MAX(0,MIN($F12,DL$4)-MAX($E12,DL$3)+1)/($F12-$E12+1)</f>
        <v>0</v>
      </c>
      <c r="DM12" s="52" t="n">
        <f aca="false">MAX(0,MIN($F12,DM$4)-MAX($E12,DM$3)+1)/($F12-$E12+1)</f>
        <v>0</v>
      </c>
      <c r="DN12" s="52" t="n">
        <f aca="false">MAX(0,MIN($F12,DN$4)-MAX($E12,DN$3)+1)/($F12-$E12+1)</f>
        <v>0</v>
      </c>
      <c r="DO12" s="52" t="n">
        <f aca="false">MAX(0,MIN($F12,DO$4)-MAX($E12,DO$3)+1)/($F12-$E12+1)</f>
        <v>0</v>
      </c>
      <c r="DP12" s="52" t="n">
        <f aca="false">MAX(0,MIN($F12,DP$4)-MAX($E12,DP$3)+1)/($F12-$E12+1)</f>
        <v>0</v>
      </c>
      <c r="DQ12" s="52" t="n">
        <f aca="false">MAX(0,MIN($F12,DQ$4)-MAX($E12,DQ$3)+1)/($F12-$E12+1)</f>
        <v>0</v>
      </c>
      <c r="DR12" s="52" t="n">
        <f aca="false">MAX(0,MIN($F12,DR$4)-MAX($E12,DR$3)+1)/($F12-$E12+1)</f>
        <v>0</v>
      </c>
      <c r="DS12" s="52" t="n">
        <f aca="false">MAX(0,MIN($F12,DS$4)-MAX($E12,DS$3)+1)/($F12-$E12+1)</f>
        <v>0</v>
      </c>
      <c r="DT12" s="52" t="n">
        <f aca="false">MAX(0,MIN($F12,DT$4)-MAX($E12,DT$3)+1)/($F12-$E12+1)</f>
        <v>0</v>
      </c>
      <c r="DU12" s="52" t="n">
        <f aca="false">MAX(0,MIN($F12,DU$4)-MAX($E12,DU$3)+1)/($F12-$E12+1)</f>
        <v>0</v>
      </c>
      <c r="DV12" s="52" t="n">
        <f aca="false">MAX(0,MIN($F12,DV$4)-MAX($E12,DV$3)+1)/($F12-$E12+1)</f>
        <v>0</v>
      </c>
      <c r="DW12" s="52" t="n">
        <f aca="false">MAX(0,MIN($F12,DW$4)-MAX($E12,DW$3)+1)/($F12-$E12+1)</f>
        <v>0</v>
      </c>
      <c r="DX12" s="52" t="n">
        <f aca="false">MAX(0,MIN($F12,DX$4)-MAX($E12,DX$3)+1)/($F12-$E12+1)</f>
        <v>0</v>
      </c>
      <c r="DY12" s="52" t="n">
        <f aca="false">MAX(0,MIN($F12,DY$4)-MAX($E12,DY$3)+1)/($F12-$E12+1)</f>
        <v>0</v>
      </c>
      <c r="DZ12" s="52" t="n">
        <f aca="false">MAX(0,MIN($F12,DZ$4)-MAX($E12,DZ$3)+1)/($F12-$E12+1)</f>
        <v>0</v>
      </c>
      <c r="EA12" s="52" t="n">
        <f aca="false">MAX(0,MIN($F12,EA$4)-MAX($E12,EA$3)+1)/($F12-$E12+1)</f>
        <v>0</v>
      </c>
      <c r="EB12" s="52" t="n">
        <f aca="false">MAX(0,MIN($F12,EB$4)-MAX($E12,EB$3)+1)/($F12-$E12+1)</f>
        <v>0</v>
      </c>
      <c r="EC12" s="52" t="n">
        <f aca="false">MAX(0,MIN($F12,EC$4)-MAX($E12,EC$3)+1)/($F12-$E12+1)</f>
        <v>0</v>
      </c>
      <c r="ED12" s="52" t="n">
        <f aca="false">MAX(0,MIN($F12,ED$4)-MAX($E12,ED$3)+1)/($F12-$E12+1)</f>
        <v>0</v>
      </c>
      <c r="EE12" s="52" t="n">
        <f aca="false">MAX(0,MIN($F12,EE$4)-MAX($E12,EE$3)+1)/($F12-$E12+1)</f>
        <v>0</v>
      </c>
      <c r="EF12" s="52" t="n">
        <f aca="false">MAX(0,MIN($F12,EF$4)-MAX($E12,EF$3)+1)/($F12-$E12+1)</f>
        <v>0</v>
      </c>
      <c r="EG12" s="52" t="n">
        <f aca="false">MAX(0,MIN($F12,EG$4)-MAX($E12,EG$3)+1)/($F12-$E12+1)</f>
        <v>0</v>
      </c>
      <c r="EH12" s="52" t="n">
        <f aca="false">MAX(0,MIN($F12,EH$4)-MAX($E12,EH$3)+1)/($F12-$E12+1)</f>
        <v>0</v>
      </c>
      <c r="EI12" s="52" t="n">
        <f aca="false">MAX(0,MIN($F12,EI$4)-MAX($E12,EI$3)+1)/($F12-$E12+1)</f>
        <v>0</v>
      </c>
      <c r="EJ12" s="52" t="n">
        <f aca="false">MAX(0,MIN($F12,EJ$4)-MAX($E12,EJ$3)+1)/($F12-$E12+1)</f>
        <v>0</v>
      </c>
      <c r="EK12" s="52" t="n">
        <f aca="false">MAX(0,MIN($F12,EK$4)-MAX($E12,EK$3)+1)/($F12-$E12+1)</f>
        <v>0</v>
      </c>
      <c r="EL12" s="52" t="n">
        <f aca="false">MAX(0,MIN($F12,EL$4)-MAX($E12,EL$3)+1)/($F12-$E12+1)</f>
        <v>0</v>
      </c>
      <c r="EM12" s="52" t="n">
        <f aca="false">MAX(0,MIN($F12,EM$4)-MAX($E12,EM$3)+1)/($F12-$E12+1)</f>
        <v>0</v>
      </c>
      <c r="EN12" s="52" t="n">
        <f aca="false">MAX(0,MIN($F12,EN$4)-MAX($E12,EN$3)+1)/($F12-$E12+1)</f>
        <v>0</v>
      </c>
      <c r="EO12" s="52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333</v>
      </c>
      <c r="D13" s="11" t="s">
        <v>327</v>
      </c>
      <c r="E13" s="41" t="n">
        <f aca="false">In_Closing+1</f>
        <v>46388</v>
      </c>
      <c r="F13" s="20" t="n">
        <f aca="false">In_NTP</f>
        <v>47026</v>
      </c>
      <c r="I13" s="52" t="n">
        <f aca="false">SUM(J13:EO13)</f>
        <v>1</v>
      </c>
      <c r="J13" s="52" t="n">
        <f aca="false">MAX(0,MIN($F13,J$4)-MAX($E13,J$3)+1)/($F13-$E13+1)</f>
        <v>0</v>
      </c>
      <c r="K13" s="52" t="n">
        <f aca="false">MAX(0,MIN($F13,K$4)-MAX($E13,K$3)+1)/($F13-$E13+1)</f>
        <v>0.140845070422535</v>
      </c>
      <c r="L13" s="52" t="n">
        <f aca="false">MAX(0,MIN($F13,L$4)-MAX($E13,L$3)+1)/($F13-$E13+1)</f>
        <v>0.142410015649452</v>
      </c>
      <c r="M13" s="52" t="n">
        <f aca="false">MAX(0,MIN($F13,M$4)-MAX($E13,M$3)+1)/($F13-$E13+1)</f>
        <v>0.143974960876369</v>
      </c>
      <c r="N13" s="52" t="n">
        <f aca="false">MAX(0,MIN($F13,N$4)-MAX($E13,N$3)+1)/($F13-$E13+1)</f>
        <v>0.143974960876369</v>
      </c>
      <c r="O13" s="52" t="n">
        <f aca="false">MAX(0,MIN($F13,O$4)-MAX($E13,O$3)+1)/($F13-$E13+1)</f>
        <v>0.142410015649452</v>
      </c>
      <c r="P13" s="52" t="n">
        <f aca="false">MAX(0,MIN($F13,P$4)-MAX($E13,P$3)+1)/($F13-$E13+1)</f>
        <v>0.142410015649452</v>
      </c>
      <c r="Q13" s="52" t="n">
        <f aca="false">MAX(0,MIN($F13,Q$4)-MAX($E13,Q$3)+1)/($F13-$E13+1)</f>
        <v>0.143974960876369</v>
      </c>
      <c r="R13" s="52" t="n">
        <f aca="false">MAX(0,MIN($F13,R$4)-MAX($E13,R$3)+1)/($F13-$E13+1)</f>
        <v>0</v>
      </c>
      <c r="S13" s="52" t="n">
        <f aca="false">MAX(0,MIN($F13,S$4)-MAX($E13,S$3)+1)/($F13-$E13+1)</f>
        <v>0</v>
      </c>
      <c r="T13" s="52" t="n">
        <f aca="false">MAX(0,MIN($F13,T$4)-MAX($E13,T$3)+1)/($F13-$E13+1)</f>
        <v>0</v>
      </c>
      <c r="U13" s="52" t="n">
        <f aca="false">MAX(0,MIN($F13,U$4)-MAX($E13,U$3)+1)/($F13-$E13+1)</f>
        <v>0</v>
      </c>
      <c r="V13" s="52" t="n">
        <f aca="false">MAX(0,MIN($F13,V$4)-MAX($E13,V$3)+1)/($F13-$E13+1)</f>
        <v>0</v>
      </c>
      <c r="W13" s="52" t="n">
        <f aca="false">MAX(0,MIN($F13,W$4)-MAX($E13,W$3)+1)/($F13-$E13+1)</f>
        <v>0</v>
      </c>
      <c r="X13" s="52" t="n">
        <f aca="false">MAX(0,MIN($F13,X$4)-MAX($E13,X$3)+1)/($F13-$E13+1)</f>
        <v>0</v>
      </c>
      <c r="Y13" s="52" t="n">
        <f aca="false">MAX(0,MIN($F13,Y$4)-MAX($E13,Y$3)+1)/($F13-$E13+1)</f>
        <v>0</v>
      </c>
      <c r="Z13" s="52" t="n">
        <f aca="false">MAX(0,MIN($F13,Z$4)-MAX($E13,Z$3)+1)/($F13-$E13+1)</f>
        <v>0</v>
      </c>
      <c r="AA13" s="52" t="n">
        <f aca="false">MAX(0,MIN($F13,AA$4)-MAX($E13,AA$3)+1)/($F13-$E13+1)</f>
        <v>0</v>
      </c>
      <c r="AB13" s="52" t="n">
        <f aca="false">MAX(0,MIN($F13,AB$4)-MAX($E13,AB$3)+1)/($F13-$E13+1)</f>
        <v>0</v>
      </c>
      <c r="AC13" s="52" t="n">
        <f aca="false">MAX(0,MIN($F13,AC$4)-MAX($E13,AC$3)+1)/($F13-$E13+1)</f>
        <v>0</v>
      </c>
      <c r="AD13" s="52" t="n">
        <f aca="false">MAX(0,MIN($F13,AD$4)-MAX($E13,AD$3)+1)/($F13-$E13+1)</f>
        <v>0</v>
      </c>
      <c r="AE13" s="52" t="n">
        <f aca="false">MAX(0,MIN($F13,AE$4)-MAX($E13,AE$3)+1)/($F13-$E13+1)</f>
        <v>0</v>
      </c>
      <c r="AF13" s="52" t="n">
        <f aca="false">MAX(0,MIN($F13,AF$4)-MAX($E13,AF$3)+1)/($F13-$E13+1)</f>
        <v>0</v>
      </c>
      <c r="AG13" s="52" t="n">
        <f aca="false">MAX(0,MIN($F13,AG$4)-MAX($E13,AG$3)+1)/($F13-$E13+1)</f>
        <v>0</v>
      </c>
      <c r="AH13" s="52" t="n">
        <f aca="false">MAX(0,MIN($F13,AH$4)-MAX($E13,AH$3)+1)/($F13-$E13+1)</f>
        <v>0</v>
      </c>
      <c r="AI13" s="52" t="n">
        <f aca="false">MAX(0,MIN($F13,AI$4)-MAX($E13,AI$3)+1)/($F13-$E13+1)</f>
        <v>0</v>
      </c>
      <c r="AJ13" s="52" t="n">
        <f aca="false">MAX(0,MIN($F13,AJ$4)-MAX($E13,AJ$3)+1)/($F13-$E13+1)</f>
        <v>0</v>
      </c>
      <c r="AK13" s="52" t="n">
        <f aca="false">MAX(0,MIN($F13,AK$4)-MAX($E13,AK$3)+1)/($F13-$E13+1)</f>
        <v>0</v>
      </c>
      <c r="AL13" s="52" t="n">
        <f aca="false">MAX(0,MIN($F13,AL$4)-MAX($E13,AL$3)+1)/($F13-$E13+1)</f>
        <v>0</v>
      </c>
      <c r="AM13" s="52" t="n">
        <f aca="false">MAX(0,MIN($F13,AM$4)-MAX($E13,AM$3)+1)/($F13-$E13+1)</f>
        <v>0</v>
      </c>
      <c r="AN13" s="52" t="n">
        <f aca="false">MAX(0,MIN($F13,AN$4)-MAX($E13,AN$3)+1)/($F13-$E13+1)</f>
        <v>0</v>
      </c>
      <c r="AO13" s="52" t="n">
        <f aca="false">MAX(0,MIN($F13,AO$4)-MAX($E13,AO$3)+1)/($F13-$E13+1)</f>
        <v>0</v>
      </c>
      <c r="AP13" s="52" t="n">
        <f aca="false">MAX(0,MIN($F13,AP$4)-MAX($E13,AP$3)+1)/($F13-$E13+1)</f>
        <v>0</v>
      </c>
      <c r="AQ13" s="52" t="n">
        <f aca="false">MAX(0,MIN($F13,AQ$4)-MAX($E13,AQ$3)+1)/($F13-$E13+1)</f>
        <v>0</v>
      </c>
      <c r="AR13" s="52" t="n">
        <f aca="false">MAX(0,MIN($F13,AR$4)-MAX($E13,AR$3)+1)/($F13-$E13+1)</f>
        <v>0</v>
      </c>
      <c r="AS13" s="52" t="n">
        <f aca="false">MAX(0,MIN($F13,AS$4)-MAX($E13,AS$3)+1)/($F13-$E13+1)</f>
        <v>0</v>
      </c>
      <c r="AT13" s="52" t="n">
        <f aca="false">MAX(0,MIN($F13,AT$4)-MAX($E13,AT$3)+1)/($F13-$E13+1)</f>
        <v>0</v>
      </c>
      <c r="AU13" s="52" t="n">
        <f aca="false">MAX(0,MIN($F13,AU$4)-MAX($E13,AU$3)+1)/($F13-$E13+1)</f>
        <v>0</v>
      </c>
      <c r="AV13" s="52" t="n">
        <f aca="false">MAX(0,MIN($F13,AV$4)-MAX($E13,AV$3)+1)/($F13-$E13+1)</f>
        <v>0</v>
      </c>
      <c r="AW13" s="52" t="n">
        <f aca="false">MAX(0,MIN($F13,AW$4)-MAX($E13,AW$3)+1)/($F13-$E13+1)</f>
        <v>0</v>
      </c>
      <c r="AX13" s="52" t="n">
        <f aca="false">MAX(0,MIN($F13,AX$4)-MAX($E13,AX$3)+1)/($F13-$E13+1)</f>
        <v>0</v>
      </c>
      <c r="AY13" s="52" t="n">
        <f aca="false">MAX(0,MIN($F13,AY$4)-MAX($E13,AY$3)+1)/($F13-$E13+1)</f>
        <v>0</v>
      </c>
      <c r="AZ13" s="52" t="n">
        <f aca="false">MAX(0,MIN($F13,AZ$4)-MAX($E13,AZ$3)+1)/($F13-$E13+1)</f>
        <v>0</v>
      </c>
      <c r="BA13" s="52" t="n">
        <f aca="false">MAX(0,MIN($F13,BA$4)-MAX($E13,BA$3)+1)/($F13-$E13+1)</f>
        <v>0</v>
      </c>
      <c r="BB13" s="52" t="n">
        <f aca="false">MAX(0,MIN($F13,BB$4)-MAX($E13,BB$3)+1)/($F13-$E13+1)</f>
        <v>0</v>
      </c>
      <c r="BC13" s="52" t="n">
        <f aca="false">MAX(0,MIN($F13,BC$4)-MAX($E13,BC$3)+1)/($F13-$E13+1)</f>
        <v>0</v>
      </c>
      <c r="BD13" s="52" t="n">
        <f aca="false">MAX(0,MIN($F13,BD$4)-MAX($E13,BD$3)+1)/($F13-$E13+1)</f>
        <v>0</v>
      </c>
      <c r="BE13" s="52" t="n">
        <f aca="false">MAX(0,MIN($F13,BE$4)-MAX($E13,BE$3)+1)/($F13-$E13+1)</f>
        <v>0</v>
      </c>
      <c r="BF13" s="52" t="n">
        <f aca="false">MAX(0,MIN($F13,BF$4)-MAX($E13,BF$3)+1)/($F13-$E13+1)</f>
        <v>0</v>
      </c>
      <c r="BG13" s="52" t="n">
        <f aca="false">MAX(0,MIN($F13,BG$4)-MAX($E13,BG$3)+1)/($F13-$E13+1)</f>
        <v>0</v>
      </c>
      <c r="BH13" s="52" t="n">
        <f aca="false">MAX(0,MIN($F13,BH$4)-MAX($E13,BH$3)+1)/($F13-$E13+1)</f>
        <v>0</v>
      </c>
      <c r="BI13" s="52" t="n">
        <f aca="false">MAX(0,MIN($F13,BI$4)-MAX($E13,BI$3)+1)/($F13-$E13+1)</f>
        <v>0</v>
      </c>
      <c r="BJ13" s="52" t="n">
        <f aca="false">MAX(0,MIN($F13,BJ$4)-MAX($E13,BJ$3)+1)/($F13-$E13+1)</f>
        <v>0</v>
      </c>
      <c r="BK13" s="52" t="n">
        <f aca="false">MAX(0,MIN($F13,BK$4)-MAX($E13,BK$3)+1)/($F13-$E13+1)</f>
        <v>0</v>
      </c>
      <c r="BL13" s="52" t="n">
        <f aca="false">MAX(0,MIN($F13,BL$4)-MAX($E13,BL$3)+1)/($F13-$E13+1)</f>
        <v>0</v>
      </c>
      <c r="BM13" s="52" t="n">
        <f aca="false">MAX(0,MIN($F13,BM$4)-MAX($E13,BM$3)+1)/($F13-$E13+1)</f>
        <v>0</v>
      </c>
      <c r="BN13" s="52" t="n">
        <f aca="false">MAX(0,MIN($F13,BN$4)-MAX($E13,BN$3)+1)/($F13-$E13+1)</f>
        <v>0</v>
      </c>
      <c r="BO13" s="52" t="n">
        <f aca="false">MAX(0,MIN($F13,BO$4)-MAX($E13,BO$3)+1)/($F13-$E13+1)</f>
        <v>0</v>
      </c>
      <c r="BP13" s="52" t="n">
        <f aca="false">MAX(0,MIN($F13,BP$4)-MAX($E13,BP$3)+1)/($F13-$E13+1)</f>
        <v>0</v>
      </c>
      <c r="BQ13" s="52" t="n">
        <f aca="false">MAX(0,MIN($F13,BQ$4)-MAX($E13,BQ$3)+1)/($F13-$E13+1)</f>
        <v>0</v>
      </c>
      <c r="BR13" s="52" t="n">
        <f aca="false">MAX(0,MIN($F13,BR$4)-MAX($E13,BR$3)+1)/($F13-$E13+1)</f>
        <v>0</v>
      </c>
      <c r="BS13" s="52" t="n">
        <f aca="false">MAX(0,MIN($F13,BS$4)-MAX($E13,BS$3)+1)/($F13-$E13+1)</f>
        <v>0</v>
      </c>
      <c r="BT13" s="52" t="n">
        <f aca="false">MAX(0,MIN($F13,BT$4)-MAX($E13,BT$3)+1)/($F13-$E13+1)</f>
        <v>0</v>
      </c>
      <c r="BU13" s="52" t="n">
        <f aca="false">MAX(0,MIN($F13,BU$4)-MAX($E13,BU$3)+1)/($F13-$E13+1)</f>
        <v>0</v>
      </c>
      <c r="BV13" s="52" t="n">
        <f aca="false">MAX(0,MIN($F13,BV$4)-MAX($E13,BV$3)+1)/($F13-$E13+1)</f>
        <v>0</v>
      </c>
      <c r="BW13" s="52" t="n">
        <f aca="false">MAX(0,MIN($F13,BW$4)-MAX($E13,BW$3)+1)/($F13-$E13+1)</f>
        <v>0</v>
      </c>
      <c r="BX13" s="52" t="n">
        <f aca="false">MAX(0,MIN($F13,BX$4)-MAX($E13,BX$3)+1)/($F13-$E13+1)</f>
        <v>0</v>
      </c>
      <c r="BY13" s="52" t="n">
        <f aca="false">MAX(0,MIN($F13,BY$4)-MAX($E13,BY$3)+1)/($F13-$E13+1)</f>
        <v>0</v>
      </c>
      <c r="BZ13" s="52" t="n">
        <f aca="false">MAX(0,MIN($F13,BZ$4)-MAX($E13,BZ$3)+1)/($F13-$E13+1)</f>
        <v>0</v>
      </c>
      <c r="CA13" s="52" t="n">
        <f aca="false">MAX(0,MIN($F13,CA$4)-MAX($E13,CA$3)+1)/($F13-$E13+1)</f>
        <v>0</v>
      </c>
      <c r="CB13" s="52" t="n">
        <f aca="false">MAX(0,MIN($F13,CB$4)-MAX($E13,CB$3)+1)/($F13-$E13+1)</f>
        <v>0</v>
      </c>
      <c r="CC13" s="52" t="n">
        <f aca="false">MAX(0,MIN($F13,CC$4)-MAX($E13,CC$3)+1)/($F13-$E13+1)</f>
        <v>0</v>
      </c>
      <c r="CD13" s="52" t="n">
        <f aca="false">MAX(0,MIN($F13,CD$4)-MAX($E13,CD$3)+1)/($F13-$E13+1)</f>
        <v>0</v>
      </c>
      <c r="CE13" s="52" t="n">
        <f aca="false">MAX(0,MIN($F13,CE$4)-MAX($E13,CE$3)+1)/($F13-$E13+1)</f>
        <v>0</v>
      </c>
      <c r="CF13" s="52" t="n">
        <f aca="false">MAX(0,MIN($F13,CF$4)-MAX($E13,CF$3)+1)/($F13-$E13+1)</f>
        <v>0</v>
      </c>
      <c r="CG13" s="52" t="n">
        <f aca="false">MAX(0,MIN($F13,CG$4)-MAX($E13,CG$3)+1)/($F13-$E13+1)</f>
        <v>0</v>
      </c>
      <c r="CH13" s="52" t="n">
        <f aca="false">MAX(0,MIN($F13,CH$4)-MAX($E13,CH$3)+1)/($F13-$E13+1)</f>
        <v>0</v>
      </c>
      <c r="CI13" s="52" t="n">
        <f aca="false">MAX(0,MIN($F13,CI$4)-MAX($E13,CI$3)+1)/($F13-$E13+1)</f>
        <v>0</v>
      </c>
      <c r="CJ13" s="52" t="n">
        <f aca="false">MAX(0,MIN($F13,CJ$4)-MAX($E13,CJ$3)+1)/($F13-$E13+1)</f>
        <v>0</v>
      </c>
      <c r="CK13" s="52" t="n">
        <f aca="false">MAX(0,MIN($F13,CK$4)-MAX($E13,CK$3)+1)/($F13-$E13+1)</f>
        <v>0</v>
      </c>
      <c r="CL13" s="52" t="n">
        <f aca="false">MAX(0,MIN($F13,CL$4)-MAX($E13,CL$3)+1)/($F13-$E13+1)</f>
        <v>0</v>
      </c>
      <c r="CM13" s="52" t="n">
        <f aca="false">MAX(0,MIN($F13,CM$4)-MAX($E13,CM$3)+1)/($F13-$E13+1)</f>
        <v>0</v>
      </c>
      <c r="CN13" s="52" t="n">
        <f aca="false">MAX(0,MIN($F13,CN$4)-MAX($E13,CN$3)+1)/($F13-$E13+1)</f>
        <v>0</v>
      </c>
      <c r="CO13" s="52" t="n">
        <f aca="false">MAX(0,MIN($F13,CO$4)-MAX($E13,CO$3)+1)/($F13-$E13+1)</f>
        <v>0</v>
      </c>
      <c r="CP13" s="52" t="n">
        <f aca="false">MAX(0,MIN($F13,CP$4)-MAX($E13,CP$3)+1)/($F13-$E13+1)</f>
        <v>0</v>
      </c>
      <c r="CQ13" s="52" t="n">
        <f aca="false">MAX(0,MIN($F13,CQ$4)-MAX($E13,CQ$3)+1)/($F13-$E13+1)</f>
        <v>0</v>
      </c>
      <c r="CR13" s="52" t="n">
        <f aca="false">MAX(0,MIN($F13,CR$4)-MAX($E13,CR$3)+1)/($F13-$E13+1)</f>
        <v>0</v>
      </c>
      <c r="CS13" s="52" t="n">
        <f aca="false">MAX(0,MIN($F13,CS$4)-MAX($E13,CS$3)+1)/($F13-$E13+1)</f>
        <v>0</v>
      </c>
      <c r="CT13" s="52" t="n">
        <f aca="false">MAX(0,MIN($F13,CT$4)-MAX($E13,CT$3)+1)/($F13-$E13+1)</f>
        <v>0</v>
      </c>
      <c r="CU13" s="52" t="n">
        <f aca="false">MAX(0,MIN($F13,CU$4)-MAX($E13,CU$3)+1)/($F13-$E13+1)</f>
        <v>0</v>
      </c>
      <c r="CV13" s="52" t="n">
        <f aca="false">MAX(0,MIN($F13,CV$4)-MAX($E13,CV$3)+1)/($F13-$E13+1)</f>
        <v>0</v>
      </c>
      <c r="CW13" s="52" t="n">
        <f aca="false">MAX(0,MIN($F13,CW$4)-MAX($E13,CW$3)+1)/($F13-$E13+1)</f>
        <v>0</v>
      </c>
      <c r="CX13" s="52" t="n">
        <f aca="false">MAX(0,MIN($F13,CX$4)-MAX($E13,CX$3)+1)/($F13-$E13+1)</f>
        <v>0</v>
      </c>
      <c r="CY13" s="52" t="n">
        <f aca="false">MAX(0,MIN($F13,CY$4)-MAX($E13,CY$3)+1)/($F13-$E13+1)</f>
        <v>0</v>
      </c>
      <c r="CZ13" s="52" t="n">
        <f aca="false">MAX(0,MIN($F13,CZ$4)-MAX($E13,CZ$3)+1)/($F13-$E13+1)</f>
        <v>0</v>
      </c>
      <c r="DA13" s="52" t="n">
        <f aca="false">MAX(0,MIN($F13,DA$4)-MAX($E13,DA$3)+1)/($F13-$E13+1)</f>
        <v>0</v>
      </c>
      <c r="DB13" s="52" t="n">
        <f aca="false">MAX(0,MIN($F13,DB$4)-MAX($E13,DB$3)+1)/($F13-$E13+1)</f>
        <v>0</v>
      </c>
      <c r="DC13" s="52" t="n">
        <f aca="false">MAX(0,MIN($F13,DC$4)-MAX($E13,DC$3)+1)/($F13-$E13+1)</f>
        <v>0</v>
      </c>
      <c r="DD13" s="52" t="n">
        <f aca="false">MAX(0,MIN($F13,DD$4)-MAX($E13,DD$3)+1)/($F13-$E13+1)</f>
        <v>0</v>
      </c>
      <c r="DE13" s="52" t="n">
        <f aca="false">MAX(0,MIN($F13,DE$4)-MAX($E13,DE$3)+1)/($F13-$E13+1)</f>
        <v>0</v>
      </c>
      <c r="DF13" s="52" t="n">
        <f aca="false">MAX(0,MIN($F13,DF$4)-MAX($E13,DF$3)+1)/($F13-$E13+1)</f>
        <v>0</v>
      </c>
      <c r="DG13" s="52" t="n">
        <f aca="false">MAX(0,MIN($F13,DG$4)-MAX($E13,DG$3)+1)/($F13-$E13+1)</f>
        <v>0</v>
      </c>
      <c r="DH13" s="52" t="n">
        <f aca="false">MAX(0,MIN($F13,DH$4)-MAX($E13,DH$3)+1)/($F13-$E13+1)</f>
        <v>0</v>
      </c>
      <c r="DI13" s="52" t="n">
        <f aca="false">MAX(0,MIN($F13,DI$4)-MAX($E13,DI$3)+1)/($F13-$E13+1)</f>
        <v>0</v>
      </c>
      <c r="DJ13" s="52" t="n">
        <f aca="false">MAX(0,MIN($F13,DJ$4)-MAX($E13,DJ$3)+1)/($F13-$E13+1)</f>
        <v>0</v>
      </c>
      <c r="DK13" s="52" t="n">
        <f aca="false">MAX(0,MIN($F13,DK$4)-MAX($E13,DK$3)+1)/($F13-$E13+1)</f>
        <v>0</v>
      </c>
      <c r="DL13" s="52" t="n">
        <f aca="false">MAX(0,MIN($F13,DL$4)-MAX($E13,DL$3)+1)/($F13-$E13+1)</f>
        <v>0</v>
      </c>
      <c r="DM13" s="52" t="n">
        <f aca="false">MAX(0,MIN($F13,DM$4)-MAX($E13,DM$3)+1)/($F13-$E13+1)</f>
        <v>0</v>
      </c>
      <c r="DN13" s="52" t="n">
        <f aca="false">MAX(0,MIN($F13,DN$4)-MAX($E13,DN$3)+1)/($F13-$E13+1)</f>
        <v>0</v>
      </c>
      <c r="DO13" s="52" t="n">
        <f aca="false">MAX(0,MIN($F13,DO$4)-MAX($E13,DO$3)+1)/($F13-$E13+1)</f>
        <v>0</v>
      </c>
      <c r="DP13" s="52" t="n">
        <f aca="false">MAX(0,MIN($F13,DP$4)-MAX($E13,DP$3)+1)/($F13-$E13+1)</f>
        <v>0</v>
      </c>
      <c r="DQ13" s="52" t="n">
        <f aca="false">MAX(0,MIN($F13,DQ$4)-MAX($E13,DQ$3)+1)/($F13-$E13+1)</f>
        <v>0</v>
      </c>
      <c r="DR13" s="52" t="n">
        <f aca="false">MAX(0,MIN($F13,DR$4)-MAX($E13,DR$3)+1)/($F13-$E13+1)</f>
        <v>0</v>
      </c>
      <c r="DS13" s="52" t="n">
        <f aca="false">MAX(0,MIN($F13,DS$4)-MAX($E13,DS$3)+1)/($F13-$E13+1)</f>
        <v>0</v>
      </c>
      <c r="DT13" s="52" t="n">
        <f aca="false">MAX(0,MIN($F13,DT$4)-MAX($E13,DT$3)+1)/($F13-$E13+1)</f>
        <v>0</v>
      </c>
      <c r="DU13" s="52" t="n">
        <f aca="false">MAX(0,MIN($F13,DU$4)-MAX($E13,DU$3)+1)/($F13-$E13+1)</f>
        <v>0</v>
      </c>
      <c r="DV13" s="52" t="n">
        <f aca="false">MAX(0,MIN($F13,DV$4)-MAX($E13,DV$3)+1)/($F13-$E13+1)</f>
        <v>0</v>
      </c>
      <c r="DW13" s="52" t="n">
        <f aca="false">MAX(0,MIN($F13,DW$4)-MAX($E13,DW$3)+1)/($F13-$E13+1)</f>
        <v>0</v>
      </c>
      <c r="DX13" s="52" t="n">
        <f aca="false">MAX(0,MIN($F13,DX$4)-MAX($E13,DX$3)+1)/($F13-$E13+1)</f>
        <v>0</v>
      </c>
      <c r="DY13" s="52" t="n">
        <f aca="false">MAX(0,MIN($F13,DY$4)-MAX($E13,DY$3)+1)/($F13-$E13+1)</f>
        <v>0</v>
      </c>
      <c r="DZ13" s="52" t="n">
        <f aca="false">MAX(0,MIN($F13,DZ$4)-MAX($E13,DZ$3)+1)/($F13-$E13+1)</f>
        <v>0</v>
      </c>
      <c r="EA13" s="52" t="n">
        <f aca="false">MAX(0,MIN($F13,EA$4)-MAX($E13,EA$3)+1)/($F13-$E13+1)</f>
        <v>0</v>
      </c>
      <c r="EB13" s="52" t="n">
        <f aca="false">MAX(0,MIN($F13,EB$4)-MAX($E13,EB$3)+1)/($F13-$E13+1)</f>
        <v>0</v>
      </c>
      <c r="EC13" s="52" t="n">
        <f aca="false">MAX(0,MIN($F13,EC$4)-MAX($E13,EC$3)+1)/($F13-$E13+1)</f>
        <v>0</v>
      </c>
      <c r="ED13" s="52" t="n">
        <f aca="false">MAX(0,MIN($F13,ED$4)-MAX($E13,ED$3)+1)/($F13-$E13+1)</f>
        <v>0</v>
      </c>
      <c r="EE13" s="52" t="n">
        <f aca="false">MAX(0,MIN($F13,EE$4)-MAX($E13,EE$3)+1)/($F13-$E13+1)</f>
        <v>0</v>
      </c>
      <c r="EF13" s="52" t="n">
        <f aca="false">MAX(0,MIN($F13,EF$4)-MAX($E13,EF$3)+1)/($F13-$E13+1)</f>
        <v>0</v>
      </c>
      <c r="EG13" s="52" t="n">
        <f aca="false">MAX(0,MIN($F13,EG$4)-MAX($E13,EG$3)+1)/($F13-$E13+1)</f>
        <v>0</v>
      </c>
      <c r="EH13" s="52" t="n">
        <f aca="false">MAX(0,MIN($F13,EH$4)-MAX($E13,EH$3)+1)/($F13-$E13+1)</f>
        <v>0</v>
      </c>
      <c r="EI13" s="52" t="n">
        <f aca="false">MAX(0,MIN($F13,EI$4)-MAX($E13,EI$3)+1)/($F13-$E13+1)</f>
        <v>0</v>
      </c>
      <c r="EJ13" s="52" t="n">
        <f aca="false">MAX(0,MIN($F13,EJ$4)-MAX($E13,EJ$3)+1)/($F13-$E13+1)</f>
        <v>0</v>
      </c>
      <c r="EK13" s="52" t="n">
        <f aca="false">MAX(0,MIN($F13,EK$4)-MAX($E13,EK$3)+1)/($F13-$E13+1)</f>
        <v>0</v>
      </c>
      <c r="EL13" s="52" t="n">
        <f aca="false">MAX(0,MIN($F13,EL$4)-MAX($E13,EL$3)+1)/($F13-$E13+1)</f>
        <v>0</v>
      </c>
      <c r="EM13" s="52" t="n">
        <f aca="false">MAX(0,MIN($F13,EM$4)-MAX($E13,EM$3)+1)/($F13-$E13+1)</f>
        <v>0</v>
      </c>
      <c r="EN13" s="52" t="n">
        <f aca="false">MAX(0,MIN($F13,EN$4)-MAX($E13,EN$3)+1)/($F13-$E13+1)</f>
        <v>0</v>
      </c>
      <c r="EO13" s="52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35</v>
      </c>
      <c r="D14" s="11" t="s">
        <v>30</v>
      </c>
      <c r="E14" s="20" t="n">
        <f aca="false">In_COD</f>
        <v>47756</v>
      </c>
      <c r="I14" s="46" t="n">
        <f aca="false">SUM(J14:EO14)</f>
        <v>1</v>
      </c>
      <c r="J14" s="46" t="n">
        <f aca="false">N(AND(J$3&lt;=$E14,J$4&gt;=$E14))</f>
        <v>0</v>
      </c>
      <c r="K14" s="46" t="n">
        <f aca="false">N(AND(K$3&lt;=$E14,K$4&gt;=$E14))</f>
        <v>0</v>
      </c>
      <c r="L14" s="46" t="n">
        <f aca="false">N(AND(L$3&lt;=$E14,L$4&gt;=$E14))</f>
        <v>0</v>
      </c>
      <c r="M14" s="46" t="n">
        <f aca="false">N(AND(M$3&lt;=$E14,M$4&gt;=$E14))</f>
        <v>0</v>
      </c>
      <c r="N14" s="46" t="n">
        <f aca="false">N(AND(N$3&lt;=$E14,N$4&gt;=$E14))</f>
        <v>0</v>
      </c>
      <c r="O14" s="46" t="n">
        <f aca="false">N(AND(O$3&lt;=$E14,O$4&gt;=$E14))</f>
        <v>0</v>
      </c>
      <c r="P14" s="46" t="n">
        <f aca="false">N(AND(P$3&lt;=$E14,P$4&gt;=$E14))</f>
        <v>0</v>
      </c>
      <c r="Q14" s="46" t="n">
        <f aca="false">N(AND(Q$3&lt;=$E14,Q$4&gt;=$E14))</f>
        <v>0</v>
      </c>
      <c r="R14" s="46" t="n">
        <f aca="false">N(AND(R$3&lt;=$E14,R$4&gt;=$E14))</f>
        <v>0</v>
      </c>
      <c r="S14" s="46" t="n">
        <f aca="false">N(AND(S$3&lt;=$E14,S$4&gt;=$E14))</f>
        <v>0</v>
      </c>
      <c r="T14" s="46" t="n">
        <f aca="false">N(AND(T$3&lt;=$E14,T$4&gt;=$E14))</f>
        <v>0</v>
      </c>
      <c r="U14" s="46" t="n">
        <f aca="false">N(AND(U$3&lt;=$E14,U$4&gt;=$E14))</f>
        <v>0</v>
      </c>
      <c r="V14" s="46" t="n">
        <f aca="false">N(AND(V$3&lt;=$E14,V$4&gt;=$E14))</f>
        <v>0</v>
      </c>
      <c r="W14" s="46" t="n">
        <f aca="false">N(AND(W$3&lt;=$E14,W$4&gt;=$E14))</f>
        <v>0</v>
      </c>
      <c r="X14" s="46" t="n">
        <f aca="false">N(AND(X$3&lt;=$E14,X$4&gt;=$E14))</f>
        <v>0</v>
      </c>
      <c r="Y14" s="46" t="n">
        <f aca="false">N(AND(Y$3&lt;=$E14,Y$4&gt;=$E14))</f>
        <v>1</v>
      </c>
      <c r="Z14" s="46" t="n">
        <f aca="false">N(AND(Z$3&lt;=$E14,Z$4&gt;=$E14))</f>
        <v>0</v>
      </c>
      <c r="AA14" s="46" t="n">
        <f aca="false">N(AND(AA$3&lt;=$E14,AA$4&gt;=$E14))</f>
        <v>0</v>
      </c>
      <c r="AB14" s="46" t="n">
        <f aca="false">N(AND(AB$3&lt;=$E14,AB$4&gt;=$E14))</f>
        <v>0</v>
      </c>
      <c r="AC14" s="46" t="n">
        <f aca="false">N(AND(AC$3&lt;=$E14,AC$4&gt;=$E14))</f>
        <v>0</v>
      </c>
      <c r="AD14" s="46" t="n">
        <f aca="false">N(AND(AD$3&lt;=$E14,AD$4&gt;=$E14))</f>
        <v>0</v>
      </c>
      <c r="AE14" s="46" t="n">
        <f aca="false">N(AND(AE$3&lt;=$E14,AE$4&gt;=$E14))</f>
        <v>0</v>
      </c>
      <c r="AF14" s="46" t="n">
        <f aca="false">N(AND(AF$3&lt;=$E14,AF$4&gt;=$E14))</f>
        <v>0</v>
      </c>
      <c r="AG14" s="46" t="n">
        <f aca="false">N(AND(AG$3&lt;=$E14,AG$4&gt;=$E14))</f>
        <v>0</v>
      </c>
      <c r="AH14" s="46" t="n">
        <f aca="false">N(AND(AH$3&lt;=$E14,AH$4&gt;=$E14))</f>
        <v>0</v>
      </c>
      <c r="AI14" s="46" t="n">
        <f aca="false">N(AND(AI$3&lt;=$E14,AI$4&gt;=$E14))</f>
        <v>0</v>
      </c>
      <c r="AJ14" s="46" t="n">
        <f aca="false">N(AND(AJ$3&lt;=$E14,AJ$4&gt;=$E14))</f>
        <v>0</v>
      </c>
      <c r="AK14" s="46" t="n">
        <f aca="false">N(AND(AK$3&lt;=$E14,AK$4&gt;=$E14))</f>
        <v>0</v>
      </c>
      <c r="AL14" s="46" t="n">
        <f aca="false">N(AND(AL$3&lt;=$E14,AL$4&gt;=$E14))</f>
        <v>0</v>
      </c>
      <c r="AM14" s="46" t="n">
        <f aca="false">N(AND(AM$3&lt;=$E14,AM$4&gt;=$E14))</f>
        <v>0</v>
      </c>
      <c r="AN14" s="46" t="n">
        <f aca="false">N(AND(AN$3&lt;=$E14,AN$4&gt;=$E14))</f>
        <v>0</v>
      </c>
      <c r="AO14" s="46" t="n">
        <f aca="false">N(AND(AO$3&lt;=$E14,AO$4&gt;=$E14))</f>
        <v>0</v>
      </c>
      <c r="AP14" s="46" t="n">
        <f aca="false">N(AND(AP$3&lt;=$E14,AP$4&gt;=$E14))</f>
        <v>0</v>
      </c>
      <c r="AQ14" s="46" t="n">
        <f aca="false">N(AND(AQ$3&lt;=$E14,AQ$4&gt;=$E14))</f>
        <v>0</v>
      </c>
      <c r="AR14" s="46" t="n">
        <f aca="false">N(AND(AR$3&lt;=$E14,AR$4&gt;=$E14))</f>
        <v>0</v>
      </c>
      <c r="AS14" s="46" t="n">
        <f aca="false">N(AND(AS$3&lt;=$E14,AS$4&gt;=$E14))</f>
        <v>0</v>
      </c>
      <c r="AT14" s="46" t="n">
        <f aca="false">N(AND(AT$3&lt;=$E14,AT$4&gt;=$E14))</f>
        <v>0</v>
      </c>
      <c r="AU14" s="46" t="n">
        <f aca="false">N(AND(AU$3&lt;=$E14,AU$4&gt;=$E14))</f>
        <v>0</v>
      </c>
      <c r="AV14" s="46" t="n">
        <f aca="false">N(AND(AV$3&lt;=$E14,AV$4&gt;=$E14))</f>
        <v>0</v>
      </c>
      <c r="AW14" s="46" t="n">
        <f aca="false">N(AND(AW$3&lt;=$E14,AW$4&gt;=$E14))</f>
        <v>0</v>
      </c>
      <c r="AX14" s="46" t="n">
        <f aca="false">N(AND(AX$3&lt;=$E14,AX$4&gt;=$E14))</f>
        <v>0</v>
      </c>
      <c r="AY14" s="46" t="n">
        <f aca="false">N(AND(AY$3&lt;=$E14,AY$4&gt;=$E14))</f>
        <v>0</v>
      </c>
      <c r="AZ14" s="46" t="n">
        <f aca="false">N(AND(AZ$3&lt;=$E14,AZ$4&gt;=$E14))</f>
        <v>0</v>
      </c>
      <c r="BA14" s="46" t="n">
        <f aca="false">N(AND(BA$3&lt;=$E14,BA$4&gt;=$E14))</f>
        <v>0</v>
      </c>
      <c r="BB14" s="46" t="n">
        <f aca="false">N(AND(BB$3&lt;=$E14,BB$4&gt;=$E14))</f>
        <v>0</v>
      </c>
      <c r="BC14" s="46" t="n">
        <f aca="false">N(AND(BC$3&lt;=$E14,BC$4&gt;=$E14))</f>
        <v>0</v>
      </c>
      <c r="BD14" s="46" t="n">
        <f aca="false">N(AND(BD$3&lt;=$E14,BD$4&gt;=$E14))</f>
        <v>0</v>
      </c>
      <c r="BE14" s="46" t="n">
        <f aca="false">N(AND(BE$3&lt;=$E14,BE$4&gt;=$E14))</f>
        <v>0</v>
      </c>
      <c r="BF14" s="46" t="n">
        <f aca="false">N(AND(BF$3&lt;=$E14,BF$4&gt;=$E14))</f>
        <v>0</v>
      </c>
      <c r="BG14" s="46" t="n">
        <f aca="false">N(AND(BG$3&lt;=$E14,BG$4&gt;=$E14))</f>
        <v>0</v>
      </c>
      <c r="BH14" s="46" t="n">
        <f aca="false">N(AND(BH$3&lt;=$E14,BH$4&gt;=$E14))</f>
        <v>0</v>
      </c>
      <c r="BI14" s="46" t="n">
        <f aca="false">N(AND(BI$3&lt;=$E14,BI$4&gt;=$E14))</f>
        <v>0</v>
      </c>
      <c r="BJ14" s="46" t="n">
        <f aca="false">N(AND(BJ$3&lt;=$E14,BJ$4&gt;=$E14))</f>
        <v>0</v>
      </c>
      <c r="BK14" s="46" t="n">
        <f aca="false">N(AND(BK$3&lt;=$E14,BK$4&gt;=$E14))</f>
        <v>0</v>
      </c>
      <c r="BL14" s="46" t="n">
        <f aca="false">N(AND(BL$3&lt;=$E14,BL$4&gt;=$E14))</f>
        <v>0</v>
      </c>
      <c r="BM14" s="46" t="n">
        <f aca="false">N(AND(BM$3&lt;=$E14,BM$4&gt;=$E14))</f>
        <v>0</v>
      </c>
      <c r="BN14" s="46" t="n">
        <f aca="false">N(AND(BN$3&lt;=$E14,BN$4&gt;=$E14))</f>
        <v>0</v>
      </c>
      <c r="BO14" s="46" t="n">
        <f aca="false">N(AND(BO$3&lt;=$E14,BO$4&gt;=$E14))</f>
        <v>0</v>
      </c>
      <c r="BP14" s="46" t="n">
        <f aca="false">N(AND(BP$3&lt;=$E14,BP$4&gt;=$E14))</f>
        <v>0</v>
      </c>
      <c r="BQ14" s="46" t="n">
        <f aca="false">N(AND(BQ$3&lt;=$E14,BQ$4&gt;=$E14))</f>
        <v>0</v>
      </c>
      <c r="BR14" s="46" t="n">
        <f aca="false">N(AND(BR$3&lt;=$E14,BR$4&gt;=$E14))</f>
        <v>0</v>
      </c>
      <c r="BS14" s="46" t="n">
        <f aca="false">N(AND(BS$3&lt;=$E14,BS$4&gt;=$E14))</f>
        <v>0</v>
      </c>
      <c r="BT14" s="46" t="n">
        <f aca="false">N(AND(BT$3&lt;=$E14,BT$4&gt;=$E14))</f>
        <v>0</v>
      </c>
      <c r="BU14" s="46" t="n">
        <f aca="false">N(AND(BU$3&lt;=$E14,BU$4&gt;=$E14))</f>
        <v>0</v>
      </c>
      <c r="BV14" s="46" t="n">
        <f aca="false">N(AND(BV$3&lt;=$E14,BV$4&gt;=$E14))</f>
        <v>0</v>
      </c>
      <c r="BW14" s="46" t="n">
        <f aca="false">N(AND(BW$3&lt;=$E14,BW$4&gt;=$E14))</f>
        <v>0</v>
      </c>
      <c r="BX14" s="46" t="n">
        <f aca="false">N(AND(BX$3&lt;=$E14,BX$4&gt;=$E14))</f>
        <v>0</v>
      </c>
      <c r="BY14" s="46" t="n">
        <f aca="false">N(AND(BY$3&lt;=$E14,BY$4&gt;=$E14))</f>
        <v>0</v>
      </c>
      <c r="BZ14" s="46" t="n">
        <f aca="false">N(AND(BZ$3&lt;=$E14,BZ$4&gt;=$E14))</f>
        <v>0</v>
      </c>
      <c r="CA14" s="46" t="n">
        <f aca="false">N(AND(CA$3&lt;=$E14,CA$4&gt;=$E14))</f>
        <v>0</v>
      </c>
      <c r="CB14" s="46" t="n">
        <f aca="false">N(AND(CB$3&lt;=$E14,CB$4&gt;=$E14))</f>
        <v>0</v>
      </c>
      <c r="CC14" s="46" t="n">
        <f aca="false">N(AND(CC$3&lt;=$E14,CC$4&gt;=$E14))</f>
        <v>0</v>
      </c>
      <c r="CD14" s="46" t="n">
        <f aca="false">N(AND(CD$3&lt;=$E14,CD$4&gt;=$E14))</f>
        <v>0</v>
      </c>
      <c r="CE14" s="46" t="n">
        <f aca="false">N(AND(CE$3&lt;=$E14,CE$4&gt;=$E14))</f>
        <v>0</v>
      </c>
      <c r="CF14" s="46" t="n">
        <f aca="false">N(AND(CF$3&lt;=$E14,CF$4&gt;=$E14))</f>
        <v>0</v>
      </c>
      <c r="CG14" s="46" t="n">
        <f aca="false">N(AND(CG$3&lt;=$E14,CG$4&gt;=$E14))</f>
        <v>0</v>
      </c>
      <c r="CH14" s="46" t="n">
        <f aca="false">N(AND(CH$3&lt;=$E14,CH$4&gt;=$E14))</f>
        <v>0</v>
      </c>
      <c r="CI14" s="46" t="n">
        <f aca="false">N(AND(CI$3&lt;=$E14,CI$4&gt;=$E14))</f>
        <v>0</v>
      </c>
      <c r="CJ14" s="46" t="n">
        <f aca="false">N(AND(CJ$3&lt;=$E14,CJ$4&gt;=$E14))</f>
        <v>0</v>
      </c>
      <c r="CK14" s="46" t="n">
        <f aca="false">N(AND(CK$3&lt;=$E14,CK$4&gt;=$E14))</f>
        <v>0</v>
      </c>
      <c r="CL14" s="46" t="n">
        <f aca="false">N(AND(CL$3&lt;=$E14,CL$4&gt;=$E14))</f>
        <v>0</v>
      </c>
      <c r="CM14" s="46" t="n">
        <f aca="false">N(AND(CM$3&lt;=$E14,CM$4&gt;=$E14))</f>
        <v>0</v>
      </c>
      <c r="CN14" s="46" t="n">
        <f aca="false">N(AND(CN$3&lt;=$E14,CN$4&gt;=$E14))</f>
        <v>0</v>
      </c>
      <c r="CO14" s="46" t="n">
        <f aca="false">N(AND(CO$3&lt;=$E14,CO$4&gt;=$E14))</f>
        <v>0</v>
      </c>
      <c r="CP14" s="46" t="n">
        <f aca="false">N(AND(CP$3&lt;=$E14,CP$4&gt;=$E14))</f>
        <v>0</v>
      </c>
      <c r="CQ14" s="46" t="n">
        <f aca="false">N(AND(CQ$3&lt;=$E14,CQ$4&gt;=$E14))</f>
        <v>0</v>
      </c>
      <c r="CR14" s="46" t="n">
        <f aca="false">N(AND(CR$3&lt;=$E14,CR$4&gt;=$E14))</f>
        <v>0</v>
      </c>
      <c r="CS14" s="46" t="n">
        <f aca="false">N(AND(CS$3&lt;=$E14,CS$4&gt;=$E14))</f>
        <v>0</v>
      </c>
      <c r="CT14" s="46" t="n">
        <f aca="false">N(AND(CT$3&lt;=$E14,CT$4&gt;=$E14))</f>
        <v>0</v>
      </c>
      <c r="CU14" s="46" t="n">
        <f aca="false">N(AND(CU$3&lt;=$E14,CU$4&gt;=$E14))</f>
        <v>0</v>
      </c>
      <c r="CV14" s="46" t="n">
        <f aca="false">N(AND(CV$3&lt;=$E14,CV$4&gt;=$E14))</f>
        <v>0</v>
      </c>
      <c r="CW14" s="46" t="n">
        <f aca="false">N(AND(CW$3&lt;=$E14,CW$4&gt;=$E14))</f>
        <v>0</v>
      </c>
      <c r="CX14" s="46" t="n">
        <f aca="false">N(AND(CX$3&lt;=$E14,CX$4&gt;=$E14))</f>
        <v>0</v>
      </c>
      <c r="CY14" s="46" t="n">
        <f aca="false">N(AND(CY$3&lt;=$E14,CY$4&gt;=$E14))</f>
        <v>0</v>
      </c>
      <c r="CZ14" s="46" t="n">
        <f aca="false">N(AND(CZ$3&lt;=$E14,CZ$4&gt;=$E14))</f>
        <v>0</v>
      </c>
      <c r="DA14" s="46" t="n">
        <f aca="false">N(AND(DA$3&lt;=$E14,DA$4&gt;=$E14))</f>
        <v>0</v>
      </c>
      <c r="DB14" s="46" t="n">
        <f aca="false">N(AND(DB$3&lt;=$E14,DB$4&gt;=$E14))</f>
        <v>0</v>
      </c>
      <c r="DC14" s="46" t="n">
        <f aca="false">N(AND(DC$3&lt;=$E14,DC$4&gt;=$E14))</f>
        <v>0</v>
      </c>
      <c r="DD14" s="46" t="n">
        <f aca="false">N(AND(DD$3&lt;=$E14,DD$4&gt;=$E14))</f>
        <v>0</v>
      </c>
      <c r="DE14" s="46" t="n">
        <f aca="false">N(AND(DE$3&lt;=$E14,DE$4&gt;=$E14))</f>
        <v>0</v>
      </c>
      <c r="DF14" s="46" t="n">
        <f aca="false">N(AND(DF$3&lt;=$E14,DF$4&gt;=$E14))</f>
        <v>0</v>
      </c>
      <c r="DG14" s="46" t="n">
        <f aca="false">N(AND(DG$3&lt;=$E14,DG$4&gt;=$E14))</f>
        <v>0</v>
      </c>
      <c r="DH14" s="46" t="n">
        <f aca="false">N(AND(DH$3&lt;=$E14,DH$4&gt;=$E14))</f>
        <v>0</v>
      </c>
      <c r="DI14" s="46" t="n">
        <f aca="false">N(AND(DI$3&lt;=$E14,DI$4&gt;=$E14))</f>
        <v>0</v>
      </c>
      <c r="DJ14" s="46" t="n">
        <f aca="false">N(AND(DJ$3&lt;=$E14,DJ$4&gt;=$E14))</f>
        <v>0</v>
      </c>
      <c r="DK14" s="46" t="n">
        <f aca="false">N(AND(DK$3&lt;=$E14,DK$4&gt;=$E14))</f>
        <v>0</v>
      </c>
      <c r="DL14" s="46" t="n">
        <f aca="false">N(AND(DL$3&lt;=$E14,DL$4&gt;=$E14))</f>
        <v>0</v>
      </c>
      <c r="DM14" s="46" t="n">
        <f aca="false">N(AND(DM$3&lt;=$E14,DM$4&gt;=$E14))</f>
        <v>0</v>
      </c>
      <c r="DN14" s="46" t="n">
        <f aca="false">N(AND(DN$3&lt;=$E14,DN$4&gt;=$E14))</f>
        <v>0</v>
      </c>
      <c r="DO14" s="46" t="n">
        <f aca="false">N(AND(DO$3&lt;=$E14,DO$4&gt;=$E14))</f>
        <v>0</v>
      </c>
      <c r="DP14" s="46" t="n">
        <f aca="false">N(AND(DP$3&lt;=$E14,DP$4&gt;=$E14))</f>
        <v>0</v>
      </c>
      <c r="DQ14" s="46" t="n">
        <f aca="false">N(AND(DQ$3&lt;=$E14,DQ$4&gt;=$E14))</f>
        <v>0</v>
      </c>
      <c r="DR14" s="46" t="n">
        <f aca="false">N(AND(DR$3&lt;=$E14,DR$4&gt;=$E14))</f>
        <v>0</v>
      </c>
      <c r="DS14" s="46" t="n">
        <f aca="false">N(AND(DS$3&lt;=$E14,DS$4&gt;=$E14))</f>
        <v>0</v>
      </c>
      <c r="DT14" s="46" t="n">
        <f aca="false">N(AND(DT$3&lt;=$E14,DT$4&gt;=$E14))</f>
        <v>0</v>
      </c>
      <c r="DU14" s="46" t="n">
        <f aca="false">N(AND(DU$3&lt;=$E14,DU$4&gt;=$E14))</f>
        <v>0</v>
      </c>
      <c r="DV14" s="46" t="n">
        <f aca="false">N(AND(DV$3&lt;=$E14,DV$4&gt;=$E14))</f>
        <v>0</v>
      </c>
      <c r="DW14" s="46" t="n">
        <f aca="false">N(AND(DW$3&lt;=$E14,DW$4&gt;=$E14))</f>
        <v>0</v>
      </c>
      <c r="DX14" s="46" t="n">
        <f aca="false">N(AND(DX$3&lt;=$E14,DX$4&gt;=$E14))</f>
        <v>0</v>
      </c>
      <c r="DY14" s="46" t="n">
        <f aca="false">N(AND(DY$3&lt;=$E14,DY$4&gt;=$E14))</f>
        <v>0</v>
      </c>
      <c r="DZ14" s="46" t="n">
        <f aca="false">N(AND(DZ$3&lt;=$E14,DZ$4&gt;=$E14))</f>
        <v>0</v>
      </c>
      <c r="EA14" s="46" t="n">
        <f aca="false">N(AND(EA$3&lt;=$E14,EA$4&gt;=$E14))</f>
        <v>0</v>
      </c>
      <c r="EB14" s="46" t="n">
        <f aca="false">N(AND(EB$3&lt;=$E14,EB$4&gt;=$E14))</f>
        <v>0</v>
      </c>
      <c r="EC14" s="46" t="n">
        <f aca="false">N(AND(EC$3&lt;=$E14,EC$4&gt;=$E14))</f>
        <v>0</v>
      </c>
      <c r="ED14" s="46" t="n">
        <f aca="false">N(AND(ED$3&lt;=$E14,ED$4&gt;=$E14))</f>
        <v>0</v>
      </c>
      <c r="EE14" s="46" t="n">
        <f aca="false">N(AND(EE$3&lt;=$E14,EE$4&gt;=$E14))</f>
        <v>0</v>
      </c>
      <c r="EF14" s="46" t="n">
        <f aca="false">N(AND(EF$3&lt;=$E14,EF$4&gt;=$E14))</f>
        <v>0</v>
      </c>
      <c r="EG14" s="46" t="n">
        <f aca="false">N(AND(EG$3&lt;=$E14,EG$4&gt;=$E14))</f>
        <v>0</v>
      </c>
      <c r="EH14" s="46" t="n">
        <f aca="false">N(AND(EH$3&lt;=$E14,EH$4&gt;=$E14))</f>
        <v>0</v>
      </c>
      <c r="EI14" s="46" t="n">
        <f aca="false">N(AND(EI$3&lt;=$E14,EI$4&gt;=$E14))</f>
        <v>0</v>
      </c>
      <c r="EJ14" s="46" t="n">
        <f aca="false">N(AND(EJ$3&lt;=$E14,EJ$4&gt;=$E14))</f>
        <v>0</v>
      </c>
      <c r="EK14" s="46" t="n">
        <f aca="false">N(AND(EK$3&lt;=$E14,EK$4&gt;=$E14))</f>
        <v>0</v>
      </c>
      <c r="EL14" s="46" t="n">
        <f aca="false">N(AND(EL$3&lt;=$E14,EL$4&gt;=$E14))</f>
        <v>0</v>
      </c>
      <c r="EM14" s="46" t="n">
        <f aca="false">N(AND(EM$3&lt;=$E14,EM$4&gt;=$E14))</f>
        <v>0</v>
      </c>
      <c r="EN14" s="46" t="n">
        <f aca="false">N(AND(EN$3&lt;=$E14,EN$4&gt;=$E14))</f>
        <v>0</v>
      </c>
      <c r="EO14" s="46" t="n">
        <f aca="false">N(AND(EO$3&lt;=$E14,EO$4&gt;=$E14))</f>
        <v>0</v>
      </c>
    </row>
    <row r="15" customFormat="false" ht="15" hidden="false" customHeight="false" outlineLevel="0" collapsed="false">
      <c r="C15" s="0" t="s">
        <v>254</v>
      </c>
      <c r="D15" s="11" t="s">
        <v>30</v>
      </c>
      <c r="E15" s="41" t="n">
        <f aca="false">In_COD+1</f>
        <v>47757</v>
      </c>
      <c r="F15" s="41" t="n">
        <f aca="false">EDATE(In_COD,In_Life*Months_In_Year)</f>
        <v>58714</v>
      </c>
      <c r="J15" s="52" t="n">
        <f aca="false">MAX(0,(MIN($F15,J$4)-MAX($E15,J$3)+1)/J$5)</f>
        <v>0</v>
      </c>
      <c r="K15" s="52" t="n">
        <f aca="false">MAX(0,(MIN($F15,K$4)-MAX($E15,K$3)+1)/K$5)</f>
        <v>0</v>
      </c>
      <c r="L15" s="52" t="n">
        <f aca="false">MAX(0,(MIN($F15,L$4)-MAX($E15,L$3)+1)/L$5)</f>
        <v>0</v>
      </c>
      <c r="M15" s="52" t="n">
        <f aca="false">MAX(0,(MIN($F15,M$4)-MAX($E15,M$3)+1)/M$5)</f>
        <v>0</v>
      </c>
      <c r="N15" s="52" t="n">
        <f aca="false">MAX(0,(MIN($F15,N$4)-MAX($E15,N$3)+1)/N$5)</f>
        <v>0</v>
      </c>
      <c r="O15" s="52" t="n">
        <f aca="false">MAX(0,(MIN($F15,O$4)-MAX($E15,O$3)+1)/O$5)</f>
        <v>0</v>
      </c>
      <c r="P15" s="52" t="n">
        <f aca="false">MAX(0,(MIN($F15,P$4)-MAX($E15,P$3)+1)/P$5)</f>
        <v>0</v>
      </c>
      <c r="Q15" s="52" t="n">
        <f aca="false">MAX(0,(MIN($F15,Q$4)-MAX($E15,Q$3)+1)/Q$5)</f>
        <v>0</v>
      </c>
      <c r="R15" s="52" t="n">
        <f aca="false">MAX(0,(MIN($F15,R$4)-MAX($E15,R$3)+1)/R$5)</f>
        <v>0</v>
      </c>
      <c r="S15" s="52" t="n">
        <f aca="false">MAX(0,(MIN($F15,S$4)-MAX($E15,S$3)+1)/S$5)</f>
        <v>0</v>
      </c>
      <c r="T15" s="52" t="n">
        <f aca="false">MAX(0,(MIN($F15,T$4)-MAX($E15,T$3)+1)/T$5)</f>
        <v>0</v>
      </c>
      <c r="U15" s="52" t="n">
        <f aca="false">MAX(0,(MIN($F15,U$4)-MAX($E15,U$3)+1)/U$5)</f>
        <v>0</v>
      </c>
      <c r="V15" s="52" t="n">
        <f aca="false">MAX(0,(MIN($F15,V$4)-MAX($E15,V$3)+1)/V$5)</f>
        <v>0</v>
      </c>
      <c r="W15" s="52" t="n">
        <f aca="false">MAX(0,(MIN($F15,W$4)-MAX($E15,W$3)+1)/W$5)</f>
        <v>0</v>
      </c>
      <c r="X15" s="52" t="n">
        <f aca="false">MAX(0,(MIN($F15,X$4)-MAX($E15,X$3)+1)/X$5)</f>
        <v>0</v>
      </c>
      <c r="Y15" s="52" t="n">
        <f aca="false">MAX(0,(MIN($F15,Y$4)-MAX($E15,Y$3)+1)/Y$5)</f>
        <v>0</v>
      </c>
      <c r="Z15" s="52" t="n">
        <f aca="false">MAX(0,(MIN($F15,Z$4)-MAX($E15,Z$3)+1)/Z$5)</f>
        <v>1</v>
      </c>
      <c r="AA15" s="52" t="n">
        <f aca="false">MAX(0,(MIN($F15,AA$4)-MAX($E15,AA$3)+1)/AA$5)</f>
        <v>1</v>
      </c>
      <c r="AB15" s="52" t="n">
        <f aca="false">MAX(0,(MIN($F15,AB$4)-MAX($E15,AB$3)+1)/AB$5)</f>
        <v>1</v>
      </c>
      <c r="AC15" s="52" t="n">
        <f aca="false">MAX(0,(MIN($F15,AC$4)-MAX($E15,AC$3)+1)/AC$5)</f>
        <v>1</v>
      </c>
      <c r="AD15" s="52" t="n">
        <f aca="false">MAX(0,(MIN($F15,AD$4)-MAX($E15,AD$3)+1)/AD$5)</f>
        <v>1</v>
      </c>
      <c r="AE15" s="52" t="n">
        <f aca="false">MAX(0,(MIN($F15,AE$4)-MAX($E15,AE$3)+1)/AE$5)</f>
        <v>1</v>
      </c>
      <c r="AF15" s="52" t="n">
        <f aca="false">MAX(0,(MIN($F15,AF$4)-MAX($E15,AF$3)+1)/AF$5)</f>
        <v>1</v>
      </c>
      <c r="AG15" s="52" t="n">
        <f aca="false">MAX(0,(MIN($F15,AG$4)-MAX($E15,AG$3)+1)/AG$5)</f>
        <v>1</v>
      </c>
      <c r="AH15" s="52" t="n">
        <f aca="false">MAX(0,(MIN($F15,AH$4)-MAX($E15,AH$3)+1)/AH$5)</f>
        <v>1</v>
      </c>
      <c r="AI15" s="52" t="n">
        <f aca="false">MAX(0,(MIN($F15,AI$4)-MAX($E15,AI$3)+1)/AI$5)</f>
        <v>1</v>
      </c>
      <c r="AJ15" s="52" t="n">
        <f aca="false">MAX(0,(MIN($F15,AJ$4)-MAX($E15,AJ$3)+1)/AJ$5)</f>
        <v>1</v>
      </c>
      <c r="AK15" s="52" t="n">
        <f aca="false">MAX(0,(MIN($F15,AK$4)-MAX($E15,AK$3)+1)/AK$5)</f>
        <v>1</v>
      </c>
      <c r="AL15" s="52" t="n">
        <f aca="false">MAX(0,(MIN($F15,AL$4)-MAX($E15,AL$3)+1)/AL$5)</f>
        <v>1</v>
      </c>
      <c r="AM15" s="52" t="n">
        <f aca="false">MAX(0,(MIN($F15,AM$4)-MAX($E15,AM$3)+1)/AM$5)</f>
        <v>1</v>
      </c>
      <c r="AN15" s="52" t="n">
        <f aca="false">MAX(0,(MIN($F15,AN$4)-MAX($E15,AN$3)+1)/AN$5)</f>
        <v>1</v>
      </c>
      <c r="AO15" s="52" t="n">
        <f aca="false">MAX(0,(MIN($F15,AO$4)-MAX($E15,AO$3)+1)/AO$5)</f>
        <v>1</v>
      </c>
      <c r="AP15" s="52" t="n">
        <f aca="false">MAX(0,(MIN($F15,AP$4)-MAX($E15,AP$3)+1)/AP$5)</f>
        <v>1</v>
      </c>
      <c r="AQ15" s="52" t="n">
        <f aca="false">MAX(0,(MIN($F15,AQ$4)-MAX($E15,AQ$3)+1)/AQ$5)</f>
        <v>1</v>
      </c>
      <c r="AR15" s="52" t="n">
        <f aca="false">MAX(0,(MIN($F15,AR$4)-MAX($E15,AR$3)+1)/AR$5)</f>
        <v>1</v>
      </c>
      <c r="AS15" s="52" t="n">
        <f aca="false">MAX(0,(MIN($F15,AS$4)-MAX($E15,AS$3)+1)/AS$5)</f>
        <v>1</v>
      </c>
      <c r="AT15" s="52" t="n">
        <f aca="false">MAX(0,(MIN($F15,AT$4)-MAX($E15,AT$3)+1)/AT$5)</f>
        <v>1</v>
      </c>
      <c r="AU15" s="52" t="n">
        <f aca="false">MAX(0,(MIN($F15,AU$4)-MAX($E15,AU$3)+1)/AU$5)</f>
        <v>1</v>
      </c>
      <c r="AV15" s="52" t="n">
        <f aca="false">MAX(0,(MIN($F15,AV$4)-MAX($E15,AV$3)+1)/AV$5)</f>
        <v>1</v>
      </c>
      <c r="AW15" s="52" t="n">
        <f aca="false">MAX(0,(MIN($F15,AW$4)-MAX($E15,AW$3)+1)/AW$5)</f>
        <v>1</v>
      </c>
      <c r="AX15" s="52" t="n">
        <f aca="false">MAX(0,(MIN($F15,AX$4)-MAX($E15,AX$3)+1)/AX$5)</f>
        <v>1</v>
      </c>
      <c r="AY15" s="52" t="n">
        <f aca="false">MAX(0,(MIN($F15,AY$4)-MAX($E15,AY$3)+1)/AY$5)</f>
        <v>1</v>
      </c>
      <c r="AZ15" s="52" t="n">
        <f aca="false">MAX(0,(MIN($F15,AZ$4)-MAX($E15,AZ$3)+1)/AZ$5)</f>
        <v>1</v>
      </c>
      <c r="BA15" s="52" t="n">
        <f aca="false">MAX(0,(MIN($F15,BA$4)-MAX($E15,BA$3)+1)/BA$5)</f>
        <v>1</v>
      </c>
      <c r="BB15" s="52" t="n">
        <f aca="false">MAX(0,(MIN($F15,BB$4)-MAX($E15,BB$3)+1)/BB$5)</f>
        <v>1</v>
      </c>
      <c r="BC15" s="52" t="n">
        <f aca="false">MAX(0,(MIN($F15,BC$4)-MAX($E15,BC$3)+1)/BC$5)</f>
        <v>1</v>
      </c>
      <c r="BD15" s="52" t="n">
        <f aca="false">MAX(0,(MIN($F15,BD$4)-MAX($E15,BD$3)+1)/BD$5)</f>
        <v>1</v>
      </c>
      <c r="BE15" s="52" t="n">
        <f aca="false">MAX(0,(MIN($F15,BE$4)-MAX($E15,BE$3)+1)/BE$5)</f>
        <v>1</v>
      </c>
      <c r="BF15" s="52" t="n">
        <f aca="false">MAX(0,(MIN($F15,BF$4)-MAX($E15,BF$3)+1)/BF$5)</f>
        <v>1</v>
      </c>
      <c r="BG15" s="52" t="n">
        <f aca="false">MAX(0,(MIN($F15,BG$4)-MAX($E15,BG$3)+1)/BG$5)</f>
        <v>1</v>
      </c>
      <c r="BH15" s="52" t="n">
        <f aca="false">MAX(0,(MIN($F15,BH$4)-MAX($E15,BH$3)+1)/BH$5)</f>
        <v>1</v>
      </c>
      <c r="BI15" s="52" t="n">
        <f aca="false">MAX(0,(MIN($F15,BI$4)-MAX($E15,BI$3)+1)/BI$5)</f>
        <v>1</v>
      </c>
      <c r="BJ15" s="52" t="n">
        <f aca="false">MAX(0,(MIN($F15,BJ$4)-MAX($E15,BJ$3)+1)/BJ$5)</f>
        <v>1</v>
      </c>
      <c r="BK15" s="52" t="n">
        <f aca="false">MAX(0,(MIN($F15,BK$4)-MAX($E15,BK$3)+1)/BK$5)</f>
        <v>1</v>
      </c>
      <c r="BL15" s="52" t="n">
        <f aca="false">MAX(0,(MIN($F15,BL$4)-MAX($E15,BL$3)+1)/BL$5)</f>
        <v>1</v>
      </c>
      <c r="BM15" s="52" t="n">
        <f aca="false">MAX(0,(MIN($F15,BM$4)-MAX($E15,BM$3)+1)/BM$5)</f>
        <v>1</v>
      </c>
      <c r="BN15" s="52" t="n">
        <f aca="false">MAX(0,(MIN($F15,BN$4)-MAX($E15,BN$3)+1)/BN$5)</f>
        <v>1</v>
      </c>
      <c r="BO15" s="52" t="n">
        <f aca="false">MAX(0,(MIN($F15,BO$4)-MAX($E15,BO$3)+1)/BO$5)</f>
        <v>1</v>
      </c>
      <c r="BP15" s="52" t="n">
        <f aca="false">MAX(0,(MIN($F15,BP$4)-MAX($E15,BP$3)+1)/BP$5)</f>
        <v>1</v>
      </c>
      <c r="BQ15" s="52" t="n">
        <f aca="false">MAX(0,(MIN($F15,BQ$4)-MAX($E15,BQ$3)+1)/BQ$5)</f>
        <v>1</v>
      </c>
      <c r="BR15" s="52" t="n">
        <f aca="false">MAX(0,(MIN($F15,BR$4)-MAX($E15,BR$3)+1)/BR$5)</f>
        <v>1</v>
      </c>
      <c r="BS15" s="52" t="n">
        <f aca="false">MAX(0,(MIN($F15,BS$4)-MAX($E15,BS$3)+1)/BS$5)</f>
        <v>1</v>
      </c>
      <c r="BT15" s="52" t="n">
        <f aca="false">MAX(0,(MIN($F15,BT$4)-MAX($E15,BT$3)+1)/BT$5)</f>
        <v>1</v>
      </c>
      <c r="BU15" s="52" t="n">
        <f aca="false">MAX(0,(MIN($F15,BU$4)-MAX($E15,BU$3)+1)/BU$5)</f>
        <v>1</v>
      </c>
      <c r="BV15" s="52" t="n">
        <f aca="false">MAX(0,(MIN($F15,BV$4)-MAX($E15,BV$3)+1)/BV$5)</f>
        <v>1</v>
      </c>
      <c r="BW15" s="52" t="n">
        <f aca="false">MAX(0,(MIN($F15,BW$4)-MAX($E15,BW$3)+1)/BW$5)</f>
        <v>1</v>
      </c>
      <c r="BX15" s="52" t="n">
        <f aca="false">MAX(0,(MIN($F15,BX$4)-MAX($E15,BX$3)+1)/BX$5)</f>
        <v>1</v>
      </c>
      <c r="BY15" s="52" t="n">
        <f aca="false">MAX(0,(MIN($F15,BY$4)-MAX($E15,BY$3)+1)/BY$5)</f>
        <v>1</v>
      </c>
      <c r="BZ15" s="52" t="n">
        <f aca="false">MAX(0,(MIN($F15,BZ$4)-MAX($E15,BZ$3)+1)/BZ$5)</f>
        <v>1</v>
      </c>
      <c r="CA15" s="52" t="n">
        <f aca="false">MAX(0,(MIN($F15,CA$4)-MAX($E15,CA$3)+1)/CA$5)</f>
        <v>1</v>
      </c>
      <c r="CB15" s="52" t="n">
        <f aca="false">MAX(0,(MIN($F15,CB$4)-MAX($E15,CB$3)+1)/CB$5)</f>
        <v>1</v>
      </c>
      <c r="CC15" s="52" t="n">
        <f aca="false">MAX(0,(MIN($F15,CC$4)-MAX($E15,CC$3)+1)/CC$5)</f>
        <v>1</v>
      </c>
      <c r="CD15" s="52" t="n">
        <f aca="false">MAX(0,(MIN($F15,CD$4)-MAX($E15,CD$3)+1)/CD$5)</f>
        <v>1</v>
      </c>
      <c r="CE15" s="52" t="n">
        <f aca="false">MAX(0,(MIN($F15,CE$4)-MAX($E15,CE$3)+1)/CE$5)</f>
        <v>1</v>
      </c>
      <c r="CF15" s="52" t="n">
        <f aca="false">MAX(0,(MIN($F15,CF$4)-MAX($E15,CF$3)+1)/CF$5)</f>
        <v>1</v>
      </c>
      <c r="CG15" s="52" t="n">
        <f aca="false">MAX(0,(MIN($F15,CG$4)-MAX($E15,CG$3)+1)/CG$5)</f>
        <v>1</v>
      </c>
      <c r="CH15" s="52" t="n">
        <f aca="false">MAX(0,(MIN($F15,CH$4)-MAX($E15,CH$3)+1)/CH$5)</f>
        <v>1</v>
      </c>
      <c r="CI15" s="52" t="n">
        <f aca="false">MAX(0,(MIN($F15,CI$4)-MAX($E15,CI$3)+1)/CI$5)</f>
        <v>1</v>
      </c>
      <c r="CJ15" s="52" t="n">
        <f aca="false">MAX(0,(MIN($F15,CJ$4)-MAX($E15,CJ$3)+1)/CJ$5)</f>
        <v>1</v>
      </c>
      <c r="CK15" s="52" t="n">
        <f aca="false">MAX(0,(MIN($F15,CK$4)-MAX($E15,CK$3)+1)/CK$5)</f>
        <v>1</v>
      </c>
      <c r="CL15" s="52" t="n">
        <f aca="false">MAX(0,(MIN($F15,CL$4)-MAX($E15,CL$3)+1)/CL$5)</f>
        <v>1</v>
      </c>
      <c r="CM15" s="52" t="n">
        <f aca="false">MAX(0,(MIN($F15,CM$4)-MAX($E15,CM$3)+1)/CM$5)</f>
        <v>1</v>
      </c>
      <c r="CN15" s="52" t="n">
        <f aca="false">MAX(0,(MIN($F15,CN$4)-MAX($E15,CN$3)+1)/CN$5)</f>
        <v>1</v>
      </c>
      <c r="CO15" s="52" t="n">
        <f aca="false">MAX(0,(MIN($F15,CO$4)-MAX($E15,CO$3)+1)/CO$5)</f>
        <v>1</v>
      </c>
      <c r="CP15" s="52" t="n">
        <f aca="false">MAX(0,(MIN($F15,CP$4)-MAX($E15,CP$3)+1)/CP$5)</f>
        <v>1</v>
      </c>
      <c r="CQ15" s="52" t="n">
        <f aca="false">MAX(0,(MIN($F15,CQ$4)-MAX($E15,CQ$3)+1)/CQ$5)</f>
        <v>1</v>
      </c>
      <c r="CR15" s="52" t="n">
        <f aca="false">MAX(0,(MIN($F15,CR$4)-MAX($E15,CR$3)+1)/CR$5)</f>
        <v>1</v>
      </c>
      <c r="CS15" s="52" t="n">
        <f aca="false">MAX(0,(MIN($F15,CS$4)-MAX($E15,CS$3)+1)/CS$5)</f>
        <v>1</v>
      </c>
      <c r="CT15" s="52" t="n">
        <f aca="false">MAX(0,(MIN($F15,CT$4)-MAX($E15,CT$3)+1)/CT$5)</f>
        <v>1</v>
      </c>
      <c r="CU15" s="52" t="n">
        <f aca="false">MAX(0,(MIN($F15,CU$4)-MAX($E15,CU$3)+1)/CU$5)</f>
        <v>1</v>
      </c>
      <c r="CV15" s="52" t="n">
        <f aca="false">MAX(0,(MIN($F15,CV$4)-MAX($E15,CV$3)+1)/CV$5)</f>
        <v>1</v>
      </c>
      <c r="CW15" s="52" t="n">
        <f aca="false">MAX(0,(MIN($F15,CW$4)-MAX($E15,CW$3)+1)/CW$5)</f>
        <v>1</v>
      </c>
      <c r="CX15" s="52" t="n">
        <f aca="false">MAX(0,(MIN($F15,CX$4)-MAX($E15,CX$3)+1)/CX$5)</f>
        <v>1</v>
      </c>
      <c r="CY15" s="52" t="n">
        <f aca="false">MAX(0,(MIN($F15,CY$4)-MAX($E15,CY$3)+1)/CY$5)</f>
        <v>1</v>
      </c>
      <c r="CZ15" s="52" t="n">
        <f aca="false">MAX(0,(MIN($F15,CZ$4)-MAX($E15,CZ$3)+1)/CZ$5)</f>
        <v>1</v>
      </c>
      <c r="DA15" s="52" t="n">
        <f aca="false">MAX(0,(MIN($F15,DA$4)-MAX($E15,DA$3)+1)/DA$5)</f>
        <v>1</v>
      </c>
      <c r="DB15" s="52" t="n">
        <f aca="false">MAX(0,(MIN($F15,DB$4)-MAX($E15,DB$3)+1)/DB$5)</f>
        <v>1</v>
      </c>
      <c r="DC15" s="52" t="n">
        <f aca="false">MAX(0,(MIN($F15,DC$4)-MAX($E15,DC$3)+1)/DC$5)</f>
        <v>1</v>
      </c>
      <c r="DD15" s="52" t="n">
        <f aca="false">MAX(0,(MIN($F15,DD$4)-MAX($E15,DD$3)+1)/DD$5)</f>
        <v>1</v>
      </c>
      <c r="DE15" s="52" t="n">
        <f aca="false">MAX(0,(MIN($F15,DE$4)-MAX($E15,DE$3)+1)/DE$5)</f>
        <v>1</v>
      </c>
      <c r="DF15" s="52" t="n">
        <f aca="false">MAX(0,(MIN($F15,DF$4)-MAX($E15,DF$3)+1)/DF$5)</f>
        <v>1</v>
      </c>
      <c r="DG15" s="52" t="n">
        <f aca="false">MAX(0,(MIN($F15,DG$4)-MAX($E15,DG$3)+1)/DG$5)</f>
        <v>1</v>
      </c>
      <c r="DH15" s="52" t="n">
        <f aca="false">MAX(0,(MIN($F15,DH$4)-MAX($E15,DH$3)+1)/DH$5)</f>
        <v>1</v>
      </c>
      <c r="DI15" s="52" t="n">
        <f aca="false">MAX(0,(MIN($F15,DI$4)-MAX($E15,DI$3)+1)/DI$5)</f>
        <v>1</v>
      </c>
      <c r="DJ15" s="52" t="n">
        <f aca="false">MAX(0,(MIN($F15,DJ$4)-MAX($E15,DJ$3)+1)/DJ$5)</f>
        <v>1</v>
      </c>
      <c r="DK15" s="52" t="n">
        <f aca="false">MAX(0,(MIN($F15,DK$4)-MAX($E15,DK$3)+1)/DK$5)</f>
        <v>1</v>
      </c>
      <c r="DL15" s="52" t="n">
        <f aca="false">MAX(0,(MIN($F15,DL$4)-MAX($E15,DL$3)+1)/DL$5)</f>
        <v>1</v>
      </c>
      <c r="DM15" s="52" t="n">
        <f aca="false">MAX(0,(MIN($F15,DM$4)-MAX($E15,DM$3)+1)/DM$5)</f>
        <v>1</v>
      </c>
      <c r="DN15" s="52" t="n">
        <f aca="false">MAX(0,(MIN($F15,DN$4)-MAX($E15,DN$3)+1)/DN$5)</f>
        <v>1</v>
      </c>
      <c r="DO15" s="52" t="n">
        <f aca="false">MAX(0,(MIN($F15,DO$4)-MAX($E15,DO$3)+1)/DO$5)</f>
        <v>1</v>
      </c>
      <c r="DP15" s="52" t="n">
        <f aca="false">MAX(0,(MIN($F15,DP$4)-MAX($E15,DP$3)+1)/DP$5)</f>
        <v>1</v>
      </c>
      <c r="DQ15" s="52" t="n">
        <f aca="false">MAX(0,(MIN($F15,DQ$4)-MAX($E15,DQ$3)+1)/DQ$5)</f>
        <v>1</v>
      </c>
      <c r="DR15" s="52" t="n">
        <f aca="false">MAX(0,(MIN($F15,DR$4)-MAX($E15,DR$3)+1)/DR$5)</f>
        <v>1</v>
      </c>
      <c r="DS15" s="52" t="n">
        <f aca="false">MAX(0,(MIN($F15,DS$4)-MAX($E15,DS$3)+1)/DS$5)</f>
        <v>1</v>
      </c>
      <c r="DT15" s="52" t="n">
        <f aca="false">MAX(0,(MIN($F15,DT$4)-MAX($E15,DT$3)+1)/DT$5)</f>
        <v>1</v>
      </c>
      <c r="DU15" s="52" t="n">
        <f aca="false">MAX(0,(MIN($F15,DU$4)-MAX($E15,DU$3)+1)/DU$5)</f>
        <v>1</v>
      </c>
      <c r="DV15" s="52" t="n">
        <f aca="false">MAX(0,(MIN($F15,DV$4)-MAX($E15,DV$3)+1)/DV$5)</f>
        <v>1</v>
      </c>
      <c r="DW15" s="52" t="n">
        <f aca="false">MAX(0,(MIN($F15,DW$4)-MAX($E15,DW$3)+1)/DW$5)</f>
        <v>1</v>
      </c>
      <c r="DX15" s="52" t="n">
        <f aca="false">MAX(0,(MIN($F15,DX$4)-MAX($E15,DX$3)+1)/DX$5)</f>
        <v>1</v>
      </c>
      <c r="DY15" s="52" t="n">
        <f aca="false">MAX(0,(MIN($F15,DY$4)-MAX($E15,DY$3)+1)/DY$5)</f>
        <v>1</v>
      </c>
      <c r="DZ15" s="52" t="n">
        <f aca="false">MAX(0,(MIN($F15,DZ$4)-MAX($E15,DZ$3)+1)/DZ$5)</f>
        <v>1</v>
      </c>
      <c r="EA15" s="52" t="n">
        <f aca="false">MAX(0,(MIN($F15,EA$4)-MAX($E15,EA$3)+1)/EA$5)</f>
        <v>1</v>
      </c>
      <c r="EB15" s="52" t="n">
        <f aca="false">MAX(0,(MIN($F15,EB$4)-MAX($E15,EB$3)+1)/EB$5)</f>
        <v>1</v>
      </c>
      <c r="EC15" s="52" t="n">
        <f aca="false">MAX(0,(MIN($F15,EC$4)-MAX($E15,EC$3)+1)/EC$5)</f>
        <v>1</v>
      </c>
      <c r="ED15" s="52" t="n">
        <f aca="false">MAX(0,(MIN($F15,ED$4)-MAX($E15,ED$3)+1)/ED$5)</f>
        <v>1</v>
      </c>
      <c r="EE15" s="52" t="n">
        <f aca="false">MAX(0,(MIN($F15,EE$4)-MAX($E15,EE$3)+1)/EE$5)</f>
        <v>1</v>
      </c>
      <c r="EF15" s="52" t="n">
        <f aca="false">MAX(0,(MIN($F15,EF$4)-MAX($E15,EF$3)+1)/EF$5)</f>
        <v>1</v>
      </c>
      <c r="EG15" s="52" t="n">
        <f aca="false">MAX(0,(MIN($F15,EG$4)-MAX($E15,EG$3)+1)/EG$5)</f>
        <v>1</v>
      </c>
      <c r="EH15" s="52" t="n">
        <f aca="false">MAX(0,(MIN($F15,EH$4)-MAX($E15,EH$3)+1)/EH$5)</f>
        <v>1</v>
      </c>
      <c r="EI15" s="52" t="n">
        <f aca="false">MAX(0,(MIN($F15,EI$4)-MAX($E15,EI$3)+1)/EI$5)</f>
        <v>1</v>
      </c>
      <c r="EJ15" s="52" t="n">
        <f aca="false">MAX(0,(MIN($F15,EJ$4)-MAX($E15,EJ$3)+1)/EJ$5)</f>
        <v>1</v>
      </c>
      <c r="EK15" s="52" t="n">
        <f aca="false">MAX(0,(MIN($F15,EK$4)-MAX($E15,EK$3)+1)/EK$5)</f>
        <v>1</v>
      </c>
      <c r="EL15" s="52" t="n">
        <f aca="false">MAX(0,(MIN($F15,EL$4)-MAX($E15,EL$3)+1)/EL$5)</f>
        <v>1</v>
      </c>
      <c r="EM15" s="52" t="n">
        <f aca="false">MAX(0,(MIN($F15,EM$4)-MAX($E15,EM$3)+1)/EM$5)</f>
        <v>1</v>
      </c>
      <c r="EN15" s="52" t="n">
        <f aca="false">MAX(0,(MIN($F15,EN$4)-MAX($E15,EN$3)+1)/EN$5)</f>
        <v>1</v>
      </c>
      <c r="EO15" s="52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334</v>
      </c>
      <c r="D16" s="11" t="s">
        <v>30</v>
      </c>
      <c r="E16" s="41" t="n">
        <f aca="false">In_NTP+1</f>
        <v>47027</v>
      </c>
      <c r="F16" s="41" t="n">
        <f aca="false">EDATE(In_COD,In_Life*Months_In_Year)</f>
        <v>58714</v>
      </c>
      <c r="J16" s="52" t="n">
        <f aca="false">MAX(0,(MIN($F16,J$4)-MAX($E16,J$3)+1)/J$5)</f>
        <v>0</v>
      </c>
      <c r="K16" s="52" t="n">
        <f aca="false">MAX(0,(MIN($F16,K$4)-MAX($E16,K$3)+1)/K$5)</f>
        <v>0</v>
      </c>
      <c r="L16" s="52" t="n">
        <f aca="false">MAX(0,(MIN($F16,L$4)-MAX($E16,L$3)+1)/L$5)</f>
        <v>0</v>
      </c>
      <c r="M16" s="52" t="n">
        <f aca="false">MAX(0,(MIN($F16,M$4)-MAX($E16,M$3)+1)/M$5)</f>
        <v>0</v>
      </c>
      <c r="N16" s="52" t="n">
        <f aca="false">MAX(0,(MIN($F16,N$4)-MAX($E16,N$3)+1)/N$5)</f>
        <v>0</v>
      </c>
      <c r="O16" s="52" t="n">
        <f aca="false">MAX(0,(MIN($F16,O$4)-MAX($E16,O$3)+1)/O$5)</f>
        <v>0</v>
      </c>
      <c r="P16" s="52" t="n">
        <f aca="false">MAX(0,(MIN($F16,P$4)-MAX($E16,P$3)+1)/P$5)</f>
        <v>0</v>
      </c>
      <c r="Q16" s="52" t="n">
        <f aca="false">MAX(0,(MIN($F16,Q$4)-MAX($E16,Q$3)+1)/Q$5)</f>
        <v>0</v>
      </c>
      <c r="R16" s="52" t="n">
        <f aca="false">MAX(0,(MIN($F16,R$4)-MAX($E16,R$3)+1)/R$5)</f>
        <v>1</v>
      </c>
      <c r="S16" s="52" t="n">
        <f aca="false">MAX(0,(MIN($F16,S$4)-MAX($E16,S$3)+1)/S$5)</f>
        <v>1</v>
      </c>
      <c r="T16" s="52" t="n">
        <f aca="false">MAX(0,(MIN($F16,T$4)-MAX($E16,T$3)+1)/T$5)</f>
        <v>1</v>
      </c>
      <c r="U16" s="52" t="n">
        <f aca="false">MAX(0,(MIN($F16,U$4)-MAX($E16,U$3)+1)/U$5)</f>
        <v>1</v>
      </c>
      <c r="V16" s="52" t="n">
        <f aca="false">MAX(0,(MIN($F16,V$4)-MAX($E16,V$3)+1)/V$5)</f>
        <v>1</v>
      </c>
      <c r="W16" s="52" t="n">
        <f aca="false">MAX(0,(MIN($F16,W$4)-MAX($E16,W$3)+1)/W$5)</f>
        <v>1</v>
      </c>
      <c r="X16" s="52" t="n">
        <f aca="false">MAX(0,(MIN($F16,X$4)-MAX($E16,X$3)+1)/X$5)</f>
        <v>1</v>
      </c>
      <c r="Y16" s="52" t="n">
        <f aca="false">MAX(0,(MIN($F16,Y$4)-MAX($E16,Y$3)+1)/Y$5)</f>
        <v>1</v>
      </c>
      <c r="Z16" s="52" t="n">
        <f aca="false">MAX(0,(MIN($F16,Z$4)-MAX($E16,Z$3)+1)/Z$5)</f>
        <v>1</v>
      </c>
      <c r="AA16" s="52" t="n">
        <f aca="false">MAX(0,(MIN($F16,AA$4)-MAX($E16,AA$3)+1)/AA$5)</f>
        <v>1</v>
      </c>
      <c r="AB16" s="52" t="n">
        <f aca="false">MAX(0,(MIN($F16,AB$4)-MAX($E16,AB$3)+1)/AB$5)</f>
        <v>1</v>
      </c>
      <c r="AC16" s="52" t="n">
        <f aca="false">MAX(0,(MIN($F16,AC$4)-MAX($E16,AC$3)+1)/AC$5)</f>
        <v>1</v>
      </c>
      <c r="AD16" s="52" t="n">
        <f aca="false">MAX(0,(MIN($F16,AD$4)-MAX($E16,AD$3)+1)/AD$5)</f>
        <v>1</v>
      </c>
      <c r="AE16" s="52" t="n">
        <f aca="false">MAX(0,(MIN($F16,AE$4)-MAX($E16,AE$3)+1)/AE$5)</f>
        <v>1</v>
      </c>
      <c r="AF16" s="52" t="n">
        <f aca="false">MAX(0,(MIN($F16,AF$4)-MAX($E16,AF$3)+1)/AF$5)</f>
        <v>1</v>
      </c>
      <c r="AG16" s="52" t="n">
        <f aca="false">MAX(0,(MIN($F16,AG$4)-MAX($E16,AG$3)+1)/AG$5)</f>
        <v>1</v>
      </c>
      <c r="AH16" s="52" t="n">
        <f aca="false">MAX(0,(MIN($F16,AH$4)-MAX($E16,AH$3)+1)/AH$5)</f>
        <v>1</v>
      </c>
      <c r="AI16" s="52" t="n">
        <f aca="false">MAX(0,(MIN($F16,AI$4)-MAX($E16,AI$3)+1)/AI$5)</f>
        <v>1</v>
      </c>
      <c r="AJ16" s="52" t="n">
        <f aca="false">MAX(0,(MIN($F16,AJ$4)-MAX($E16,AJ$3)+1)/AJ$5)</f>
        <v>1</v>
      </c>
      <c r="AK16" s="52" t="n">
        <f aca="false">MAX(0,(MIN($F16,AK$4)-MAX($E16,AK$3)+1)/AK$5)</f>
        <v>1</v>
      </c>
      <c r="AL16" s="52" t="n">
        <f aca="false">MAX(0,(MIN($F16,AL$4)-MAX($E16,AL$3)+1)/AL$5)</f>
        <v>1</v>
      </c>
      <c r="AM16" s="52" t="n">
        <f aca="false">MAX(0,(MIN($F16,AM$4)-MAX($E16,AM$3)+1)/AM$5)</f>
        <v>1</v>
      </c>
      <c r="AN16" s="52" t="n">
        <f aca="false">MAX(0,(MIN($F16,AN$4)-MAX($E16,AN$3)+1)/AN$5)</f>
        <v>1</v>
      </c>
      <c r="AO16" s="52" t="n">
        <f aca="false">MAX(0,(MIN($F16,AO$4)-MAX($E16,AO$3)+1)/AO$5)</f>
        <v>1</v>
      </c>
      <c r="AP16" s="52" t="n">
        <f aca="false">MAX(0,(MIN($F16,AP$4)-MAX($E16,AP$3)+1)/AP$5)</f>
        <v>1</v>
      </c>
      <c r="AQ16" s="52" t="n">
        <f aca="false">MAX(0,(MIN($F16,AQ$4)-MAX($E16,AQ$3)+1)/AQ$5)</f>
        <v>1</v>
      </c>
      <c r="AR16" s="52" t="n">
        <f aca="false">MAX(0,(MIN($F16,AR$4)-MAX($E16,AR$3)+1)/AR$5)</f>
        <v>1</v>
      </c>
      <c r="AS16" s="52" t="n">
        <f aca="false">MAX(0,(MIN($F16,AS$4)-MAX($E16,AS$3)+1)/AS$5)</f>
        <v>1</v>
      </c>
      <c r="AT16" s="52" t="n">
        <f aca="false">MAX(0,(MIN($F16,AT$4)-MAX($E16,AT$3)+1)/AT$5)</f>
        <v>1</v>
      </c>
      <c r="AU16" s="52" t="n">
        <f aca="false">MAX(0,(MIN($F16,AU$4)-MAX($E16,AU$3)+1)/AU$5)</f>
        <v>1</v>
      </c>
      <c r="AV16" s="52" t="n">
        <f aca="false">MAX(0,(MIN($F16,AV$4)-MAX($E16,AV$3)+1)/AV$5)</f>
        <v>1</v>
      </c>
      <c r="AW16" s="52" t="n">
        <f aca="false">MAX(0,(MIN($F16,AW$4)-MAX($E16,AW$3)+1)/AW$5)</f>
        <v>1</v>
      </c>
      <c r="AX16" s="52" t="n">
        <f aca="false">MAX(0,(MIN($F16,AX$4)-MAX($E16,AX$3)+1)/AX$5)</f>
        <v>1</v>
      </c>
      <c r="AY16" s="52" t="n">
        <f aca="false">MAX(0,(MIN($F16,AY$4)-MAX($E16,AY$3)+1)/AY$5)</f>
        <v>1</v>
      </c>
      <c r="AZ16" s="52" t="n">
        <f aca="false">MAX(0,(MIN($F16,AZ$4)-MAX($E16,AZ$3)+1)/AZ$5)</f>
        <v>1</v>
      </c>
      <c r="BA16" s="52" t="n">
        <f aca="false">MAX(0,(MIN($F16,BA$4)-MAX($E16,BA$3)+1)/BA$5)</f>
        <v>1</v>
      </c>
      <c r="BB16" s="52" t="n">
        <f aca="false">MAX(0,(MIN($F16,BB$4)-MAX($E16,BB$3)+1)/BB$5)</f>
        <v>1</v>
      </c>
      <c r="BC16" s="52" t="n">
        <f aca="false">MAX(0,(MIN($F16,BC$4)-MAX($E16,BC$3)+1)/BC$5)</f>
        <v>1</v>
      </c>
      <c r="BD16" s="52" t="n">
        <f aca="false">MAX(0,(MIN($F16,BD$4)-MAX($E16,BD$3)+1)/BD$5)</f>
        <v>1</v>
      </c>
      <c r="BE16" s="52" t="n">
        <f aca="false">MAX(0,(MIN($F16,BE$4)-MAX($E16,BE$3)+1)/BE$5)</f>
        <v>1</v>
      </c>
      <c r="BF16" s="52" t="n">
        <f aca="false">MAX(0,(MIN($F16,BF$4)-MAX($E16,BF$3)+1)/BF$5)</f>
        <v>1</v>
      </c>
      <c r="BG16" s="52" t="n">
        <f aca="false">MAX(0,(MIN($F16,BG$4)-MAX($E16,BG$3)+1)/BG$5)</f>
        <v>1</v>
      </c>
      <c r="BH16" s="52" t="n">
        <f aca="false">MAX(0,(MIN($F16,BH$4)-MAX($E16,BH$3)+1)/BH$5)</f>
        <v>1</v>
      </c>
      <c r="BI16" s="52" t="n">
        <f aca="false">MAX(0,(MIN($F16,BI$4)-MAX($E16,BI$3)+1)/BI$5)</f>
        <v>1</v>
      </c>
      <c r="BJ16" s="52" t="n">
        <f aca="false">MAX(0,(MIN($F16,BJ$4)-MAX($E16,BJ$3)+1)/BJ$5)</f>
        <v>1</v>
      </c>
      <c r="BK16" s="52" t="n">
        <f aca="false">MAX(0,(MIN($F16,BK$4)-MAX($E16,BK$3)+1)/BK$5)</f>
        <v>1</v>
      </c>
      <c r="BL16" s="52" t="n">
        <f aca="false">MAX(0,(MIN($F16,BL$4)-MAX($E16,BL$3)+1)/BL$5)</f>
        <v>1</v>
      </c>
      <c r="BM16" s="52" t="n">
        <f aca="false">MAX(0,(MIN($F16,BM$4)-MAX($E16,BM$3)+1)/BM$5)</f>
        <v>1</v>
      </c>
      <c r="BN16" s="52" t="n">
        <f aca="false">MAX(0,(MIN($F16,BN$4)-MAX($E16,BN$3)+1)/BN$5)</f>
        <v>1</v>
      </c>
      <c r="BO16" s="52" t="n">
        <f aca="false">MAX(0,(MIN($F16,BO$4)-MAX($E16,BO$3)+1)/BO$5)</f>
        <v>1</v>
      </c>
      <c r="BP16" s="52" t="n">
        <f aca="false">MAX(0,(MIN($F16,BP$4)-MAX($E16,BP$3)+1)/BP$5)</f>
        <v>1</v>
      </c>
      <c r="BQ16" s="52" t="n">
        <f aca="false">MAX(0,(MIN($F16,BQ$4)-MAX($E16,BQ$3)+1)/BQ$5)</f>
        <v>1</v>
      </c>
      <c r="BR16" s="52" t="n">
        <f aca="false">MAX(0,(MIN($F16,BR$4)-MAX($E16,BR$3)+1)/BR$5)</f>
        <v>1</v>
      </c>
      <c r="BS16" s="52" t="n">
        <f aca="false">MAX(0,(MIN($F16,BS$4)-MAX($E16,BS$3)+1)/BS$5)</f>
        <v>1</v>
      </c>
      <c r="BT16" s="52" t="n">
        <f aca="false">MAX(0,(MIN($F16,BT$4)-MAX($E16,BT$3)+1)/BT$5)</f>
        <v>1</v>
      </c>
      <c r="BU16" s="52" t="n">
        <f aca="false">MAX(0,(MIN($F16,BU$4)-MAX($E16,BU$3)+1)/BU$5)</f>
        <v>1</v>
      </c>
      <c r="BV16" s="52" t="n">
        <f aca="false">MAX(0,(MIN($F16,BV$4)-MAX($E16,BV$3)+1)/BV$5)</f>
        <v>1</v>
      </c>
      <c r="BW16" s="52" t="n">
        <f aca="false">MAX(0,(MIN($F16,BW$4)-MAX($E16,BW$3)+1)/BW$5)</f>
        <v>1</v>
      </c>
      <c r="BX16" s="52" t="n">
        <f aca="false">MAX(0,(MIN($F16,BX$4)-MAX($E16,BX$3)+1)/BX$5)</f>
        <v>1</v>
      </c>
      <c r="BY16" s="52" t="n">
        <f aca="false">MAX(0,(MIN($F16,BY$4)-MAX($E16,BY$3)+1)/BY$5)</f>
        <v>1</v>
      </c>
      <c r="BZ16" s="52" t="n">
        <f aca="false">MAX(0,(MIN($F16,BZ$4)-MAX($E16,BZ$3)+1)/BZ$5)</f>
        <v>1</v>
      </c>
      <c r="CA16" s="52" t="n">
        <f aca="false">MAX(0,(MIN($F16,CA$4)-MAX($E16,CA$3)+1)/CA$5)</f>
        <v>1</v>
      </c>
      <c r="CB16" s="52" t="n">
        <f aca="false">MAX(0,(MIN($F16,CB$4)-MAX($E16,CB$3)+1)/CB$5)</f>
        <v>1</v>
      </c>
      <c r="CC16" s="52" t="n">
        <f aca="false">MAX(0,(MIN($F16,CC$4)-MAX($E16,CC$3)+1)/CC$5)</f>
        <v>1</v>
      </c>
      <c r="CD16" s="52" t="n">
        <f aca="false">MAX(0,(MIN($F16,CD$4)-MAX($E16,CD$3)+1)/CD$5)</f>
        <v>1</v>
      </c>
      <c r="CE16" s="52" t="n">
        <f aca="false">MAX(0,(MIN($F16,CE$4)-MAX($E16,CE$3)+1)/CE$5)</f>
        <v>1</v>
      </c>
      <c r="CF16" s="52" t="n">
        <f aca="false">MAX(0,(MIN($F16,CF$4)-MAX($E16,CF$3)+1)/CF$5)</f>
        <v>1</v>
      </c>
      <c r="CG16" s="52" t="n">
        <f aca="false">MAX(0,(MIN($F16,CG$4)-MAX($E16,CG$3)+1)/CG$5)</f>
        <v>1</v>
      </c>
      <c r="CH16" s="52" t="n">
        <f aca="false">MAX(0,(MIN($F16,CH$4)-MAX($E16,CH$3)+1)/CH$5)</f>
        <v>1</v>
      </c>
      <c r="CI16" s="52" t="n">
        <f aca="false">MAX(0,(MIN($F16,CI$4)-MAX($E16,CI$3)+1)/CI$5)</f>
        <v>1</v>
      </c>
      <c r="CJ16" s="52" t="n">
        <f aca="false">MAX(0,(MIN($F16,CJ$4)-MAX($E16,CJ$3)+1)/CJ$5)</f>
        <v>1</v>
      </c>
      <c r="CK16" s="52" t="n">
        <f aca="false">MAX(0,(MIN($F16,CK$4)-MAX($E16,CK$3)+1)/CK$5)</f>
        <v>1</v>
      </c>
      <c r="CL16" s="52" t="n">
        <f aca="false">MAX(0,(MIN($F16,CL$4)-MAX($E16,CL$3)+1)/CL$5)</f>
        <v>1</v>
      </c>
      <c r="CM16" s="52" t="n">
        <f aca="false">MAX(0,(MIN($F16,CM$4)-MAX($E16,CM$3)+1)/CM$5)</f>
        <v>1</v>
      </c>
      <c r="CN16" s="52" t="n">
        <f aca="false">MAX(0,(MIN($F16,CN$4)-MAX($E16,CN$3)+1)/CN$5)</f>
        <v>1</v>
      </c>
      <c r="CO16" s="52" t="n">
        <f aca="false">MAX(0,(MIN($F16,CO$4)-MAX($E16,CO$3)+1)/CO$5)</f>
        <v>1</v>
      </c>
      <c r="CP16" s="52" t="n">
        <f aca="false">MAX(0,(MIN($F16,CP$4)-MAX($E16,CP$3)+1)/CP$5)</f>
        <v>1</v>
      </c>
      <c r="CQ16" s="52" t="n">
        <f aca="false">MAX(0,(MIN($F16,CQ$4)-MAX($E16,CQ$3)+1)/CQ$5)</f>
        <v>1</v>
      </c>
      <c r="CR16" s="52" t="n">
        <f aca="false">MAX(0,(MIN($F16,CR$4)-MAX($E16,CR$3)+1)/CR$5)</f>
        <v>1</v>
      </c>
      <c r="CS16" s="52" t="n">
        <f aca="false">MAX(0,(MIN($F16,CS$4)-MAX($E16,CS$3)+1)/CS$5)</f>
        <v>1</v>
      </c>
      <c r="CT16" s="52" t="n">
        <f aca="false">MAX(0,(MIN($F16,CT$4)-MAX($E16,CT$3)+1)/CT$5)</f>
        <v>1</v>
      </c>
      <c r="CU16" s="52" t="n">
        <f aca="false">MAX(0,(MIN($F16,CU$4)-MAX($E16,CU$3)+1)/CU$5)</f>
        <v>1</v>
      </c>
      <c r="CV16" s="52" t="n">
        <f aca="false">MAX(0,(MIN($F16,CV$4)-MAX($E16,CV$3)+1)/CV$5)</f>
        <v>1</v>
      </c>
      <c r="CW16" s="52" t="n">
        <f aca="false">MAX(0,(MIN($F16,CW$4)-MAX($E16,CW$3)+1)/CW$5)</f>
        <v>1</v>
      </c>
      <c r="CX16" s="52" t="n">
        <f aca="false">MAX(0,(MIN($F16,CX$4)-MAX($E16,CX$3)+1)/CX$5)</f>
        <v>1</v>
      </c>
      <c r="CY16" s="52" t="n">
        <f aca="false">MAX(0,(MIN($F16,CY$4)-MAX($E16,CY$3)+1)/CY$5)</f>
        <v>1</v>
      </c>
      <c r="CZ16" s="52" t="n">
        <f aca="false">MAX(0,(MIN($F16,CZ$4)-MAX($E16,CZ$3)+1)/CZ$5)</f>
        <v>1</v>
      </c>
      <c r="DA16" s="52" t="n">
        <f aca="false">MAX(0,(MIN($F16,DA$4)-MAX($E16,DA$3)+1)/DA$5)</f>
        <v>1</v>
      </c>
      <c r="DB16" s="52" t="n">
        <f aca="false">MAX(0,(MIN($F16,DB$4)-MAX($E16,DB$3)+1)/DB$5)</f>
        <v>1</v>
      </c>
      <c r="DC16" s="52" t="n">
        <f aca="false">MAX(0,(MIN($F16,DC$4)-MAX($E16,DC$3)+1)/DC$5)</f>
        <v>1</v>
      </c>
      <c r="DD16" s="52" t="n">
        <f aca="false">MAX(0,(MIN($F16,DD$4)-MAX($E16,DD$3)+1)/DD$5)</f>
        <v>1</v>
      </c>
      <c r="DE16" s="52" t="n">
        <f aca="false">MAX(0,(MIN($F16,DE$4)-MAX($E16,DE$3)+1)/DE$5)</f>
        <v>1</v>
      </c>
      <c r="DF16" s="52" t="n">
        <f aca="false">MAX(0,(MIN($F16,DF$4)-MAX($E16,DF$3)+1)/DF$5)</f>
        <v>1</v>
      </c>
      <c r="DG16" s="52" t="n">
        <f aca="false">MAX(0,(MIN($F16,DG$4)-MAX($E16,DG$3)+1)/DG$5)</f>
        <v>1</v>
      </c>
      <c r="DH16" s="52" t="n">
        <f aca="false">MAX(0,(MIN($F16,DH$4)-MAX($E16,DH$3)+1)/DH$5)</f>
        <v>1</v>
      </c>
      <c r="DI16" s="52" t="n">
        <f aca="false">MAX(0,(MIN($F16,DI$4)-MAX($E16,DI$3)+1)/DI$5)</f>
        <v>1</v>
      </c>
      <c r="DJ16" s="52" t="n">
        <f aca="false">MAX(0,(MIN($F16,DJ$4)-MAX($E16,DJ$3)+1)/DJ$5)</f>
        <v>1</v>
      </c>
      <c r="DK16" s="52" t="n">
        <f aca="false">MAX(0,(MIN($F16,DK$4)-MAX($E16,DK$3)+1)/DK$5)</f>
        <v>1</v>
      </c>
      <c r="DL16" s="52" t="n">
        <f aca="false">MAX(0,(MIN($F16,DL$4)-MAX($E16,DL$3)+1)/DL$5)</f>
        <v>1</v>
      </c>
      <c r="DM16" s="52" t="n">
        <f aca="false">MAX(0,(MIN($F16,DM$4)-MAX($E16,DM$3)+1)/DM$5)</f>
        <v>1</v>
      </c>
      <c r="DN16" s="52" t="n">
        <f aca="false">MAX(0,(MIN($F16,DN$4)-MAX($E16,DN$3)+1)/DN$5)</f>
        <v>1</v>
      </c>
      <c r="DO16" s="52" t="n">
        <f aca="false">MAX(0,(MIN($F16,DO$4)-MAX($E16,DO$3)+1)/DO$5)</f>
        <v>1</v>
      </c>
      <c r="DP16" s="52" t="n">
        <f aca="false">MAX(0,(MIN($F16,DP$4)-MAX($E16,DP$3)+1)/DP$5)</f>
        <v>1</v>
      </c>
      <c r="DQ16" s="52" t="n">
        <f aca="false">MAX(0,(MIN($F16,DQ$4)-MAX($E16,DQ$3)+1)/DQ$5)</f>
        <v>1</v>
      </c>
      <c r="DR16" s="52" t="n">
        <f aca="false">MAX(0,(MIN($F16,DR$4)-MAX($E16,DR$3)+1)/DR$5)</f>
        <v>1</v>
      </c>
      <c r="DS16" s="52" t="n">
        <f aca="false">MAX(0,(MIN($F16,DS$4)-MAX($E16,DS$3)+1)/DS$5)</f>
        <v>1</v>
      </c>
      <c r="DT16" s="52" t="n">
        <f aca="false">MAX(0,(MIN($F16,DT$4)-MAX($E16,DT$3)+1)/DT$5)</f>
        <v>1</v>
      </c>
      <c r="DU16" s="52" t="n">
        <f aca="false">MAX(0,(MIN($F16,DU$4)-MAX($E16,DU$3)+1)/DU$5)</f>
        <v>1</v>
      </c>
      <c r="DV16" s="52" t="n">
        <f aca="false">MAX(0,(MIN($F16,DV$4)-MAX($E16,DV$3)+1)/DV$5)</f>
        <v>1</v>
      </c>
      <c r="DW16" s="52" t="n">
        <f aca="false">MAX(0,(MIN($F16,DW$4)-MAX($E16,DW$3)+1)/DW$5)</f>
        <v>1</v>
      </c>
      <c r="DX16" s="52" t="n">
        <f aca="false">MAX(0,(MIN($F16,DX$4)-MAX($E16,DX$3)+1)/DX$5)</f>
        <v>1</v>
      </c>
      <c r="DY16" s="52" t="n">
        <f aca="false">MAX(0,(MIN($F16,DY$4)-MAX($E16,DY$3)+1)/DY$5)</f>
        <v>1</v>
      </c>
      <c r="DZ16" s="52" t="n">
        <f aca="false">MAX(0,(MIN($F16,DZ$4)-MAX($E16,DZ$3)+1)/DZ$5)</f>
        <v>1</v>
      </c>
      <c r="EA16" s="52" t="n">
        <f aca="false">MAX(0,(MIN($F16,EA$4)-MAX($E16,EA$3)+1)/EA$5)</f>
        <v>1</v>
      </c>
      <c r="EB16" s="52" t="n">
        <f aca="false">MAX(0,(MIN($F16,EB$4)-MAX($E16,EB$3)+1)/EB$5)</f>
        <v>1</v>
      </c>
      <c r="EC16" s="52" t="n">
        <f aca="false">MAX(0,(MIN($F16,EC$4)-MAX($E16,EC$3)+1)/EC$5)</f>
        <v>1</v>
      </c>
      <c r="ED16" s="52" t="n">
        <f aca="false">MAX(0,(MIN($F16,ED$4)-MAX($E16,ED$3)+1)/ED$5)</f>
        <v>1</v>
      </c>
      <c r="EE16" s="52" t="n">
        <f aca="false">MAX(0,(MIN($F16,EE$4)-MAX($E16,EE$3)+1)/EE$5)</f>
        <v>1</v>
      </c>
      <c r="EF16" s="52" t="n">
        <f aca="false">MAX(0,(MIN($F16,EF$4)-MAX($E16,EF$3)+1)/EF$5)</f>
        <v>1</v>
      </c>
      <c r="EG16" s="52" t="n">
        <f aca="false">MAX(0,(MIN($F16,EG$4)-MAX($E16,EG$3)+1)/EG$5)</f>
        <v>1</v>
      </c>
      <c r="EH16" s="52" t="n">
        <f aca="false">MAX(0,(MIN($F16,EH$4)-MAX($E16,EH$3)+1)/EH$5)</f>
        <v>1</v>
      </c>
      <c r="EI16" s="52" t="n">
        <f aca="false">MAX(0,(MIN($F16,EI$4)-MAX($E16,EI$3)+1)/EI$5)</f>
        <v>1</v>
      </c>
      <c r="EJ16" s="52" t="n">
        <f aca="false">MAX(0,(MIN($F16,EJ$4)-MAX($E16,EJ$3)+1)/EJ$5)</f>
        <v>1</v>
      </c>
      <c r="EK16" s="52" t="n">
        <f aca="false">MAX(0,(MIN($F16,EK$4)-MAX($E16,EK$3)+1)/EK$5)</f>
        <v>1</v>
      </c>
      <c r="EL16" s="52" t="n">
        <f aca="false">MAX(0,(MIN($F16,EL$4)-MAX($E16,EL$3)+1)/EL$5)</f>
        <v>1</v>
      </c>
      <c r="EM16" s="52" t="n">
        <f aca="false">MAX(0,(MIN($F16,EM$4)-MAX($E16,EM$3)+1)/EM$5)</f>
        <v>1</v>
      </c>
      <c r="EN16" s="52" t="n">
        <f aca="false">MAX(0,(MIN($F16,EN$4)-MAX($E16,EN$3)+1)/EN$5)</f>
        <v>1</v>
      </c>
      <c r="EO16" s="52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335</v>
      </c>
      <c r="D17" s="11" t="s">
        <v>30</v>
      </c>
      <c r="E17" s="41" t="n">
        <f aca="false">In_COD+1</f>
        <v>47757</v>
      </c>
      <c r="F17" s="41" t="n">
        <f aca="false">EDATE(In_COD,In_Debt_Tenor*Months_In_Year)</f>
        <v>54331</v>
      </c>
      <c r="J17" s="52" t="n">
        <f aca="false">MAX(0,(MIN($F17,J$4)-MAX($E17,J$3)+1)/J$5)</f>
        <v>0</v>
      </c>
      <c r="K17" s="52" t="n">
        <f aca="false">MAX(0,(MIN($F17,K$4)-MAX($E17,K$3)+1)/K$5)</f>
        <v>0</v>
      </c>
      <c r="L17" s="52" t="n">
        <f aca="false">MAX(0,(MIN($F17,L$4)-MAX($E17,L$3)+1)/L$5)</f>
        <v>0</v>
      </c>
      <c r="M17" s="52" t="n">
        <f aca="false">MAX(0,(MIN($F17,M$4)-MAX($E17,M$3)+1)/M$5)</f>
        <v>0</v>
      </c>
      <c r="N17" s="52" t="n">
        <f aca="false">MAX(0,(MIN($F17,N$4)-MAX($E17,N$3)+1)/N$5)</f>
        <v>0</v>
      </c>
      <c r="O17" s="52" t="n">
        <f aca="false">MAX(0,(MIN($F17,O$4)-MAX($E17,O$3)+1)/O$5)</f>
        <v>0</v>
      </c>
      <c r="P17" s="52" t="n">
        <f aca="false">MAX(0,(MIN($F17,P$4)-MAX($E17,P$3)+1)/P$5)</f>
        <v>0</v>
      </c>
      <c r="Q17" s="52" t="n">
        <f aca="false">MAX(0,(MIN($F17,Q$4)-MAX($E17,Q$3)+1)/Q$5)</f>
        <v>0</v>
      </c>
      <c r="R17" s="52" t="n">
        <f aca="false">MAX(0,(MIN($F17,R$4)-MAX($E17,R$3)+1)/R$5)</f>
        <v>0</v>
      </c>
      <c r="S17" s="52" t="n">
        <f aca="false">MAX(0,(MIN($F17,S$4)-MAX($E17,S$3)+1)/S$5)</f>
        <v>0</v>
      </c>
      <c r="T17" s="52" t="n">
        <f aca="false">MAX(0,(MIN($F17,T$4)-MAX($E17,T$3)+1)/T$5)</f>
        <v>0</v>
      </c>
      <c r="U17" s="52" t="n">
        <f aca="false">MAX(0,(MIN($F17,U$4)-MAX($E17,U$3)+1)/U$5)</f>
        <v>0</v>
      </c>
      <c r="V17" s="52" t="n">
        <f aca="false">MAX(0,(MIN($F17,V$4)-MAX($E17,V$3)+1)/V$5)</f>
        <v>0</v>
      </c>
      <c r="W17" s="52" t="n">
        <f aca="false">MAX(0,(MIN($F17,W$4)-MAX($E17,W$3)+1)/W$5)</f>
        <v>0</v>
      </c>
      <c r="X17" s="52" t="n">
        <f aca="false">MAX(0,(MIN($F17,X$4)-MAX($E17,X$3)+1)/X$5)</f>
        <v>0</v>
      </c>
      <c r="Y17" s="52" t="n">
        <f aca="false">MAX(0,(MIN($F17,Y$4)-MAX($E17,Y$3)+1)/Y$5)</f>
        <v>0</v>
      </c>
      <c r="Z17" s="52" t="n">
        <f aca="false">MAX(0,(MIN($F17,Z$4)-MAX($E17,Z$3)+1)/Z$5)</f>
        <v>1</v>
      </c>
      <c r="AA17" s="52" t="n">
        <f aca="false">MAX(0,(MIN($F17,AA$4)-MAX($E17,AA$3)+1)/AA$5)</f>
        <v>1</v>
      </c>
      <c r="AB17" s="52" t="n">
        <f aca="false">MAX(0,(MIN($F17,AB$4)-MAX($E17,AB$3)+1)/AB$5)</f>
        <v>1</v>
      </c>
      <c r="AC17" s="52" t="n">
        <f aca="false">MAX(0,(MIN($F17,AC$4)-MAX($E17,AC$3)+1)/AC$5)</f>
        <v>1</v>
      </c>
      <c r="AD17" s="52" t="n">
        <f aca="false">MAX(0,(MIN($F17,AD$4)-MAX($E17,AD$3)+1)/AD$5)</f>
        <v>1</v>
      </c>
      <c r="AE17" s="52" t="n">
        <f aca="false">MAX(0,(MIN($F17,AE$4)-MAX($E17,AE$3)+1)/AE$5)</f>
        <v>1</v>
      </c>
      <c r="AF17" s="52" t="n">
        <f aca="false">MAX(0,(MIN($F17,AF$4)-MAX($E17,AF$3)+1)/AF$5)</f>
        <v>1</v>
      </c>
      <c r="AG17" s="52" t="n">
        <f aca="false">MAX(0,(MIN($F17,AG$4)-MAX($E17,AG$3)+1)/AG$5)</f>
        <v>1</v>
      </c>
      <c r="AH17" s="52" t="n">
        <f aca="false">MAX(0,(MIN($F17,AH$4)-MAX($E17,AH$3)+1)/AH$5)</f>
        <v>1</v>
      </c>
      <c r="AI17" s="52" t="n">
        <f aca="false">MAX(0,(MIN($F17,AI$4)-MAX($E17,AI$3)+1)/AI$5)</f>
        <v>1</v>
      </c>
      <c r="AJ17" s="52" t="n">
        <f aca="false">MAX(0,(MIN($F17,AJ$4)-MAX($E17,AJ$3)+1)/AJ$5)</f>
        <v>1</v>
      </c>
      <c r="AK17" s="52" t="n">
        <f aca="false">MAX(0,(MIN($F17,AK$4)-MAX($E17,AK$3)+1)/AK$5)</f>
        <v>1</v>
      </c>
      <c r="AL17" s="52" t="n">
        <f aca="false">MAX(0,(MIN($F17,AL$4)-MAX($E17,AL$3)+1)/AL$5)</f>
        <v>1</v>
      </c>
      <c r="AM17" s="52" t="n">
        <f aca="false">MAX(0,(MIN($F17,AM$4)-MAX($E17,AM$3)+1)/AM$5)</f>
        <v>1</v>
      </c>
      <c r="AN17" s="52" t="n">
        <f aca="false">MAX(0,(MIN($F17,AN$4)-MAX($E17,AN$3)+1)/AN$5)</f>
        <v>1</v>
      </c>
      <c r="AO17" s="52" t="n">
        <f aca="false">MAX(0,(MIN($F17,AO$4)-MAX($E17,AO$3)+1)/AO$5)</f>
        <v>1</v>
      </c>
      <c r="AP17" s="52" t="n">
        <f aca="false">MAX(0,(MIN($F17,AP$4)-MAX($E17,AP$3)+1)/AP$5)</f>
        <v>1</v>
      </c>
      <c r="AQ17" s="52" t="n">
        <f aca="false">MAX(0,(MIN($F17,AQ$4)-MAX($E17,AQ$3)+1)/AQ$5)</f>
        <v>1</v>
      </c>
      <c r="AR17" s="52" t="n">
        <f aca="false">MAX(0,(MIN($F17,AR$4)-MAX($E17,AR$3)+1)/AR$5)</f>
        <v>1</v>
      </c>
      <c r="AS17" s="52" t="n">
        <f aca="false">MAX(0,(MIN($F17,AS$4)-MAX($E17,AS$3)+1)/AS$5)</f>
        <v>1</v>
      </c>
      <c r="AT17" s="52" t="n">
        <f aca="false">MAX(0,(MIN($F17,AT$4)-MAX($E17,AT$3)+1)/AT$5)</f>
        <v>1</v>
      </c>
      <c r="AU17" s="52" t="n">
        <f aca="false">MAX(0,(MIN($F17,AU$4)-MAX($E17,AU$3)+1)/AU$5)</f>
        <v>1</v>
      </c>
      <c r="AV17" s="52" t="n">
        <f aca="false">MAX(0,(MIN($F17,AV$4)-MAX($E17,AV$3)+1)/AV$5)</f>
        <v>1</v>
      </c>
      <c r="AW17" s="52" t="n">
        <f aca="false">MAX(0,(MIN($F17,AW$4)-MAX($E17,AW$3)+1)/AW$5)</f>
        <v>1</v>
      </c>
      <c r="AX17" s="52" t="n">
        <f aca="false">MAX(0,(MIN($F17,AX$4)-MAX($E17,AX$3)+1)/AX$5)</f>
        <v>1</v>
      </c>
      <c r="AY17" s="52" t="n">
        <f aca="false">MAX(0,(MIN($F17,AY$4)-MAX($E17,AY$3)+1)/AY$5)</f>
        <v>1</v>
      </c>
      <c r="AZ17" s="52" t="n">
        <f aca="false">MAX(0,(MIN($F17,AZ$4)-MAX($E17,AZ$3)+1)/AZ$5)</f>
        <v>1</v>
      </c>
      <c r="BA17" s="52" t="n">
        <f aca="false">MAX(0,(MIN($F17,BA$4)-MAX($E17,BA$3)+1)/BA$5)</f>
        <v>1</v>
      </c>
      <c r="BB17" s="52" t="n">
        <f aca="false">MAX(0,(MIN($F17,BB$4)-MAX($E17,BB$3)+1)/BB$5)</f>
        <v>1</v>
      </c>
      <c r="BC17" s="52" t="n">
        <f aca="false">MAX(0,(MIN($F17,BC$4)-MAX($E17,BC$3)+1)/BC$5)</f>
        <v>1</v>
      </c>
      <c r="BD17" s="52" t="n">
        <f aca="false">MAX(0,(MIN($F17,BD$4)-MAX($E17,BD$3)+1)/BD$5)</f>
        <v>1</v>
      </c>
      <c r="BE17" s="52" t="n">
        <f aca="false">MAX(0,(MIN($F17,BE$4)-MAX($E17,BE$3)+1)/BE$5)</f>
        <v>1</v>
      </c>
      <c r="BF17" s="52" t="n">
        <f aca="false">MAX(0,(MIN($F17,BF$4)-MAX($E17,BF$3)+1)/BF$5)</f>
        <v>1</v>
      </c>
      <c r="BG17" s="52" t="n">
        <f aca="false">MAX(0,(MIN($F17,BG$4)-MAX($E17,BG$3)+1)/BG$5)</f>
        <v>1</v>
      </c>
      <c r="BH17" s="52" t="n">
        <f aca="false">MAX(0,(MIN($F17,BH$4)-MAX($E17,BH$3)+1)/BH$5)</f>
        <v>1</v>
      </c>
      <c r="BI17" s="52" t="n">
        <f aca="false">MAX(0,(MIN($F17,BI$4)-MAX($E17,BI$3)+1)/BI$5)</f>
        <v>1</v>
      </c>
      <c r="BJ17" s="52" t="n">
        <f aca="false">MAX(0,(MIN($F17,BJ$4)-MAX($E17,BJ$3)+1)/BJ$5)</f>
        <v>1</v>
      </c>
      <c r="BK17" s="52" t="n">
        <f aca="false">MAX(0,(MIN($F17,BK$4)-MAX($E17,BK$3)+1)/BK$5)</f>
        <v>1</v>
      </c>
      <c r="BL17" s="52" t="n">
        <f aca="false">MAX(0,(MIN($F17,BL$4)-MAX($E17,BL$3)+1)/BL$5)</f>
        <v>1</v>
      </c>
      <c r="BM17" s="52" t="n">
        <f aca="false">MAX(0,(MIN($F17,BM$4)-MAX($E17,BM$3)+1)/BM$5)</f>
        <v>1</v>
      </c>
      <c r="BN17" s="52" t="n">
        <f aca="false">MAX(0,(MIN($F17,BN$4)-MAX($E17,BN$3)+1)/BN$5)</f>
        <v>1</v>
      </c>
      <c r="BO17" s="52" t="n">
        <f aca="false">MAX(0,(MIN($F17,BO$4)-MAX($E17,BO$3)+1)/BO$5)</f>
        <v>1</v>
      </c>
      <c r="BP17" s="52" t="n">
        <f aca="false">MAX(0,(MIN($F17,BP$4)-MAX($E17,BP$3)+1)/BP$5)</f>
        <v>1</v>
      </c>
      <c r="BQ17" s="52" t="n">
        <f aca="false">MAX(0,(MIN($F17,BQ$4)-MAX($E17,BQ$3)+1)/BQ$5)</f>
        <v>1</v>
      </c>
      <c r="BR17" s="52" t="n">
        <f aca="false">MAX(0,(MIN($F17,BR$4)-MAX($E17,BR$3)+1)/BR$5)</f>
        <v>1</v>
      </c>
      <c r="BS17" s="52" t="n">
        <f aca="false">MAX(0,(MIN($F17,BS$4)-MAX($E17,BS$3)+1)/BS$5)</f>
        <v>1</v>
      </c>
      <c r="BT17" s="52" t="n">
        <f aca="false">MAX(0,(MIN($F17,BT$4)-MAX($E17,BT$3)+1)/BT$5)</f>
        <v>1</v>
      </c>
      <c r="BU17" s="52" t="n">
        <f aca="false">MAX(0,(MIN($F17,BU$4)-MAX($E17,BU$3)+1)/BU$5)</f>
        <v>1</v>
      </c>
      <c r="BV17" s="52" t="n">
        <f aca="false">MAX(0,(MIN($F17,BV$4)-MAX($E17,BV$3)+1)/BV$5)</f>
        <v>1</v>
      </c>
      <c r="BW17" s="52" t="n">
        <f aca="false">MAX(0,(MIN($F17,BW$4)-MAX($E17,BW$3)+1)/BW$5)</f>
        <v>1</v>
      </c>
      <c r="BX17" s="52" t="n">
        <f aca="false">MAX(0,(MIN($F17,BX$4)-MAX($E17,BX$3)+1)/BX$5)</f>
        <v>1</v>
      </c>
      <c r="BY17" s="52" t="n">
        <f aca="false">MAX(0,(MIN($F17,BY$4)-MAX($E17,BY$3)+1)/BY$5)</f>
        <v>1</v>
      </c>
      <c r="BZ17" s="52" t="n">
        <f aca="false">MAX(0,(MIN($F17,BZ$4)-MAX($E17,BZ$3)+1)/BZ$5)</f>
        <v>1</v>
      </c>
      <c r="CA17" s="52" t="n">
        <f aca="false">MAX(0,(MIN($F17,CA$4)-MAX($E17,CA$3)+1)/CA$5)</f>
        <v>1</v>
      </c>
      <c r="CB17" s="52" t="n">
        <f aca="false">MAX(0,(MIN($F17,CB$4)-MAX($E17,CB$3)+1)/CB$5)</f>
        <v>1</v>
      </c>
      <c r="CC17" s="52" t="n">
        <f aca="false">MAX(0,(MIN($F17,CC$4)-MAX($E17,CC$3)+1)/CC$5)</f>
        <v>1</v>
      </c>
      <c r="CD17" s="52" t="n">
        <f aca="false">MAX(0,(MIN($F17,CD$4)-MAX($E17,CD$3)+1)/CD$5)</f>
        <v>1</v>
      </c>
      <c r="CE17" s="52" t="n">
        <f aca="false">MAX(0,(MIN($F17,CE$4)-MAX($E17,CE$3)+1)/CE$5)</f>
        <v>1</v>
      </c>
      <c r="CF17" s="52" t="n">
        <f aca="false">MAX(0,(MIN($F17,CF$4)-MAX($E17,CF$3)+1)/CF$5)</f>
        <v>1</v>
      </c>
      <c r="CG17" s="52" t="n">
        <f aca="false">MAX(0,(MIN($F17,CG$4)-MAX($E17,CG$3)+1)/CG$5)</f>
        <v>1</v>
      </c>
      <c r="CH17" s="52" t="n">
        <f aca="false">MAX(0,(MIN($F17,CH$4)-MAX($E17,CH$3)+1)/CH$5)</f>
        <v>1</v>
      </c>
      <c r="CI17" s="52" t="n">
        <f aca="false">MAX(0,(MIN($F17,CI$4)-MAX($E17,CI$3)+1)/CI$5)</f>
        <v>1</v>
      </c>
      <c r="CJ17" s="52" t="n">
        <f aca="false">MAX(0,(MIN($F17,CJ$4)-MAX($E17,CJ$3)+1)/CJ$5)</f>
        <v>1</v>
      </c>
      <c r="CK17" s="52" t="n">
        <f aca="false">MAX(0,(MIN($F17,CK$4)-MAX($E17,CK$3)+1)/CK$5)</f>
        <v>1</v>
      </c>
      <c r="CL17" s="52" t="n">
        <f aca="false">MAX(0,(MIN($F17,CL$4)-MAX($E17,CL$3)+1)/CL$5)</f>
        <v>1</v>
      </c>
      <c r="CM17" s="52" t="n">
        <f aca="false">MAX(0,(MIN($F17,CM$4)-MAX($E17,CM$3)+1)/CM$5)</f>
        <v>1</v>
      </c>
      <c r="CN17" s="52" t="n">
        <f aca="false">MAX(0,(MIN($F17,CN$4)-MAX($E17,CN$3)+1)/CN$5)</f>
        <v>1</v>
      </c>
      <c r="CO17" s="52" t="n">
        <f aca="false">MAX(0,(MIN($F17,CO$4)-MAX($E17,CO$3)+1)/CO$5)</f>
        <v>1</v>
      </c>
      <c r="CP17" s="52" t="n">
        <f aca="false">MAX(0,(MIN($F17,CP$4)-MAX($E17,CP$3)+1)/CP$5)</f>
        <v>1</v>
      </c>
      <c r="CQ17" s="52" t="n">
        <f aca="false">MAX(0,(MIN($F17,CQ$4)-MAX($E17,CQ$3)+1)/CQ$5)</f>
        <v>1</v>
      </c>
      <c r="CR17" s="52" t="n">
        <f aca="false">MAX(0,(MIN($F17,CR$4)-MAX($E17,CR$3)+1)/CR$5)</f>
        <v>1</v>
      </c>
      <c r="CS17" s="52" t="n">
        <f aca="false">MAX(0,(MIN($F17,CS$4)-MAX($E17,CS$3)+1)/CS$5)</f>
        <v>1</v>
      </c>
      <c r="CT17" s="52" t="n">
        <f aca="false">MAX(0,(MIN($F17,CT$4)-MAX($E17,CT$3)+1)/CT$5)</f>
        <v>0</v>
      </c>
      <c r="CU17" s="52" t="n">
        <f aca="false">MAX(0,(MIN($F17,CU$4)-MAX($E17,CU$3)+1)/CU$5)</f>
        <v>0</v>
      </c>
      <c r="CV17" s="52" t="n">
        <f aca="false">MAX(0,(MIN($F17,CV$4)-MAX($E17,CV$3)+1)/CV$5)</f>
        <v>0</v>
      </c>
      <c r="CW17" s="52" t="n">
        <f aca="false">MAX(0,(MIN($F17,CW$4)-MAX($E17,CW$3)+1)/CW$5)</f>
        <v>0</v>
      </c>
      <c r="CX17" s="52" t="n">
        <f aca="false">MAX(0,(MIN($F17,CX$4)-MAX($E17,CX$3)+1)/CX$5)</f>
        <v>0</v>
      </c>
      <c r="CY17" s="52" t="n">
        <f aca="false">MAX(0,(MIN($F17,CY$4)-MAX($E17,CY$3)+1)/CY$5)</f>
        <v>0</v>
      </c>
      <c r="CZ17" s="52" t="n">
        <f aca="false">MAX(0,(MIN($F17,CZ$4)-MAX($E17,CZ$3)+1)/CZ$5)</f>
        <v>0</v>
      </c>
      <c r="DA17" s="52" t="n">
        <f aca="false">MAX(0,(MIN($F17,DA$4)-MAX($E17,DA$3)+1)/DA$5)</f>
        <v>0</v>
      </c>
      <c r="DB17" s="52" t="n">
        <f aca="false">MAX(0,(MIN($F17,DB$4)-MAX($E17,DB$3)+1)/DB$5)</f>
        <v>0</v>
      </c>
      <c r="DC17" s="52" t="n">
        <f aca="false">MAX(0,(MIN($F17,DC$4)-MAX($E17,DC$3)+1)/DC$5)</f>
        <v>0</v>
      </c>
      <c r="DD17" s="52" t="n">
        <f aca="false">MAX(0,(MIN($F17,DD$4)-MAX($E17,DD$3)+1)/DD$5)</f>
        <v>0</v>
      </c>
      <c r="DE17" s="52" t="n">
        <f aca="false">MAX(0,(MIN($F17,DE$4)-MAX($E17,DE$3)+1)/DE$5)</f>
        <v>0</v>
      </c>
      <c r="DF17" s="52" t="n">
        <f aca="false">MAX(0,(MIN($F17,DF$4)-MAX($E17,DF$3)+1)/DF$5)</f>
        <v>0</v>
      </c>
      <c r="DG17" s="52" t="n">
        <f aca="false">MAX(0,(MIN($F17,DG$4)-MAX($E17,DG$3)+1)/DG$5)</f>
        <v>0</v>
      </c>
      <c r="DH17" s="52" t="n">
        <f aca="false">MAX(0,(MIN($F17,DH$4)-MAX($E17,DH$3)+1)/DH$5)</f>
        <v>0</v>
      </c>
      <c r="DI17" s="52" t="n">
        <f aca="false">MAX(0,(MIN($F17,DI$4)-MAX($E17,DI$3)+1)/DI$5)</f>
        <v>0</v>
      </c>
      <c r="DJ17" s="52" t="n">
        <f aca="false">MAX(0,(MIN($F17,DJ$4)-MAX($E17,DJ$3)+1)/DJ$5)</f>
        <v>0</v>
      </c>
      <c r="DK17" s="52" t="n">
        <f aca="false">MAX(0,(MIN($F17,DK$4)-MAX($E17,DK$3)+1)/DK$5)</f>
        <v>0</v>
      </c>
      <c r="DL17" s="52" t="n">
        <f aca="false">MAX(0,(MIN($F17,DL$4)-MAX($E17,DL$3)+1)/DL$5)</f>
        <v>0</v>
      </c>
      <c r="DM17" s="52" t="n">
        <f aca="false">MAX(0,(MIN($F17,DM$4)-MAX($E17,DM$3)+1)/DM$5)</f>
        <v>0</v>
      </c>
      <c r="DN17" s="52" t="n">
        <f aca="false">MAX(0,(MIN($F17,DN$4)-MAX($E17,DN$3)+1)/DN$5)</f>
        <v>0</v>
      </c>
      <c r="DO17" s="52" t="n">
        <f aca="false">MAX(0,(MIN($F17,DO$4)-MAX($E17,DO$3)+1)/DO$5)</f>
        <v>0</v>
      </c>
      <c r="DP17" s="52" t="n">
        <f aca="false">MAX(0,(MIN($F17,DP$4)-MAX($E17,DP$3)+1)/DP$5)</f>
        <v>0</v>
      </c>
      <c r="DQ17" s="52" t="n">
        <f aca="false">MAX(0,(MIN($F17,DQ$4)-MAX($E17,DQ$3)+1)/DQ$5)</f>
        <v>0</v>
      </c>
      <c r="DR17" s="52" t="n">
        <f aca="false">MAX(0,(MIN($F17,DR$4)-MAX($E17,DR$3)+1)/DR$5)</f>
        <v>0</v>
      </c>
      <c r="DS17" s="52" t="n">
        <f aca="false">MAX(0,(MIN($F17,DS$4)-MAX($E17,DS$3)+1)/DS$5)</f>
        <v>0</v>
      </c>
      <c r="DT17" s="52" t="n">
        <f aca="false">MAX(0,(MIN($F17,DT$4)-MAX($E17,DT$3)+1)/DT$5)</f>
        <v>0</v>
      </c>
      <c r="DU17" s="52" t="n">
        <f aca="false">MAX(0,(MIN($F17,DU$4)-MAX($E17,DU$3)+1)/DU$5)</f>
        <v>0</v>
      </c>
      <c r="DV17" s="52" t="n">
        <f aca="false">MAX(0,(MIN($F17,DV$4)-MAX($E17,DV$3)+1)/DV$5)</f>
        <v>0</v>
      </c>
      <c r="DW17" s="52" t="n">
        <f aca="false">MAX(0,(MIN($F17,DW$4)-MAX($E17,DW$3)+1)/DW$5)</f>
        <v>0</v>
      </c>
      <c r="DX17" s="52" t="n">
        <f aca="false">MAX(0,(MIN($F17,DX$4)-MAX($E17,DX$3)+1)/DX$5)</f>
        <v>0</v>
      </c>
      <c r="DY17" s="52" t="n">
        <f aca="false">MAX(0,(MIN($F17,DY$4)-MAX($E17,DY$3)+1)/DY$5)</f>
        <v>0</v>
      </c>
      <c r="DZ17" s="52" t="n">
        <f aca="false">MAX(0,(MIN($F17,DZ$4)-MAX($E17,DZ$3)+1)/DZ$5)</f>
        <v>0</v>
      </c>
      <c r="EA17" s="52" t="n">
        <f aca="false">MAX(0,(MIN($F17,EA$4)-MAX($E17,EA$3)+1)/EA$5)</f>
        <v>0</v>
      </c>
      <c r="EB17" s="52" t="n">
        <f aca="false">MAX(0,(MIN($F17,EB$4)-MAX($E17,EB$3)+1)/EB$5)</f>
        <v>0</v>
      </c>
      <c r="EC17" s="52" t="n">
        <f aca="false">MAX(0,(MIN($F17,EC$4)-MAX($E17,EC$3)+1)/EC$5)</f>
        <v>0</v>
      </c>
      <c r="ED17" s="52" t="n">
        <f aca="false">MAX(0,(MIN($F17,ED$4)-MAX($E17,ED$3)+1)/ED$5)</f>
        <v>0</v>
      </c>
      <c r="EE17" s="52" t="n">
        <f aca="false">MAX(0,(MIN($F17,EE$4)-MAX($E17,EE$3)+1)/EE$5)</f>
        <v>0</v>
      </c>
      <c r="EF17" s="52" t="n">
        <f aca="false">MAX(0,(MIN($F17,EF$4)-MAX($E17,EF$3)+1)/EF$5)</f>
        <v>0</v>
      </c>
      <c r="EG17" s="52" t="n">
        <f aca="false">MAX(0,(MIN($F17,EG$4)-MAX($E17,EG$3)+1)/EG$5)</f>
        <v>0</v>
      </c>
      <c r="EH17" s="52" t="n">
        <f aca="false">MAX(0,(MIN($F17,EH$4)-MAX($E17,EH$3)+1)/EH$5)</f>
        <v>0</v>
      </c>
      <c r="EI17" s="52" t="n">
        <f aca="false">MAX(0,(MIN($F17,EI$4)-MAX($E17,EI$3)+1)/EI$5)</f>
        <v>0</v>
      </c>
      <c r="EJ17" s="52" t="n">
        <f aca="false">MAX(0,(MIN($F17,EJ$4)-MAX($E17,EJ$3)+1)/EJ$5)</f>
        <v>0</v>
      </c>
      <c r="EK17" s="52" t="n">
        <f aca="false">MAX(0,(MIN($F17,EK$4)-MAX($E17,EK$3)+1)/EK$5)</f>
        <v>0</v>
      </c>
      <c r="EL17" s="52" t="n">
        <f aca="false">MAX(0,(MIN($F17,EL$4)-MAX($E17,EL$3)+1)/EL$5)</f>
        <v>0</v>
      </c>
      <c r="EM17" s="52" t="n">
        <f aca="false">MAX(0,(MIN($F17,EM$4)-MAX($E17,EM$3)+1)/EM$5)</f>
        <v>0</v>
      </c>
      <c r="EN17" s="52" t="n">
        <f aca="false">MAX(0,(MIN($F17,EN$4)-MAX($E17,EN$3)+1)/EN$5)</f>
        <v>0</v>
      </c>
      <c r="EO17" s="52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336</v>
      </c>
      <c r="D18" s="11" t="s">
        <v>30</v>
      </c>
      <c r="E18" s="41" t="n">
        <f aca="false">EDATE(In_COD,In_Debt_Tenor*Months_In_Year)</f>
        <v>54331</v>
      </c>
      <c r="I18" s="46" t="n">
        <f aca="false">SUM(J18:EO18)</f>
        <v>1</v>
      </c>
      <c r="J18" s="46" t="n">
        <f aca="false">N(AND(J$3&lt;=$E18,J$4&gt;=$E18))</f>
        <v>0</v>
      </c>
      <c r="K18" s="46" t="n">
        <f aca="false">N(AND(K$3&lt;=$E18,K$4&gt;=$E18))</f>
        <v>0</v>
      </c>
      <c r="L18" s="46" t="n">
        <f aca="false">N(AND(L$3&lt;=$E18,L$4&gt;=$E18))</f>
        <v>0</v>
      </c>
      <c r="M18" s="46" t="n">
        <f aca="false">N(AND(M$3&lt;=$E18,M$4&gt;=$E18))</f>
        <v>0</v>
      </c>
      <c r="N18" s="46" t="n">
        <f aca="false">N(AND(N$3&lt;=$E18,N$4&gt;=$E18))</f>
        <v>0</v>
      </c>
      <c r="O18" s="46" t="n">
        <f aca="false">N(AND(O$3&lt;=$E18,O$4&gt;=$E18))</f>
        <v>0</v>
      </c>
      <c r="P18" s="46" t="n">
        <f aca="false">N(AND(P$3&lt;=$E18,P$4&gt;=$E18))</f>
        <v>0</v>
      </c>
      <c r="Q18" s="46" t="n">
        <f aca="false">N(AND(Q$3&lt;=$E18,Q$4&gt;=$E18))</f>
        <v>0</v>
      </c>
      <c r="R18" s="46" t="n">
        <f aca="false">N(AND(R$3&lt;=$E18,R$4&gt;=$E18))</f>
        <v>0</v>
      </c>
      <c r="S18" s="46" t="n">
        <f aca="false">N(AND(S$3&lt;=$E18,S$4&gt;=$E18))</f>
        <v>0</v>
      </c>
      <c r="T18" s="46" t="n">
        <f aca="false">N(AND(T$3&lt;=$E18,T$4&gt;=$E18))</f>
        <v>0</v>
      </c>
      <c r="U18" s="46" t="n">
        <f aca="false">N(AND(U$3&lt;=$E18,U$4&gt;=$E18))</f>
        <v>0</v>
      </c>
      <c r="V18" s="46" t="n">
        <f aca="false">N(AND(V$3&lt;=$E18,V$4&gt;=$E18))</f>
        <v>0</v>
      </c>
      <c r="W18" s="46" t="n">
        <f aca="false">N(AND(W$3&lt;=$E18,W$4&gt;=$E18))</f>
        <v>0</v>
      </c>
      <c r="X18" s="46" t="n">
        <f aca="false">N(AND(X$3&lt;=$E18,X$4&gt;=$E18))</f>
        <v>0</v>
      </c>
      <c r="Y18" s="46" t="n">
        <f aca="false">N(AND(Y$3&lt;=$E18,Y$4&gt;=$E18))</f>
        <v>0</v>
      </c>
      <c r="Z18" s="46" t="n">
        <f aca="false">N(AND(Z$3&lt;=$E18,Z$4&gt;=$E18))</f>
        <v>0</v>
      </c>
      <c r="AA18" s="46" t="n">
        <f aca="false">N(AND(AA$3&lt;=$E18,AA$4&gt;=$E18))</f>
        <v>0</v>
      </c>
      <c r="AB18" s="46" t="n">
        <f aca="false">N(AND(AB$3&lt;=$E18,AB$4&gt;=$E18))</f>
        <v>0</v>
      </c>
      <c r="AC18" s="46" t="n">
        <f aca="false">N(AND(AC$3&lt;=$E18,AC$4&gt;=$E18))</f>
        <v>0</v>
      </c>
      <c r="AD18" s="46" t="n">
        <f aca="false">N(AND(AD$3&lt;=$E18,AD$4&gt;=$E18))</f>
        <v>0</v>
      </c>
      <c r="AE18" s="46" t="n">
        <f aca="false">N(AND(AE$3&lt;=$E18,AE$4&gt;=$E18))</f>
        <v>0</v>
      </c>
      <c r="AF18" s="46" t="n">
        <f aca="false">N(AND(AF$3&lt;=$E18,AF$4&gt;=$E18))</f>
        <v>0</v>
      </c>
      <c r="AG18" s="46" t="n">
        <f aca="false">N(AND(AG$3&lt;=$E18,AG$4&gt;=$E18))</f>
        <v>0</v>
      </c>
      <c r="AH18" s="46" t="n">
        <f aca="false">N(AND(AH$3&lt;=$E18,AH$4&gt;=$E18))</f>
        <v>0</v>
      </c>
      <c r="AI18" s="46" t="n">
        <f aca="false">N(AND(AI$3&lt;=$E18,AI$4&gt;=$E18))</f>
        <v>0</v>
      </c>
      <c r="AJ18" s="46" t="n">
        <f aca="false">N(AND(AJ$3&lt;=$E18,AJ$4&gt;=$E18))</f>
        <v>0</v>
      </c>
      <c r="AK18" s="46" t="n">
        <f aca="false">N(AND(AK$3&lt;=$E18,AK$4&gt;=$E18))</f>
        <v>0</v>
      </c>
      <c r="AL18" s="46" t="n">
        <f aca="false">N(AND(AL$3&lt;=$E18,AL$4&gt;=$E18))</f>
        <v>0</v>
      </c>
      <c r="AM18" s="46" t="n">
        <f aca="false">N(AND(AM$3&lt;=$E18,AM$4&gt;=$E18))</f>
        <v>0</v>
      </c>
      <c r="AN18" s="46" t="n">
        <f aca="false">N(AND(AN$3&lt;=$E18,AN$4&gt;=$E18))</f>
        <v>0</v>
      </c>
      <c r="AO18" s="46" t="n">
        <f aca="false">N(AND(AO$3&lt;=$E18,AO$4&gt;=$E18))</f>
        <v>0</v>
      </c>
      <c r="AP18" s="46" t="n">
        <f aca="false">N(AND(AP$3&lt;=$E18,AP$4&gt;=$E18))</f>
        <v>0</v>
      </c>
      <c r="AQ18" s="46" t="n">
        <f aca="false">N(AND(AQ$3&lt;=$E18,AQ$4&gt;=$E18))</f>
        <v>0</v>
      </c>
      <c r="AR18" s="46" t="n">
        <f aca="false">N(AND(AR$3&lt;=$E18,AR$4&gt;=$E18))</f>
        <v>0</v>
      </c>
      <c r="AS18" s="46" t="n">
        <f aca="false">N(AND(AS$3&lt;=$E18,AS$4&gt;=$E18))</f>
        <v>0</v>
      </c>
      <c r="AT18" s="46" t="n">
        <f aca="false">N(AND(AT$3&lt;=$E18,AT$4&gt;=$E18))</f>
        <v>0</v>
      </c>
      <c r="AU18" s="46" t="n">
        <f aca="false">N(AND(AU$3&lt;=$E18,AU$4&gt;=$E18))</f>
        <v>0</v>
      </c>
      <c r="AV18" s="46" t="n">
        <f aca="false">N(AND(AV$3&lt;=$E18,AV$4&gt;=$E18))</f>
        <v>0</v>
      </c>
      <c r="AW18" s="46" t="n">
        <f aca="false">N(AND(AW$3&lt;=$E18,AW$4&gt;=$E18))</f>
        <v>0</v>
      </c>
      <c r="AX18" s="46" t="n">
        <f aca="false">N(AND(AX$3&lt;=$E18,AX$4&gt;=$E18))</f>
        <v>0</v>
      </c>
      <c r="AY18" s="46" t="n">
        <f aca="false">N(AND(AY$3&lt;=$E18,AY$4&gt;=$E18))</f>
        <v>0</v>
      </c>
      <c r="AZ18" s="46" t="n">
        <f aca="false">N(AND(AZ$3&lt;=$E18,AZ$4&gt;=$E18))</f>
        <v>0</v>
      </c>
      <c r="BA18" s="46" t="n">
        <f aca="false">N(AND(BA$3&lt;=$E18,BA$4&gt;=$E18))</f>
        <v>0</v>
      </c>
      <c r="BB18" s="46" t="n">
        <f aca="false">N(AND(BB$3&lt;=$E18,BB$4&gt;=$E18))</f>
        <v>0</v>
      </c>
      <c r="BC18" s="46" t="n">
        <f aca="false">N(AND(BC$3&lt;=$E18,BC$4&gt;=$E18))</f>
        <v>0</v>
      </c>
      <c r="BD18" s="46" t="n">
        <f aca="false">N(AND(BD$3&lt;=$E18,BD$4&gt;=$E18))</f>
        <v>0</v>
      </c>
      <c r="BE18" s="46" t="n">
        <f aca="false">N(AND(BE$3&lt;=$E18,BE$4&gt;=$E18))</f>
        <v>0</v>
      </c>
      <c r="BF18" s="46" t="n">
        <f aca="false">N(AND(BF$3&lt;=$E18,BF$4&gt;=$E18))</f>
        <v>0</v>
      </c>
      <c r="BG18" s="46" t="n">
        <f aca="false">N(AND(BG$3&lt;=$E18,BG$4&gt;=$E18))</f>
        <v>0</v>
      </c>
      <c r="BH18" s="46" t="n">
        <f aca="false">N(AND(BH$3&lt;=$E18,BH$4&gt;=$E18))</f>
        <v>0</v>
      </c>
      <c r="BI18" s="46" t="n">
        <f aca="false">N(AND(BI$3&lt;=$E18,BI$4&gt;=$E18))</f>
        <v>0</v>
      </c>
      <c r="BJ18" s="46" t="n">
        <f aca="false">N(AND(BJ$3&lt;=$E18,BJ$4&gt;=$E18))</f>
        <v>0</v>
      </c>
      <c r="BK18" s="46" t="n">
        <f aca="false">N(AND(BK$3&lt;=$E18,BK$4&gt;=$E18))</f>
        <v>0</v>
      </c>
      <c r="BL18" s="46" t="n">
        <f aca="false">N(AND(BL$3&lt;=$E18,BL$4&gt;=$E18))</f>
        <v>0</v>
      </c>
      <c r="BM18" s="46" t="n">
        <f aca="false">N(AND(BM$3&lt;=$E18,BM$4&gt;=$E18))</f>
        <v>0</v>
      </c>
      <c r="BN18" s="46" t="n">
        <f aca="false">N(AND(BN$3&lt;=$E18,BN$4&gt;=$E18))</f>
        <v>0</v>
      </c>
      <c r="BO18" s="46" t="n">
        <f aca="false">N(AND(BO$3&lt;=$E18,BO$4&gt;=$E18))</f>
        <v>0</v>
      </c>
      <c r="BP18" s="46" t="n">
        <f aca="false">N(AND(BP$3&lt;=$E18,BP$4&gt;=$E18))</f>
        <v>0</v>
      </c>
      <c r="BQ18" s="46" t="n">
        <f aca="false">N(AND(BQ$3&lt;=$E18,BQ$4&gt;=$E18))</f>
        <v>0</v>
      </c>
      <c r="BR18" s="46" t="n">
        <f aca="false">N(AND(BR$3&lt;=$E18,BR$4&gt;=$E18))</f>
        <v>0</v>
      </c>
      <c r="BS18" s="46" t="n">
        <f aca="false">N(AND(BS$3&lt;=$E18,BS$4&gt;=$E18))</f>
        <v>0</v>
      </c>
      <c r="BT18" s="46" t="n">
        <f aca="false">N(AND(BT$3&lt;=$E18,BT$4&gt;=$E18))</f>
        <v>0</v>
      </c>
      <c r="BU18" s="46" t="n">
        <f aca="false">N(AND(BU$3&lt;=$E18,BU$4&gt;=$E18))</f>
        <v>0</v>
      </c>
      <c r="BV18" s="46" t="n">
        <f aca="false">N(AND(BV$3&lt;=$E18,BV$4&gt;=$E18))</f>
        <v>0</v>
      </c>
      <c r="BW18" s="46" t="n">
        <f aca="false">N(AND(BW$3&lt;=$E18,BW$4&gt;=$E18))</f>
        <v>0</v>
      </c>
      <c r="BX18" s="46" t="n">
        <f aca="false">N(AND(BX$3&lt;=$E18,BX$4&gt;=$E18))</f>
        <v>0</v>
      </c>
      <c r="BY18" s="46" t="n">
        <f aca="false">N(AND(BY$3&lt;=$E18,BY$4&gt;=$E18))</f>
        <v>0</v>
      </c>
      <c r="BZ18" s="46" t="n">
        <f aca="false">N(AND(BZ$3&lt;=$E18,BZ$4&gt;=$E18))</f>
        <v>0</v>
      </c>
      <c r="CA18" s="46" t="n">
        <f aca="false">N(AND(CA$3&lt;=$E18,CA$4&gt;=$E18))</f>
        <v>0</v>
      </c>
      <c r="CB18" s="46" t="n">
        <f aca="false">N(AND(CB$3&lt;=$E18,CB$4&gt;=$E18))</f>
        <v>0</v>
      </c>
      <c r="CC18" s="46" t="n">
        <f aca="false">N(AND(CC$3&lt;=$E18,CC$4&gt;=$E18))</f>
        <v>0</v>
      </c>
      <c r="CD18" s="46" t="n">
        <f aca="false">N(AND(CD$3&lt;=$E18,CD$4&gt;=$E18))</f>
        <v>0</v>
      </c>
      <c r="CE18" s="46" t="n">
        <f aca="false">N(AND(CE$3&lt;=$E18,CE$4&gt;=$E18))</f>
        <v>0</v>
      </c>
      <c r="CF18" s="46" t="n">
        <f aca="false">N(AND(CF$3&lt;=$E18,CF$4&gt;=$E18))</f>
        <v>0</v>
      </c>
      <c r="CG18" s="46" t="n">
        <f aca="false">N(AND(CG$3&lt;=$E18,CG$4&gt;=$E18))</f>
        <v>0</v>
      </c>
      <c r="CH18" s="46" t="n">
        <f aca="false">N(AND(CH$3&lt;=$E18,CH$4&gt;=$E18))</f>
        <v>0</v>
      </c>
      <c r="CI18" s="46" t="n">
        <f aca="false">N(AND(CI$3&lt;=$E18,CI$4&gt;=$E18))</f>
        <v>0</v>
      </c>
      <c r="CJ18" s="46" t="n">
        <f aca="false">N(AND(CJ$3&lt;=$E18,CJ$4&gt;=$E18))</f>
        <v>0</v>
      </c>
      <c r="CK18" s="46" t="n">
        <f aca="false">N(AND(CK$3&lt;=$E18,CK$4&gt;=$E18))</f>
        <v>0</v>
      </c>
      <c r="CL18" s="46" t="n">
        <f aca="false">N(AND(CL$3&lt;=$E18,CL$4&gt;=$E18))</f>
        <v>0</v>
      </c>
      <c r="CM18" s="46" t="n">
        <f aca="false">N(AND(CM$3&lt;=$E18,CM$4&gt;=$E18))</f>
        <v>0</v>
      </c>
      <c r="CN18" s="46" t="n">
        <f aca="false">N(AND(CN$3&lt;=$E18,CN$4&gt;=$E18))</f>
        <v>0</v>
      </c>
      <c r="CO18" s="46" t="n">
        <f aca="false">N(AND(CO$3&lt;=$E18,CO$4&gt;=$E18))</f>
        <v>0</v>
      </c>
      <c r="CP18" s="46" t="n">
        <f aca="false">N(AND(CP$3&lt;=$E18,CP$4&gt;=$E18))</f>
        <v>0</v>
      </c>
      <c r="CQ18" s="46" t="n">
        <f aca="false">N(AND(CQ$3&lt;=$E18,CQ$4&gt;=$E18))</f>
        <v>0</v>
      </c>
      <c r="CR18" s="46" t="n">
        <f aca="false">N(AND(CR$3&lt;=$E18,CR$4&gt;=$E18))</f>
        <v>0</v>
      </c>
      <c r="CS18" s="46" t="n">
        <f aca="false">N(AND(CS$3&lt;=$E18,CS$4&gt;=$E18))</f>
        <v>1</v>
      </c>
      <c r="CT18" s="46" t="n">
        <f aca="false">N(AND(CT$3&lt;=$E18,CT$4&gt;=$E18))</f>
        <v>0</v>
      </c>
      <c r="CU18" s="46" t="n">
        <f aca="false">N(AND(CU$3&lt;=$E18,CU$4&gt;=$E18))</f>
        <v>0</v>
      </c>
      <c r="CV18" s="46" t="n">
        <f aca="false">N(AND(CV$3&lt;=$E18,CV$4&gt;=$E18))</f>
        <v>0</v>
      </c>
      <c r="CW18" s="46" t="n">
        <f aca="false">N(AND(CW$3&lt;=$E18,CW$4&gt;=$E18))</f>
        <v>0</v>
      </c>
      <c r="CX18" s="46" t="n">
        <f aca="false">N(AND(CX$3&lt;=$E18,CX$4&gt;=$E18))</f>
        <v>0</v>
      </c>
      <c r="CY18" s="46" t="n">
        <f aca="false">N(AND(CY$3&lt;=$E18,CY$4&gt;=$E18))</f>
        <v>0</v>
      </c>
      <c r="CZ18" s="46" t="n">
        <f aca="false">N(AND(CZ$3&lt;=$E18,CZ$4&gt;=$E18))</f>
        <v>0</v>
      </c>
      <c r="DA18" s="46" t="n">
        <f aca="false">N(AND(DA$3&lt;=$E18,DA$4&gt;=$E18))</f>
        <v>0</v>
      </c>
      <c r="DB18" s="46" t="n">
        <f aca="false">N(AND(DB$3&lt;=$E18,DB$4&gt;=$E18))</f>
        <v>0</v>
      </c>
      <c r="DC18" s="46" t="n">
        <f aca="false">N(AND(DC$3&lt;=$E18,DC$4&gt;=$E18))</f>
        <v>0</v>
      </c>
      <c r="DD18" s="46" t="n">
        <f aca="false">N(AND(DD$3&lt;=$E18,DD$4&gt;=$E18))</f>
        <v>0</v>
      </c>
      <c r="DE18" s="46" t="n">
        <f aca="false">N(AND(DE$3&lt;=$E18,DE$4&gt;=$E18))</f>
        <v>0</v>
      </c>
      <c r="DF18" s="46" t="n">
        <f aca="false">N(AND(DF$3&lt;=$E18,DF$4&gt;=$E18))</f>
        <v>0</v>
      </c>
      <c r="DG18" s="46" t="n">
        <f aca="false">N(AND(DG$3&lt;=$E18,DG$4&gt;=$E18))</f>
        <v>0</v>
      </c>
      <c r="DH18" s="46" t="n">
        <f aca="false">N(AND(DH$3&lt;=$E18,DH$4&gt;=$E18))</f>
        <v>0</v>
      </c>
      <c r="DI18" s="46" t="n">
        <f aca="false">N(AND(DI$3&lt;=$E18,DI$4&gt;=$E18))</f>
        <v>0</v>
      </c>
      <c r="DJ18" s="46" t="n">
        <f aca="false">N(AND(DJ$3&lt;=$E18,DJ$4&gt;=$E18))</f>
        <v>0</v>
      </c>
      <c r="DK18" s="46" t="n">
        <f aca="false">N(AND(DK$3&lt;=$E18,DK$4&gt;=$E18))</f>
        <v>0</v>
      </c>
      <c r="DL18" s="46" t="n">
        <f aca="false">N(AND(DL$3&lt;=$E18,DL$4&gt;=$E18))</f>
        <v>0</v>
      </c>
      <c r="DM18" s="46" t="n">
        <f aca="false">N(AND(DM$3&lt;=$E18,DM$4&gt;=$E18))</f>
        <v>0</v>
      </c>
      <c r="DN18" s="46" t="n">
        <f aca="false">N(AND(DN$3&lt;=$E18,DN$4&gt;=$E18))</f>
        <v>0</v>
      </c>
      <c r="DO18" s="46" t="n">
        <f aca="false">N(AND(DO$3&lt;=$E18,DO$4&gt;=$E18))</f>
        <v>0</v>
      </c>
      <c r="DP18" s="46" t="n">
        <f aca="false">N(AND(DP$3&lt;=$E18,DP$4&gt;=$E18))</f>
        <v>0</v>
      </c>
      <c r="DQ18" s="46" t="n">
        <f aca="false">N(AND(DQ$3&lt;=$E18,DQ$4&gt;=$E18))</f>
        <v>0</v>
      </c>
      <c r="DR18" s="46" t="n">
        <f aca="false">N(AND(DR$3&lt;=$E18,DR$4&gt;=$E18))</f>
        <v>0</v>
      </c>
      <c r="DS18" s="46" t="n">
        <f aca="false">N(AND(DS$3&lt;=$E18,DS$4&gt;=$E18))</f>
        <v>0</v>
      </c>
      <c r="DT18" s="46" t="n">
        <f aca="false">N(AND(DT$3&lt;=$E18,DT$4&gt;=$E18))</f>
        <v>0</v>
      </c>
      <c r="DU18" s="46" t="n">
        <f aca="false">N(AND(DU$3&lt;=$E18,DU$4&gt;=$E18))</f>
        <v>0</v>
      </c>
      <c r="DV18" s="46" t="n">
        <f aca="false">N(AND(DV$3&lt;=$E18,DV$4&gt;=$E18))</f>
        <v>0</v>
      </c>
      <c r="DW18" s="46" t="n">
        <f aca="false">N(AND(DW$3&lt;=$E18,DW$4&gt;=$E18))</f>
        <v>0</v>
      </c>
      <c r="DX18" s="46" t="n">
        <f aca="false">N(AND(DX$3&lt;=$E18,DX$4&gt;=$E18))</f>
        <v>0</v>
      </c>
      <c r="DY18" s="46" t="n">
        <f aca="false">N(AND(DY$3&lt;=$E18,DY$4&gt;=$E18))</f>
        <v>0</v>
      </c>
      <c r="DZ18" s="46" t="n">
        <f aca="false">N(AND(DZ$3&lt;=$E18,DZ$4&gt;=$E18))</f>
        <v>0</v>
      </c>
      <c r="EA18" s="46" t="n">
        <f aca="false">N(AND(EA$3&lt;=$E18,EA$4&gt;=$E18))</f>
        <v>0</v>
      </c>
      <c r="EB18" s="46" t="n">
        <f aca="false">N(AND(EB$3&lt;=$E18,EB$4&gt;=$E18))</f>
        <v>0</v>
      </c>
      <c r="EC18" s="46" t="n">
        <f aca="false">N(AND(EC$3&lt;=$E18,EC$4&gt;=$E18))</f>
        <v>0</v>
      </c>
      <c r="ED18" s="46" t="n">
        <f aca="false">N(AND(ED$3&lt;=$E18,ED$4&gt;=$E18))</f>
        <v>0</v>
      </c>
      <c r="EE18" s="46" t="n">
        <f aca="false">N(AND(EE$3&lt;=$E18,EE$4&gt;=$E18))</f>
        <v>0</v>
      </c>
      <c r="EF18" s="46" t="n">
        <f aca="false">N(AND(EF$3&lt;=$E18,EF$4&gt;=$E18))</f>
        <v>0</v>
      </c>
      <c r="EG18" s="46" t="n">
        <f aca="false">N(AND(EG$3&lt;=$E18,EG$4&gt;=$E18))</f>
        <v>0</v>
      </c>
      <c r="EH18" s="46" t="n">
        <f aca="false">N(AND(EH$3&lt;=$E18,EH$4&gt;=$E18))</f>
        <v>0</v>
      </c>
      <c r="EI18" s="46" t="n">
        <f aca="false">N(AND(EI$3&lt;=$E18,EI$4&gt;=$E18))</f>
        <v>0</v>
      </c>
      <c r="EJ18" s="46" t="n">
        <f aca="false">N(AND(EJ$3&lt;=$E18,EJ$4&gt;=$E18))</f>
        <v>0</v>
      </c>
      <c r="EK18" s="46" t="n">
        <f aca="false">N(AND(EK$3&lt;=$E18,EK$4&gt;=$E18))</f>
        <v>0</v>
      </c>
      <c r="EL18" s="46" t="n">
        <f aca="false">N(AND(EL$3&lt;=$E18,EL$4&gt;=$E18))</f>
        <v>0</v>
      </c>
      <c r="EM18" s="46" t="n">
        <f aca="false">N(AND(EM$3&lt;=$E18,EM$4&gt;=$E18))</f>
        <v>0</v>
      </c>
      <c r="EN18" s="46" t="n">
        <f aca="false">N(AND(EN$3&lt;=$E18,EN$4&gt;=$E18))</f>
        <v>0</v>
      </c>
      <c r="EO18" s="46" t="n">
        <f aca="false">N(AND(EO$3&lt;=$E18,EO$4&gt;=$E18))</f>
        <v>0</v>
      </c>
    </row>
    <row r="19" customFormat="false" ht="15" hidden="false" customHeight="false" outlineLevel="0" collapsed="false">
      <c r="C19" s="0" t="s">
        <v>337</v>
      </c>
      <c r="D19" s="11" t="s">
        <v>327</v>
      </c>
      <c r="E19" s="41" t="n">
        <f aca="false">In_COD+1</f>
        <v>47757</v>
      </c>
      <c r="F19" s="41" t="n">
        <f aca="false">EDATE(In_COD,In_Dep_Years*Months_In_Year)</f>
        <v>55061</v>
      </c>
      <c r="I19" s="52" t="n">
        <f aca="false">SUM(J19:EO19)</f>
        <v>1</v>
      </c>
      <c r="J19" s="52" t="n">
        <f aca="false">MAX(0,MIN($F19,J$4)-MAX($E19,J$3)+1)/($F19-$E19+1)</f>
        <v>0</v>
      </c>
      <c r="K19" s="52" t="n">
        <f aca="false">MAX(0,MIN($F19,K$4)-MAX($E19,K$3)+1)/($F19-$E19+1)</f>
        <v>0</v>
      </c>
      <c r="L19" s="52" t="n">
        <f aca="false">MAX(0,MIN($F19,L$4)-MAX($E19,L$3)+1)/($F19-$E19+1)</f>
        <v>0</v>
      </c>
      <c r="M19" s="52" t="n">
        <f aca="false">MAX(0,MIN($F19,M$4)-MAX($E19,M$3)+1)/($F19-$E19+1)</f>
        <v>0</v>
      </c>
      <c r="N19" s="52" t="n">
        <f aca="false">MAX(0,MIN($F19,N$4)-MAX($E19,N$3)+1)/($F19-$E19+1)</f>
        <v>0</v>
      </c>
      <c r="O19" s="52" t="n">
        <f aca="false">MAX(0,MIN($F19,O$4)-MAX($E19,O$3)+1)/($F19-$E19+1)</f>
        <v>0</v>
      </c>
      <c r="P19" s="52" t="n">
        <f aca="false">MAX(0,MIN($F19,P$4)-MAX($E19,P$3)+1)/($F19-$E19+1)</f>
        <v>0</v>
      </c>
      <c r="Q19" s="52" t="n">
        <f aca="false">MAX(0,MIN($F19,Q$4)-MAX($E19,Q$3)+1)/($F19-$E19+1)</f>
        <v>0</v>
      </c>
      <c r="R19" s="52" t="n">
        <f aca="false">MAX(0,MIN($F19,R$4)-MAX($E19,R$3)+1)/($F19-$E19+1)</f>
        <v>0</v>
      </c>
      <c r="S19" s="52" t="n">
        <f aca="false">MAX(0,MIN($F19,S$4)-MAX($E19,S$3)+1)/($F19-$E19+1)</f>
        <v>0</v>
      </c>
      <c r="T19" s="52" t="n">
        <f aca="false">MAX(0,MIN($F19,T$4)-MAX($E19,T$3)+1)/($F19-$E19+1)</f>
        <v>0</v>
      </c>
      <c r="U19" s="52" t="n">
        <f aca="false">MAX(0,MIN($F19,U$4)-MAX($E19,U$3)+1)/($F19-$E19+1)</f>
        <v>0</v>
      </c>
      <c r="V19" s="52" t="n">
        <f aca="false">MAX(0,MIN($F19,V$4)-MAX($E19,V$3)+1)/($F19-$E19+1)</f>
        <v>0</v>
      </c>
      <c r="W19" s="52" t="n">
        <f aca="false">MAX(0,MIN($F19,W$4)-MAX($E19,W$3)+1)/($F19-$E19+1)</f>
        <v>0</v>
      </c>
      <c r="X19" s="52" t="n">
        <f aca="false">MAX(0,MIN($F19,X$4)-MAX($E19,X$3)+1)/($F19-$E19+1)</f>
        <v>0</v>
      </c>
      <c r="Y19" s="52" t="n">
        <f aca="false">MAX(0,MIN($F19,Y$4)-MAX($E19,Y$3)+1)/($F19-$E19+1)</f>
        <v>0</v>
      </c>
      <c r="Z19" s="52" t="n">
        <f aca="false">MAX(0,MIN($F19,Z$4)-MAX($E19,Z$3)+1)/($F19-$E19+1)</f>
        <v>0.0125941136208077</v>
      </c>
      <c r="AA19" s="52" t="n">
        <f aca="false">MAX(0,MIN($F19,AA$4)-MAX($E19,AA$3)+1)/($F19-$E19+1)</f>
        <v>0.0123203285420945</v>
      </c>
      <c r="AB19" s="52" t="n">
        <f aca="false">MAX(0,MIN($F19,AB$4)-MAX($E19,AB$3)+1)/($F19-$E19+1)</f>
        <v>0.0124572210814511</v>
      </c>
      <c r="AC19" s="52" t="n">
        <f aca="false">MAX(0,MIN($F19,AC$4)-MAX($E19,AC$3)+1)/($F19-$E19+1)</f>
        <v>0.0125941136208077</v>
      </c>
      <c r="AD19" s="52" t="n">
        <f aca="false">MAX(0,MIN($F19,AD$4)-MAX($E19,AD$3)+1)/($F19-$E19+1)</f>
        <v>0.0125941136208077</v>
      </c>
      <c r="AE19" s="52" t="n">
        <f aca="false">MAX(0,MIN($F19,AE$4)-MAX($E19,AE$3)+1)/($F19-$E19+1)</f>
        <v>0.0124572210814511</v>
      </c>
      <c r="AF19" s="52" t="n">
        <f aca="false">MAX(0,MIN($F19,AF$4)-MAX($E19,AF$3)+1)/($F19-$E19+1)</f>
        <v>0.0124572210814511</v>
      </c>
      <c r="AG19" s="52" t="n">
        <f aca="false">MAX(0,MIN($F19,AG$4)-MAX($E19,AG$3)+1)/($F19-$E19+1)</f>
        <v>0.0125941136208077</v>
      </c>
      <c r="AH19" s="52" t="n">
        <f aca="false">MAX(0,MIN($F19,AH$4)-MAX($E19,AH$3)+1)/($F19-$E19+1)</f>
        <v>0.0125941136208077</v>
      </c>
      <c r="AI19" s="52" t="n">
        <f aca="false">MAX(0,MIN($F19,AI$4)-MAX($E19,AI$3)+1)/($F19-$E19+1)</f>
        <v>0.0123203285420945</v>
      </c>
      <c r="AJ19" s="52" t="n">
        <f aca="false">MAX(0,MIN($F19,AJ$4)-MAX($E19,AJ$3)+1)/($F19-$E19+1)</f>
        <v>0.0124572210814511</v>
      </c>
      <c r="AK19" s="52" t="n">
        <f aca="false">MAX(0,MIN($F19,AK$4)-MAX($E19,AK$3)+1)/($F19-$E19+1)</f>
        <v>0.0125941136208077</v>
      </c>
      <c r="AL19" s="52" t="n">
        <f aca="false">MAX(0,MIN($F19,AL$4)-MAX($E19,AL$3)+1)/($F19-$E19+1)</f>
        <v>0.0125941136208077</v>
      </c>
      <c r="AM19" s="52" t="n">
        <f aca="false">MAX(0,MIN($F19,AM$4)-MAX($E19,AM$3)+1)/($F19-$E19+1)</f>
        <v>0.0123203285420945</v>
      </c>
      <c r="AN19" s="52" t="n">
        <f aca="false">MAX(0,MIN($F19,AN$4)-MAX($E19,AN$3)+1)/($F19-$E19+1)</f>
        <v>0.0124572210814511</v>
      </c>
      <c r="AO19" s="52" t="n">
        <f aca="false">MAX(0,MIN($F19,AO$4)-MAX($E19,AO$3)+1)/($F19-$E19+1)</f>
        <v>0.0125941136208077</v>
      </c>
      <c r="AP19" s="52" t="n">
        <f aca="false">MAX(0,MIN($F19,AP$4)-MAX($E19,AP$3)+1)/($F19-$E19+1)</f>
        <v>0.0125941136208077</v>
      </c>
      <c r="AQ19" s="52" t="n">
        <f aca="false">MAX(0,MIN($F19,AQ$4)-MAX($E19,AQ$3)+1)/($F19-$E19+1)</f>
        <v>0.0123203285420945</v>
      </c>
      <c r="AR19" s="52" t="n">
        <f aca="false">MAX(0,MIN($F19,AR$4)-MAX($E19,AR$3)+1)/($F19-$E19+1)</f>
        <v>0.0124572210814511</v>
      </c>
      <c r="AS19" s="52" t="n">
        <f aca="false">MAX(0,MIN($F19,AS$4)-MAX($E19,AS$3)+1)/($F19-$E19+1)</f>
        <v>0.0125941136208077</v>
      </c>
      <c r="AT19" s="52" t="n">
        <f aca="false">MAX(0,MIN($F19,AT$4)-MAX($E19,AT$3)+1)/($F19-$E19+1)</f>
        <v>0.0125941136208077</v>
      </c>
      <c r="AU19" s="52" t="n">
        <f aca="false">MAX(0,MIN($F19,AU$4)-MAX($E19,AU$3)+1)/($F19-$E19+1)</f>
        <v>0.0124572210814511</v>
      </c>
      <c r="AV19" s="52" t="n">
        <f aca="false">MAX(0,MIN($F19,AV$4)-MAX($E19,AV$3)+1)/($F19-$E19+1)</f>
        <v>0.0124572210814511</v>
      </c>
      <c r="AW19" s="52" t="n">
        <f aca="false">MAX(0,MIN($F19,AW$4)-MAX($E19,AW$3)+1)/($F19-$E19+1)</f>
        <v>0.0125941136208077</v>
      </c>
      <c r="AX19" s="52" t="n">
        <f aca="false">MAX(0,MIN($F19,AX$4)-MAX($E19,AX$3)+1)/($F19-$E19+1)</f>
        <v>0.0125941136208077</v>
      </c>
      <c r="AY19" s="52" t="n">
        <f aca="false">MAX(0,MIN($F19,AY$4)-MAX($E19,AY$3)+1)/($F19-$E19+1)</f>
        <v>0.0123203285420945</v>
      </c>
      <c r="AZ19" s="52" t="n">
        <f aca="false">MAX(0,MIN($F19,AZ$4)-MAX($E19,AZ$3)+1)/($F19-$E19+1)</f>
        <v>0.0124572210814511</v>
      </c>
      <c r="BA19" s="52" t="n">
        <f aca="false">MAX(0,MIN($F19,BA$4)-MAX($E19,BA$3)+1)/($F19-$E19+1)</f>
        <v>0.0125941136208077</v>
      </c>
      <c r="BB19" s="52" t="n">
        <f aca="false">MAX(0,MIN($F19,BB$4)-MAX($E19,BB$3)+1)/($F19-$E19+1)</f>
        <v>0.0125941136208077</v>
      </c>
      <c r="BC19" s="52" t="n">
        <f aca="false">MAX(0,MIN($F19,BC$4)-MAX($E19,BC$3)+1)/($F19-$E19+1)</f>
        <v>0.0123203285420945</v>
      </c>
      <c r="BD19" s="52" t="n">
        <f aca="false">MAX(0,MIN($F19,BD$4)-MAX($E19,BD$3)+1)/($F19-$E19+1)</f>
        <v>0.0124572210814511</v>
      </c>
      <c r="BE19" s="52" t="n">
        <f aca="false">MAX(0,MIN($F19,BE$4)-MAX($E19,BE$3)+1)/($F19-$E19+1)</f>
        <v>0.0125941136208077</v>
      </c>
      <c r="BF19" s="52" t="n">
        <f aca="false">MAX(0,MIN($F19,BF$4)-MAX($E19,BF$3)+1)/($F19-$E19+1)</f>
        <v>0.0125941136208077</v>
      </c>
      <c r="BG19" s="52" t="n">
        <f aca="false">MAX(0,MIN($F19,BG$4)-MAX($E19,BG$3)+1)/($F19-$E19+1)</f>
        <v>0.0123203285420945</v>
      </c>
      <c r="BH19" s="52" t="n">
        <f aca="false">MAX(0,MIN($F19,BH$4)-MAX($E19,BH$3)+1)/($F19-$E19+1)</f>
        <v>0.0124572210814511</v>
      </c>
      <c r="BI19" s="52" t="n">
        <f aca="false">MAX(0,MIN($F19,BI$4)-MAX($E19,BI$3)+1)/($F19-$E19+1)</f>
        <v>0.0125941136208077</v>
      </c>
      <c r="BJ19" s="52" t="n">
        <f aca="false">MAX(0,MIN($F19,BJ$4)-MAX($E19,BJ$3)+1)/($F19-$E19+1)</f>
        <v>0.0125941136208077</v>
      </c>
      <c r="BK19" s="52" t="n">
        <f aca="false">MAX(0,MIN($F19,BK$4)-MAX($E19,BK$3)+1)/($F19-$E19+1)</f>
        <v>0.0124572210814511</v>
      </c>
      <c r="BL19" s="52" t="n">
        <f aca="false">MAX(0,MIN($F19,BL$4)-MAX($E19,BL$3)+1)/($F19-$E19+1)</f>
        <v>0.0124572210814511</v>
      </c>
      <c r="BM19" s="52" t="n">
        <f aca="false">MAX(0,MIN($F19,BM$4)-MAX($E19,BM$3)+1)/($F19-$E19+1)</f>
        <v>0.0125941136208077</v>
      </c>
      <c r="BN19" s="52" t="n">
        <f aca="false">MAX(0,MIN($F19,BN$4)-MAX($E19,BN$3)+1)/($F19-$E19+1)</f>
        <v>0.0125941136208077</v>
      </c>
      <c r="BO19" s="52" t="n">
        <f aca="false">MAX(0,MIN($F19,BO$4)-MAX($E19,BO$3)+1)/($F19-$E19+1)</f>
        <v>0.0123203285420945</v>
      </c>
      <c r="BP19" s="52" t="n">
        <f aca="false">MAX(0,MIN($F19,BP$4)-MAX($E19,BP$3)+1)/($F19-$E19+1)</f>
        <v>0.0124572210814511</v>
      </c>
      <c r="BQ19" s="52" t="n">
        <f aca="false">MAX(0,MIN($F19,BQ$4)-MAX($E19,BQ$3)+1)/($F19-$E19+1)</f>
        <v>0.0125941136208077</v>
      </c>
      <c r="BR19" s="52" t="n">
        <f aca="false">MAX(0,MIN($F19,BR$4)-MAX($E19,BR$3)+1)/($F19-$E19+1)</f>
        <v>0.0125941136208077</v>
      </c>
      <c r="BS19" s="52" t="n">
        <f aca="false">MAX(0,MIN($F19,BS$4)-MAX($E19,BS$3)+1)/($F19-$E19+1)</f>
        <v>0.0123203285420945</v>
      </c>
      <c r="BT19" s="52" t="n">
        <f aca="false">MAX(0,MIN($F19,BT$4)-MAX($E19,BT$3)+1)/($F19-$E19+1)</f>
        <v>0.0124572210814511</v>
      </c>
      <c r="BU19" s="52" t="n">
        <f aca="false">MAX(0,MIN($F19,BU$4)-MAX($E19,BU$3)+1)/($F19-$E19+1)</f>
        <v>0.0125941136208077</v>
      </c>
      <c r="BV19" s="52" t="n">
        <f aca="false">MAX(0,MIN($F19,BV$4)-MAX($E19,BV$3)+1)/($F19-$E19+1)</f>
        <v>0.0125941136208077</v>
      </c>
      <c r="BW19" s="52" t="n">
        <f aca="false">MAX(0,MIN($F19,BW$4)-MAX($E19,BW$3)+1)/($F19-$E19+1)</f>
        <v>0.0123203285420945</v>
      </c>
      <c r="BX19" s="52" t="n">
        <f aca="false">MAX(0,MIN($F19,BX$4)-MAX($E19,BX$3)+1)/($F19-$E19+1)</f>
        <v>0.0124572210814511</v>
      </c>
      <c r="BY19" s="52" t="n">
        <f aca="false">MAX(0,MIN($F19,BY$4)-MAX($E19,BY$3)+1)/($F19-$E19+1)</f>
        <v>0.0125941136208077</v>
      </c>
      <c r="BZ19" s="52" t="n">
        <f aca="false">MAX(0,MIN($F19,BZ$4)-MAX($E19,BZ$3)+1)/($F19-$E19+1)</f>
        <v>0.0125941136208077</v>
      </c>
      <c r="CA19" s="52" t="n">
        <f aca="false">MAX(0,MIN($F19,CA$4)-MAX($E19,CA$3)+1)/($F19-$E19+1)</f>
        <v>0.0124572210814511</v>
      </c>
      <c r="CB19" s="52" t="n">
        <f aca="false">MAX(0,MIN($F19,CB$4)-MAX($E19,CB$3)+1)/($F19-$E19+1)</f>
        <v>0.0124572210814511</v>
      </c>
      <c r="CC19" s="52" t="n">
        <f aca="false">MAX(0,MIN($F19,CC$4)-MAX($E19,CC$3)+1)/($F19-$E19+1)</f>
        <v>0.0125941136208077</v>
      </c>
      <c r="CD19" s="52" t="n">
        <f aca="false">MAX(0,MIN($F19,CD$4)-MAX($E19,CD$3)+1)/($F19-$E19+1)</f>
        <v>0.0125941136208077</v>
      </c>
      <c r="CE19" s="52" t="n">
        <f aca="false">MAX(0,MIN($F19,CE$4)-MAX($E19,CE$3)+1)/($F19-$E19+1)</f>
        <v>0.0123203285420945</v>
      </c>
      <c r="CF19" s="52" t="n">
        <f aca="false">MAX(0,MIN($F19,CF$4)-MAX($E19,CF$3)+1)/($F19-$E19+1)</f>
        <v>0.0124572210814511</v>
      </c>
      <c r="CG19" s="52" t="n">
        <f aca="false">MAX(0,MIN($F19,CG$4)-MAX($E19,CG$3)+1)/($F19-$E19+1)</f>
        <v>0.0125941136208077</v>
      </c>
      <c r="CH19" s="52" t="n">
        <f aca="false">MAX(0,MIN($F19,CH$4)-MAX($E19,CH$3)+1)/($F19-$E19+1)</f>
        <v>0.0125941136208077</v>
      </c>
      <c r="CI19" s="52" t="n">
        <f aca="false">MAX(0,MIN($F19,CI$4)-MAX($E19,CI$3)+1)/($F19-$E19+1)</f>
        <v>0.0123203285420945</v>
      </c>
      <c r="CJ19" s="52" t="n">
        <f aca="false">MAX(0,MIN($F19,CJ$4)-MAX($E19,CJ$3)+1)/($F19-$E19+1)</f>
        <v>0.0124572210814511</v>
      </c>
      <c r="CK19" s="52" t="n">
        <f aca="false">MAX(0,MIN($F19,CK$4)-MAX($E19,CK$3)+1)/($F19-$E19+1)</f>
        <v>0.0125941136208077</v>
      </c>
      <c r="CL19" s="52" t="n">
        <f aca="false">MAX(0,MIN($F19,CL$4)-MAX($E19,CL$3)+1)/($F19-$E19+1)</f>
        <v>0.0125941136208077</v>
      </c>
      <c r="CM19" s="52" t="n">
        <f aca="false">MAX(0,MIN($F19,CM$4)-MAX($E19,CM$3)+1)/($F19-$E19+1)</f>
        <v>0.0123203285420945</v>
      </c>
      <c r="CN19" s="52" t="n">
        <f aca="false">MAX(0,MIN($F19,CN$4)-MAX($E19,CN$3)+1)/($F19-$E19+1)</f>
        <v>0.0124572210814511</v>
      </c>
      <c r="CO19" s="52" t="n">
        <f aca="false">MAX(0,MIN($F19,CO$4)-MAX($E19,CO$3)+1)/($F19-$E19+1)</f>
        <v>0.0125941136208077</v>
      </c>
      <c r="CP19" s="52" t="n">
        <f aca="false">MAX(0,MIN($F19,CP$4)-MAX($E19,CP$3)+1)/($F19-$E19+1)</f>
        <v>0.0125941136208077</v>
      </c>
      <c r="CQ19" s="52" t="n">
        <f aca="false">MAX(0,MIN($F19,CQ$4)-MAX($E19,CQ$3)+1)/($F19-$E19+1)</f>
        <v>0.0124572210814511</v>
      </c>
      <c r="CR19" s="52" t="n">
        <f aca="false">MAX(0,MIN($F19,CR$4)-MAX($E19,CR$3)+1)/($F19-$E19+1)</f>
        <v>0.0124572210814511</v>
      </c>
      <c r="CS19" s="52" t="n">
        <f aca="false">MAX(0,MIN($F19,CS$4)-MAX($E19,CS$3)+1)/($F19-$E19+1)</f>
        <v>0.0125941136208077</v>
      </c>
      <c r="CT19" s="52" t="n">
        <f aca="false">MAX(0,MIN($F19,CT$4)-MAX($E19,CT$3)+1)/($F19-$E19+1)</f>
        <v>0.0125941136208077</v>
      </c>
      <c r="CU19" s="52" t="n">
        <f aca="false">MAX(0,MIN($F19,CU$4)-MAX($E19,CU$3)+1)/($F19-$E19+1)</f>
        <v>0.0123203285420945</v>
      </c>
      <c r="CV19" s="52" t="n">
        <f aca="false">MAX(0,MIN($F19,CV$4)-MAX($E19,CV$3)+1)/($F19-$E19+1)</f>
        <v>0.0124572210814511</v>
      </c>
      <c r="CW19" s="52" t="n">
        <f aca="false">MAX(0,MIN($F19,CW$4)-MAX($E19,CW$3)+1)/($F19-$E19+1)</f>
        <v>0.0125941136208077</v>
      </c>
      <c r="CX19" s="52" t="n">
        <f aca="false">MAX(0,MIN($F19,CX$4)-MAX($E19,CX$3)+1)/($F19-$E19+1)</f>
        <v>0.0125941136208077</v>
      </c>
      <c r="CY19" s="52" t="n">
        <f aca="false">MAX(0,MIN($F19,CY$4)-MAX($E19,CY$3)+1)/($F19-$E19+1)</f>
        <v>0.0123203285420945</v>
      </c>
      <c r="CZ19" s="52" t="n">
        <f aca="false">MAX(0,MIN($F19,CZ$4)-MAX($E19,CZ$3)+1)/($F19-$E19+1)</f>
        <v>0.0124572210814511</v>
      </c>
      <c r="DA19" s="52" t="n">
        <f aca="false">MAX(0,MIN($F19,DA$4)-MAX($E19,DA$3)+1)/($F19-$E19+1)</f>
        <v>0.0125941136208077</v>
      </c>
      <c r="DB19" s="52" t="n">
        <f aca="false">MAX(0,MIN($F19,DB$4)-MAX($E19,DB$3)+1)/($F19-$E19+1)</f>
        <v>0</v>
      </c>
      <c r="DC19" s="52" t="n">
        <f aca="false">MAX(0,MIN($F19,DC$4)-MAX($E19,DC$3)+1)/($F19-$E19+1)</f>
        <v>0</v>
      </c>
      <c r="DD19" s="52" t="n">
        <f aca="false">MAX(0,MIN($F19,DD$4)-MAX($E19,DD$3)+1)/($F19-$E19+1)</f>
        <v>0</v>
      </c>
      <c r="DE19" s="52" t="n">
        <f aca="false">MAX(0,MIN($F19,DE$4)-MAX($E19,DE$3)+1)/($F19-$E19+1)</f>
        <v>0</v>
      </c>
      <c r="DF19" s="52" t="n">
        <f aca="false">MAX(0,MIN($F19,DF$4)-MAX($E19,DF$3)+1)/($F19-$E19+1)</f>
        <v>0</v>
      </c>
      <c r="DG19" s="52" t="n">
        <f aca="false">MAX(0,MIN($F19,DG$4)-MAX($E19,DG$3)+1)/($F19-$E19+1)</f>
        <v>0</v>
      </c>
      <c r="DH19" s="52" t="n">
        <f aca="false">MAX(0,MIN($F19,DH$4)-MAX($E19,DH$3)+1)/($F19-$E19+1)</f>
        <v>0</v>
      </c>
      <c r="DI19" s="52" t="n">
        <f aca="false">MAX(0,MIN($F19,DI$4)-MAX($E19,DI$3)+1)/($F19-$E19+1)</f>
        <v>0</v>
      </c>
      <c r="DJ19" s="52" t="n">
        <f aca="false">MAX(0,MIN($F19,DJ$4)-MAX($E19,DJ$3)+1)/($F19-$E19+1)</f>
        <v>0</v>
      </c>
      <c r="DK19" s="52" t="n">
        <f aca="false">MAX(0,MIN($F19,DK$4)-MAX($E19,DK$3)+1)/($F19-$E19+1)</f>
        <v>0</v>
      </c>
      <c r="DL19" s="52" t="n">
        <f aca="false">MAX(0,MIN($F19,DL$4)-MAX($E19,DL$3)+1)/($F19-$E19+1)</f>
        <v>0</v>
      </c>
      <c r="DM19" s="52" t="n">
        <f aca="false">MAX(0,MIN($F19,DM$4)-MAX($E19,DM$3)+1)/($F19-$E19+1)</f>
        <v>0</v>
      </c>
      <c r="DN19" s="52" t="n">
        <f aca="false">MAX(0,MIN($F19,DN$4)-MAX($E19,DN$3)+1)/($F19-$E19+1)</f>
        <v>0</v>
      </c>
      <c r="DO19" s="52" t="n">
        <f aca="false">MAX(0,MIN($F19,DO$4)-MAX($E19,DO$3)+1)/($F19-$E19+1)</f>
        <v>0</v>
      </c>
      <c r="DP19" s="52" t="n">
        <f aca="false">MAX(0,MIN($F19,DP$4)-MAX($E19,DP$3)+1)/($F19-$E19+1)</f>
        <v>0</v>
      </c>
      <c r="DQ19" s="52" t="n">
        <f aca="false">MAX(0,MIN($F19,DQ$4)-MAX($E19,DQ$3)+1)/($F19-$E19+1)</f>
        <v>0</v>
      </c>
      <c r="DR19" s="52" t="n">
        <f aca="false">MAX(0,MIN($F19,DR$4)-MAX($E19,DR$3)+1)/($F19-$E19+1)</f>
        <v>0</v>
      </c>
      <c r="DS19" s="52" t="n">
        <f aca="false">MAX(0,MIN($F19,DS$4)-MAX($E19,DS$3)+1)/($F19-$E19+1)</f>
        <v>0</v>
      </c>
      <c r="DT19" s="52" t="n">
        <f aca="false">MAX(0,MIN($F19,DT$4)-MAX($E19,DT$3)+1)/($F19-$E19+1)</f>
        <v>0</v>
      </c>
      <c r="DU19" s="52" t="n">
        <f aca="false">MAX(0,MIN($F19,DU$4)-MAX($E19,DU$3)+1)/($F19-$E19+1)</f>
        <v>0</v>
      </c>
      <c r="DV19" s="52" t="n">
        <f aca="false">MAX(0,MIN($F19,DV$4)-MAX($E19,DV$3)+1)/($F19-$E19+1)</f>
        <v>0</v>
      </c>
      <c r="DW19" s="52" t="n">
        <f aca="false">MAX(0,MIN($F19,DW$4)-MAX($E19,DW$3)+1)/($F19-$E19+1)</f>
        <v>0</v>
      </c>
      <c r="DX19" s="52" t="n">
        <f aca="false">MAX(0,MIN($F19,DX$4)-MAX($E19,DX$3)+1)/($F19-$E19+1)</f>
        <v>0</v>
      </c>
      <c r="DY19" s="52" t="n">
        <f aca="false">MAX(0,MIN($F19,DY$4)-MAX($E19,DY$3)+1)/($F19-$E19+1)</f>
        <v>0</v>
      </c>
      <c r="DZ19" s="52" t="n">
        <f aca="false">MAX(0,MIN($F19,DZ$4)-MAX($E19,DZ$3)+1)/($F19-$E19+1)</f>
        <v>0</v>
      </c>
      <c r="EA19" s="52" t="n">
        <f aca="false">MAX(0,MIN($F19,EA$4)-MAX($E19,EA$3)+1)/($F19-$E19+1)</f>
        <v>0</v>
      </c>
      <c r="EB19" s="52" t="n">
        <f aca="false">MAX(0,MIN($F19,EB$4)-MAX($E19,EB$3)+1)/($F19-$E19+1)</f>
        <v>0</v>
      </c>
      <c r="EC19" s="52" t="n">
        <f aca="false">MAX(0,MIN($F19,EC$4)-MAX($E19,EC$3)+1)/($F19-$E19+1)</f>
        <v>0</v>
      </c>
      <c r="ED19" s="52" t="n">
        <f aca="false">MAX(0,MIN($F19,ED$4)-MAX($E19,ED$3)+1)/($F19-$E19+1)</f>
        <v>0</v>
      </c>
      <c r="EE19" s="52" t="n">
        <f aca="false">MAX(0,MIN($F19,EE$4)-MAX($E19,EE$3)+1)/($F19-$E19+1)</f>
        <v>0</v>
      </c>
      <c r="EF19" s="52" t="n">
        <f aca="false">MAX(0,MIN($F19,EF$4)-MAX($E19,EF$3)+1)/($F19-$E19+1)</f>
        <v>0</v>
      </c>
      <c r="EG19" s="52" t="n">
        <f aca="false">MAX(0,MIN($F19,EG$4)-MAX($E19,EG$3)+1)/($F19-$E19+1)</f>
        <v>0</v>
      </c>
      <c r="EH19" s="52" t="n">
        <f aca="false">MAX(0,MIN($F19,EH$4)-MAX($E19,EH$3)+1)/($F19-$E19+1)</f>
        <v>0</v>
      </c>
      <c r="EI19" s="52" t="n">
        <f aca="false">MAX(0,MIN($F19,EI$4)-MAX($E19,EI$3)+1)/($F19-$E19+1)</f>
        <v>0</v>
      </c>
      <c r="EJ19" s="52" t="n">
        <f aca="false">MAX(0,MIN($F19,EJ$4)-MAX($E19,EJ$3)+1)/($F19-$E19+1)</f>
        <v>0</v>
      </c>
      <c r="EK19" s="52" t="n">
        <f aca="false">MAX(0,MIN($F19,EK$4)-MAX($E19,EK$3)+1)/($F19-$E19+1)</f>
        <v>0</v>
      </c>
      <c r="EL19" s="52" t="n">
        <f aca="false">MAX(0,MIN($F19,EL$4)-MAX($E19,EL$3)+1)/($F19-$E19+1)</f>
        <v>0</v>
      </c>
      <c r="EM19" s="52" t="n">
        <f aca="false">MAX(0,MIN($F19,EM$4)-MAX($E19,EM$3)+1)/($F19-$E19+1)</f>
        <v>0</v>
      </c>
      <c r="EN19" s="52" t="n">
        <f aca="false">MAX(0,MIN($F19,EN$4)-MAX($E19,EN$3)+1)/($F19-$E19+1)</f>
        <v>0</v>
      </c>
      <c r="EO19" s="52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338</v>
      </c>
      <c r="D20" s="11" t="s">
        <v>119</v>
      </c>
      <c r="J20" s="39" t="n">
        <f aca="false">ROUNDUP(YEARFRAC(In_COD,J$4),0)*(J$4&gt;In_COD)</f>
        <v>0</v>
      </c>
      <c r="K20" s="39" t="n">
        <f aca="false">ROUNDUP(YEARFRAC(In_COD,K$4),0)*(K$4&gt;In_COD)</f>
        <v>0</v>
      </c>
      <c r="L20" s="39" t="n">
        <f aca="false">ROUNDUP(YEARFRAC(In_COD,L$4),0)*(L$4&gt;In_COD)</f>
        <v>0</v>
      </c>
      <c r="M20" s="39" t="n">
        <f aca="false">ROUNDUP(YEARFRAC(In_COD,M$4),0)*(M$4&gt;In_COD)</f>
        <v>0</v>
      </c>
      <c r="N20" s="39" t="n">
        <f aca="false">ROUNDUP(YEARFRAC(In_COD,N$4),0)*(N$4&gt;In_COD)</f>
        <v>0</v>
      </c>
      <c r="O20" s="39" t="n">
        <f aca="false">ROUNDUP(YEARFRAC(In_COD,O$4),0)*(O$4&gt;In_COD)</f>
        <v>0</v>
      </c>
      <c r="P20" s="39" t="n">
        <f aca="false">ROUNDUP(YEARFRAC(In_COD,P$4),0)*(P$4&gt;In_COD)</f>
        <v>0</v>
      </c>
      <c r="Q20" s="39" t="n">
        <f aca="false">ROUNDUP(YEARFRAC(In_COD,Q$4),0)*(Q$4&gt;In_COD)</f>
        <v>0</v>
      </c>
      <c r="R20" s="39" t="n">
        <f aca="false">ROUNDUP(YEARFRAC(In_COD,R$4),0)*(R$4&gt;In_COD)</f>
        <v>0</v>
      </c>
      <c r="S20" s="39" t="n">
        <f aca="false">ROUNDUP(YEARFRAC(In_COD,S$4),0)*(S$4&gt;In_COD)</f>
        <v>0</v>
      </c>
      <c r="T20" s="39" t="n">
        <f aca="false">ROUNDUP(YEARFRAC(In_COD,T$4),0)*(T$4&gt;In_COD)</f>
        <v>0</v>
      </c>
      <c r="U20" s="39" t="n">
        <f aca="false">ROUNDUP(YEARFRAC(In_COD,U$4),0)*(U$4&gt;In_COD)</f>
        <v>0</v>
      </c>
      <c r="V20" s="39" t="n">
        <f aca="false">ROUNDUP(YEARFRAC(In_COD,V$4),0)*(V$4&gt;In_COD)</f>
        <v>0</v>
      </c>
      <c r="W20" s="39" t="n">
        <f aca="false">ROUNDUP(YEARFRAC(In_COD,W$4),0)*(W$4&gt;In_COD)</f>
        <v>0</v>
      </c>
      <c r="X20" s="39" t="n">
        <f aca="false">ROUNDUP(YEARFRAC(In_COD,X$4),0)*(X$4&gt;In_COD)</f>
        <v>0</v>
      </c>
      <c r="Y20" s="39" t="n">
        <f aca="false">ROUNDUP(YEARFRAC(In_COD,Y$4),0)*(Y$4&gt;In_COD)</f>
        <v>0</v>
      </c>
      <c r="Z20" s="39" t="n">
        <f aca="false">ROUNDUP(YEARFRAC(In_COD,Z$4),0)*(Z$4&gt;In_COD)</f>
        <v>1</v>
      </c>
      <c r="AA20" s="39" t="n">
        <f aca="false">ROUNDUP(YEARFRAC(In_COD,AA$4),0)*(AA$4&gt;In_COD)</f>
        <v>1</v>
      </c>
      <c r="AB20" s="39" t="n">
        <f aca="false">ROUNDUP(YEARFRAC(In_COD,AB$4),0)*(AB$4&gt;In_COD)</f>
        <v>1</v>
      </c>
      <c r="AC20" s="39" t="n">
        <f aca="false">ROUNDUP(YEARFRAC(In_COD,AC$4),0)*(AC$4&gt;In_COD)</f>
        <v>1</v>
      </c>
      <c r="AD20" s="39" t="n">
        <f aca="false">ROUNDUP(YEARFRAC(In_COD,AD$4),0)*(AD$4&gt;In_COD)</f>
        <v>2</v>
      </c>
      <c r="AE20" s="39" t="n">
        <f aca="false">ROUNDUP(YEARFRAC(In_COD,AE$4),0)*(AE$4&gt;In_COD)</f>
        <v>2</v>
      </c>
      <c r="AF20" s="39" t="n">
        <f aca="false">ROUNDUP(YEARFRAC(In_COD,AF$4),0)*(AF$4&gt;In_COD)</f>
        <v>2</v>
      </c>
      <c r="AG20" s="39" t="n">
        <f aca="false">ROUNDUP(YEARFRAC(In_COD,AG$4),0)*(AG$4&gt;In_COD)</f>
        <v>2</v>
      </c>
      <c r="AH20" s="39" t="n">
        <f aca="false">ROUNDUP(YEARFRAC(In_COD,AH$4),0)*(AH$4&gt;In_COD)</f>
        <v>3</v>
      </c>
      <c r="AI20" s="39" t="n">
        <f aca="false">ROUNDUP(YEARFRAC(In_COD,AI$4),0)*(AI$4&gt;In_COD)</f>
        <v>3</v>
      </c>
      <c r="AJ20" s="39" t="n">
        <f aca="false">ROUNDUP(YEARFRAC(In_COD,AJ$4),0)*(AJ$4&gt;In_COD)</f>
        <v>3</v>
      </c>
      <c r="AK20" s="39" t="n">
        <f aca="false">ROUNDUP(YEARFRAC(In_COD,AK$4),0)*(AK$4&gt;In_COD)</f>
        <v>3</v>
      </c>
      <c r="AL20" s="39" t="n">
        <f aca="false">ROUNDUP(YEARFRAC(In_COD,AL$4),0)*(AL$4&gt;In_COD)</f>
        <v>4</v>
      </c>
      <c r="AM20" s="39" t="n">
        <f aca="false">ROUNDUP(YEARFRAC(In_COD,AM$4),0)*(AM$4&gt;In_COD)</f>
        <v>4</v>
      </c>
      <c r="AN20" s="39" t="n">
        <f aca="false">ROUNDUP(YEARFRAC(In_COD,AN$4),0)*(AN$4&gt;In_COD)</f>
        <v>4</v>
      </c>
      <c r="AO20" s="39" t="n">
        <f aca="false">ROUNDUP(YEARFRAC(In_COD,AO$4),0)*(AO$4&gt;In_COD)</f>
        <v>4</v>
      </c>
      <c r="AP20" s="39" t="n">
        <f aca="false">ROUNDUP(YEARFRAC(In_COD,AP$4),0)*(AP$4&gt;In_COD)</f>
        <v>5</v>
      </c>
      <c r="AQ20" s="39" t="n">
        <f aca="false">ROUNDUP(YEARFRAC(In_COD,AQ$4),0)*(AQ$4&gt;In_COD)</f>
        <v>5</v>
      </c>
      <c r="AR20" s="39" t="n">
        <f aca="false">ROUNDUP(YEARFRAC(In_COD,AR$4),0)*(AR$4&gt;In_COD)</f>
        <v>5</v>
      </c>
      <c r="AS20" s="39" t="n">
        <f aca="false">ROUNDUP(YEARFRAC(In_COD,AS$4),0)*(AS$4&gt;In_COD)</f>
        <v>5</v>
      </c>
      <c r="AT20" s="39" t="n">
        <f aca="false">ROUNDUP(YEARFRAC(In_COD,AT$4),0)*(AT$4&gt;In_COD)</f>
        <v>6</v>
      </c>
      <c r="AU20" s="39" t="n">
        <f aca="false">ROUNDUP(YEARFRAC(In_COD,AU$4),0)*(AU$4&gt;In_COD)</f>
        <v>6</v>
      </c>
      <c r="AV20" s="39" t="n">
        <f aca="false">ROUNDUP(YEARFRAC(In_COD,AV$4),0)*(AV$4&gt;In_COD)</f>
        <v>6</v>
      </c>
      <c r="AW20" s="39" t="n">
        <f aca="false">ROUNDUP(YEARFRAC(In_COD,AW$4),0)*(AW$4&gt;In_COD)</f>
        <v>6</v>
      </c>
      <c r="AX20" s="39" t="n">
        <f aca="false">ROUNDUP(YEARFRAC(In_COD,AX$4),0)*(AX$4&gt;In_COD)</f>
        <v>7</v>
      </c>
      <c r="AY20" s="39" t="n">
        <f aca="false">ROUNDUP(YEARFRAC(In_COD,AY$4),0)*(AY$4&gt;In_COD)</f>
        <v>7</v>
      </c>
      <c r="AZ20" s="39" t="n">
        <f aca="false">ROUNDUP(YEARFRAC(In_COD,AZ$4),0)*(AZ$4&gt;In_COD)</f>
        <v>7</v>
      </c>
      <c r="BA20" s="39" t="n">
        <f aca="false">ROUNDUP(YEARFRAC(In_COD,BA$4),0)*(BA$4&gt;In_COD)</f>
        <v>7</v>
      </c>
      <c r="BB20" s="39" t="n">
        <f aca="false">ROUNDUP(YEARFRAC(In_COD,BB$4),0)*(BB$4&gt;In_COD)</f>
        <v>8</v>
      </c>
      <c r="BC20" s="39" t="n">
        <f aca="false">ROUNDUP(YEARFRAC(In_COD,BC$4),0)*(BC$4&gt;In_COD)</f>
        <v>8</v>
      </c>
      <c r="BD20" s="39" t="n">
        <f aca="false">ROUNDUP(YEARFRAC(In_COD,BD$4),0)*(BD$4&gt;In_COD)</f>
        <v>8</v>
      </c>
      <c r="BE20" s="39" t="n">
        <f aca="false">ROUNDUP(YEARFRAC(In_COD,BE$4),0)*(BE$4&gt;In_COD)</f>
        <v>8</v>
      </c>
      <c r="BF20" s="39" t="n">
        <f aca="false">ROUNDUP(YEARFRAC(In_COD,BF$4),0)*(BF$4&gt;In_COD)</f>
        <v>9</v>
      </c>
      <c r="BG20" s="39" t="n">
        <f aca="false">ROUNDUP(YEARFRAC(In_COD,BG$4),0)*(BG$4&gt;In_COD)</f>
        <v>9</v>
      </c>
      <c r="BH20" s="39" t="n">
        <f aca="false">ROUNDUP(YEARFRAC(In_COD,BH$4),0)*(BH$4&gt;In_COD)</f>
        <v>9</v>
      </c>
      <c r="BI20" s="39" t="n">
        <f aca="false">ROUNDUP(YEARFRAC(In_COD,BI$4),0)*(BI$4&gt;In_COD)</f>
        <v>9</v>
      </c>
      <c r="BJ20" s="39" t="n">
        <f aca="false">ROUNDUP(YEARFRAC(In_COD,BJ$4),0)*(BJ$4&gt;In_COD)</f>
        <v>10</v>
      </c>
      <c r="BK20" s="39" t="n">
        <f aca="false">ROUNDUP(YEARFRAC(In_COD,BK$4),0)*(BK$4&gt;In_COD)</f>
        <v>10</v>
      </c>
      <c r="BL20" s="39" t="n">
        <f aca="false">ROUNDUP(YEARFRAC(In_COD,BL$4),0)*(BL$4&gt;In_COD)</f>
        <v>10</v>
      </c>
      <c r="BM20" s="39" t="n">
        <f aca="false">ROUNDUP(YEARFRAC(In_COD,BM$4),0)*(BM$4&gt;In_COD)</f>
        <v>10</v>
      </c>
      <c r="BN20" s="39" t="n">
        <f aca="false">ROUNDUP(YEARFRAC(In_COD,BN$4),0)*(BN$4&gt;In_COD)</f>
        <v>11</v>
      </c>
      <c r="BO20" s="39" t="n">
        <f aca="false">ROUNDUP(YEARFRAC(In_COD,BO$4),0)*(BO$4&gt;In_COD)</f>
        <v>11</v>
      </c>
      <c r="BP20" s="39" t="n">
        <f aca="false">ROUNDUP(YEARFRAC(In_COD,BP$4),0)*(BP$4&gt;In_COD)</f>
        <v>11</v>
      </c>
      <c r="BQ20" s="39" t="n">
        <f aca="false">ROUNDUP(YEARFRAC(In_COD,BQ$4),0)*(BQ$4&gt;In_COD)</f>
        <v>11</v>
      </c>
      <c r="BR20" s="39" t="n">
        <f aca="false">ROUNDUP(YEARFRAC(In_COD,BR$4),0)*(BR$4&gt;In_COD)</f>
        <v>12</v>
      </c>
      <c r="BS20" s="39" t="n">
        <f aca="false">ROUNDUP(YEARFRAC(In_COD,BS$4),0)*(BS$4&gt;In_COD)</f>
        <v>12</v>
      </c>
      <c r="BT20" s="39" t="n">
        <f aca="false">ROUNDUP(YEARFRAC(In_COD,BT$4),0)*(BT$4&gt;In_COD)</f>
        <v>12</v>
      </c>
      <c r="BU20" s="39" t="n">
        <f aca="false">ROUNDUP(YEARFRAC(In_COD,BU$4),0)*(BU$4&gt;In_COD)</f>
        <v>12</v>
      </c>
      <c r="BV20" s="39" t="n">
        <f aca="false">ROUNDUP(YEARFRAC(In_COD,BV$4),0)*(BV$4&gt;In_COD)</f>
        <v>13</v>
      </c>
      <c r="BW20" s="39" t="n">
        <f aca="false">ROUNDUP(YEARFRAC(In_COD,BW$4),0)*(BW$4&gt;In_COD)</f>
        <v>13</v>
      </c>
      <c r="BX20" s="39" t="n">
        <f aca="false">ROUNDUP(YEARFRAC(In_COD,BX$4),0)*(BX$4&gt;In_COD)</f>
        <v>13</v>
      </c>
      <c r="BY20" s="39" t="n">
        <f aca="false">ROUNDUP(YEARFRAC(In_COD,BY$4),0)*(BY$4&gt;In_COD)</f>
        <v>13</v>
      </c>
      <c r="BZ20" s="39" t="n">
        <f aca="false">ROUNDUP(YEARFRAC(In_COD,BZ$4),0)*(BZ$4&gt;In_COD)</f>
        <v>14</v>
      </c>
      <c r="CA20" s="39" t="n">
        <f aca="false">ROUNDUP(YEARFRAC(In_COD,CA$4),0)*(CA$4&gt;In_COD)</f>
        <v>14</v>
      </c>
      <c r="CB20" s="39" t="n">
        <f aca="false">ROUNDUP(YEARFRAC(In_COD,CB$4),0)*(CB$4&gt;In_COD)</f>
        <v>14</v>
      </c>
      <c r="CC20" s="39" t="n">
        <f aca="false">ROUNDUP(YEARFRAC(In_COD,CC$4),0)*(CC$4&gt;In_COD)</f>
        <v>14</v>
      </c>
      <c r="CD20" s="39" t="n">
        <f aca="false">ROUNDUP(YEARFRAC(In_COD,CD$4),0)*(CD$4&gt;In_COD)</f>
        <v>15</v>
      </c>
      <c r="CE20" s="39" t="n">
        <f aca="false">ROUNDUP(YEARFRAC(In_COD,CE$4),0)*(CE$4&gt;In_COD)</f>
        <v>15</v>
      </c>
      <c r="CF20" s="39" t="n">
        <f aca="false">ROUNDUP(YEARFRAC(In_COD,CF$4),0)*(CF$4&gt;In_COD)</f>
        <v>15</v>
      </c>
      <c r="CG20" s="39" t="n">
        <f aca="false">ROUNDUP(YEARFRAC(In_COD,CG$4),0)*(CG$4&gt;In_COD)</f>
        <v>15</v>
      </c>
      <c r="CH20" s="39" t="n">
        <f aca="false">ROUNDUP(YEARFRAC(In_COD,CH$4),0)*(CH$4&gt;In_COD)</f>
        <v>16</v>
      </c>
      <c r="CI20" s="39" t="n">
        <f aca="false">ROUNDUP(YEARFRAC(In_COD,CI$4),0)*(CI$4&gt;In_COD)</f>
        <v>16</v>
      </c>
      <c r="CJ20" s="39" t="n">
        <f aca="false">ROUNDUP(YEARFRAC(In_COD,CJ$4),0)*(CJ$4&gt;In_COD)</f>
        <v>16</v>
      </c>
      <c r="CK20" s="39" t="n">
        <f aca="false">ROUNDUP(YEARFRAC(In_COD,CK$4),0)*(CK$4&gt;In_COD)</f>
        <v>16</v>
      </c>
      <c r="CL20" s="39" t="n">
        <f aca="false">ROUNDUP(YEARFRAC(In_COD,CL$4),0)*(CL$4&gt;In_COD)</f>
        <v>17</v>
      </c>
      <c r="CM20" s="39" t="n">
        <f aca="false">ROUNDUP(YEARFRAC(In_COD,CM$4),0)*(CM$4&gt;In_COD)</f>
        <v>17</v>
      </c>
      <c r="CN20" s="39" t="n">
        <f aca="false">ROUNDUP(YEARFRAC(In_COD,CN$4),0)*(CN$4&gt;In_COD)</f>
        <v>17</v>
      </c>
      <c r="CO20" s="39" t="n">
        <f aca="false">ROUNDUP(YEARFRAC(In_COD,CO$4),0)*(CO$4&gt;In_COD)</f>
        <v>17</v>
      </c>
      <c r="CP20" s="39" t="n">
        <f aca="false">ROUNDUP(YEARFRAC(In_COD,CP$4),0)*(CP$4&gt;In_COD)</f>
        <v>18</v>
      </c>
      <c r="CQ20" s="39" t="n">
        <f aca="false">ROUNDUP(YEARFRAC(In_COD,CQ$4),0)*(CQ$4&gt;In_COD)</f>
        <v>18</v>
      </c>
      <c r="CR20" s="39" t="n">
        <f aca="false">ROUNDUP(YEARFRAC(In_COD,CR$4),0)*(CR$4&gt;In_COD)</f>
        <v>18</v>
      </c>
      <c r="CS20" s="39" t="n">
        <f aca="false">ROUNDUP(YEARFRAC(In_COD,CS$4),0)*(CS$4&gt;In_COD)</f>
        <v>18</v>
      </c>
      <c r="CT20" s="39" t="n">
        <f aca="false">ROUNDUP(YEARFRAC(In_COD,CT$4),0)*(CT$4&gt;In_COD)</f>
        <v>19</v>
      </c>
      <c r="CU20" s="39" t="n">
        <f aca="false">ROUNDUP(YEARFRAC(In_COD,CU$4),0)*(CU$4&gt;In_COD)</f>
        <v>19</v>
      </c>
      <c r="CV20" s="39" t="n">
        <f aca="false">ROUNDUP(YEARFRAC(In_COD,CV$4),0)*(CV$4&gt;In_COD)</f>
        <v>19</v>
      </c>
      <c r="CW20" s="39" t="n">
        <f aca="false">ROUNDUP(YEARFRAC(In_COD,CW$4),0)*(CW$4&gt;In_COD)</f>
        <v>19</v>
      </c>
      <c r="CX20" s="39" t="n">
        <f aca="false">ROUNDUP(YEARFRAC(In_COD,CX$4),0)*(CX$4&gt;In_COD)</f>
        <v>20</v>
      </c>
      <c r="CY20" s="39" t="n">
        <f aca="false">ROUNDUP(YEARFRAC(In_COD,CY$4),0)*(CY$4&gt;In_COD)</f>
        <v>20</v>
      </c>
      <c r="CZ20" s="39" t="n">
        <f aca="false">ROUNDUP(YEARFRAC(In_COD,CZ$4),0)*(CZ$4&gt;In_COD)</f>
        <v>20</v>
      </c>
      <c r="DA20" s="39" t="n">
        <f aca="false">ROUNDUP(YEARFRAC(In_COD,DA$4),0)*(DA$4&gt;In_COD)</f>
        <v>20</v>
      </c>
      <c r="DB20" s="39" t="n">
        <f aca="false">ROUNDUP(YEARFRAC(In_COD,DB$4),0)*(DB$4&gt;In_COD)</f>
        <v>21</v>
      </c>
      <c r="DC20" s="39" t="n">
        <f aca="false">ROUNDUP(YEARFRAC(In_COD,DC$4),0)*(DC$4&gt;In_COD)</f>
        <v>21</v>
      </c>
      <c r="DD20" s="39" t="n">
        <f aca="false">ROUNDUP(YEARFRAC(In_COD,DD$4),0)*(DD$4&gt;In_COD)</f>
        <v>21</v>
      </c>
      <c r="DE20" s="39" t="n">
        <f aca="false">ROUNDUP(YEARFRAC(In_COD,DE$4),0)*(DE$4&gt;In_COD)</f>
        <v>21</v>
      </c>
      <c r="DF20" s="39" t="n">
        <f aca="false">ROUNDUP(YEARFRAC(In_COD,DF$4),0)*(DF$4&gt;In_COD)</f>
        <v>22</v>
      </c>
      <c r="DG20" s="39" t="n">
        <f aca="false">ROUNDUP(YEARFRAC(In_COD,DG$4),0)*(DG$4&gt;In_COD)</f>
        <v>22</v>
      </c>
      <c r="DH20" s="39" t="n">
        <f aca="false">ROUNDUP(YEARFRAC(In_COD,DH$4),0)*(DH$4&gt;In_COD)</f>
        <v>22</v>
      </c>
      <c r="DI20" s="39" t="n">
        <f aca="false">ROUNDUP(YEARFRAC(In_COD,DI$4),0)*(DI$4&gt;In_COD)</f>
        <v>22</v>
      </c>
      <c r="DJ20" s="39" t="n">
        <f aca="false">ROUNDUP(YEARFRAC(In_COD,DJ$4),0)*(DJ$4&gt;In_COD)</f>
        <v>23</v>
      </c>
      <c r="DK20" s="39" t="n">
        <f aca="false">ROUNDUP(YEARFRAC(In_COD,DK$4),0)*(DK$4&gt;In_COD)</f>
        <v>23</v>
      </c>
      <c r="DL20" s="39" t="n">
        <f aca="false">ROUNDUP(YEARFRAC(In_COD,DL$4),0)*(DL$4&gt;In_COD)</f>
        <v>23</v>
      </c>
      <c r="DM20" s="39" t="n">
        <f aca="false">ROUNDUP(YEARFRAC(In_COD,DM$4),0)*(DM$4&gt;In_COD)</f>
        <v>23</v>
      </c>
      <c r="DN20" s="39" t="n">
        <f aca="false">ROUNDUP(YEARFRAC(In_COD,DN$4),0)*(DN$4&gt;In_COD)</f>
        <v>24</v>
      </c>
      <c r="DO20" s="39" t="n">
        <f aca="false">ROUNDUP(YEARFRAC(In_COD,DO$4),0)*(DO$4&gt;In_COD)</f>
        <v>24</v>
      </c>
      <c r="DP20" s="39" t="n">
        <f aca="false">ROUNDUP(YEARFRAC(In_COD,DP$4),0)*(DP$4&gt;In_COD)</f>
        <v>24</v>
      </c>
      <c r="DQ20" s="39" t="n">
        <f aca="false">ROUNDUP(YEARFRAC(In_COD,DQ$4),0)*(DQ$4&gt;In_COD)</f>
        <v>24</v>
      </c>
      <c r="DR20" s="39" t="n">
        <f aca="false">ROUNDUP(YEARFRAC(In_COD,DR$4),0)*(DR$4&gt;In_COD)</f>
        <v>25</v>
      </c>
      <c r="DS20" s="39" t="n">
        <f aca="false">ROUNDUP(YEARFRAC(In_COD,DS$4),0)*(DS$4&gt;In_COD)</f>
        <v>25</v>
      </c>
      <c r="DT20" s="39" t="n">
        <f aca="false">ROUNDUP(YEARFRAC(In_COD,DT$4),0)*(DT$4&gt;In_COD)</f>
        <v>25</v>
      </c>
      <c r="DU20" s="39" t="n">
        <f aca="false">ROUNDUP(YEARFRAC(In_COD,DU$4),0)*(DU$4&gt;In_COD)</f>
        <v>25</v>
      </c>
      <c r="DV20" s="39" t="n">
        <f aca="false">ROUNDUP(YEARFRAC(In_COD,DV$4),0)*(DV$4&gt;In_COD)</f>
        <v>26</v>
      </c>
      <c r="DW20" s="39" t="n">
        <f aca="false">ROUNDUP(YEARFRAC(In_COD,DW$4),0)*(DW$4&gt;In_COD)</f>
        <v>26</v>
      </c>
      <c r="DX20" s="39" t="n">
        <f aca="false">ROUNDUP(YEARFRAC(In_COD,DX$4),0)*(DX$4&gt;In_COD)</f>
        <v>26</v>
      </c>
      <c r="DY20" s="39" t="n">
        <f aca="false">ROUNDUP(YEARFRAC(In_COD,DY$4),0)*(DY$4&gt;In_COD)</f>
        <v>26</v>
      </c>
      <c r="DZ20" s="39" t="n">
        <f aca="false">ROUNDUP(YEARFRAC(In_COD,DZ$4),0)*(DZ$4&gt;In_COD)</f>
        <v>27</v>
      </c>
      <c r="EA20" s="39" t="n">
        <f aca="false">ROUNDUP(YEARFRAC(In_COD,EA$4),0)*(EA$4&gt;In_COD)</f>
        <v>27</v>
      </c>
      <c r="EB20" s="39" t="n">
        <f aca="false">ROUNDUP(YEARFRAC(In_COD,EB$4),0)*(EB$4&gt;In_COD)</f>
        <v>27</v>
      </c>
      <c r="EC20" s="39" t="n">
        <f aca="false">ROUNDUP(YEARFRAC(In_COD,EC$4),0)*(EC$4&gt;In_COD)</f>
        <v>27</v>
      </c>
      <c r="ED20" s="39" t="n">
        <f aca="false">ROUNDUP(YEARFRAC(In_COD,ED$4),0)*(ED$4&gt;In_COD)</f>
        <v>28</v>
      </c>
      <c r="EE20" s="39" t="n">
        <f aca="false">ROUNDUP(YEARFRAC(In_COD,EE$4),0)*(EE$4&gt;In_COD)</f>
        <v>28</v>
      </c>
      <c r="EF20" s="39" t="n">
        <f aca="false">ROUNDUP(YEARFRAC(In_COD,EF$4),0)*(EF$4&gt;In_COD)</f>
        <v>28</v>
      </c>
      <c r="EG20" s="39" t="n">
        <f aca="false">ROUNDUP(YEARFRAC(In_COD,EG$4),0)*(EG$4&gt;In_COD)</f>
        <v>28</v>
      </c>
      <c r="EH20" s="39" t="n">
        <f aca="false">ROUNDUP(YEARFRAC(In_COD,EH$4),0)*(EH$4&gt;In_COD)</f>
        <v>29</v>
      </c>
      <c r="EI20" s="39" t="n">
        <f aca="false">ROUNDUP(YEARFRAC(In_COD,EI$4),0)*(EI$4&gt;In_COD)</f>
        <v>29</v>
      </c>
      <c r="EJ20" s="39" t="n">
        <f aca="false">ROUNDUP(YEARFRAC(In_COD,EJ$4),0)*(EJ$4&gt;In_COD)</f>
        <v>29</v>
      </c>
      <c r="EK20" s="39" t="n">
        <f aca="false">ROUNDUP(YEARFRAC(In_COD,EK$4),0)*(EK$4&gt;In_COD)</f>
        <v>29</v>
      </c>
      <c r="EL20" s="39" t="n">
        <f aca="false">ROUNDUP(YEARFRAC(In_COD,EL$4),0)*(EL$4&gt;In_COD)</f>
        <v>30</v>
      </c>
      <c r="EM20" s="39" t="n">
        <f aca="false">ROUNDUP(YEARFRAC(In_COD,EM$4),0)*(EM$4&gt;In_COD)</f>
        <v>30</v>
      </c>
      <c r="EN20" s="39" t="n">
        <f aca="false">ROUNDUP(YEARFRAC(In_COD,EN$4),0)*(EN$4&gt;In_COD)</f>
        <v>30</v>
      </c>
      <c r="EO20" s="39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339</v>
      </c>
      <c r="D21" s="11" t="s">
        <v>327</v>
      </c>
      <c r="E21" s="52" t="n">
        <f aca="false">SUMIF($J$4:$EO$4,In_COD,$J21:$EO21)</f>
        <v>1.21988954770292</v>
      </c>
      <c r="F21" s="53" t="n">
        <f aca="false">In_Debt_Rate*Months_Per_Period/Months_In_Year</f>
        <v>0.0125</v>
      </c>
      <c r="J21" s="52" t="n">
        <f aca="false">(1+$F21)^J$8</f>
        <v>1.0125</v>
      </c>
      <c r="K21" s="52" t="n">
        <f aca="false">(1+$F21)^K$8</f>
        <v>1.02515625</v>
      </c>
      <c r="L21" s="52" t="n">
        <f aca="false">(1+$F21)^L$8</f>
        <v>1.037970703125</v>
      </c>
      <c r="M21" s="52" t="n">
        <f aca="false">(1+$F21)^M$8</f>
        <v>1.05094533691406</v>
      </c>
      <c r="N21" s="52" t="n">
        <f aca="false">(1+$F21)^N$8</f>
        <v>1.06408215362549</v>
      </c>
      <c r="O21" s="52" t="n">
        <f aca="false">(1+$F21)^O$8</f>
        <v>1.07738318054581</v>
      </c>
      <c r="P21" s="52" t="n">
        <f aca="false">(1+$F21)^P$8</f>
        <v>1.09085047030263</v>
      </c>
      <c r="Q21" s="52" t="n">
        <f aca="false">(1+$F21)^Q$8</f>
        <v>1.10448610118141</v>
      </c>
      <c r="R21" s="52" t="n">
        <f aca="false">(1+$F21)^R$8</f>
        <v>1.11829217744618</v>
      </c>
      <c r="S21" s="52" t="n">
        <f aca="false">(1+$F21)^S$8</f>
        <v>1.13227082966426</v>
      </c>
      <c r="T21" s="52" t="n">
        <f aca="false">(1+$F21)^T$8</f>
        <v>1.14642421503506</v>
      </c>
      <c r="U21" s="52" t="n">
        <f aca="false">(1+$F21)^U$8</f>
        <v>1.160754517723</v>
      </c>
      <c r="V21" s="52" t="n">
        <f aca="false">(1+$F21)^V$8</f>
        <v>1.17526394919454</v>
      </c>
      <c r="W21" s="52" t="n">
        <f aca="false">(1+$F21)^W$8</f>
        <v>1.18995474855947</v>
      </c>
      <c r="X21" s="52" t="n">
        <f aca="false">(1+$F21)^X$8</f>
        <v>1.20482918291646</v>
      </c>
      <c r="Y21" s="52" t="n">
        <f aca="false">(1+$F21)^Y$8</f>
        <v>1.21988954770292</v>
      </c>
      <c r="Z21" s="52" t="n">
        <f aca="false">(1+$F21)^Z$8</f>
        <v>1.2351381670492</v>
      </c>
      <c r="AA21" s="52" t="n">
        <f aca="false">(1+$F21)^AA$8</f>
        <v>1.25057739413732</v>
      </c>
      <c r="AB21" s="52" t="n">
        <f aca="false">(1+$F21)^AB$8</f>
        <v>1.26620961156403</v>
      </c>
      <c r="AC21" s="52" t="n">
        <f aca="false">(1+$F21)^AC$8</f>
        <v>1.28203723170858</v>
      </c>
      <c r="AD21" s="52" t="n">
        <f aca="false">(1+$F21)^AD$8</f>
        <v>1.29806269710494</v>
      </c>
      <c r="AE21" s="52" t="n">
        <f aca="false">(1+$F21)^AE$8</f>
        <v>1.31428848081875</v>
      </c>
      <c r="AF21" s="52" t="n">
        <f aca="false">(1+$F21)^AF$8</f>
        <v>1.33071708682899</v>
      </c>
      <c r="AG21" s="52" t="n">
        <f aca="false">(1+$F21)^AG$8</f>
        <v>1.34735105041435</v>
      </c>
      <c r="AH21" s="52" t="n">
        <f aca="false">(1+$F21)^AH$8</f>
        <v>1.36419293854453</v>
      </c>
      <c r="AI21" s="52" t="n">
        <f aca="false">(1+$F21)^AI$8</f>
        <v>1.38124535027634</v>
      </c>
      <c r="AJ21" s="52" t="n">
        <f aca="false">(1+$F21)^AJ$8</f>
        <v>1.39851091715479</v>
      </c>
      <c r="AK21" s="52" t="n">
        <f aca="false">(1+$F21)^AK$8</f>
        <v>1.41599230361922</v>
      </c>
      <c r="AL21" s="52" t="n">
        <f aca="false">(1+$F21)^AL$8</f>
        <v>1.43369220741447</v>
      </c>
      <c r="AM21" s="52" t="n">
        <f aca="false">(1+$F21)^AM$8</f>
        <v>1.45161336000715</v>
      </c>
      <c r="AN21" s="52" t="n">
        <f aca="false">(1+$F21)^AN$8</f>
        <v>1.46975852700724</v>
      </c>
      <c r="AO21" s="52" t="n">
        <f aca="false">(1+$F21)^AO$8</f>
        <v>1.48813050859483</v>
      </c>
      <c r="AP21" s="52" t="n">
        <f aca="false">(1+$F21)^AP$8</f>
        <v>1.50673213995226</v>
      </c>
      <c r="AQ21" s="52" t="n">
        <f aca="false">(1+$F21)^AQ$8</f>
        <v>1.52556629170166</v>
      </c>
      <c r="AR21" s="52" t="n">
        <f aca="false">(1+$F21)^AR$8</f>
        <v>1.54463587034793</v>
      </c>
      <c r="AS21" s="52" t="n">
        <f aca="false">(1+$F21)^AS$8</f>
        <v>1.56394381872728</v>
      </c>
      <c r="AT21" s="52" t="n">
        <f aca="false">(1+$F21)^AT$8</f>
        <v>1.58349311646137</v>
      </c>
      <c r="AU21" s="52" t="n">
        <f aca="false">(1+$F21)^AU$8</f>
        <v>1.60328678041714</v>
      </c>
      <c r="AV21" s="52" t="n">
        <f aca="false">(1+$F21)^AV$8</f>
        <v>1.62332786517236</v>
      </c>
      <c r="AW21" s="52" t="n">
        <f aca="false">(1+$F21)^AW$8</f>
        <v>1.64361946348701</v>
      </c>
      <c r="AX21" s="52" t="n">
        <f aca="false">(1+$F21)^AX$8</f>
        <v>1.6641647067806</v>
      </c>
      <c r="AY21" s="52" t="n">
        <f aca="false">(1+$F21)^AY$8</f>
        <v>1.68496676561536</v>
      </c>
      <c r="AZ21" s="52" t="n">
        <f aca="false">(1+$F21)^AZ$8</f>
        <v>1.70602885018555</v>
      </c>
      <c r="BA21" s="52" t="n">
        <f aca="false">(1+$F21)^BA$8</f>
        <v>1.72735421081287</v>
      </c>
      <c r="BB21" s="52" t="n">
        <f aca="false">(1+$F21)^BB$8</f>
        <v>1.74894613844803</v>
      </c>
      <c r="BC21" s="52" t="n">
        <f aca="false">(1+$F21)^BC$8</f>
        <v>1.77080796517863</v>
      </c>
      <c r="BD21" s="52" t="n">
        <f aca="false">(1+$F21)^BD$8</f>
        <v>1.79294306474336</v>
      </c>
      <c r="BE21" s="52" t="n">
        <f aca="false">(1+$F21)^BE$8</f>
        <v>1.81535485305265</v>
      </c>
      <c r="BF21" s="52" t="n">
        <f aca="false">(1+$F21)^BF$8</f>
        <v>1.83804678871581</v>
      </c>
      <c r="BG21" s="52" t="n">
        <f aca="false">(1+$F21)^BG$8</f>
        <v>1.86102237357476</v>
      </c>
      <c r="BH21" s="52" t="n">
        <f aca="false">(1+$F21)^BH$8</f>
        <v>1.88428515324444</v>
      </c>
      <c r="BI21" s="52" t="n">
        <f aca="false">(1+$F21)^BI$8</f>
        <v>1.90783871766</v>
      </c>
      <c r="BJ21" s="52" t="n">
        <f aca="false">(1+$F21)^BJ$8</f>
        <v>1.93168670163075</v>
      </c>
      <c r="BK21" s="52" t="n">
        <f aca="false">(1+$F21)^BK$8</f>
        <v>1.95583278540113</v>
      </c>
      <c r="BL21" s="52" t="n">
        <f aca="false">(1+$F21)^BL$8</f>
        <v>1.98028069521865</v>
      </c>
      <c r="BM21" s="52" t="n">
        <f aca="false">(1+$F21)^BM$8</f>
        <v>2.00503420390888</v>
      </c>
      <c r="BN21" s="52" t="n">
        <f aca="false">(1+$F21)^BN$8</f>
        <v>2.03009713145774</v>
      </c>
      <c r="BO21" s="52" t="n">
        <f aca="false">(1+$F21)^BO$8</f>
        <v>2.05547334560096</v>
      </c>
      <c r="BP21" s="52" t="n">
        <f aca="false">(1+$F21)^BP$8</f>
        <v>2.08116676242097</v>
      </c>
      <c r="BQ21" s="52" t="n">
        <f aca="false">(1+$F21)^BQ$8</f>
        <v>2.10718134695124</v>
      </c>
      <c r="BR21" s="52" t="n">
        <f aca="false">(1+$F21)^BR$8</f>
        <v>2.13352111378813</v>
      </c>
      <c r="BS21" s="52" t="n">
        <f aca="false">(1+$F21)^BS$8</f>
        <v>2.16019012771048</v>
      </c>
      <c r="BT21" s="52" t="n">
        <f aca="false">(1+$F21)^BT$8</f>
        <v>2.18719250430686</v>
      </c>
      <c r="BU21" s="52" t="n">
        <f aca="false">(1+$F21)^BU$8</f>
        <v>2.21453241061069</v>
      </c>
      <c r="BV21" s="52" t="n">
        <f aca="false">(1+$F21)^BV$8</f>
        <v>2.24221406574333</v>
      </c>
      <c r="BW21" s="52" t="n">
        <f aca="false">(1+$F21)^BW$8</f>
        <v>2.27024174156512</v>
      </c>
      <c r="BX21" s="52" t="n">
        <f aca="false">(1+$F21)^BX$8</f>
        <v>2.29861976333468</v>
      </c>
      <c r="BY21" s="52" t="n">
        <f aca="false">(1+$F21)^BY$8</f>
        <v>2.32735251037637</v>
      </c>
      <c r="BZ21" s="52" t="n">
        <f aca="false">(1+$F21)^BZ$8</f>
        <v>2.35644441675607</v>
      </c>
      <c r="CA21" s="52" t="n">
        <f aca="false">(1+$F21)^CA$8</f>
        <v>2.38589997196552</v>
      </c>
      <c r="CB21" s="52" t="n">
        <f aca="false">(1+$F21)^CB$8</f>
        <v>2.41572372161509</v>
      </c>
      <c r="CC21" s="52" t="n">
        <f aca="false">(1+$F21)^CC$8</f>
        <v>2.44592026813528</v>
      </c>
      <c r="CD21" s="52" t="n">
        <f aca="false">(1+$F21)^CD$8</f>
        <v>2.47649427148697</v>
      </c>
      <c r="CE21" s="52" t="n">
        <f aca="false">(1+$F21)^CE$8</f>
        <v>2.50745044988056</v>
      </c>
      <c r="CF21" s="52" t="n">
        <f aca="false">(1+$F21)^CF$8</f>
        <v>2.53879358050406</v>
      </c>
      <c r="CG21" s="52" t="n">
        <f aca="false">(1+$F21)^CG$8</f>
        <v>2.57052850026036</v>
      </c>
      <c r="CH21" s="52" t="n">
        <f aca="false">(1+$F21)^CH$8</f>
        <v>2.60266010651362</v>
      </c>
      <c r="CI21" s="52" t="n">
        <f aca="false">(1+$F21)^CI$8</f>
        <v>2.63519335784504</v>
      </c>
      <c r="CJ21" s="52" t="n">
        <f aca="false">(1+$F21)^CJ$8</f>
        <v>2.6681332748181</v>
      </c>
      <c r="CK21" s="52" t="n">
        <f aca="false">(1+$F21)^CK$8</f>
        <v>2.70148494075333</v>
      </c>
      <c r="CL21" s="52" t="n">
        <f aca="false">(1+$F21)^CL$8</f>
        <v>2.73525350251274</v>
      </c>
      <c r="CM21" s="52" t="n">
        <f aca="false">(1+$F21)^CM$8</f>
        <v>2.76944417129415</v>
      </c>
      <c r="CN21" s="52" t="n">
        <f aca="false">(1+$F21)^CN$8</f>
        <v>2.80406222343533</v>
      </c>
      <c r="CO21" s="52" t="n">
        <f aca="false">(1+$F21)^CO$8</f>
        <v>2.83911300122827</v>
      </c>
      <c r="CP21" s="52" t="n">
        <f aca="false">(1+$F21)^CP$8</f>
        <v>2.87460191374363</v>
      </c>
      <c r="CQ21" s="52" t="n">
        <f aca="false">(1+$F21)^CQ$8</f>
        <v>2.91053443766542</v>
      </c>
      <c r="CR21" s="52" t="n">
        <f aca="false">(1+$F21)^CR$8</f>
        <v>2.94691611813624</v>
      </c>
      <c r="CS21" s="52" t="n">
        <f aca="false">(1+$F21)^CS$8</f>
        <v>2.98375256961294</v>
      </c>
      <c r="CT21" s="52" t="n">
        <f aca="false">(1+$F21)^CT$8</f>
        <v>3.0210494767331</v>
      </c>
      <c r="CU21" s="52" t="n">
        <f aca="false">(1+$F21)^CU$8</f>
        <v>3.05881259519227</v>
      </c>
      <c r="CV21" s="52" t="n">
        <f aca="false">(1+$F21)^CV$8</f>
        <v>3.09704775263217</v>
      </c>
      <c r="CW21" s="52" t="n">
        <f aca="false">(1+$F21)^CW$8</f>
        <v>3.13576084954007</v>
      </c>
      <c r="CX21" s="52" t="n">
        <f aca="false">(1+$F21)^CX$8</f>
        <v>3.17495786015932</v>
      </c>
      <c r="CY21" s="52" t="n">
        <f aca="false">(1+$F21)^CY$8</f>
        <v>3.21464483341131</v>
      </c>
      <c r="CZ21" s="52" t="n">
        <f aca="false">(1+$F21)^CZ$8</f>
        <v>3.25482789382895</v>
      </c>
      <c r="DA21" s="52" t="n">
        <f aca="false">(1+$F21)^DA$8</f>
        <v>3.29551324250182</v>
      </c>
      <c r="DB21" s="52" t="n">
        <f aca="false">(1+$F21)^DB$8</f>
        <v>3.33670715803309</v>
      </c>
      <c r="DC21" s="52" t="n">
        <f aca="false">(1+$F21)^DC$8</f>
        <v>3.3784159975085</v>
      </c>
      <c r="DD21" s="52" t="n">
        <f aca="false">(1+$F21)^DD$8</f>
        <v>3.42064619747736</v>
      </c>
      <c r="DE21" s="52" t="n">
        <f aca="false">(1+$F21)^DE$8</f>
        <v>3.46340427494583</v>
      </c>
      <c r="DF21" s="52" t="n">
        <f aca="false">(1+$F21)^DF$8</f>
        <v>3.50669682838265</v>
      </c>
      <c r="DG21" s="52" t="n">
        <f aca="false">(1+$F21)^DG$8</f>
        <v>3.55053053873743</v>
      </c>
      <c r="DH21" s="52" t="n">
        <f aca="false">(1+$F21)^DH$8</f>
        <v>3.59491217047165</v>
      </c>
      <c r="DI21" s="52" t="n">
        <f aca="false">(1+$F21)^DI$8</f>
        <v>3.63984857260254</v>
      </c>
      <c r="DJ21" s="52" t="n">
        <f aca="false">(1+$F21)^DJ$8</f>
        <v>3.68534667976008</v>
      </c>
      <c r="DK21" s="52" t="n">
        <f aca="false">(1+$F21)^DK$8</f>
        <v>3.73141351325708</v>
      </c>
      <c r="DL21" s="52" t="n">
        <f aca="false">(1+$F21)^DL$8</f>
        <v>3.77805618217279</v>
      </c>
      <c r="DM21" s="52" t="n">
        <f aca="false">(1+$F21)^DM$8</f>
        <v>3.82528188444995</v>
      </c>
      <c r="DN21" s="52" t="n">
        <f aca="false">(1+$F21)^DN$8</f>
        <v>3.87309790800557</v>
      </c>
      <c r="DO21" s="52" t="n">
        <f aca="false">(1+$F21)^DO$8</f>
        <v>3.92151163185564</v>
      </c>
      <c r="DP21" s="52" t="n">
        <f aca="false">(1+$F21)^DP$8</f>
        <v>3.97053052725384</v>
      </c>
      <c r="DQ21" s="52" t="n">
        <f aca="false">(1+$F21)^DQ$8</f>
        <v>4.02016215884451</v>
      </c>
      <c r="DR21" s="52" t="n">
        <f aca="false">(1+$F21)^DR$8</f>
        <v>4.07041418583007</v>
      </c>
      <c r="DS21" s="52" t="n">
        <f aca="false">(1+$F21)^DS$8</f>
        <v>4.12129436315294</v>
      </c>
      <c r="DT21" s="52" t="n">
        <f aca="false">(1+$F21)^DT$8</f>
        <v>4.17281054269235</v>
      </c>
      <c r="DU21" s="52" t="n">
        <f aca="false">(1+$F21)^DU$8</f>
        <v>4.22497067447601</v>
      </c>
      <c r="DV21" s="52" t="n">
        <f aca="false">(1+$F21)^DV$8</f>
        <v>4.27778280790696</v>
      </c>
      <c r="DW21" s="52" t="n">
        <f aca="false">(1+$F21)^DW$8</f>
        <v>4.3312550930058</v>
      </c>
      <c r="DX21" s="52" t="n">
        <f aca="false">(1+$F21)^DX$8</f>
        <v>4.38539578166837</v>
      </c>
      <c r="DY21" s="52" t="n">
        <f aca="false">(1+$F21)^DY$8</f>
        <v>4.44021322893922</v>
      </c>
      <c r="DZ21" s="52" t="n">
        <f aca="false">(1+$F21)^DZ$8</f>
        <v>4.49571589430096</v>
      </c>
      <c r="EA21" s="52" t="n">
        <f aca="false">(1+$F21)^EA$8</f>
        <v>4.55191234297972</v>
      </c>
      <c r="EB21" s="52" t="n">
        <f aca="false">(1+$F21)^EB$8</f>
        <v>4.60881124726697</v>
      </c>
      <c r="EC21" s="52" t="n">
        <f aca="false">(1+$F21)^EC$8</f>
        <v>4.66642138785781</v>
      </c>
      <c r="ED21" s="52" t="n">
        <f aca="false">(1+$F21)^ED$8</f>
        <v>4.72475165520603</v>
      </c>
      <c r="EE21" s="52" t="n">
        <f aca="false">(1+$F21)^EE$8</f>
        <v>4.78381105089611</v>
      </c>
      <c r="EF21" s="52" t="n">
        <f aca="false">(1+$F21)^EF$8</f>
        <v>4.84360868903231</v>
      </c>
      <c r="EG21" s="52" t="n">
        <f aca="false">(1+$F21)^EG$8</f>
        <v>4.90415379764521</v>
      </c>
      <c r="EH21" s="52" t="n">
        <f aca="false">(1+$F21)^EH$8</f>
        <v>4.96545572011577</v>
      </c>
      <c r="EI21" s="52" t="n">
        <f aca="false">(1+$F21)^EI$8</f>
        <v>5.02752391661722</v>
      </c>
      <c r="EJ21" s="52" t="n">
        <f aca="false">(1+$F21)^EJ$8</f>
        <v>5.09036796557494</v>
      </c>
      <c r="EK21" s="52" t="n">
        <f aca="false">(1+$F21)^EK$8</f>
        <v>5.15399756514462</v>
      </c>
      <c r="EL21" s="52" t="n">
        <f aca="false">(1+$F21)^EL$8</f>
        <v>5.21842253470893</v>
      </c>
      <c r="EM21" s="52" t="n">
        <f aca="false">(1+$F21)^EM$8</f>
        <v>5.28365281639279</v>
      </c>
      <c r="EN21" s="52" t="n">
        <f aca="false">(1+$F21)^EN$8</f>
        <v>5.3496984765977</v>
      </c>
      <c r="EO21" s="52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340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341</v>
      </c>
      <c r="D24" s="11" t="s">
        <v>19</v>
      </c>
      <c r="E24" s="25" t="n">
        <f aca="false">INDEX(Dash_Municipal,1,$A$1)</f>
        <v>35</v>
      </c>
      <c r="F24" s="25" t="n">
        <f aca="false">INDEX(Osz1_Pts,1+SUMPRODUCT((Osz1_LB&lt;$E24)+(Osz1_LB=$E24)*Osz1_Incl))*Osz1_W</f>
        <v>11</v>
      </c>
    </row>
    <row r="25" customFormat="false" ht="15" hidden="false" customHeight="false" outlineLevel="0" collapsed="false">
      <c r="C25" s="0" t="s">
        <v>342</v>
      </c>
      <c r="D25" s="11" t="s">
        <v>24</v>
      </c>
      <c r="E25" s="25" t="n">
        <f aca="false">INDEX(Dash_Community,1,$A$1)</f>
        <v>2.5</v>
      </c>
      <c r="F25" s="25" t="n">
        <f aca="false">INDEX(Osz2_Pts,1+SUMPRODUCT((Osz2_LB&lt;$E25)+(Osz2_LB=$E25)*Osz2_Incl))*Osz2_W</f>
        <v>6</v>
      </c>
    </row>
    <row r="26" customFormat="false" ht="15" hidden="false" customHeight="false" outlineLevel="0" collapsed="false">
      <c r="C26" s="0" t="s">
        <v>343</v>
      </c>
      <c r="D26" s="11" t="s">
        <v>30</v>
      </c>
      <c r="E26" s="46" t="n">
        <f aca="false">INDEX(Dash_Partial,1,$A$1)</f>
        <v>0</v>
      </c>
      <c r="F26" s="25" t="n">
        <f aca="false">$E26*Osz5_Pts*Osz5_W</f>
        <v>0</v>
      </c>
    </row>
    <row r="27" customFormat="false" ht="15" hidden="false" customHeight="false" outlineLevel="0" collapsed="false">
      <c r="C27" s="0" t="s">
        <v>344</v>
      </c>
      <c r="D27" s="11" t="s">
        <v>13</v>
      </c>
      <c r="E27" s="50" t="n">
        <f aca="false">INDEX(Dash_PB_Mult,1,$A$1)</f>
        <v>1</v>
      </c>
      <c r="F27" s="25" t="n">
        <f aca="false">INDEX(Osz6_Pts,1+SUMPRODUCT((Osz6_LB&lt;$E27)+(Osz6_LB=$E27)*Osz6_Incl))*Osz6_W</f>
        <v>0</v>
      </c>
    </row>
    <row r="28" customFormat="false" ht="15" hidden="false" customHeight="false" outlineLevel="0" collapsed="false">
      <c r="C28" s="0" t="s">
        <v>345</v>
      </c>
      <c r="D28" s="11" t="s">
        <v>30</v>
      </c>
      <c r="E28" s="46" t="n">
        <f aca="false">INDEX(Dash_Shared,1,$A$1)</f>
        <v>0</v>
      </c>
      <c r="F28" s="25" t="n">
        <f aca="false">$E28*Osz8_Pts*Osz8_W</f>
        <v>0</v>
      </c>
    </row>
    <row r="29" customFormat="false" ht="15" hidden="false" customHeight="false" outlineLevel="0" collapsed="false">
      <c r="C29" s="0" t="s">
        <v>346</v>
      </c>
      <c r="D29" s="11" t="s">
        <v>30</v>
      </c>
      <c r="E29" s="46" t="n">
        <f aca="false">INDEX(Dash_EU_Turbine,1,$A$1)</f>
        <v>1</v>
      </c>
      <c r="F29" s="25" t="n">
        <f aca="false">$E29*Osz9a_Pts*Osz9_W</f>
        <v>12</v>
      </c>
    </row>
    <row r="30" customFormat="false" ht="15" hidden="false" customHeight="false" outlineLevel="0" collapsed="false">
      <c r="C30" s="0" t="s">
        <v>347</v>
      </c>
      <c r="D30" s="11" t="s">
        <v>30</v>
      </c>
      <c r="E30" s="46" t="n">
        <f aca="false">INDEX(Dash_EU_Transformer,1,$A$1)</f>
        <v>0</v>
      </c>
      <c r="F30" s="25" t="n">
        <f aca="false">$E30*Osz9b_Pts*Osz9_W</f>
        <v>0</v>
      </c>
    </row>
    <row r="31" customFormat="false" ht="15" hidden="false" customHeight="false" outlineLevel="0" collapsed="false">
      <c r="C31" s="21" t="s">
        <v>41</v>
      </c>
      <c r="D31" s="11" t="s">
        <v>42</v>
      </c>
      <c r="E31" s="22" t="n">
        <f aca="false">ROUND(SUM($F24:$F30),Points_Decimals)</f>
        <v>29</v>
      </c>
    </row>
    <row r="32" customFormat="false" ht="15" hidden="false" customHeight="false" outlineLevel="0" collapsed="false">
      <c r="C32" s="0" t="s">
        <v>348</v>
      </c>
      <c r="D32" s="11" t="s">
        <v>119</v>
      </c>
      <c r="E32" s="39" t="n">
        <f aca="false">($E24&lt;&gt;0)*($E24&lt;Osz1_Min)+($E24&gt;Osz1_Max)+($E25&lt;&gt;0)*($E25&lt;Osz2_Min)+($E25&gt;Osz2_Max)</f>
        <v>0</v>
      </c>
      <c r="F32" s="39" t="n">
        <f aca="false">N($E27&lt;1)</f>
        <v>0</v>
      </c>
    </row>
    <row r="34" customFormat="false" ht="15" hidden="false" customHeight="false" outlineLevel="0" collapsed="false">
      <c r="A34" s="9" t="s">
        <v>13</v>
      </c>
      <c r="B34" s="9"/>
      <c r="C34" s="9" t="s">
        <v>349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</row>
    <row r="35" customFormat="false" ht="15" hidden="false" customHeight="false" outlineLevel="0" collapsed="false">
      <c r="C35" s="0" t="s">
        <v>32</v>
      </c>
      <c r="D35" s="11" t="s">
        <v>33</v>
      </c>
      <c r="E35" s="19" t="n">
        <f aca="false">In_Purchase_Price</f>
        <v>4500</v>
      </c>
      <c r="F35" s="20" t="n">
        <f aca="false">In_Closing</f>
        <v>46387</v>
      </c>
      <c r="I35" s="43" t="n">
        <f aca="false">SUM(J35:EO35)</f>
        <v>-4500</v>
      </c>
      <c r="J35" s="43" t="n">
        <f aca="false">-$E35*N(AND(J$3&lt;=$F35,J$4&gt;=$F35))</f>
        <v>-4500</v>
      </c>
      <c r="K35" s="43" t="n">
        <f aca="false">-$E35*N(AND(K$3&lt;=$F35,K$4&gt;=$F35))</f>
        <v>-0</v>
      </c>
      <c r="L35" s="43" t="n">
        <f aca="false">-$E35*N(AND(L$3&lt;=$F35,L$4&gt;=$F35))</f>
        <v>-0</v>
      </c>
      <c r="M35" s="43" t="n">
        <f aca="false">-$E35*N(AND(M$3&lt;=$F35,M$4&gt;=$F35))</f>
        <v>-0</v>
      </c>
      <c r="N35" s="43" t="n">
        <f aca="false">-$E35*N(AND(N$3&lt;=$F35,N$4&gt;=$F35))</f>
        <v>-0</v>
      </c>
      <c r="O35" s="43" t="n">
        <f aca="false">-$E35*N(AND(O$3&lt;=$F35,O$4&gt;=$F35))</f>
        <v>-0</v>
      </c>
      <c r="P35" s="43" t="n">
        <f aca="false">-$E35*N(AND(P$3&lt;=$F35,P$4&gt;=$F35))</f>
        <v>-0</v>
      </c>
      <c r="Q35" s="43" t="n">
        <f aca="false">-$E35*N(AND(Q$3&lt;=$F35,Q$4&gt;=$F35))</f>
        <v>-0</v>
      </c>
      <c r="R35" s="43" t="n">
        <f aca="false">-$E35*N(AND(R$3&lt;=$F35,R$4&gt;=$F35))</f>
        <v>-0</v>
      </c>
      <c r="S35" s="43" t="n">
        <f aca="false">-$E35*N(AND(S$3&lt;=$F35,S$4&gt;=$F35))</f>
        <v>-0</v>
      </c>
      <c r="T35" s="43" t="n">
        <f aca="false">-$E35*N(AND(T$3&lt;=$F35,T$4&gt;=$F35))</f>
        <v>-0</v>
      </c>
      <c r="U35" s="43" t="n">
        <f aca="false">-$E35*N(AND(U$3&lt;=$F35,U$4&gt;=$F35))</f>
        <v>-0</v>
      </c>
      <c r="V35" s="43" t="n">
        <f aca="false">-$E35*N(AND(V$3&lt;=$F35,V$4&gt;=$F35))</f>
        <v>-0</v>
      </c>
      <c r="W35" s="43" t="n">
        <f aca="false">-$E35*N(AND(W$3&lt;=$F35,W$4&gt;=$F35))</f>
        <v>-0</v>
      </c>
      <c r="X35" s="43" t="n">
        <f aca="false">-$E35*N(AND(X$3&lt;=$F35,X$4&gt;=$F35))</f>
        <v>-0</v>
      </c>
      <c r="Y35" s="43" t="n">
        <f aca="false">-$E35*N(AND(Y$3&lt;=$F35,Y$4&gt;=$F35))</f>
        <v>-0</v>
      </c>
      <c r="Z35" s="43" t="n">
        <f aca="false">-$E35*N(AND(Z$3&lt;=$F35,Z$4&gt;=$F35))</f>
        <v>-0</v>
      </c>
      <c r="AA35" s="43" t="n">
        <f aca="false">-$E35*N(AND(AA$3&lt;=$F35,AA$4&gt;=$F35))</f>
        <v>-0</v>
      </c>
      <c r="AB35" s="43" t="n">
        <f aca="false">-$E35*N(AND(AB$3&lt;=$F35,AB$4&gt;=$F35))</f>
        <v>-0</v>
      </c>
      <c r="AC35" s="43" t="n">
        <f aca="false">-$E35*N(AND(AC$3&lt;=$F35,AC$4&gt;=$F35))</f>
        <v>-0</v>
      </c>
      <c r="AD35" s="43" t="n">
        <f aca="false">-$E35*N(AND(AD$3&lt;=$F35,AD$4&gt;=$F35))</f>
        <v>-0</v>
      </c>
      <c r="AE35" s="43" t="n">
        <f aca="false">-$E35*N(AND(AE$3&lt;=$F35,AE$4&gt;=$F35))</f>
        <v>-0</v>
      </c>
      <c r="AF35" s="43" t="n">
        <f aca="false">-$E35*N(AND(AF$3&lt;=$F35,AF$4&gt;=$F35))</f>
        <v>-0</v>
      </c>
      <c r="AG35" s="43" t="n">
        <f aca="false">-$E35*N(AND(AG$3&lt;=$F35,AG$4&gt;=$F35))</f>
        <v>-0</v>
      </c>
      <c r="AH35" s="43" t="n">
        <f aca="false">-$E35*N(AND(AH$3&lt;=$F35,AH$4&gt;=$F35))</f>
        <v>-0</v>
      </c>
      <c r="AI35" s="43" t="n">
        <f aca="false">-$E35*N(AND(AI$3&lt;=$F35,AI$4&gt;=$F35))</f>
        <v>-0</v>
      </c>
      <c r="AJ35" s="43" t="n">
        <f aca="false">-$E35*N(AND(AJ$3&lt;=$F35,AJ$4&gt;=$F35))</f>
        <v>-0</v>
      </c>
      <c r="AK35" s="43" t="n">
        <f aca="false">-$E35*N(AND(AK$3&lt;=$F35,AK$4&gt;=$F35))</f>
        <v>-0</v>
      </c>
      <c r="AL35" s="43" t="n">
        <f aca="false">-$E35*N(AND(AL$3&lt;=$F35,AL$4&gt;=$F35))</f>
        <v>-0</v>
      </c>
      <c r="AM35" s="43" t="n">
        <f aca="false">-$E35*N(AND(AM$3&lt;=$F35,AM$4&gt;=$F35))</f>
        <v>-0</v>
      </c>
      <c r="AN35" s="43" t="n">
        <f aca="false">-$E35*N(AND(AN$3&lt;=$F35,AN$4&gt;=$F35))</f>
        <v>-0</v>
      </c>
      <c r="AO35" s="43" t="n">
        <f aca="false">-$E35*N(AND(AO$3&lt;=$F35,AO$4&gt;=$F35))</f>
        <v>-0</v>
      </c>
      <c r="AP35" s="43" t="n">
        <f aca="false">-$E35*N(AND(AP$3&lt;=$F35,AP$4&gt;=$F35))</f>
        <v>-0</v>
      </c>
      <c r="AQ35" s="43" t="n">
        <f aca="false">-$E35*N(AND(AQ$3&lt;=$F35,AQ$4&gt;=$F35))</f>
        <v>-0</v>
      </c>
      <c r="AR35" s="43" t="n">
        <f aca="false">-$E35*N(AND(AR$3&lt;=$F35,AR$4&gt;=$F35))</f>
        <v>-0</v>
      </c>
      <c r="AS35" s="43" t="n">
        <f aca="false">-$E35*N(AND(AS$3&lt;=$F35,AS$4&gt;=$F35))</f>
        <v>-0</v>
      </c>
      <c r="AT35" s="43" t="n">
        <f aca="false">-$E35*N(AND(AT$3&lt;=$F35,AT$4&gt;=$F35))</f>
        <v>-0</v>
      </c>
      <c r="AU35" s="43" t="n">
        <f aca="false">-$E35*N(AND(AU$3&lt;=$F35,AU$4&gt;=$F35))</f>
        <v>-0</v>
      </c>
      <c r="AV35" s="43" t="n">
        <f aca="false">-$E35*N(AND(AV$3&lt;=$F35,AV$4&gt;=$F35))</f>
        <v>-0</v>
      </c>
      <c r="AW35" s="43" t="n">
        <f aca="false">-$E35*N(AND(AW$3&lt;=$F35,AW$4&gt;=$F35))</f>
        <v>-0</v>
      </c>
      <c r="AX35" s="43" t="n">
        <f aca="false">-$E35*N(AND(AX$3&lt;=$F35,AX$4&gt;=$F35))</f>
        <v>-0</v>
      </c>
      <c r="AY35" s="43" t="n">
        <f aca="false">-$E35*N(AND(AY$3&lt;=$F35,AY$4&gt;=$F35))</f>
        <v>-0</v>
      </c>
      <c r="AZ35" s="43" t="n">
        <f aca="false">-$E35*N(AND(AZ$3&lt;=$F35,AZ$4&gt;=$F35))</f>
        <v>-0</v>
      </c>
      <c r="BA35" s="43" t="n">
        <f aca="false">-$E35*N(AND(BA$3&lt;=$F35,BA$4&gt;=$F35))</f>
        <v>-0</v>
      </c>
      <c r="BB35" s="43" t="n">
        <f aca="false">-$E35*N(AND(BB$3&lt;=$F35,BB$4&gt;=$F35))</f>
        <v>-0</v>
      </c>
      <c r="BC35" s="43" t="n">
        <f aca="false">-$E35*N(AND(BC$3&lt;=$F35,BC$4&gt;=$F35))</f>
        <v>-0</v>
      </c>
      <c r="BD35" s="43" t="n">
        <f aca="false">-$E35*N(AND(BD$3&lt;=$F35,BD$4&gt;=$F35))</f>
        <v>-0</v>
      </c>
      <c r="BE35" s="43" t="n">
        <f aca="false">-$E35*N(AND(BE$3&lt;=$F35,BE$4&gt;=$F35))</f>
        <v>-0</v>
      </c>
      <c r="BF35" s="43" t="n">
        <f aca="false">-$E35*N(AND(BF$3&lt;=$F35,BF$4&gt;=$F35))</f>
        <v>-0</v>
      </c>
      <c r="BG35" s="43" t="n">
        <f aca="false">-$E35*N(AND(BG$3&lt;=$F35,BG$4&gt;=$F35))</f>
        <v>-0</v>
      </c>
      <c r="BH35" s="43" t="n">
        <f aca="false">-$E35*N(AND(BH$3&lt;=$F35,BH$4&gt;=$F35))</f>
        <v>-0</v>
      </c>
      <c r="BI35" s="43" t="n">
        <f aca="false">-$E35*N(AND(BI$3&lt;=$F35,BI$4&gt;=$F35))</f>
        <v>-0</v>
      </c>
      <c r="BJ35" s="43" t="n">
        <f aca="false">-$E35*N(AND(BJ$3&lt;=$F35,BJ$4&gt;=$F35))</f>
        <v>-0</v>
      </c>
      <c r="BK35" s="43" t="n">
        <f aca="false">-$E35*N(AND(BK$3&lt;=$F35,BK$4&gt;=$F35))</f>
        <v>-0</v>
      </c>
      <c r="BL35" s="43" t="n">
        <f aca="false">-$E35*N(AND(BL$3&lt;=$F35,BL$4&gt;=$F35))</f>
        <v>-0</v>
      </c>
      <c r="BM35" s="43" t="n">
        <f aca="false">-$E35*N(AND(BM$3&lt;=$F35,BM$4&gt;=$F35))</f>
        <v>-0</v>
      </c>
      <c r="BN35" s="43" t="n">
        <f aca="false">-$E35*N(AND(BN$3&lt;=$F35,BN$4&gt;=$F35))</f>
        <v>-0</v>
      </c>
      <c r="BO35" s="43" t="n">
        <f aca="false">-$E35*N(AND(BO$3&lt;=$F35,BO$4&gt;=$F35))</f>
        <v>-0</v>
      </c>
      <c r="BP35" s="43" t="n">
        <f aca="false">-$E35*N(AND(BP$3&lt;=$F35,BP$4&gt;=$F35))</f>
        <v>-0</v>
      </c>
      <c r="BQ35" s="43" t="n">
        <f aca="false">-$E35*N(AND(BQ$3&lt;=$F35,BQ$4&gt;=$F35))</f>
        <v>-0</v>
      </c>
      <c r="BR35" s="43" t="n">
        <f aca="false">-$E35*N(AND(BR$3&lt;=$F35,BR$4&gt;=$F35))</f>
        <v>-0</v>
      </c>
      <c r="BS35" s="43" t="n">
        <f aca="false">-$E35*N(AND(BS$3&lt;=$F35,BS$4&gt;=$F35))</f>
        <v>-0</v>
      </c>
      <c r="BT35" s="43" t="n">
        <f aca="false">-$E35*N(AND(BT$3&lt;=$F35,BT$4&gt;=$F35))</f>
        <v>-0</v>
      </c>
      <c r="BU35" s="43" t="n">
        <f aca="false">-$E35*N(AND(BU$3&lt;=$F35,BU$4&gt;=$F35))</f>
        <v>-0</v>
      </c>
      <c r="BV35" s="43" t="n">
        <f aca="false">-$E35*N(AND(BV$3&lt;=$F35,BV$4&gt;=$F35))</f>
        <v>-0</v>
      </c>
      <c r="BW35" s="43" t="n">
        <f aca="false">-$E35*N(AND(BW$3&lt;=$F35,BW$4&gt;=$F35))</f>
        <v>-0</v>
      </c>
      <c r="BX35" s="43" t="n">
        <f aca="false">-$E35*N(AND(BX$3&lt;=$F35,BX$4&gt;=$F35))</f>
        <v>-0</v>
      </c>
      <c r="BY35" s="43" t="n">
        <f aca="false">-$E35*N(AND(BY$3&lt;=$F35,BY$4&gt;=$F35))</f>
        <v>-0</v>
      </c>
      <c r="BZ35" s="43" t="n">
        <f aca="false">-$E35*N(AND(BZ$3&lt;=$F35,BZ$4&gt;=$F35))</f>
        <v>-0</v>
      </c>
      <c r="CA35" s="43" t="n">
        <f aca="false">-$E35*N(AND(CA$3&lt;=$F35,CA$4&gt;=$F35))</f>
        <v>-0</v>
      </c>
      <c r="CB35" s="43" t="n">
        <f aca="false">-$E35*N(AND(CB$3&lt;=$F35,CB$4&gt;=$F35))</f>
        <v>-0</v>
      </c>
      <c r="CC35" s="43" t="n">
        <f aca="false">-$E35*N(AND(CC$3&lt;=$F35,CC$4&gt;=$F35))</f>
        <v>-0</v>
      </c>
      <c r="CD35" s="43" t="n">
        <f aca="false">-$E35*N(AND(CD$3&lt;=$F35,CD$4&gt;=$F35))</f>
        <v>-0</v>
      </c>
      <c r="CE35" s="43" t="n">
        <f aca="false">-$E35*N(AND(CE$3&lt;=$F35,CE$4&gt;=$F35))</f>
        <v>-0</v>
      </c>
      <c r="CF35" s="43" t="n">
        <f aca="false">-$E35*N(AND(CF$3&lt;=$F35,CF$4&gt;=$F35))</f>
        <v>-0</v>
      </c>
      <c r="CG35" s="43" t="n">
        <f aca="false">-$E35*N(AND(CG$3&lt;=$F35,CG$4&gt;=$F35))</f>
        <v>-0</v>
      </c>
      <c r="CH35" s="43" t="n">
        <f aca="false">-$E35*N(AND(CH$3&lt;=$F35,CH$4&gt;=$F35))</f>
        <v>-0</v>
      </c>
      <c r="CI35" s="43" t="n">
        <f aca="false">-$E35*N(AND(CI$3&lt;=$F35,CI$4&gt;=$F35))</f>
        <v>-0</v>
      </c>
      <c r="CJ35" s="43" t="n">
        <f aca="false">-$E35*N(AND(CJ$3&lt;=$F35,CJ$4&gt;=$F35))</f>
        <v>-0</v>
      </c>
      <c r="CK35" s="43" t="n">
        <f aca="false">-$E35*N(AND(CK$3&lt;=$F35,CK$4&gt;=$F35))</f>
        <v>-0</v>
      </c>
      <c r="CL35" s="43" t="n">
        <f aca="false">-$E35*N(AND(CL$3&lt;=$F35,CL$4&gt;=$F35))</f>
        <v>-0</v>
      </c>
      <c r="CM35" s="43" t="n">
        <f aca="false">-$E35*N(AND(CM$3&lt;=$F35,CM$4&gt;=$F35))</f>
        <v>-0</v>
      </c>
      <c r="CN35" s="43" t="n">
        <f aca="false">-$E35*N(AND(CN$3&lt;=$F35,CN$4&gt;=$F35))</f>
        <v>-0</v>
      </c>
      <c r="CO35" s="43" t="n">
        <f aca="false">-$E35*N(AND(CO$3&lt;=$F35,CO$4&gt;=$F35))</f>
        <v>-0</v>
      </c>
      <c r="CP35" s="43" t="n">
        <f aca="false">-$E35*N(AND(CP$3&lt;=$F35,CP$4&gt;=$F35))</f>
        <v>-0</v>
      </c>
      <c r="CQ35" s="43" t="n">
        <f aca="false">-$E35*N(AND(CQ$3&lt;=$F35,CQ$4&gt;=$F35))</f>
        <v>-0</v>
      </c>
      <c r="CR35" s="43" t="n">
        <f aca="false">-$E35*N(AND(CR$3&lt;=$F35,CR$4&gt;=$F35))</f>
        <v>-0</v>
      </c>
      <c r="CS35" s="43" t="n">
        <f aca="false">-$E35*N(AND(CS$3&lt;=$F35,CS$4&gt;=$F35))</f>
        <v>-0</v>
      </c>
      <c r="CT35" s="43" t="n">
        <f aca="false">-$E35*N(AND(CT$3&lt;=$F35,CT$4&gt;=$F35))</f>
        <v>-0</v>
      </c>
      <c r="CU35" s="43" t="n">
        <f aca="false">-$E35*N(AND(CU$3&lt;=$F35,CU$4&gt;=$F35))</f>
        <v>-0</v>
      </c>
      <c r="CV35" s="43" t="n">
        <f aca="false">-$E35*N(AND(CV$3&lt;=$F35,CV$4&gt;=$F35))</f>
        <v>-0</v>
      </c>
      <c r="CW35" s="43" t="n">
        <f aca="false">-$E35*N(AND(CW$3&lt;=$F35,CW$4&gt;=$F35))</f>
        <v>-0</v>
      </c>
      <c r="CX35" s="43" t="n">
        <f aca="false">-$E35*N(AND(CX$3&lt;=$F35,CX$4&gt;=$F35))</f>
        <v>-0</v>
      </c>
      <c r="CY35" s="43" t="n">
        <f aca="false">-$E35*N(AND(CY$3&lt;=$F35,CY$4&gt;=$F35))</f>
        <v>-0</v>
      </c>
      <c r="CZ35" s="43" t="n">
        <f aca="false">-$E35*N(AND(CZ$3&lt;=$F35,CZ$4&gt;=$F35))</f>
        <v>-0</v>
      </c>
      <c r="DA35" s="43" t="n">
        <f aca="false">-$E35*N(AND(DA$3&lt;=$F35,DA$4&gt;=$F35))</f>
        <v>-0</v>
      </c>
      <c r="DB35" s="43" t="n">
        <f aca="false">-$E35*N(AND(DB$3&lt;=$F35,DB$4&gt;=$F35))</f>
        <v>-0</v>
      </c>
      <c r="DC35" s="43" t="n">
        <f aca="false">-$E35*N(AND(DC$3&lt;=$F35,DC$4&gt;=$F35))</f>
        <v>-0</v>
      </c>
      <c r="DD35" s="43" t="n">
        <f aca="false">-$E35*N(AND(DD$3&lt;=$F35,DD$4&gt;=$F35))</f>
        <v>-0</v>
      </c>
      <c r="DE35" s="43" t="n">
        <f aca="false">-$E35*N(AND(DE$3&lt;=$F35,DE$4&gt;=$F35))</f>
        <v>-0</v>
      </c>
      <c r="DF35" s="43" t="n">
        <f aca="false">-$E35*N(AND(DF$3&lt;=$F35,DF$4&gt;=$F35))</f>
        <v>-0</v>
      </c>
      <c r="DG35" s="43" t="n">
        <f aca="false">-$E35*N(AND(DG$3&lt;=$F35,DG$4&gt;=$F35))</f>
        <v>-0</v>
      </c>
      <c r="DH35" s="43" t="n">
        <f aca="false">-$E35*N(AND(DH$3&lt;=$F35,DH$4&gt;=$F35))</f>
        <v>-0</v>
      </c>
      <c r="DI35" s="43" t="n">
        <f aca="false">-$E35*N(AND(DI$3&lt;=$F35,DI$4&gt;=$F35))</f>
        <v>-0</v>
      </c>
      <c r="DJ35" s="43" t="n">
        <f aca="false">-$E35*N(AND(DJ$3&lt;=$F35,DJ$4&gt;=$F35))</f>
        <v>-0</v>
      </c>
      <c r="DK35" s="43" t="n">
        <f aca="false">-$E35*N(AND(DK$3&lt;=$F35,DK$4&gt;=$F35))</f>
        <v>-0</v>
      </c>
      <c r="DL35" s="43" t="n">
        <f aca="false">-$E35*N(AND(DL$3&lt;=$F35,DL$4&gt;=$F35))</f>
        <v>-0</v>
      </c>
      <c r="DM35" s="43" t="n">
        <f aca="false">-$E35*N(AND(DM$3&lt;=$F35,DM$4&gt;=$F35))</f>
        <v>-0</v>
      </c>
      <c r="DN35" s="43" t="n">
        <f aca="false">-$E35*N(AND(DN$3&lt;=$F35,DN$4&gt;=$F35))</f>
        <v>-0</v>
      </c>
      <c r="DO35" s="43" t="n">
        <f aca="false">-$E35*N(AND(DO$3&lt;=$F35,DO$4&gt;=$F35))</f>
        <v>-0</v>
      </c>
      <c r="DP35" s="43" t="n">
        <f aca="false">-$E35*N(AND(DP$3&lt;=$F35,DP$4&gt;=$F35))</f>
        <v>-0</v>
      </c>
      <c r="DQ35" s="43" t="n">
        <f aca="false">-$E35*N(AND(DQ$3&lt;=$F35,DQ$4&gt;=$F35))</f>
        <v>-0</v>
      </c>
      <c r="DR35" s="43" t="n">
        <f aca="false">-$E35*N(AND(DR$3&lt;=$F35,DR$4&gt;=$F35))</f>
        <v>-0</v>
      </c>
      <c r="DS35" s="43" t="n">
        <f aca="false">-$E35*N(AND(DS$3&lt;=$F35,DS$4&gt;=$F35))</f>
        <v>-0</v>
      </c>
      <c r="DT35" s="43" t="n">
        <f aca="false">-$E35*N(AND(DT$3&lt;=$F35,DT$4&gt;=$F35))</f>
        <v>-0</v>
      </c>
      <c r="DU35" s="43" t="n">
        <f aca="false">-$E35*N(AND(DU$3&lt;=$F35,DU$4&gt;=$F35))</f>
        <v>-0</v>
      </c>
      <c r="DV35" s="43" t="n">
        <f aca="false">-$E35*N(AND(DV$3&lt;=$F35,DV$4&gt;=$F35))</f>
        <v>-0</v>
      </c>
      <c r="DW35" s="43" t="n">
        <f aca="false">-$E35*N(AND(DW$3&lt;=$F35,DW$4&gt;=$F35))</f>
        <v>-0</v>
      </c>
      <c r="DX35" s="43" t="n">
        <f aca="false">-$E35*N(AND(DX$3&lt;=$F35,DX$4&gt;=$F35))</f>
        <v>-0</v>
      </c>
      <c r="DY35" s="43" t="n">
        <f aca="false">-$E35*N(AND(DY$3&lt;=$F35,DY$4&gt;=$F35))</f>
        <v>-0</v>
      </c>
      <c r="DZ35" s="43" t="n">
        <f aca="false">-$E35*N(AND(DZ$3&lt;=$F35,DZ$4&gt;=$F35))</f>
        <v>-0</v>
      </c>
      <c r="EA35" s="43" t="n">
        <f aca="false">-$E35*N(AND(EA$3&lt;=$F35,EA$4&gt;=$F35))</f>
        <v>-0</v>
      </c>
      <c r="EB35" s="43" t="n">
        <f aca="false">-$E35*N(AND(EB$3&lt;=$F35,EB$4&gt;=$F35))</f>
        <v>-0</v>
      </c>
      <c r="EC35" s="43" t="n">
        <f aca="false">-$E35*N(AND(EC$3&lt;=$F35,EC$4&gt;=$F35))</f>
        <v>-0</v>
      </c>
      <c r="ED35" s="43" t="n">
        <f aca="false">-$E35*N(AND(ED$3&lt;=$F35,ED$4&gt;=$F35))</f>
        <v>-0</v>
      </c>
      <c r="EE35" s="43" t="n">
        <f aca="false">-$E35*N(AND(EE$3&lt;=$F35,EE$4&gt;=$F35))</f>
        <v>-0</v>
      </c>
      <c r="EF35" s="43" t="n">
        <f aca="false">-$E35*N(AND(EF$3&lt;=$F35,EF$4&gt;=$F35))</f>
        <v>-0</v>
      </c>
      <c r="EG35" s="43" t="n">
        <f aca="false">-$E35*N(AND(EG$3&lt;=$F35,EG$4&gt;=$F35))</f>
        <v>-0</v>
      </c>
      <c r="EH35" s="43" t="n">
        <f aca="false">-$E35*N(AND(EH$3&lt;=$F35,EH$4&gt;=$F35))</f>
        <v>-0</v>
      </c>
      <c r="EI35" s="43" t="n">
        <f aca="false">-$E35*N(AND(EI$3&lt;=$F35,EI$4&gt;=$F35))</f>
        <v>-0</v>
      </c>
      <c r="EJ35" s="43" t="n">
        <f aca="false">-$E35*N(AND(EJ$3&lt;=$F35,EJ$4&gt;=$F35))</f>
        <v>-0</v>
      </c>
      <c r="EK35" s="43" t="n">
        <f aca="false">-$E35*N(AND(EK$3&lt;=$F35,EK$4&gt;=$F35))</f>
        <v>-0</v>
      </c>
      <c r="EL35" s="43" t="n">
        <f aca="false">-$E35*N(AND(EL$3&lt;=$F35,EL$4&gt;=$F35))</f>
        <v>-0</v>
      </c>
      <c r="EM35" s="43" t="n">
        <f aca="false">-$E35*N(AND(EM$3&lt;=$F35,EM$4&gt;=$F35))</f>
        <v>-0</v>
      </c>
      <c r="EN35" s="43" t="n">
        <f aca="false">-$E35*N(AND(EN$3&lt;=$F35,EN$4&gt;=$F35))</f>
        <v>-0</v>
      </c>
      <c r="EO35" s="43" t="n">
        <f aca="false">-$E35*N(AND(EO$3&lt;=$F35,EO$4&gt;=$F35))</f>
        <v>-0</v>
      </c>
    </row>
    <row r="36" customFormat="false" ht="15" hidden="false" customHeight="false" outlineLevel="0" collapsed="false">
      <c r="C36" s="0" t="s">
        <v>191</v>
      </c>
      <c r="D36" s="11" t="s">
        <v>33</v>
      </c>
      <c r="E36" s="19" t="n">
        <f aca="false">In_DD</f>
        <v>150</v>
      </c>
      <c r="F36" s="20" t="n">
        <f aca="false">In_Bid_Date</f>
        <v>46325</v>
      </c>
      <c r="I36" s="43" t="n">
        <f aca="false">SUM(J36:EO36)</f>
        <v>-150</v>
      </c>
      <c r="J36" s="43" t="n">
        <f aca="false">-$E36*N(AND(J$3&lt;=$F36,J$4&gt;=$F36))</f>
        <v>-150</v>
      </c>
      <c r="K36" s="43" t="n">
        <f aca="false">-$E36*N(AND(K$3&lt;=$F36,K$4&gt;=$F36))</f>
        <v>-0</v>
      </c>
      <c r="L36" s="43" t="n">
        <f aca="false">-$E36*N(AND(L$3&lt;=$F36,L$4&gt;=$F36))</f>
        <v>-0</v>
      </c>
      <c r="M36" s="43" t="n">
        <f aca="false">-$E36*N(AND(M$3&lt;=$F36,M$4&gt;=$F36))</f>
        <v>-0</v>
      </c>
      <c r="N36" s="43" t="n">
        <f aca="false">-$E36*N(AND(N$3&lt;=$F36,N$4&gt;=$F36))</f>
        <v>-0</v>
      </c>
      <c r="O36" s="43" t="n">
        <f aca="false">-$E36*N(AND(O$3&lt;=$F36,O$4&gt;=$F36))</f>
        <v>-0</v>
      </c>
      <c r="P36" s="43" t="n">
        <f aca="false">-$E36*N(AND(P$3&lt;=$F36,P$4&gt;=$F36))</f>
        <v>-0</v>
      </c>
      <c r="Q36" s="43" t="n">
        <f aca="false">-$E36*N(AND(Q$3&lt;=$F36,Q$4&gt;=$F36))</f>
        <v>-0</v>
      </c>
      <c r="R36" s="43" t="n">
        <f aca="false">-$E36*N(AND(R$3&lt;=$F36,R$4&gt;=$F36))</f>
        <v>-0</v>
      </c>
      <c r="S36" s="43" t="n">
        <f aca="false">-$E36*N(AND(S$3&lt;=$F36,S$4&gt;=$F36))</f>
        <v>-0</v>
      </c>
      <c r="T36" s="43" t="n">
        <f aca="false">-$E36*N(AND(T$3&lt;=$F36,T$4&gt;=$F36))</f>
        <v>-0</v>
      </c>
      <c r="U36" s="43" t="n">
        <f aca="false">-$E36*N(AND(U$3&lt;=$F36,U$4&gt;=$F36))</f>
        <v>-0</v>
      </c>
      <c r="V36" s="43" t="n">
        <f aca="false">-$E36*N(AND(V$3&lt;=$F36,V$4&gt;=$F36))</f>
        <v>-0</v>
      </c>
      <c r="W36" s="43" t="n">
        <f aca="false">-$E36*N(AND(W$3&lt;=$F36,W$4&gt;=$F36))</f>
        <v>-0</v>
      </c>
      <c r="X36" s="43" t="n">
        <f aca="false">-$E36*N(AND(X$3&lt;=$F36,X$4&gt;=$F36))</f>
        <v>-0</v>
      </c>
      <c r="Y36" s="43" t="n">
        <f aca="false">-$E36*N(AND(Y$3&lt;=$F36,Y$4&gt;=$F36))</f>
        <v>-0</v>
      </c>
      <c r="Z36" s="43" t="n">
        <f aca="false">-$E36*N(AND(Z$3&lt;=$F36,Z$4&gt;=$F36))</f>
        <v>-0</v>
      </c>
      <c r="AA36" s="43" t="n">
        <f aca="false">-$E36*N(AND(AA$3&lt;=$F36,AA$4&gt;=$F36))</f>
        <v>-0</v>
      </c>
      <c r="AB36" s="43" t="n">
        <f aca="false">-$E36*N(AND(AB$3&lt;=$F36,AB$4&gt;=$F36))</f>
        <v>-0</v>
      </c>
      <c r="AC36" s="43" t="n">
        <f aca="false">-$E36*N(AND(AC$3&lt;=$F36,AC$4&gt;=$F36))</f>
        <v>-0</v>
      </c>
      <c r="AD36" s="43" t="n">
        <f aca="false">-$E36*N(AND(AD$3&lt;=$F36,AD$4&gt;=$F36))</f>
        <v>-0</v>
      </c>
      <c r="AE36" s="43" t="n">
        <f aca="false">-$E36*N(AND(AE$3&lt;=$F36,AE$4&gt;=$F36))</f>
        <v>-0</v>
      </c>
      <c r="AF36" s="43" t="n">
        <f aca="false">-$E36*N(AND(AF$3&lt;=$F36,AF$4&gt;=$F36))</f>
        <v>-0</v>
      </c>
      <c r="AG36" s="43" t="n">
        <f aca="false">-$E36*N(AND(AG$3&lt;=$F36,AG$4&gt;=$F36))</f>
        <v>-0</v>
      </c>
      <c r="AH36" s="43" t="n">
        <f aca="false">-$E36*N(AND(AH$3&lt;=$F36,AH$4&gt;=$F36))</f>
        <v>-0</v>
      </c>
      <c r="AI36" s="43" t="n">
        <f aca="false">-$E36*N(AND(AI$3&lt;=$F36,AI$4&gt;=$F36))</f>
        <v>-0</v>
      </c>
      <c r="AJ36" s="43" t="n">
        <f aca="false">-$E36*N(AND(AJ$3&lt;=$F36,AJ$4&gt;=$F36))</f>
        <v>-0</v>
      </c>
      <c r="AK36" s="43" t="n">
        <f aca="false">-$E36*N(AND(AK$3&lt;=$F36,AK$4&gt;=$F36))</f>
        <v>-0</v>
      </c>
      <c r="AL36" s="43" t="n">
        <f aca="false">-$E36*N(AND(AL$3&lt;=$F36,AL$4&gt;=$F36))</f>
        <v>-0</v>
      </c>
      <c r="AM36" s="43" t="n">
        <f aca="false">-$E36*N(AND(AM$3&lt;=$F36,AM$4&gt;=$F36))</f>
        <v>-0</v>
      </c>
      <c r="AN36" s="43" t="n">
        <f aca="false">-$E36*N(AND(AN$3&lt;=$F36,AN$4&gt;=$F36))</f>
        <v>-0</v>
      </c>
      <c r="AO36" s="43" t="n">
        <f aca="false">-$E36*N(AND(AO$3&lt;=$F36,AO$4&gt;=$F36))</f>
        <v>-0</v>
      </c>
      <c r="AP36" s="43" t="n">
        <f aca="false">-$E36*N(AND(AP$3&lt;=$F36,AP$4&gt;=$F36))</f>
        <v>-0</v>
      </c>
      <c r="AQ36" s="43" t="n">
        <f aca="false">-$E36*N(AND(AQ$3&lt;=$F36,AQ$4&gt;=$F36))</f>
        <v>-0</v>
      </c>
      <c r="AR36" s="43" t="n">
        <f aca="false">-$E36*N(AND(AR$3&lt;=$F36,AR$4&gt;=$F36))</f>
        <v>-0</v>
      </c>
      <c r="AS36" s="43" t="n">
        <f aca="false">-$E36*N(AND(AS$3&lt;=$F36,AS$4&gt;=$F36))</f>
        <v>-0</v>
      </c>
      <c r="AT36" s="43" t="n">
        <f aca="false">-$E36*N(AND(AT$3&lt;=$F36,AT$4&gt;=$F36))</f>
        <v>-0</v>
      </c>
      <c r="AU36" s="43" t="n">
        <f aca="false">-$E36*N(AND(AU$3&lt;=$F36,AU$4&gt;=$F36))</f>
        <v>-0</v>
      </c>
      <c r="AV36" s="43" t="n">
        <f aca="false">-$E36*N(AND(AV$3&lt;=$F36,AV$4&gt;=$F36))</f>
        <v>-0</v>
      </c>
      <c r="AW36" s="43" t="n">
        <f aca="false">-$E36*N(AND(AW$3&lt;=$F36,AW$4&gt;=$F36))</f>
        <v>-0</v>
      </c>
      <c r="AX36" s="43" t="n">
        <f aca="false">-$E36*N(AND(AX$3&lt;=$F36,AX$4&gt;=$F36))</f>
        <v>-0</v>
      </c>
      <c r="AY36" s="43" t="n">
        <f aca="false">-$E36*N(AND(AY$3&lt;=$F36,AY$4&gt;=$F36))</f>
        <v>-0</v>
      </c>
      <c r="AZ36" s="43" t="n">
        <f aca="false">-$E36*N(AND(AZ$3&lt;=$F36,AZ$4&gt;=$F36))</f>
        <v>-0</v>
      </c>
      <c r="BA36" s="43" t="n">
        <f aca="false">-$E36*N(AND(BA$3&lt;=$F36,BA$4&gt;=$F36))</f>
        <v>-0</v>
      </c>
      <c r="BB36" s="43" t="n">
        <f aca="false">-$E36*N(AND(BB$3&lt;=$F36,BB$4&gt;=$F36))</f>
        <v>-0</v>
      </c>
      <c r="BC36" s="43" t="n">
        <f aca="false">-$E36*N(AND(BC$3&lt;=$F36,BC$4&gt;=$F36))</f>
        <v>-0</v>
      </c>
      <c r="BD36" s="43" t="n">
        <f aca="false">-$E36*N(AND(BD$3&lt;=$F36,BD$4&gt;=$F36))</f>
        <v>-0</v>
      </c>
      <c r="BE36" s="43" t="n">
        <f aca="false">-$E36*N(AND(BE$3&lt;=$F36,BE$4&gt;=$F36))</f>
        <v>-0</v>
      </c>
      <c r="BF36" s="43" t="n">
        <f aca="false">-$E36*N(AND(BF$3&lt;=$F36,BF$4&gt;=$F36))</f>
        <v>-0</v>
      </c>
      <c r="BG36" s="43" t="n">
        <f aca="false">-$E36*N(AND(BG$3&lt;=$F36,BG$4&gt;=$F36))</f>
        <v>-0</v>
      </c>
      <c r="BH36" s="43" t="n">
        <f aca="false">-$E36*N(AND(BH$3&lt;=$F36,BH$4&gt;=$F36))</f>
        <v>-0</v>
      </c>
      <c r="BI36" s="43" t="n">
        <f aca="false">-$E36*N(AND(BI$3&lt;=$F36,BI$4&gt;=$F36))</f>
        <v>-0</v>
      </c>
      <c r="BJ36" s="43" t="n">
        <f aca="false">-$E36*N(AND(BJ$3&lt;=$F36,BJ$4&gt;=$F36))</f>
        <v>-0</v>
      </c>
      <c r="BK36" s="43" t="n">
        <f aca="false">-$E36*N(AND(BK$3&lt;=$F36,BK$4&gt;=$F36))</f>
        <v>-0</v>
      </c>
      <c r="BL36" s="43" t="n">
        <f aca="false">-$E36*N(AND(BL$3&lt;=$F36,BL$4&gt;=$F36))</f>
        <v>-0</v>
      </c>
      <c r="BM36" s="43" t="n">
        <f aca="false">-$E36*N(AND(BM$3&lt;=$F36,BM$4&gt;=$F36))</f>
        <v>-0</v>
      </c>
      <c r="BN36" s="43" t="n">
        <f aca="false">-$E36*N(AND(BN$3&lt;=$F36,BN$4&gt;=$F36))</f>
        <v>-0</v>
      </c>
      <c r="BO36" s="43" t="n">
        <f aca="false">-$E36*N(AND(BO$3&lt;=$F36,BO$4&gt;=$F36))</f>
        <v>-0</v>
      </c>
      <c r="BP36" s="43" t="n">
        <f aca="false">-$E36*N(AND(BP$3&lt;=$F36,BP$4&gt;=$F36))</f>
        <v>-0</v>
      </c>
      <c r="BQ36" s="43" t="n">
        <f aca="false">-$E36*N(AND(BQ$3&lt;=$F36,BQ$4&gt;=$F36))</f>
        <v>-0</v>
      </c>
      <c r="BR36" s="43" t="n">
        <f aca="false">-$E36*N(AND(BR$3&lt;=$F36,BR$4&gt;=$F36))</f>
        <v>-0</v>
      </c>
      <c r="BS36" s="43" t="n">
        <f aca="false">-$E36*N(AND(BS$3&lt;=$F36,BS$4&gt;=$F36))</f>
        <v>-0</v>
      </c>
      <c r="BT36" s="43" t="n">
        <f aca="false">-$E36*N(AND(BT$3&lt;=$F36,BT$4&gt;=$F36))</f>
        <v>-0</v>
      </c>
      <c r="BU36" s="43" t="n">
        <f aca="false">-$E36*N(AND(BU$3&lt;=$F36,BU$4&gt;=$F36))</f>
        <v>-0</v>
      </c>
      <c r="BV36" s="43" t="n">
        <f aca="false">-$E36*N(AND(BV$3&lt;=$F36,BV$4&gt;=$F36))</f>
        <v>-0</v>
      </c>
      <c r="BW36" s="43" t="n">
        <f aca="false">-$E36*N(AND(BW$3&lt;=$F36,BW$4&gt;=$F36))</f>
        <v>-0</v>
      </c>
      <c r="BX36" s="43" t="n">
        <f aca="false">-$E36*N(AND(BX$3&lt;=$F36,BX$4&gt;=$F36))</f>
        <v>-0</v>
      </c>
      <c r="BY36" s="43" t="n">
        <f aca="false">-$E36*N(AND(BY$3&lt;=$F36,BY$4&gt;=$F36))</f>
        <v>-0</v>
      </c>
      <c r="BZ36" s="43" t="n">
        <f aca="false">-$E36*N(AND(BZ$3&lt;=$F36,BZ$4&gt;=$F36))</f>
        <v>-0</v>
      </c>
      <c r="CA36" s="43" t="n">
        <f aca="false">-$E36*N(AND(CA$3&lt;=$F36,CA$4&gt;=$F36))</f>
        <v>-0</v>
      </c>
      <c r="CB36" s="43" t="n">
        <f aca="false">-$E36*N(AND(CB$3&lt;=$F36,CB$4&gt;=$F36))</f>
        <v>-0</v>
      </c>
      <c r="CC36" s="43" t="n">
        <f aca="false">-$E36*N(AND(CC$3&lt;=$F36,CC$4&gt;=$F36))</f>
        <v>-0</v>
      </c>
      <c r="CD36" s="43" t="n">
        <f aca="false">-$E36*N(AND(CD$3&lt;=$F36,CD$4&gt;=$F36))</f>
        <v>-0</v>
      </c>
      <c r="CE36" s="43" t="n">
        <f aca="false">-$E36*N(AND(CE$3&lt;=$F36,CE$4&gt;=$F36))</f>
        <v>-0</v>
      </c>
      <c r="CF36" s="43" t="n">
        <f aca="false">-$E36*N(AND(CF$3&lt;=$F36,CF$4&gt;=$F36))</f>
        <v>-0</v>
      </c>
      <c r="CG36" s="43" t="n">
        <f aca="false">-$E36*N(AND(CG$3&lt;=$F36,CG$4&gt;=$F36))</f>
        <v>-0</v>
      </c>
      <c r="CH36" s="43" t="n">
        <f aca="false">-$E36*N(AND(CH$3&lt;=$F36,CH$4&gt;=$F36))</f>
        <v>-0</v>
      </c>
      <c r="CI36" s="43" t="n">
        <f aca="false">-$E36*N(AND(CI$3&lt;=$F36,CI$4&gt;=$F36))</f>
        <v>-0</v>
      </c>
      <c r="CJ36" s="43" t="n">
        <f aca="false">-$E36*N(AND(CJ$3&lt;=$F36,CJ$4&gt;=$F36))</f>
        <v>-0</v>
      </c>
      <c r="CK36" s="43" t="n">
        <f aca="false">-$E36*N(AND(CK$3&lt;=$F36,CK$4&gt;=$F36))</f>
        <v>-0</v>
      </c>
      <c r="CL36" s="43" t="n">
        <f aca="false">-$E36*N(AND(CL$3&lt;=$F36,CL$4&gt;=$F36))</f>
        <v>-0</v>
      </c>
      <c r="CM36" s="43" t="n">
        <f aca="false">-$E36*N(AND(CM$3&lt;=$F36,CM$4&gt;=$F36))</f>
        <v>-0</v>
      </c>
      <c r="CN36" s="43" t="n">
        <f aca="false">-$E36*N(AND(CN$3&lt;=$F36,CN$4&gt;=$F36))</f>
        <v>-0</v>
      </c>
      <c r="CO36" s="43" t="n">
        <f aca="false">-$E36*N(AND(CO$3&lt;=$F36,CO$4&gt;=$F36))</f>
        <v>-0</v>
      </c>
      <c r="CP36" s="43" t="n">
        <f aca="false">-$E36*N(AND(CP$3&lt;=$F36,CP$4&gt;=$F36))</f>
        <v>-0</v>
      </c>
      <c r="CQ36" s="43" t="n">
        <f aca="false">-$E36*N(AND(CQ$3&lt;=$F36,CQ$4&gt;=$F36))</f>
        <v>-0</v>
      </c>
      <c r="CR36" s="43" t="n">
        <f aca="false">-$E36*N(AND(CR$3&lt;=$F36,CR$4&gt;=$F36))</f>
        <v>-0</v>
      </c>
      <c r="CS36" s="43" t="n">
        <f aca="false">-$E36*N(AND(CS$3&lt;=$F36,CS$4&gt;=$F36))</f>
        <v>-0</v>
      </c>
      <c r="CT36" s="43" t="n">
        <f aca="false">-$E36*N(AND(CT$3&lt;=$F36,CT$4&gt;=$F36))</f>
        <v>-0</v>
      </c>
      <c r="CU36" s="43" t="n">
        <f aca="false">-$E36*N(AND(CU$3&lt;=$F36,CU$4&gt;=$F36))</f>
        <v>-0</v>
      </c>
      <c r="CV36" s="43" t="n">
        <f aca="false">-$E36*N(AND(CV$3&lt;=$F36,CV$4&gt;=$F36))</f>
        <v>-0</v>
      </c>
      <c r="CW36" s="43" t="n">
        <f aca="false">-$E36*N(AND(CW$3&lt;=$F36,CW$4&gt;=$F36))</f>
        <v>-0</v>
      </c>
      <c r="CX36" s="43" t="n">
        <f aca="false">-$E36*N(AND(CX$3&lt;=$F36,CX$4&gt;=$F36))</f>
        <v>-0</v>
      </c>
      <c r="CY36" s="43" t="n">
        <f aca="false">-$E36*N(AND(CY$3&lt;=$F36,CY$4&gt;=$F36))</f>
        <v>-0</v>
      </c>
      <c r="CZ36" s="43" t="n">
        <f aca="false">-$E36*N(AND(CZ$3&lt;=$F36,CZ$4&gt;=$F36))</f>
        <v>-0</v>
      </c>
      <c r="DA36" s="43" t="n">
        <f aca="false">-$E36*N(AND(DA$3&lt;=$F36,DA$4&gt;=$F36))</f>
        <v>-0</v>
      </c>
      <c r="DB36" s="43" t="n">
        <f aca="false">-$E36*N(AND(DB$3&lt;=$F36,DB$4&gt;=$F36))</f>
        <v>-0</v>
      </c>
      <c r="DC36" s="43" t="n">
        <f aca="false">-$E36*N(AND(DC$3&lt;=$F36,DC$4&gt;=$F36))</f>
        <v>-0</v>
      </c>
      <c r="DD36" s="43" t="n">
        <f aca="false">-$E36*N(AND(DD$3&lt;=$F36,DD$4&gt;=$F36))</f>
        <v>-0</v>
      </c>
      <c r="DE36" s="43" t="n">
        <f aca="false">-$E36*N(AND(DE$3&lt;=$F36,DE$4&gt;=$F36))</f>
        <v>-0</v>
      </c>
      <c r="DF36" s="43" t="n">
        <f aca="false">-$E36*N(AND(DF$3&lt;=$F36,DF$4&gt;=$F36))</f>
        <v>-0</v>
      </c>
      <c r="DG36" s="43" t="n">
        <f aca="false">-$E36*N(AND(DG$3&lt;=$F36,DG$4&gt;=$F36))</f>
        <v>-0</v>
      </c>
      <c r="DH36" s="43" t="n">
        <f aca="false">-$E36*N(AND(DH$3&lt;=$F36,DH$4&gt;=$F36))</f>
        <v>-0</v>
      </c>
      <c r="DI36" s="43" t="n">
        <f aca="false">-$E36*N(AND(DI$3&lt;=$F36,DI$4&gt;=$F36))</f>
        <v>-0</v>
      </c>
      <c r="DJ36" s="43" t="n">
        <f aca="false">-$E36*N(AND(DJ$3&lt;=$F36,DJ$4&gt;=$F36))</f>
        <v>-0</v>
      </c>
      <c r="DK36" s="43" t="n">
        <f aca="false">-$E36*N(AND(DK$3&lt;=$F36,DK$4&gt;=$F36))</f>
        <v>-0</v>
      </c>
      <c r="DL36" s="43" t="n">
        <f aca="false">-$E36*N(AND(DL$3&lt;=$F36,DL$4&gt;=$F36))</f>
        <v>-0</v>
      </c>
      <c r="DM36" s="43" t="n">
        <f aca="false">-$E36*N(AND(DM$3&lt;=$F36,DM$4&gt;=$F36))</f>
        <v>-0</v>
      </c>
      <c r="DN36" s="43" t="n">
        <f aca="false">-$E36*N(AND(DN$3&lt;=$F36,DN$4&gt;=$F36))</f>
        <v>-0</v>
      </c>
      <c r="DO36" s="43" t="n">
        <f aca="false">-$E36*N(AND(DO$3&lt;=$F36,DO$4&gt;=$F36))</f>
        <v>-0</v>
      </c>
      <c r="DP36" s="43" t="n">
        <f aca="false">-$E36*N(AND(DP$3&lt;=$F36,DP$4&gt;=$F36))</f>
        <v>-0</v>
      </c>
      <c r="DQ36" s="43" t="n">
        <f aca="false">-$E36*N(AND(DQ$3&lt;=$F36,DQ$4&gt;=$F36))</f>
        <v>-0</v>
      </c>
      <c r="DR36" s="43" t="n">
        <f aca="false">-$E36*N(AND(DR$3&lt;=$F36,DR$4&gt;=$F36))</f>
        <v>-0</v>
      </c>
      <c r="DS36" s="43" t="n">
        <f aca="false">-$E36*N(AND(DS$3&lt;=$F36,DS$4&gt;=$F36))</f>
        <v>-0</v>
      </c>
      <c r="DT36" s="43" t="n">
        <f aca="false">-$E36*N(AND(DT$3&lt;=$F36,DT$4&gt;=$F36))</f>
        <v>-0</v>
      </c>
      <c r="DU36" s="43" t="n">
        <f aca="false">-$E36*N(AND(DU$3&lt;=$F36,DU$4&gt;=$F36))</f>
        <v>-0</v>
      </c>
      <c r="DV36" s="43" t="n">
        <f aca="false">-$E36*N(AND(DV$3&lt;=$F36,DV$4&gt;=$F36))</f>
        <v>-0</v>
      </c>
      <c r="DW36" s="43" t="n">
        <f aca="false">-$E36*N(AND(DW$3&lt;=$F36,DW$4&gt;=$F36))</f>
        <v>-0</v>
      </c>
      <c r="DX36" s="43" t="n">
        <f aca="false">-$E36*N(AND(DX$3&lt;=$F36,DX$4&gt;=$F36))</f>
        <v>-0</v>
      </c>
      <c r="DY36" s="43" t="n">
        <f aca="false">-$E36*N(AND(DY$3&lt;=$F36,DY$4&gt;=$F36))</f>
        <v>-0</v>
      </c>
      <c r="DZ36" s="43" t="n">
        <f aca="false">-$E36*N(AND(DZ$3&lt;=$F36,DZ$4&gt;=$F36))</f>
        <v>-0</v>
      </c>
      <c r="EA36" s="43" t="n">
        <f aca="false">-$E36*N(AND(EA$3&lt;=$F36,EA$4&gt;=$F36))</f>
        <v>-0</v>
      </c>
      <c r="EB36" s="43" t="n">
        <f aca="false">-$E36*N(AND(EB$3&lt;=$F36,EB$4&gt;=$F36))</f>
        <v>-0</v>
      </c>
      <c r="EC36" s="43" t="n">
        <f aca="false">-$E36*N(AND(EC$3&lt;=$F36,EC$4&gt;=$F36))</f>
        <v>-0</v>
      </c>
      <c r="ED36" s="43" t="n">
        <f aca="false">-$E36*N(AND(ED$3&lt;=$F36,ED$4&gt;=$F36))</f>
        <v>-0</v>
      </c>
      <c r="EE36" s="43" t="n">
        <f aca="false">-$E36*N(AND(EE$3&lt;=$F36,EE$4&gt;=$F36))</f>
        <v>-0</v>
      </c>
      <c r="EF36" s="43" t="n">
        <f aca="false">-$E36*N(AND(EF$3&lt;=$F36,EF$4&gt;=$F36))</f>
        <v>-0</v>
      </c>
      <c r="EG36" s="43" t="n">
        <f aca="false">-$E36*N(AND(EG$3&lt;=$F36,EG$4&gt;=$F36))</f>
        <v>-0</v>
      </c>
      <c r="EH36" s="43" t="n">
        <f aca="false">-$E36*N(AND(EH$3&lt;=$F36,EH$4&gt;=$F36))</f>
        <v>-0</v>
      </c>
      <c r="EI36" s="43" t="n">
        <f aca="false">-$E36*N(AND(EI$3&lt;=$F36,EI$4&gt;=$F36))</f>
        <v>-0</v>
      </c>
      <c r="EJ36" s="43" t="n">
        <f aca="false">-$E36*N(AND(EJ$3&lt;=$F36,EJ$4&gt;=$F36))</f>
        <v>-0</v>
      </c>
      <c r="EK36" s="43" t="n">
        <f aca="false">-$E36*N(AND(EK$3&lt;=$F36,EK$4&gt;=$F36))</f>
        <v>-0</v>
      </c>
      <c r="EL36" s="43" t="n">
        <f aca="false">-$E36*N(AND(EL$3&lt;=$F36,EL$4&gt;=$F36))</f>
        <v>-0</v>
      </c>
      <c r="EM36" s="43" t="n">
        <f aca="false">-$E36*N(AND(EM$3&lt;=$F36,EM$4&gt;=$F36))</f>
        <v>-0</v>
      </c>
      <c r="EN36" s="43" t="n">
        <f aca="false">-$E36*N(AND(EN$3&lt;=$F36,EN$4&gt;=$F36))</f>
        <v>-0</v>
      </c>
      <c r="EO36" s="43" t="n">
        <f aca="false">-$E36*N(AND(EO$3&lt;=$F36,EO$4&gt;=$F36))</f>
        <v>-0</v>
      </c>
    </row>
    <row r="37" customFormat="false" ht="15" hidden="false" customHeight="false" outlineLevel="0" collapsed="false">
      <c r="C37" s="0" t="s">
        <v>350</v>
      </c>
      <c r="D37" s="11" t="s">
        <v>33</v>
      </c>
      <c r="I37" s="43" t="n">
        <f aca="false">SUM(J37:EO37)</f>
        <v>-500</v>
      </c>
      <c r="J37" s="43" t="n">
        <f aca="false">-In_Devex*J13</f>
        <v>-0</v>
      </c>
      <c r="K37" s="43" t="n">
        <f aca="false">-In_Devex*K13</f>
        <v>-70.4225352112676</v>
      </c>
      <c r="L37" s="43" t="n">
        <f aca="false">-In_Devex*L13</f>
        <v>-71.2050078247261</v>
      </c>
      <c r="M37" s="43" t="n">
        <f aca="false">-In_Devex*M13</f>
        <v>-71.9874804381847</v>
      </c>
      <c r="N37" s="43" t="n">
        <f aca="false">-In_Devex*N13</f>
        <v>-71.9874804381847</v>
      </c>
      <c r="O37" s="43" t="n">
        <f aca="false">-In_Devex*O13</f>
        <v>-71.2050078247261</v>
      </c>
      <c r="P37" s="43" t="n">
        <f aca="false">-In_Devex*P13</f>
        <v>-71.2050078247261</v>
      </c>
      <c r="Q37" s="43" t="n">
        <f aca="false">-In_Devex*Q13</f>
        <v>-71.9874804381847</v>
      </c>
      <c r="R37" s="43" t="n">
        <f aca="false">-In_Devex*R13</f>
        <v>-0</v>
      </c>
      <c r="S37" s="43" t="n">
        <f aca="false">-In_Devex*S13</f>
        <v>-0</v>
      </c>
      <c r="T37" s="43" t="n">
        <f aca="false">-In_Devex*T13</f>
        <v>-0</v>
      </c>
      <c r="U37" s="43" t="n">
        <f aca="false">-In_Devex*U13</f>
        <v>-0</v>
      </c>
      <c r="V37" s="43" t="n">
        <f aca="false">-In_Devex*V13</f>
        <v>-0</v>
      </c>
      <c r="W37" s="43" t="n">
        <f aca="false">-In_Devex*W13</f>
        <v>-0</v>
      </c>
      <c r="X37" s="43" t="n">
        <f aca="false">-In_Devex*X13</f>
        <v>-0</v>
      </c>
      <c r="Y37" s="43" t="n">
        <f aca="false">-In_Devex*Y13</f>
        <v>-0</v>
      </c>
      <c r="Z37" s="43" t="n">
        <f aca="false">-In_Devex*Z13</f>
        <v>-0</v>
      </c>
      <c r="AA37" s="43" t="n">
        <f aca="false">-In_Devex*AA13</f>
        <v>-0</v>
      </c>
      <c r="AB37" s="43" t="n">
        <f aca="false">-In_Devex*AB13</f>
        <v>-0</v>
      </c>
      <c r="AC37" s="43" t="n">
        <f aca="false">-In_Devex*AC13</f>
        <v>-0</v>
      </c>
      <c r="AD37" s="43" t="n">
        <f aca="false">-In_Devex*AD13</f>
        <v>-0</v>
      </c>
      <c r="AE37" s="43" t="n">
        <f aca="false">-In_Devex*AE13</f>
        <v>-0</v>
      </c>
      <c r="AF37" s="43" t="n">
        <f aca="false">-In_Devex*AF13</f>
        <v>-0</v>
      </c>
      <c r="AG37" s="43" t="n">
        <f aca="false">-In_Devex*AG13</f>
        <v>-0</v>
      </c>
      <c r="AH37" s="43" t="n">
        <f aca="false">-In_Devex*AH13</f>
        <v>-0</v>
      </c>
      <c r="AI37" s="43" t="n">
        <f aca="false">-In_Devex*AI13</f>
        <v>-0</v>
      </c>
      <c r="AJ37" s="43" t="n">
        <f aca="false">-In_Devex*AJ13</f>
        <v>-0</v>
      </c>
      <c r="AK37" s="43" t="n">
        <f aca="false">-In_Devex*AK13</f>
        <v>-0</v>
      </c>
      <c r="AL37" s="43" t="n">
        <f aca="false">-In_Devex*AL13</f>
        <v>-0</v>
      </c>
      <c r="AM37" s="43" t="n">
        <f aca="false">-In_Devex*AM13</f>
        <v>-0</v>
      </c>
      <c r="AN37" s="43" t="n">
        <f aca="false">-In_Devex*AN13</f>
        <v>-0</v>
      </c>
      <c r="AO37" s="43" t="n">
        <f aca="false">-In_Devex*AO13</f>
        <v>-0</v>
      </c>
      <c r="AP37" s="43" t="n">
        <f aca="false">-In_Devex*AP13</f>
        <v>-0</v>
      </c>
      <c r="AQ37" s="43" t="n">
        <f aca="false">-In_Devex*AQ13</f>
        <v>-0</v>
      </c>
      <c r="AR37" s="43" t="n">
        <f aca="false">-In_Devex*AR13</f>
        <v>-0</v>
      </c>
      <c r="AS37" s="43" t="n">
        <f aca="false">-In_Devex*AS13</f>
        <v>-0</v>
      </c>
      <c r="AT37" s="43" t="n">
        <f aca="false">-In_Devex*AT13</f>
        <v>-0</v>
      </c>
      <c r="AU37" s="43" t="n">
        <f aca="false">-In_Devex*AU13</f>
        <v>-0</v>
      </c>
      <c r="AV37" s="43" t="n">
        <f aca="false">-In_Devex*AV13</f>
        <v>-0</v>
      </c>
      <c r="AW37" s="43" t="n">
        <f aca="false">-In_Devex*AW13</f>
        <v>-0</v>
      </c>
      <c r="AX37" s="43" t="n">
        <f aca="false">-In_Devex*AX13</f>
        <v>-0</v>
      </c>
      <c r="AY37" s="43" t="n">
        <f aca="false">-In_Devex*AY13</f>
        <v>-0</v>
      </c>
      <c r="AZ37" s="43" t="n">
        <f aca="false">-In_Devex*AZ13</f>
        <v>-0</v>
      </c>
      <c r="BA37" s="43" t="n">
        <f aca="false">-In_Devex*BA13</f>
        <v>-0</v>
      </c>
      <c r="BB37" s="43" t="n">
        <f aca="false">-In_Devex*BB13</f>
        <v>-0</v>
      </c>
      <c r="BC37" s="43" t="n">
        <f aca="false">-In_Devex*BC13</f>
        <v>-0</v>
      </c>
      <c r="BD37" s="43" t="n">
        <f aca="false">-In_Devex*BD13</f>
        <v>-0</v>
      </c>
      <c r="BE37" s="43" t="n">
        <f aca="false">-In_Devex*BE13</f>
        <v>-0</v>
      </c>
      <c r="BF37" s="43" t="n">
        <f aca="false">-In_Devex*BF13</f>
        <v>-0</v>
      </c>
      <c r="BG37" s="43" t="n">
        <f aca="false">-In_Devex*BG13</f>
        <v>-0</v>
      </c>
      <c r="BH37" s="43" t="n">
        <f aca="false">-In_Devex*BH13</f>
        <v>-0</v>
      </c>
      <c r="BI37" s="43" t="n">
        <f aca="false">-In_Devex*BI13</f>
        <v>-0</v>
      </c>
      <c r="BJ37" s="43" t="n">
        <f aca="false">-In_Devex*BJ13</f>
        <v>-0</v>
      </c>
      <c r="BK37" s="43" t="n">
        <f aca="false">-In_Devex*BK13</f>
        <v>-0</v>
      </c>
      <c r="BL37" s="43" t="n">
        <f aca="false">-In_Devex*BL13</f>
        <v>-0</v>
      </c>
      <c r="BM37" s="43" t="n">
        <f aca="false">-In_Devex*BM13</f>
        <v>-0</v>
      </c>
      <c r="BN37" s="43" t="n">
        <f aca="false">-In_Devex*BN13</f>
        <v>-0</v>
      </c>
      <c r="BO37" s="43" t="n">
        <f aca="false">-In_Devex*BO13</f>
        <v>-0</v>
      </c>
      <c r="BP37" s="43" t="n">
        <f aca="false">-In_Devex*BP13</f>
        <v>-0</v>
      </c>
      <c r="BQ37" s="43" t="n">
        <f aca="false">-In_Devex*BQ13</f>
        <v>-0</v>
      </c>
      <c r="BR37" s="43" t="n">
        <f aca="false">-In_Devex*BR13</f>
        <v>-0</v>
      </c>
      <c r="BS37" s="43" t="n">
        <f aca="false">-In_Devex*BS13</f>
        <v>-0</v>
      </c>
      <c r="BT37" s="43" t="n">
        <f aca="false">-In_Devex*BT13</f>
        <v>-0</v>
      </c>
      <c r="BU37" s="43" t="n">
        <f aca="false">-In_Devex*BU13</f>
        <v>-0</v>
      </c>
      <c r="BV37" s="43" t="n">
        <f aca="false">-In_Devex*BV13</f>
        <v>-0</v>
      </c>
      <c r="BW37" s="43" t="n">
        <f aca="false">-In_Devex*BW13</f>
        <v>-0</v>
      </c>
      <c r="BX37" s="43" t="n">
        <f aca="false">-In_Devex*BX13</f>
        <v>-0</v>
      </c>
      <c r="BY37" s="43" t="n">
        <f aca="false">-In_Devex*BY13</f>
        <v>-0</v>
      </c>
      <c r="BZ37" s="43" t="n">
        <f aca="false">-In_Devex*BZ13</f>
        <v>-0</v>
      </c>
      <c r="CA37" s="43" t="n">
        <f aca="false">-In_Devex*CA13</f>
        <v>-0</v>
      </c>
      <c r="CB37" s="43" t="n">
        <f aca="false">-In_Devex*CB13</f>
        <v>-0</v>
      </c>
      <c r="CC37" s="43" t="n">
        <f aca="false">-In_Devex*CC13</f>
        <v>-0</v>
      </c>
      <c r="CD37" s="43" t="n">
        <f aca="false">-In_Devex*CD13</f>
        <v>-0</v>
      </c>
      <c r="CE37" s="43" t="n">
        <f aca="false">-In_Devex*CE13</f>
        <v>-0</v>
      </c>
      <c r="CF37" s="43" t="n">
        <f aca="false">-In_Devex*CF13</f>
        <v>-0</v>
      </c>
      <c r="CG37" s="43" t="n">
        <f aca="false">-In_Devex*CG13</f>
        <v>-0</v>
      </c>
      <c r="CH37" s="43" t="n">
        <f aca="false">-In_Devex*CH13</f>
        <v>-0</v>
      </c>
      <c r="CI37" s="43" t="n">
        <f aca="false">-In_Devex*CI13</f>
        <v>-0</v>
      </c>
      <c r="CJ37" s="43" t="n">
        <f aca="false">-In_Devex*CJ13</f>
        <v>-0</v>
      </c>
      <c r="CK37" s="43" t="n">
        <f aca="false">-In_Devex*CK13</f>
        <v>-0</v>
      </c>
      <c r="CL37" s="43" t="n">
        <f aca="false">-In_Devex*CL13</f>
        <v>-0</v>
      </c>
      <c r="CM37" s="43" t="n">
        <f aca="false">-In_Devex*CM13</f>
        <v>-0</v>
      </c>
      <c r="CN37" s="43" t="n">
        <f aca="false">-In_Devex*CN13</f>
        <v>-0</v>
      </c>
      <c r="CO37" s="43" t="n">
        <f aca="false">-In_Devex*CO13</f>
        <v>-0</v>
      </c>
      <c r="CP37" s="43" t="n">
        <f aca="false">-In_Devex*CP13</f>
        <v>-0</v>
      </c>
      <c r="CQ37" s="43" t="n">
        <f aca="false">-In_Devex*CQ13</f>
        <v>-0</v>
      </c>
      <c r="CR37" s="43" t="n">
        <f aca="false">-In_Devex*CR13</f>
        <v>-0</v>
      </c>
      <c r="CS37" s="43" t="n">
        <f aca="false">-In_Devex*CS13</f>
        <v>-0</v>
      </c>
      <c r="CT37" s="43" t="n">
        <f aca="false">-In_Devex*CT13</f>
        <v>-0</v>
      </c>
      <c r="CU37" s="43" t="n">
        <f aca="false">-In_Devex*CU13</f>
        <v>-0</v>
      </c>
      <c r="CV37" s="43" t="n">
        <f aca="false">-In_Devex*CV13</f>
        <v>-0</v>
      </c>
      <c r="CW37" s="43" t="n">
        <f aca="false">-In_Devex*CW13</f>
        <v>-0</v>
      </c>
      <c r="CX37" s="43" t="n">
        <f aca="false">-In_Devex*CX13</f>
        <v>-0</v>
      </c>
      <c r="CY37" s="43" t="n">
        <f aca="false">-In_Devex*CY13</f>
        <v>-0</v>
      </c>
      <c r="CZ37" s="43" t="n">
        <f aca="false">-In_Devex*CZ13</f>
        <v>-0</v>
      </c>
      <c r="DA37" s="43" t="n">
        <f aca="false">-In_Devex*DA13</f>
        <v>-0</v>
      </c>
      <c r="DB37" s="43" t="n">
        <f aca="false">-In_Devex*DB13</f>
        <v>-0</v>
      </c>
      <c r="DC37" s="43" t="n">
        <f aca="false">-In_Devex*DC13</f>
        <v>-0</v>
      </c>
      <c r="DD37" s="43" t="n">
        <f aca="false">-In_Devex*DD13</f>
        <v>-0</v>
      </c>
      <c r="DE37" s="43" t="n">
        <f aca="false">-In_Devex*DE13</f>
        <v>-0</v>
      </c>
      <c r="DF37" s="43" t="n">
        <f aca="false">-In_Devex*DF13</f>
        <v>-0</v>
      </c>
      <c r="DG37" s="43" t="n">
        <f aca="false">-In_Devex*DG13</f>
        <v>-0</v>
      </c>
      <c r="DH37" s="43" t="n">
        <f aca="false">-In_Devex*DH13</f>
        <v>-0</v>
      </c>
      <c r="DI37" s="43" t="n">
        <f aca="false">-In_Devex*DI13</f>
        <v>-0</v>
      </c>
      <c r="DJ37" s="43" t="n">
        <f aca="false">-In_Devex*DJ13</f>
        <v>-0</v>
      </c>
      <c r="DK37" s="43" t="n">
        <f aca="false">-In_Devex*DK13</f>
        <v>-0</v>
      </c>
      <c r="DL37" s="43" t="n">
        <f aca="false">-In_Devex*DL13</f>
        <v>-0</v>
      </c>
      <c r="DM37" s="43" t="n">
        <f aca="false">-In_Devex*DM13</f>
        <v>-0</v>
      </c>
      <c r="DN37" s="43" t="n">
        <f aca="false">-In_Devex*DN13</f>
        <v>-0</v>
      </c>
      <c r="DO37" s="43" t="n">
        <f aca="false">-In_Devex*DO13</f>
        <v>-0</v>
      </c>
      <c r="DP37" s="43" t="n">
        <f aca="false">-In_Devex*DP13</f>
        <v>-0</v>
      </c>
      <c r="DQ37" s="43" t="n">
        <f aca="false">-In_Devex*DQ13</f>
        <v>-0</v>
      </c>
      <c r="DR37" s="43" t="n">
        <f aca="false">-In_Devex*DR13</f>
        <v>-0</v>
      </c>
      <c r="DS37" s="43" t="n">
        <f aca="false">-In_Devex*DS13</f>
        <v>-0</v>
      </c>
      <c r="DT37" s="43" t="n">
        <f aca="false">-In_Devex*DT13</f>
        <v>-0</v>
      </c>
      <c r="DU37" s="43" t="n">
        <f aca="false">-In_Devex*DU13</f>
        <v>-0</v>
      </c>
      <c r="DV37" s="43" t="n">
        <f aca="false">-In_Devex*DV13</f>
        <v>-0</v>
      </c>
      <c r="DW37" s="43" t="n">
        <f aca="false">-In_Devex*DW13</f>
        <v>-0</v>
      </c>
      <c r="DX37" s="43" t="n">
        <f aca="false">-In_Devex*DX13</f>
        <v>-0</v>
      </c>
      <c r="DY37" s="43" t="n">
        <f aca="false">-In_Devex*DY13</f>
        <v>-0</v>
      </c>
      <c r="DZ37" s="43" t="n">
        <f aca="false">-In_Devex*DZ13</f>
        <v>-0</v>
      </c>
      <c r="EA37" s="43" t="n">
        <f aca="false">-In_Devex*EA13</f>
        <v>-0</v>
      </c>
      <c r="EB37" s="43" t="n">
        <f aca="false">-In_Devex*EB13</f>
        <v>-0</v>
      </c>
      <c r="EC37" s="43" t="n">
        <f aca="false">-In_Devex*EC13</f>
        <v>-0</v>
      </c>
      <c r="ED37" s="43" t="n">
        <f aca="false">-In_Devex*ED13</f>
        <v>-0</v>
      </c>
      <c r="EE37" s="43" t="n">
        <f aca="false">-In_Devex*EE13</f>
        <v>-0</v>
      </c>
      <c r="EF37" s="43" t="n">
        <f aca="false">-In_Devex*EF13</f>
        <v>-0</v>
      </c>
      <c r="EG37" s="43" t="n">
        <f aca="false">-In_Devex*EG13</f>
        <v>-0</v>
      </c>
      <c r="EH37" s="43" t="n">
        <f aca="false">-In_Devex*EH13</f>
        <v>-0</v>
      </c>
      <c r="EI37" s="43" t="n">
        <f aca="false">-In_Devex*EI13</f>
        <v>-0</v>
      </c>
      <c r="EJ37" s="43" t="n">
        <f aca="false">-In_Devex*EJ13</f>
        <v>-0</v>
      </c>
      <c r="EK37" s="43" t="n">
        <f aca="false">-In_Devex*EK13</f>
        <v>-0</v>
      </c>
      <c r="EL37" s="43" t="n">
        <f aca="false">-In_Devex*EL13</f>
        <v>-0</v>
      </c>
      <c r="EM37" s="43" t="n">
        <f aca="false">-In_Devex*EM13</f>
        <v>-0</v>
      </c>
      <c r="EN37" s="43" t="n">
        <f aca="false">-In_Devex*EN13</f>
        <v>-0</v>
      </c>
      <c r="EO37" s="43" t="n">
        <f aca="false">-In_Devex*EO13</f>
        <v>-0</v>
      </c>
    </row>
    <row r="38" customFormat="false" ht="15" hidden="false" customHeight="false" outlineLevel="0" collapsed="false">
      <c r="C38" s="0" t="s">
        <v>351</v>
      </c>
      <c r="D38" s="11" t="s">
        <v>226</v>
      </c>
      <c r="E38" s="43" t="n">
        <f aca="false">In_Wind_MW*In_Bench_Wind</f>
        <v>20300</v>
      </c>
    </row>
    <row r="39" customFormat="false" ht="15" hidden="false" customHeight="false" outlineLevel="0" collapsed="false">
      <c r="C39" s="0" t="s">
        <v>352</v>
      </c>
      <c r="D39" s="11" t="s">
        <v>33</v>
      </c>
      <c r="E39" s="43" t="n">
        <f aca="false">In_Part_Fee*Thousand/In_FX</f>
        <v>8.21917808219178</v>
      </c>
      <c r="F39" s="20" t="n">
        <f aca="false">In_Bid_Date</f>
        <v>46325</v>
      </c>
      <c r="I39" s="43" t="n">
        <f aca="false">SUM(J39:EO39)</f>
        <v>-8.21917808219178</v>
      </c>
      <c r="J39" s="43" t="n">
        <f aca="false">-$E39*N(AND(J$3&lt;=$F39,J$4&gt;=$F39))</f>
        <v>-8.21917808219178</v>
      </c>
      <c r="K39" s="43" t="n">
        <f aca="false">-$E39*N(AND(K$3&lt;=$F39,K$4&gt;=$F39))</f>
        <v>-0</v>
      </c>
      <c r="L39" s="43" t="n">
        <f aca="false">-$E39*N(AND(L$3&lt;=$F39,L$4&gt;=$F39))</f>
        <v>-0</v>
      </c>
      <c r="M39" s="43" t="n">
        <f aca="false">-$E39*N(AND(M$3&lt;=$F39,M$4&gt;=$F39))</f>
        <v>-0</v>
      </c>
      <c r="N39" s="43" t="n">
        <f aca="false">-$E39*N(AND(N$3&lt;=$F39,N$4&gt;=$F39))</f>
        <v>-0</v>
      </c>
      <c r="O39" s="43" t="n">
        <f aca="false">-$E39*N(AND(O$3&lt;=$F39,O$4&gt;=$F39))</f>
        <v>-0</v>
      </c>
      <c r="P39" s="43" t="n">
        <f aca="false">-$E39*N(AND(P$3&lt;=$F39,P$4&gt;=$F39))</f>
        <v>-0</v>
      </c>
      <c r="Q39" s="43" t="n">
        <f aca="false">-$E39*N(AND(Q$3&lt;=$F39,Q$4&gt;=$F39))</f>
        <v>-0</v>
      </c>
      <c r="R39" s="43" t="n">
        <f aca="false">-$E39*N(AND(R$3&lt;=$F39,R$4&gt;=$F39))</f>
        <v>-0</v>
      </c>
      <c r="S39" s="43" t="n">
        <f aca="false">-$E39*N(AND(S$3&lt;=$F39,S$4&gt;=$F39))</f>
        <v>-0</v>
      </c>
      <c r="T39" s="43" t="n">
        <f aca="false">-$E39*N(AND(T$3&lt;=$F39,T$4&gt;=$F39))</f>
        <v>-0</v>
      </c>
      <c r="U39" s="43" t="n">
        <f aca="false">-$E39*N(AND(U$3&lt;=$F39,U$4&gt;=$F39))</f>
        <v>-0</v>
      </c>
      <c r="V39" s="43" t="n">
        <f aca="false">-$E39*N(AND(V$3&lt;=$F39,V$4&gt;=$F39))</f>
        <v>-0</v>
      </c>
      <c r="W39" s="43" t="n">
        <f aca="false">-$E39*N(AND(W$3&lt;=$F39,W$4&gt;=$F39))</f>
        <v>-0</v>
      </c>
      <c r="X39" s="43" t="n">
        <f aca="false">-$E39*N(AND(X$3&lt;=$F39,X$4&gt;=$F39))</f>
        <v>-0</v>
      </c>
      <c r="Y39" s="43" t="n">
        <f aca="false">-$E39*N(AND(Y$3&lt;=$F39,Y$4&gt;=$F39))</f>
        <v>-0</v>
      </c>
      <c r="Z39" s="43" t="n">
        <f aca="false">-$E39*N(AND(Z$3&lt;=$F39,Z$4&gt;=$F39))</f>
        <v>-0</v>
      </c>
      <c r="AA39" s="43" t="n">
        <f aca="false">-$E39*N(AND(AA$3&lt;=$F39,AA$4&gt;=$F39))</f>
        <v>-0</v>
      </c>
      <c r="AB39" s="43" t="n">
        <f aca="false">-$E39*N(AND(AB$3&lt;=$F39,AB$4&gt;=$F39))</f>
        <v>-0</v>
      </c>
      <c r="AC39" s="43" t="n">
        <f aca="false">-$E39*N(AND(AC$3&lt;=$F39,AC$4&gt;=$F39))</f>
        <v>-0</v>
      </c>
      <c r="AD39" s="43" t="n">
        <f aca="false">-$E39*N(AND(AD$3&lt;=$F39,AD$4&gt;=$F39))</f>
        <v>-0</v>
      </c>
      <c r="AE39" s="43" t="n">
        <f aca="false">-$E39*N(AND(AE$3&lt;=$F39,AE$4&gt;=$F39))</f>
        <v>-0</v>
      </c>
      <c r="AF39" s="43" t="n">
        <f aca="false">-$E39*N(AND(AF$3&lt;=$F39,AF$4&gt;=$F39))</f>
        <v>-0</v>
      </c>
      <c r="AG39" s="43" t="n">
        <f aca="false">-$E39*N(AND(AG$3&lt;=$F39,AG$4&gt;=$F39))</f>
        <v>-0</v>
      </c>
      <c r="AH39" s="43" t="n">
        <f aca="false">-$E39*N(AND(AH$3&lt;=$F39,AH$4&gt;=$F39))</f>
        <v>-0</v>
      </c>
      <c r="AI39" s="43" t="n">
        <f aca="false">-$E39*N(AND(AI$3&lt;=$F39,AI$4&gt;=$F39))</f>
        <v>-0</v>
      </c>
      <c r="AJ39" s="43" t="n">
        <f aca="false">-$E39*N(AND(AJ$3&lt;=$F39,AJ$4&gt;=$F39))</f>
        <v>-0</v>
      </c>
      <c r="AK39" s="43" t="n">
        <f aca="false">-$E39*N(AND(AK$3&lt;=$F39,AK$4&gt;=$F39))</f>
        <v>-0</v>
      </c>
      <c r="AL39" s="43" t="n">
        <f aca="false">-$E39*N(AND(AL$3&lt;=$F39,AL$4&gt;=$F39))</f>
        <v>-0</v>
      </c>
      <c r="AM39" s="43" t="n">
        <f aca="false">-$E39*N(AND(AM$3&lt;=$F39,AM$4&gt;=$F39))</f>
        <v>-0</v>
      </c>
      <c r="AN39" s="43" t="n">
        <f aca="false">-$E39*N(AND(AN$3&lt;=$F39,AN$4&gt;=$F39))</f>
        <v>-0</v>
      </c>
      <c r="AO39" s="43" t="n">
        <f aca="false">-$E39*N(AND(AO$3&lt;=$F39,AO$4&gt;=$F39))</f>
        <v>-0</v>
      </c>
      <c r="AP39" s="43" t="n">
        <f aca="false">-$E39*N(AND(AP$3&lt;=$F39,AP$4&gt;=$F39))</f>
        <v>-0</v>
      </c>
      <c r="AQ39" s="43" t="n">
        <f aca="false">-$E39*N(AND(AQ$3&lt;=$F39,AQ$4&gt;=$F39))</f>
        <v>-0</v>
      </c>
      <c r="AR39" s="43" t="n">
        <f aca="false">-$E39*N(AND(AR$3&lt;=$F39,AR$4&gt;=$F39))</f>
        <v>-0</v>
      </c>
      <c r="AS39" s="43" t="n">
        <f aca="false">-$E39*N(AND(AS$3&lt;=$F39,AS$4&gt;=$F39))</f>
        <v>-0</v>
      </c>
      <c r="AT39" s="43" t="n">
        <f aca="false">-$E39*N(AND(AT$3&lt;=$F39,AT$4&gt;=$F39))</f>
        <v>-0</v>
      </c>
      <c r="AU39" s="43" t="n">
        <f aca="false">-$E39*N(AND(AU$3&lt;=$F39,AU$4&gt;=$F39))</f>
        <v>-0</v>
      </c>
      <c r="AV39" s="43" t="n">
        <f aca="false">-$E39*N(AND(AV$3&lt;=$F39,AV$4&gt;=$F39))</f>
        <v>-0</v>
      </c>
      <c r="AW39" s="43" t="n">
        <f aca="false">-$E39*N(AND(AW$3&lt;=$F39,AW$4&gt;=$F39))</f>
        <v>-0</v>
      </c>
      <c r="AX39" s="43" t="n">
        <f aca="false">-$E39*N(AND(AX$3&lt;=$F39,AX$4&gt;=$F39))</f>
        <v>-0</v>
      </c>
      <c r="AY39" s="43" t="n">
        <f aca="false">-$E39*N(AND(AY$3&lt;=$F39,AY$4&gt;=$F39))</f>
        <v>-0</v>
      </c>
      <c r="AZ39" s="43" t="n">
        <f aca="false">-$E39*N(AND(AZ$3&lt;=$F39,AZ$4&gt;=$F39))</f>
        <v>-0</v>
      </c>
      <c r="BA39" s="43" t="n">
        <f aca="false">-$E39*N(AND(BA$3&lt;=$F39,BA$4&gt;=$F39))</f>
        <v>-0</v>
      </c>
      <c r="BB39" s="43" t="n">
        <f aca="false">-$E39*N(AND(BB$3&lt;=$F39,BB$4&gt;=$F39))</f>
        <v>-0</v>
      </c>
      <c r="BC39" s="43" t="n">
        <f aca="false">-$E39*N(AND(BC$3&lt;=$F39,BC$4&gt;=$F39))</f>
        <v>-0</v>
      </c>
      <c r="BD39" s="43" t="n">
        <f aca="false">-$E39*N(AND(BD$3&lt;=$F39,BD$4&gt;=$F39))</f>
        <v>-0</v>
      </c>
      <c r="BE39" s="43" t="n">
        <f aca="false">-$E39*N(AND(BE$3&lt;=$F39,BE$4&gt;=$F39))</f>
        <v>-0</v>
      </c>
      <c r="BF39" s="43" t="n">
        <f aca="false">-$E39*N(AND(BF$3&lt;=$F39,BF$4&gt;=$F39))</f>
        <v>-0</v>
      </c>
      <c r="BG39" s="43" t="n">
        <f aca="false">-$E39*N(AND(BG$3&lt;=$F39,BG$4&gt;=$F39))</f>
        <v>-0</v>
      </c>
      <c r="BH39" s="43" t="n">
        <f aca="false">-$E39*N(AND(BH$3&lt;=$F39,BH$4&gt;=$F39))</f>
        <v>-0</v>
      </c>
      <c r="BI39" s="43" t="n">
        <f aca="false">-$E39*N(AND(BI$3&lt;=$F39,BI$4&gt;=$F39))</f>
        <v>-0</v>
      </c>
      <c r="BJ39" s="43" t="n">
        <f aca="false">-$E39*N(AND(BJ$3&lt;=$F39,BJ$4&gt;=$F39))</f>
        <v>-0</v>
      </c>
      <c r="BK39" s="43" t="n">
        <f aca="false">-$E39*N(AND(BK$3&lt;=$F39,BK$4&gt;=$F39))</f>
        <v>-0</v>
      </c>
      <c r="BL39" s="43" t="n">
        <f aca="false">-$E39*N(AND(BL$3&lt;=$F39,BL$4&gt;=$F39))</f>
        <v>-0</v>
      </c>
      <c r="BM39" s="43" t="n">
        <f aca="false">-$E39*N(AND(BM$3&lt;=$F39,BM$4&gt;=$F39))</f>
        <v>-0</v>
      </c>
      <c r="BN39" s="43" t="n">
        <f aca="false">-$E39*N(AND(BN$3&lt;=$F39,BN$4&gt;=$F39))</f>
        <v>-0</v>
      </c>
      <c r="BO39" s="43" t="n">
        <f aca="false">-$E39*N(AND(BO$3&lt;=$F39,BO$4&gt;=$F39))</f>
        <v>-0</v>
      </c>
      <c r="BP39" s="43" t="n">
        <f aca="false">-$E39*N(AND(BP$3&lt;=$F39,BP$4&gt;=$F39))</f>
        <v>-0</v>
      </c>
      <c r="BQ39" s="43" t="n">
        <f aca="false">-$E39*N(AND(BQ$3&lt;=$F39,BQ$4&gt;=$F39))</f>
        <v>-0</v>
      </c>
      <c r="BR39" s="43" t="n">
        <f aca="false">-$E39*N(AND(BR$3&lt;=$F39,BR$4&gt;=$F39))</f>
        <v>-0</v>
      </c>
      <c r="BS39" s="43" t="n">
        <f aca="false">-$E39*N(AND(BS$3&lt;=$F39,BS$4&gt;=$F39))</f>
        <v>-0</v>
      </c>
      <c r="BT39" s="43" t="n">
        <f aca="false">-$E39*N(AND(BT$3&lt;=$F39,BT$4&gt;=$F39))</f>
        <v>-0</v>
      </c>
      <c r="BU39" s="43" t="n">
        <f aca="false">-$E39*N(AND(BU$3&lt;=$F39,BU$4&gt;=$F39))</f>
        <v>-0</v>
      </c>
      <c r="BV39" s="43" t="n">
        <f aca="false">-$E39*N(AND(BV$3&lt;=$F39,BV$4&gt;=$F39))</f>
        <v>-0</v>
      </c>
      <c r="BW39" s="43" t="n">
        <f aca="false">-$E39*N(AND(BW$3&lt;=$F39,BW$4&gt;=$F39))</f>
        <v>-0</v>
      </c>
      <c r="BX39" s="43" t="n">
        <f aca="false">-$E39*N(AND(BX$3&lt;=$F39,BX$4&gt;=$F39))</f>
        <v>-0</v>
      </c>
      <c r="BY39" s="43" t="n">
        <f aca="false">-$E39*N(AND(BY$3&lt;=$F39,BY$4&gt;=$F39))</f>
        <v>-0</v>
      </c>
      <c r="BZ39" s="43" t="n">
        <f aca="false">-$E39*N(AND(BZ$3&lt;=$F39,BZ$4&gt;=$F39))</f>
        <v>-0</v>
      </c>
      <c r="CA39" s="43" t="n">
        <f aca="false">-$E39*N(AND(CA$3&lt;=$F39,CA$4&gt;=$F39))</f>
        <v>-0</v>
      </c>
      <c r="CB39" s="43" t="n">
        <f aca="false">-$E39*N(AND(CB$3&lt;=$F39,CB$4&gt;=$F39))</f>
        <v>-0</v>
      </c>
      <c r="CC39" s="43" t="n">
        <f aca="false">-$E39*N(AND(CC$3&lt;=$F39,CC$4&gt;=$F39))</f>
        <v>-0</v>
      </c>
      <c r="CD39" s="43" t="n">
        <f aca="false">-$E39*N(AND(CD$3&lt;=$F39,CD$4&gt;=$F39))</f>
        <v>-0</v>
      </c>
      <c r="CE39" s="43" t="n">
        <f aca="false">-$E39*N(AND(CE$3&lt;=$F39,CE$4&gt;=$F39))</f>
        <v>-0</v>
      </c>
      <c r="CF39" s="43" t="n">
        <f aca="false">-$E39*N(AND(CF$3&lt;=$F39,CF$4&gt;=$F39))</f>
        <v>-0</v>
      </c>
      <c r="CG39" s="43" t="n">
        <f aca="false">-$E39*N(AND(CG$3&lt;=$F39,CG$4&gt;=$F39))</f>
        <v>-0</v>
      </c>
      <c r="CH39" s="43" t="n">
        <f aca="false">-$E39*N(AND(CH$3&lt;=$F39,CH$4&gt;=$F39))</f>
        <v>-0</v>
      </c>
      <c r="CI39" s="43" t="n">
        <f aca="false">-$E39*N(AND(CI$3&lt;=$F39,CI$4&gt;=$F39))</f>
        <v>-0</v>
      </c>
      <c r="CJ39" s="43" t="n">
        <f aca="false">-$E39*N(AND(CJ$3&lt;=$F39,CJ$4&gt;=$F39))</f>
        <v>-0</v>
      </c>
      <c r="CK39" s="43" t="n">
        <f aca="false">-$E39*N(AND(CK$3&lt;=$F39,CK$4&gt;=$F39))</f>
        <v>-0</v>
      </c>
      <c r="CL39" s="43" t="n">
        <f aca="false">-$E39*N(AND(CL$3&lt;=$F39,CL$4&gt;=$F39))</f>
        <v>-0</v>
      </c>
      <c r="CM39" s="43" t="n">
        <f aca="false">-$E39*N(AND(CM$3&lt;=$F39,CM$4&gt;=$F39))</f>
        <v>-0</v>
      </c>
      <c r="CN39" s="43" t="n">
        <f aca="false">-$E39*N(AND(CN$3&lt;=$F39,CN$4&gt;=$F39))</f>
        <v>-0</v>
      </c>
      <c r="CO39" s="43" t="n">
        <f aca="false">-$E39*N(AND(CO$3&lt;=$F39,CO$4&gt;=$F39))</f>
        <v>-0</v>
      </c>
      <c r="CP39" s="43" t="n">
        <f aca="false">-$E39*N(AND(CP$3&lt;=$F39,CP$4&gt;=$F39))</f>
        <v>-0</v>
      </c>
      <c r="CQ39" s="43" t="n">
        <f aca="false">-$E39*N(AND(CQ$3&lt;=$F39,CQ$4&gt;=$F39))</f>
        <v>-0</v>
      </c>
      <c r="CR39" s="43" t="n">
        <f aca="false">-$E39*N(AND(CR$3&lt;=$F39,CR$4&gt;=$F39))</f>
        <v>-0</v>
      </c>
      <c r="CS39" s="43" t="n">
        <f aca="false">-$E39*N(AND(CS$3&lt;=$F39,CS$4&gt;=$F39))</f>
        <v>-0</v>
      </c>
      <c r="CT39" s="43" t="n">
        <f aca="false">-$E39*N(AND(CT$3&lt;=$F39,CT$4&gt;=$F39))</f>
        <v>-0</v>
      </c>
      <c r="CU39" s="43" t="n">
        <f aca="false">-$E39*N(AND(CU$3&lt;=$F39,CU$4&gt;=$F39))</f>
        <v>-0</v>
      </c>
      <c r="CV39" s="43" t="n">
        <f aca="false">-$E39*N(AND(CV$3&lt;=$F39,CV$4&gt;=$F39))</f>
        <v>-0</v>
      </c>
      <c r="CW39" s="43" t="n">
        <f aca="false">-$E39*N(AND(CW$3&lt;=$F39,CW$4&gt;=$F39))</f>
        <v>-0</v>
      </c>
      <c r="CX39" s="43" t="n">
        <f aca="false">-$E39*N(AND(CX$3&lt;=$F39,CX$4&gt;=$F39))</f>
        <v>-0</v>
      </c>
      <c r="CY39" s="43" t="n">
        <f aca="false">-$E39*N(AND(CY$3&lt;=$F39,CY$4&gt;=$F39))</f>
        <v>-0</v>
      </c>
      <c r="CZ39" s="43" t="n">
        <f aca="false">-$E39*N(AND(CZ$3&lt;=$F39,CZ$4&gt;=$F39))</f>
        <v>-0</v>
      </c>
      <c r="DA39" s="43" t="n">
        <f aca="false">-$E39*N(AND(DA$3&lt;=$F39,DA$4&gt;=$F39))</f>
        <v>-0</v>
      </c>
      <c r="DB39" s="43" t="n">
        <f aca="false">-$E39*N(AND(DB$3&lt;=$F39,DB$4&gt;=$F39))</f>
        <v>-0</v>
      </c>
      <c r="DC39" s="43" t="n">
        <f aca="false">-$E39*N(AND(DC$3&lt;=$F39,DC$4&gt;=$F39))</f>
        <v>-0</v>
      </c>
      <c r="DD39" s="43" t="n">
        <f aca="false">-$E39*N(AND(DD$3&lt;=$F39,DD$4&gt;=$F39))</f>
        <v>-0</v>
      </c>
      <c r="DE39" s="43" t="n">
        <f aca="false">-$E39*N(AND(DE$3&lt;=$F39,DE$4&gt;=$F39))</f>
        <v>-0</v>
      </c>
      <c r="DF39" s="43" t="n">
        <f aca="false">-$E39*N(AND(DF$3&lt;=$F39,DF$4&gt;=$F39))</f>
        <v>-0</v>
      </c>
      <c r="DG39" s="43" t="n">
        <f aca="false">-$E39*N(AND(DG$3&lt;=$F39,DG$4&gt;=$F39))</f>
        <v>-0</v>
      </c>
      <c r="DH39" s="43" t="n">
        <f aca="false">-$E39*N(AND(DH$3&lt;=$F39,DH$4&gt;=$F39))</f>
        <v>-0</v>
      </c>
      <c r="DI39" s="43" t="n">
        <f aca="false">-$E39*N(AND(DI$3&lt;=$F39,DI$4&gt;=$F39))</f>
        <v>-0</v>
      </c>
      <c r="DJ39" s="43" t="n">
        <f aca="false">-$E39*N(AND(DJ$3&lt;=$F39,DJ$4&gt;=$F39))</f>
        <v>-0</v>
      </c>
      <c r="DK39" s="43" t="n">
        <f aca="false">-$E39*N(AND(DK$3&lt;=$F39,DK$4&gt;=$F39))</f>
        <v>-0</v>
      </c>
      <c r="DL39" s="43" t="n">
        <f aca="false">-$E39*N(AND(DL$3&lt;=$F39,DL$4&gt;=$F39))</f>
        <v>-0</v>
      </c>
      <c r="DM39" s="43" t="n">
        <f aca="false">-$E39*N(AND(DM$3&lt;=$F39,DM$4&gt;=$F39))</f>
        <v>-0</v>
      </c>
      <c r="DN39" s="43" t="n">
        <f aca="false">-$E39*N(AND(DN$3&lt;=$F39,DN$4&gt;=$F39))</f>
        <v>-0</v>
      </c>
      <c r="DO39" s="43" t="n">
        <f aca="false">-$E39*N(AND(DO$3&lt;=$F39,DO$4&gt;=$F39))</f>
        <v>-0</v>
      </c>
      <c r="DP39" s="43" t="n">
        <f aca="false">-$E39*N(AND(DP$3&lt;=$F39,DP$4&gt;=$F39))</f>
        <v>-0</v>
      </c>
      <c r="DQ39" s="43" t="n">
        <f aca="false">-$E39*N(AND(DQ$3&lt;=$F39,DQ$4&gt;=$F39))</f>
        <v>-0</v>
      </c>
      <c r="DR39" s="43" t="n">
        <f aca="false">-$E39*N(AND(DR$3&lt;=$F39,DR$4&gt;=$F39))</f>
        <v>-0</v>
      </c>
      <c r="DS39" s="43" t="n">
        <f aca="false">-$E39*N(AND(DS$3&lt;=$F39,DS$4&gt;=$F39))</f>
        <v>-0</v>
      </c>
      <c r="DT39" s="43" t="n">
        <f aca="false">-$E39*N(AND(DT$3&lt;=$F39,DT$4&gt;=$F39))</f>
        <v>-0</v>
      </c>
      <c r="DU39" s="43" t="n">
        <f aca="false">-$E39*N(AND(DU$3&lt;=$F39,DU$4&gt;=$F39))</f>
        <v>-0</v>
      </c>
      <c r="DV39" s="43" t="n">
        <f aca="false">-$E39*N(AND(DV$3&lt;=$F39,DV$4&gt;=$F39))</f>
        <v>-0</v>
      </c>
      <c r="DW39" s="43" t="n">
        <f aca="false">-$E39*N(AND(DW$3&lt;=$F39,DW$4&gt;=$F39))</f>
        <v>-0</v>
      </c>
      <c r="DX39" s="43" t="n">
        <f aca="false">-$E39*N(AND(DX$3&lt;=$F39,DX$4&gt;=$F39))</f>
        <v>-0</v>
      </c>
      <c r="DY39" s="43" t="n">
        <f aca="false">-$E39*N(AND(DY$3&lt;=$F39,DY$4&gt;=$F39))</f>
        <v>-0</v>
      </c>
      <c r="DZ39" s="43" t="n">
        <f aca="false">-$E39*N(AND(DZ$3&lt;=$F39,DZ$4&gt;=$F39))</f>
        <v>-0</v>
      </c>
      <c r="EA39" s="43" t="n">
        <f aca="false">-$E39*N(AND(EA$3&lt;=$F39,EA$4&gt;=$F39))</f>
        <v>-0</v>
      </c>
      <c r="EB39" s="43" t="n">
        <f aca="false">-$E39*N(AND(EB$3&lt;=$F39,EB$4&gt;=$F39))</f>
        <v>-0</v>
      </c>
      <c r="EC39" s="43" t="n">
        <f aca="false">-$E39*N(AND(EC$3&lt;=$F39,EC$4&gt;=$F39))</f>
        <v>-0</v>
      </c>
      <c r="ED39" s="43" t="n">
        <f aca="false">-$E39*N(AND(ED$3&lt;=$F39,ED$4&gt;=$F39))</f>
        <v>-0</v>
      </c>
      <c r="EE39" s="43" t="n">
        <f aca="false">-$E39*N(AND(EE$3&lt;=$F39,EE$4&gt;=$F39))</f>
        <v>-0</v>
      </c>
      <c r="EF39" s="43" t="n">
        <f aca="false">-$E39*N(AND(EF$3&lt;=$F39,EF$4&gt;=$F39))</f>
        <v>-0</v>
      </c>
      <c r="EG39" s="43" t="n">
        <f aca="false">-$E39*N(AND(EG$3&lt;=$F39,EG$4&gt;=$F39))</f>
        <v>-0</v>
      </c>
      <c r="EH39" s="43" t="n">
        <f aca="false">-$E39*N(AND(EH$3&lt;=$F39,EH$4&gt;=$F39))</f>
        <v>-0</v>
      </c>
      <c r="EI39" s="43" t="n">
        <f aca="false">-$E39*N(AND(EI$3&lt;=$F39,EI$4&gt;=$F39))</f>
        <v>-0</v>
      </c>
      <c r="EJ39" s="43" t="n">
        <f aca="false">-$E39*N(AND(EJ$3&lt;=$F39,EJ$4&gt;=$F39))</f>
        <v>-0</v>
      </c>
      <c r="EK39" s="43" t="n">
        <f aca="false">-$E39*N(AND(EK$3&lt;=$F39,EK$4&gt;=$F39))</f>
        <v>-0</v>
      </c>
      <c r="EL39" s="43" t="n">
        <f aca="false">-$E39*N(AND(EL$3&lt;=$F39,EL$4&gt;=$F39))</f>
        <v>-0</v>
      </c>
      <c r="EM39" s="43" t="n">
        <f aca="false">-$E39*N(AND(EM$3&lt;=$F39,EM$4&gt;=$F39))</f>
        <v>-0</v>
      </c>
      <c r="EN39" s="43" t="n">
        <f aca="false">-$E39*N(AND(EN$3&lt;=$F39,EN$4&gt;=$F39))</f>
        <v>-0</v>
      </c>
      <c r="EO39" s="43" t="n">
        <f aca="false">-$E39*N(AND(EO$3&lt;=$F39,EO$4&gt;=$F39))</f>
        <v>-0</v>
      </c>
    </row>
    <row r="40" customFormat="false" ht="15" hidden="false" customHeight="false" outlineLevel="0" collapsed="false">
      <c r="C40" s="0" t="s">
        <v>353</v>
      </c>
      <c r="D40" s="11" t="s">
        <v>33</v>
      </c>
      <c r="E40" s="43" t="n">
        <f aca="false">In_Bid_Rate*$E38*Thousand/In_FX</f>
        <v>278.082191780822</v>
      </c>
      <c r="F40" s="20" t="n">
        <f aca="false">In_Bid_Date</f>
        <v>46325</v>
      </c>
      <c r="J40" s="43" t="n">
        <f aca="false">$E40*MAX(0,(MIN(In_Decision_Date+In_PB_Days-1,J$4)-MAX($F40,J$3)+1)/J$5)</f>
        <v>190.425848719476</v>
      </c>
      <c r="K40" s="43" t="n">
        <f aca="false">$E40*MAX(0,(MIN(In_Decision_Date+In_PB_Days-1,K$4)-MAX($F40,K$3)+1)/K$5)</f>
        <v>139.041095890411</v>
      </c>
      <c r="L40" s="43" t="n">
        <f aca="false">$E40*MAX(0,(MIN(In_Decision_Date+In_PB_Days-1,L$4)-MAX($F40,L$3)+1)/L$5)</f>
        <v>0</v>
      </c>
      <c r="M40" s="43" t="n">
        <f aca="false">$E40*MAX(0,(MIN(In_Decision_Date+In_PB_Days-1,M$4)-MAX($F40,M$3)+1)/M$5)</f>
        <v>0</v>
      </c>
      <c r="N40" s="43" t="n">
        <f aca="false">$E40*MAX(0,(MIN(In_Decision_Date+In_PB_Days-1,N$4)-MAX($F40,N$3)+1)/N$5)</f>
        <v>0</v>
      </c>
      <c r="O40" s="43" t="n">
        <f aca="false">$E40*MAX(0,(MIN(In_Decision_Date+In_PB_Days-1,O$4)-MAX($F40,O$3)+1)/O$5)</f>
        <v>0</v>
      </c>
      <c r="P40" s="43" t="n">
        <f aca="false">$E40*MAX(0,(MIN(In_Decision_Date+In_PB_Days-1,P$4)-MAX($F40,P$3)+1)/P$5)</f>
        <v>0</v>
      </c>
      <c r="Q40" s="43" t="n">
        <f aca="false">$E40*MAX(0,(MIN(In_Decision_Date+In_PB_Days-1,Q$4)-MAX($F40,Q$3)+1)/Q$5)</f>
        <v>0</v>
      </c>
      <c r="R40" s="43" t="n">
        <f aca="false">$E40*MAX(0,(MIN(In_Decision_Date+In_PB_Days-1,R$4)-MAX($F40,R$3)+1)/R$5)</f>
        <v>0</v>
      </c>
      <c r="S40" s="43" t="n">
        <f aca="false">$E40*MAX(0,(MIN(In_Decision_Date+In_PB_Days-1,S$4)-MAX($F40,S$3)+1)/S$5)</f>
        <v>0</v>
      </c>
      <c r="T40" s="43" t="n">
        <f aca="false">$E40*MAX(0,(MIN(In_Decision_Date+In_PB_Days-1,T$4)-MAX($F40,T$3)+1)/T$5)</f>
        <v>0</v>
      </c>
      <c r="U40" s="43" t="n">
        <f aca="false">$E40*MAX(0,(MIN(In_Decision_Date+In_PB_Days-1,U$4)-MAX($F40,U$3)+1)/U$5)</f>
        <v>0</v>
      </c>
      <c r="V40" s="43" t="n">
        <f aca="false">$E40*MAX(0,(MIN(In_Decision_Date+In_PB_Days-1,V$4)-MAX($F40,V$3)+1)/V$5)</f>
        <v>0</v>
      </c>
      <c r="W40" s="43" t="n">
        <f aca="false">$E40*MAX(0,(MIN(In_Decision_Date+In_PB_Days-1,W$4)-MAX($F40,W$3)+1)/W$5)</f>
        <v>0</v>
      </c>
      <c r="X40" s="43" t="n">
        <f aca="false">$E40*MAX(0,(MIN(In_Decision_Date+In_PB_Days-1,X$4)-MAX($F40,X$3)+1)/X$5)</f>
        <v>0</v>
      </c>
      <c r="Y40" s="43" t="n">
        <f aca="false">$E40*MAX(0,(MIN(In_Decision_Date+In_PB_Days-1,Y$4)-MAX($F40,Y$3)+1)/Y$5)</f>
        <v>0</v>
      </c>
      <c r="Z40" s="43" t="n">
        <f aca="false">$E40*MAX(0,(MIN(In_Decision_Date+In_PB_Days-1,Z$4)-MAX($F40,Z$3)+1)/Z$5)</f>
        <v>0</v>
      </c>
      <c r="AA40" s="43" t="n">
        <f aca="false">$E40*MAX(0,(MIN(In_Decision_Date+In_PB_Days-1,AA$4)-MAX($F40,AA$3)+1)/AA$5)</f>
        <v>0</v>
      </c>
      <c r="AB40" s="43" t="n">
        <f aca="false">$E40*MAX(0,(MIN(In_Decision_Date+In_PB_Days-1,AB$4)-MAX($F40,AB$3)+1)/AB$5)</f>
        <v>0</v>
      </c>
      <c r="AC40" s="43" t="n">
        <f aca="false">$E40*MAX(0,(MIN(In_Decision_Date+In_PB_Days-1,AC$4)-MAX($F40,AC$3)+1)/AC$5)</f>
        <v>0</v>
      </c>
      <c r="AD40" s="43" t="n">
        <f aca="false">$E40*MAX(0,(MIN(In_Decision_Date+In_PB_Days-1,AD$4)-MAX($F40,AD$3)+1)/AD$5)</f>
        <v>0</v>
      </c>
      <c r="AE40" s="43" t="n">
        <f aca="false">$E40*MAX(0,(MIN(In_Decision_Date+In_PB_Days-1,AE$4)-MAX($F40,AE$3)+1)/AE$5)</f>
        <v>0</v>
      </c>
      <c r="AF40" s="43" t="n">
        <f aca="false">$E40*MAX(0,(MIN(In_Decision_Date+In_PB_Days-1,AF$4)-MAX($F40,AF$3)+1)/AF$5)</f>
        <v>0</v>
      </c>
      <c r="AG40" s="43" t="n">
        <f aca="false">$E40*MAX(0,(MIN(In_Decision_Date+In_PB_Days-1,AG$4)-MAX($F40,AG$3)+1)/AG$5)</f>
        <v>0</v>
      </c>
      <c r="AH40" s="43" t="n">
        <f aca="false">$E40*MAX(0,(MIN(In_Decision_Date+In_PB_Days-1,AH$4)-MAX($F40,AH$3)+1)/AH$5)</f>
        <v>0</v>
      </c>
      <c r="AI40" s="43" t="n">
        <f aca="false">$E40*MAX(0,(MIN(In_Decision_Date+In_PB_Days-1,AI$4)-MAX($F40,AI$3)+1)/AI$5)</f>
        <v>0</v>
      </c>
      <c r="AJ40" s="43" t="n">
        <f aca="false">$E40*MAX(0,(MIN(In_Decision_Date+In_PB_Days-1,AJ$4)-MAX($F40,AJ$3)+1)/AJ$5)</f>
        <v>0</v>
      </c>
      <c r="AK40" s="43" t="n">
        <f aca="false">$E40*MAX(0,(MIN(In_Decision_Date+In_PB_Days-1,AK$4)-MAX($F40,AK$3)+1)/AK$5)</f>
        <v>0</v>
      </c>
      <c r="AL40" s="43" t="n">
        <f aca="false">$E40*MAX(0,(MIN(In_Decision_Date+In_PB_Days-1,AL$4)-MAX($F40,AL$3)+1)/AL$5)</f>
        <v>0</v>
      </c>
      <c r="AM40" s="43" t="n">
        <f aca="false">$E40*MAX(0,(MIN(In_Decision_Date+In_PB_Days-1,AM$4)-MAX($F40,AM$3)+1)/AM$5)</f>
        <v>0</v>
      </c>
      <c r="AN40" s="43" t="n">
        <f aca="false">$E40*MAX(0,(MIN(In_Decision_Date+In_PB_Days-1,AN$4)-MAX($F40,AN$3)+1)/AN$5)</f>
        <v>0</v>
      </c>
      <c r="AO40" s="43" t="n">
        <f aca="false">$E40*MAX(0,(MIN(In_Decision_Date+In_PB_Days-1,AO$4)-MAX($F40,AO$3)+1)/AO$5)</f>
        <v>0</v>
      </c>
      <c r="AP40" s="43" t="n">
        <f aca="false">$E40*MAX(0,(MIN(In_Decision_Date+In_PB_Days-1,AP$4)-MAX($F40,AP$3)+1)/AP$5)</f>
        <v>0</v>
      </c>
      <c r="AQ40" s="43" t="n">
        <f aca="false">$E40*MAX(0,(MIN(In_Decision_Date+In_PB_Days-1,AQ$4)-MAX($F40,AQ$3)+1)/AQ$5)</f>
        <v>0</v>
      </c>
      <c r="AR40" s="43" t="n">
        <f aca="false">$E40*MAX(0,(MIN(In_Decision_Date+In_PB_Days-1,AR$4)-MAX($F40,AR$3)+1)/AR$5)</f>
        <v>0</v>
      </c>
      <c r="AS40" s="43" t="n">
        <f aca="false">$E40*MAX(0,(MIN(In_Decision_Date+In_PB_Days-1,AS$4)-MAX($F40,AS$3)+1)/AS$5)</f>
        <v>0</v>
      </c>
      <c r="AT40" s="43" t="n">
        <f aca="false">$E40*MAX(0,(MIN(In_Decision_Date+In_PB_Days-1,AT$4)-MAX($F40,AT$3)+1)/AT$5)</f>
        <v>0</v>
      </c>
      <c r="AU40" s="43" t="n">
        <f aca="false">$E40*MAX(0,(MIN(In_Decision_Date+In_PB_Days-1,AU$4)-MAX($F40,AU$3)+1)/AU$5)</f>
        <v>0</v>
      </c>
      <c r="AV40" s="43" t="n">
        <f aca="false">$E40*MAX(0,(MIN(In_Decision_Date+In_PB_Days-1,AV$4)-MAX($F40,AV$3)+1)/AV$5)</f>
        <v>0</v>
      </c>
      <c r="AW40" s="43" t="n">
        <f aca="false">$E40*MAX(0,(MIN(In_Decision_Date+In_PB_Days-1,AW$4)-MAX($F40,AW$3)+1)/AW$5)</f>
        <v>0</v>
      </c>
      <c r="AX40" s="43" t="n">
        <f aca="false">$E40*MAX(0,(MIN(In_Decision_Date+In_PB_Days-1,AX$4)-MAX($F40,AX$3)+1)/AX$5)</f>
        <v>0</v>
      </c>
      <c r="AY40" s="43" t="n">
        <f aca="false">$E40*MAX(0,(MIN(In_Decision_Date+In_PB_Days-1,AY$4)-MAX($F40,AY$3)+1)/AY$5)</f>
        <v>0</v>
      </c>
      <c r="AZ40" s="43" t="n">
        <f aca="false">$E40*MAX(0,(MIN(In_Decision_Date+In_PB_Days-1,AZ$4)-MAX($F40,AZ$3)+1)/AZ$5)</f>
        <v>0</v>
      </c>
      <c r="BA40" s="43" t="n">
        <f aca="false">$E40*MAX(0,(MIN(In_Decision_Date+In_PB_Days-1,BA$4)-MAX($F40,BA$3)+1)/BA$5)</f>
        <v>0</v>
      </c>
      <c r="BB40" s="43" t="n">
        <f aca="false">$E40*MAX(0,(MIN(In_Decision_Date+In_PB_Days-1,BB$4)-MAX($F40,BB$3)+1)/BB$5)</f>
        <v>0</v>
      </c>
      <c r="BC40" s="43" t="n">
        <f aca="false">$E40*MAX(0,(MIN(In_Decision_Date+In_PB_Days-1,BC$4)-MAX($F40,BC$3)+1)/BC$5)</f>
        <v>0</v>
      </c>
      <c r="BD40" s="43" t="n">
        <f aca="false">$E40*MAX(0,(MIN(In_Decision_Date+In_PB_Days-1,BD$4)-MAX($F40,BD$3)+1)/BD$5)</f>
        <v>0</v>
      </c>
      <c r="BE40" s="43" t="n">
        <f aca="false">$E40*MAX(0,(MIN(In_Decision_Date+In_PB_Days-1,BE$4)-MAX($F40,BE$3)+1)/BE$5)</f>
        <v>0</v>
      </c>
      <c r="BF40" s="43" t="n">
        <f aca="false">$E40*MAX(0,(MIN(In_Decision_Date+In_PB_Days-1,BF$4)-MAX($F40,BF$3)+1)/BF$5)</f>
        <v>0</v>
      </c>
      <c r="BG40" s="43" t="n">
        <f aca="false">$E40*MAX(0,(MIN(In_Decision_Date+In_PB_Days-1,BG$4)-MAX($F40,BG$3)+1)/BG$5)</f>
        <v>0</v>
      </c>
      <c r="BH40" s="43" t="n">
        <f aca="false">$E40*MAX(0,(MIN(In_Decision_Date+In_PB_Days-1,BH$4)-MAX($F40,BH$3)+1)/BH$5)</f>
        <v>0</v>
      </c>
      <c r="BI40" s="43" t="n">
        <f aca="false">$E40*MAX(0,(MIN(In_Decision_Date+In_PB_Days-1,BI$4)-MAX($F40,BI$3)+1)/BI$5)</f>
        <v>0</v>
      </c>
      <c r="BJ40" s="43" t="n">
        <f aca="false">$E40*MAX(0,(MIN(In_Decision_Date+In_PB_Days-1,BJ$4)-MAX($F40,BJ$3)+1)/BJ$5)</f>
        <v>0</v>
      </c>
      <c r="BK40" s="43" t="n">
        <f aca="false">$E40*MAX(0,(MIN(In_Decision_Date+In_PB_Days-1,BK$4)-MAX($F40,BK$3)+1)/BK$5)</f>
        <v>0</v>
      </c>
      <c r="BL40" s="43" t="n">
        <f aca="false">$E40*MAX(0,(MIN(In_Decision_Date+In_PB_Days-1,BL$4)-MAX($F40,BL$3)+1)/BL$5)</f>
        <v>0</v>
      </c>
      <c r="BM40" s="43" t="n">
        <f aca="false">$E40*MAX(0,(MIN(In_Decision_Date+In_PB_Days-1,BM$4)-MAX($F40,BM$3)+1)/BM$5)</f>
        <v>0</v>
      </c>
      <c r="BN40" s="43" t="n">
        <f aca="false">$E40*MAX(0,(MIN(In_Decision_Date+In_PB_Days-1,BN$4)-MAX($F40,BN$3)+1)/BN$5)</f>
        <v>0</v>
      </c>
      <c r="BO40" s="43" t="n">
        <f aca="false">$E40*MAX(0,(MIN(In_Decision_Date+In_PB_Days-1,BO$4)-MAX($F40,BO$3)+1)/BO$5)</f>
        <v>0</v>
      </c>
      <c r="BP40" s="43" t="n">
        <f aca="false">$E40*MAX(0,(MIN(In_Decision_Date+In_PB_Days-1,BP$4)-MAX($F40,BP$3)+1)/BP$5)</f>
        <v>0</v>
      </c>
      <c r="BQ40" s="43" t="n">
        <f aca="false">$E40*MAX(0,(MIN(In_Decision_Date+In_PB_Days-1,BQ$4)-MAX($F40,BQ$3)+1)/BQ$5)</f>
        <v>0</v>
      </c>
      <c r="BR40" s="43" t="n">
        <f aca="false">$E40*MAX(0,(MIN(In_Decision_Date+In_PB_Days-1,BR$4)-MAX($F40,BR$3)+1)/BR$5)</f>
        <v>0</v>
      </c>
      <c r="BS40" s="43" t="n">
        <f aca="false">$E40*MAX(0,(MIN(In_Decision_Date+In_PB_Days-1,BS$4)-MAX($F40,BS$3)+1)/BS$5)</f>
        <v>0</v>
      </c>
      <c r="BT40" s="43" t="n">
        <f aca="false">$E40*MAX(0,(MIN(In_Decision_Date+In_PB_Days-1,BT$4)-MAX($F40,BT$3)+1)/BT$5)</f>
        <v>0</v>
      </c>
      <c r="BU40" s="43" t="n">
        <f aca="false">$E40*MAX(0,(MIN(In_Decision_Date+In_PB_Days-1,BU$4)-MAX($F40,BU$3)+1)/BU$5)</f>
        <v>0</v>
      </c>
      <c r="BV40" s="43" t="n">
        <f aca="false">$E40*MAX(0,(MIN(In_Decision_Date+In_PB_Days-1,BV$4)-MAX($F40,BV$3)+1)/BV$5)</f>
        <v>0</v>
      </c>
      <c r="BW40" s="43" t="n">
        <f aca="false">$E40*MAX(0,(MIN(In_Decision_Date+In_PB_Days-1,BW$4)-MAX($F40,BW$3)+1)/BW$5)</f>
        <v>0</v>
      </c>
      <c r="BX40" s="43" t="n">
        <f aca="false">$E40*MAX(0,(MIN(In_Decision_Date+In_PB_Days-1,BX$4)-MAX($F40,BX$3)+1)/BX$5)</f>
        <v>0</v>
      </c>
      <c r="BY40" s="43" t="n">
        <f aca="false">$E40*MAX(0,(MIN(In_Decision_Date+In_PB_Days-1,BY$4)-MAX($F40,BY$3)+1)/BY$5)</f>
        <v>0</v>
      </c>
      <c r="BZ40" s="43" t="n">
        <f aca="false">$E40*MAX(0,(MIN(In_Decision_Date+In_PB_Days-1,BZ$4)-MAX($F40,BZ$3)+1)/BZ$5)</f>
        <v>0</v>
      </c>
      <c r="CA40" s="43" t="n">
        <f aca="false">$E40*MAX(0,(MIN(In_Decision_Date+In_PB_Days-1,CA$4)-MAX($F40,CA$3)+1)/CA$5)</f>
        <v>0</v>
      </c>
      <c r="CB40" s="43" t="n">
        <f aca="false">$E40*MAX(0,(MIN(In_Decision_Date+In_PB_Days-1,CB$4)-MAX($F40,CB$3)+1)/CB$5)</f>
        <v>0</v>
      </c>
      <c r="CC40" s="43" t="n">
        <f aca="false">$E40*MAX(0,(MIN(In_Decision_Date+In_PB_Days-1,CC$4)-MAX($F40,CC$3)+1)/CC$5)</f>
        <v>0</v>
      </c>
      <c r="CD40" s="43" t="n">
        <f aca="false">$E40*MAX(0,(MIN(In_Decision_Date+In_PB_Days-1,CD$4)-MAX($F40,CD$3)+1)/CD$5)</f>
        <v>0</v>
      </c>
      <c r="CE40" s="43" t="n">
        <f aca="false">$E40*MAX(0,(MIN(In_Decision_Date+In_PB_Days-1,CE$4)-MAX($F40,CE$3)+1)/CE$5)</f>
        <v>0</v>
      </c>
      <c r="CF40" s="43" t="n">
        <f aca="false">$E40*MAX(0,(MIN(In_Decision_Date+In_PB_Days-1,CF$4)-MAX($F40,CF$3)+1)/CF$5)</f>
        <v>0</v>
      </c>
      <c r="CG40" s="43" t="n">
        <f aca="false">$E40*MAX(0,(MIN(In_Decision_Date+In_PB_Days-1,CG$4)-MAX($F40,CG$3)+1)/CG$5)</f>
        <v>0</v>
      </c>
      <c r="CH40" s="43" t="n">
        <f aca="false">$E40*MAX(0,(MIN(In_Decision_Date+In_PB_Days-1,CH$4)-MAX($F40,CH$3)+1)/CH$5)</f>
        <v>0</v>
      </c>
      <c r="CI40" s="43" t="n">
        <f aca="false">$E40*MAX(0,(MIN(In_Decision_Date+In_PB_Days-1,CI$4)-MAX($F40,CI$3)+1)/CI$5)</f>
        <v>0</v>
      </c>
      <c r="CJ40" s="43" t="n">
        <f aca="false">$E40*MAX(0,(MIN(In_Decision_Date+In_PB_Days-1,CJ$4)-MAX($F40,CJ$3)+1)/CJ$5)</f>
        <v>0</v>
      </c>
      <c r="CK40" s="43" t="n">
        <f aca="false">$E40*MAX(0,(MIN(In_Decision_Date+In_PB_Days-1,CK$4)-MAX($F40,CK$3)+1)/CK$5)</f>
        <v>0</v>
      </c>
      <c r="CL40" s="43" t="n">
        <f aca="false">$E40*MAX(0,(MIN(In_Decision_Date+In_PB_Days-1,CL$4)-MAX($F40,CL$3)+1)/CL$5)</f>
        <v>0</v>
      </c>
      <c r="CM40" s="43" t="n">
        <f aca="false">$E40*MAX(0,(MIN(In_Decision_Date+In_PB_Days-1,CM$4)-MAX($F40,CM$3)+1)/CM$5)</f>
        <v>0</v>
      </c>
      <c r="CN40" s="43" t="n">
        <f aca="false">$E40*MAX(0,(MIN(In_Decision_Date+In_PB_Days-1,CN$4)-MAX($F40,CN$3)+1)/CN$5)</f>
        <v>0</v>
      </c>
      <c r="CO40" s="43" t="n">
        <f aca="false">$E40*MAX(0,(MIN(In_Decision_Date+In_PB_Days-1,CO$4)-MAX($F40,CO$3)+1)/CO$5)</f>
        <v>0</v>
      </c>
      <c r="CP40" s="43" t="n">
        <f aca="false">$E40*MAX(0,(MIN(In_Decision_Date+In_PB_Days-1,CP$4)-MAX($F40,CP$3)+1)/CP$5)</f>
        <v>0</v>
      </c>
      <c r="CQ40" s="43" t="n">
        <f aca="false">$E40*MAX(0,(MIN(In_Decision_Date+In_PB_Days-1,CQ$4)-MAX($F40,CQ$3)+1)/CQ$5)</f>
        <v>0</v>
      </c>
      <c r="CR40" s="43" t="n">
        <f aca="false">$E40*MAX(0,(MIN(In_Decision_Date+In_PB_Days-1,CR$4)-MAX($F40,CR$3)+1)/CR$5)</f>
        <v>0</v>
      </c>
      <c r="CS40" s="43" t="n">
        <f aca="false">$E40*MAX(0,(MIN(In_Decision_Date+In_PB_Days-1,CS$4)-MAX($F40,CS$3)+1)/CS$5)</f>
        <v>0</v>
      </c>
      <c r="CT40" s="43" t="n">
        <f aca="false">$E40*MAX(0,(MIN(In_Decision_Date+In_PB_Days-1,CT$4)-MAX($F40,CT$3)+1)/CT$5)</f>
        <v>0</v>
      </c>
      <c r="CU40" s="43" t="n">
        <f aca="false">$E40*MAX(0,(MIN(In_Decision_Date+In_PB_Days-1,CU$4)-MAX($F40,CU$3)+1)/CU$5)</f>
        <v>0</v>
      </c>
      <c r="CV40" s="43" t="n">
        <f aca="false">$E40*MAX(0,(MIN(In_Decision_Date+In_PB_Days-1,CV$4)-MAX($F40,CV$3)+1)/CV$5)</f>
        <v>0</v>
      </c>
      <c r="CW40" s="43" t="n">
        <f aca="false">$E40*MAX(0,(MIN(In_Decision_Date+In_PB_Days-1,CW$4)-MAX($F40,CW$3)+1)/CW$5)</f>
        <v>0</v>
      </c>
      <c r="CX40" s="43" t="n">
        <f aca="false">$E40*MAX(0,(MIN(In_Decision_Date+In_PB_Days-1,CX$4)-MAX($F40,CX$3)+1)/CX$5)</f>
        <v>0</v>
      </c>
      <c r="CY40" s="43" t="n">
        <f aca="false">$E40*MAX(0,(MIN(In_Decision_Date+In_PB_Days-1,CY$4)-MAX($F40,CY$3)+1)/CY$5)</f>
        <v>0</v>
      </c>
      <c r="CZ40" s="43" t="n">
        <f aca="false">$E40*MAX(0,(MIN(In_Decision_Date+In_PB_Days-1,CZ$4)-MAX($F40,CZ$3)+1)/CZ$5)</f>
        <v>0</v>
      </c>
      <c r="DA40" s="43" t="n">
        <f aca="false">$E40*MAX(0,(MIN(In_Decision_Date+In_PB_Days-1,DA$4)-MAX($F40,DA$3)+1)/DA$5)</f>
        <v>0</v>
      </c>
      <c r="DB40" s="43" t="n">
        <f aca="false">$E40*MAX(0,(MIN(In_Decision_Date+In_PB_Days-1,DB$4)-MAX($F40,DB$3)+1)/DB$5)</f>
        <v>0</v>
      </c>
      <c r="DC40" s="43" t="n">
        <f aca="false">$E40*MAX(0,(MIN(In_Decision_Date+In_PB_Days-1,DC$4)-MAX($F40,DC$3)+1)/DC$5)</f>
        <v>0</v>
      </c>
      <c r="DD40" s="43" t="n">
        <f aca="false">$E40*MAX(0,(MIN(In_Decision_Date+In_PB_Days-1,DD$4)-MAX($F40,DD$3)+1)/DD$5)</f>
        <v>0</v>
      </c>
      <c r="DE40" s="43" t="n">
        <f aca="false">$E40*MAX(0,(MIN(In_Decision_Date+In_PB_Days-1,DE$4)-MAX($F40,DE$3)+1)/DE$5)</f>
        <v>0</v>
      </c>
      <c r="DF40" s="43" t="n">
        <f aca="false">$E40*MAX(0,(MIN(In_Decision_Date+In_PB_Days-1,DF$4)-MAX($F40,DF$3)+1)/DF$5)</f>
        <v>0</v>
      </c>
      <c r="DG40" s="43" t="n">
        <f aca="false">$E40*MAX(0,(MIN(In_Decision_Date+In_PB_Days-1,DG$4)-MAX($F40,DG$3)+1)/DG$5)</f>
        <v>0</v>
      </c>
      <c r="DH40" s="43" t="n">
        <f aca="false">$E40*MAX(0,(MIN(In_Decision_Date+In_PB_Days-1,DH$4)-MAX($F40,DH$3)+1)/DH$5)</f>
        <v>0</v>
      </c>
      <c r="DI40" s="43" t="n">
        <f aca="false">$E40*MAX(0,(MIN(In_Decision_Date+In_PB_Days-1,DI$4)-MAX($F40,DI$3)+1)/DI$5)</f>
        <v>0</v>
      </c>
      <c r="DJ40" s="43" t="n">
        <f aca="false">$E40*MAX(0,(MIN(In_Decision_Date+In_PB_Days-1,DJ$4)-MAX($F40,DJ$3)+1)/DJ$5)</f>
        <v>0</v>
      </c>
      <c r="DK40" s="43" t="n">
        <f aca="false">$E40*MAX(0,(MIN(In_Decision_Date+In_PB_Days-1,DK$4)-MAX($F40,DK$3)+1)/DK$5)</f>
        <v>0</v>
      </c>
      <c r="DL40" s="43" t="n">
        <f aca="false">$E40*MAX(0,(MIN(In_Decision_Date+In_PB_Days-1,DL$4)-MAX($F40,DL$3)+1)/DL$5)</f>
        <v>0</v>
      </c>
      <c r="DM40" s="43" t="n">
        <f aca="false">$E40*MAX(0,(MIN(In_Decision_Date+In_PB_Days-1,DM$4)-MAX($F40,DM$3)+1)/DM$5)</f>
        <v>0</v>
      </c>
      <c r="DN40" s="43" t="n">
        <f aca="false">$E40*MAX(0,(MIN(In_Decision_Date+In_PB_Days-1,DN$4)-MAX($F40,DN$3)+1)/DN$5)</f>
        <v>0</v>
      </c>
      <c r="DO40" s="43" t="n">
        <f aca="false">$E40*MAX(0,(MIN(In_Decision_Date+In_PB_Days-1,DO$4)-MAX($F40,DO$3)+1)/DO$5)</f>
        <v>0</v>
      </c>
      <c r="DP40" s="43" t="n">
        <f aca="false">$E40*MAX(0,(MIN(In_Decision_Date+In_PB_Days-1,DP$4)-MAX($F40,DP$3)+1)/DP$5)</f>
        <v>0</v>
      </c>
      <c r="DQ40" s="43" t="n">
        <f aca="false">$E40*MAX(0,(MIN(In_Decision_Date+In_PB_Days-1,DQ$4)-MAX($F40,DQ$3)+1)/DQ$5)</f>
        <v>0</v>
      </c>
      <c r="DR40" s="43" t="n">
        <f aca="false">$E40*MAX(0,(MIN(In_Decision_Date+In_PB_Days-1,DR$4)-MAX($F40,DR$3)+1)/DR$5)</f>
        <v>0</v>
      </c>
      <c r="DS40" s="43" t="n">
        <f aca="false">$E40*MAX(0,(MIN(In_Decision_Date+In_PB_Days-1,DS$4)-MAX($F40,DS$3)+1)/DS$5)</f>
        <v>0</v>
      </c>
      <c r="DT40" s="43" t="n">
        <f aca="false">$E40*MAX(0,(MIN(In_Decision_Date+In_PB_Days-1,DT$4)-MAX($F40,DT$3)+1)/DT$5)</f>
        <v>0</v>
      </c>
      <c r="DU40" s="43" t="n">
        <f aca="false">$E40*MAX(0,(MIN(In_Decision_Date+In_PB_Days-1,DU$4)-MAX($F40,DU$3)+1)/DU$5)</f>
        <v>0</v>
      </c>
      <c r="DV40" s="43" t="n">
        <f aca="false">$E40*MAX(0,(MIN(In_Decision_Date+In_PB_Days-1,DV$4)-MAX($F40,DV$3)+1)/DV$5)</f>
        <v>0</v>
      </c>
      <c r="DW40" s="43" t="n">
        <f aca="false">$E40*MAX(0,(MIN(In_Decision_Date+In_PB_Days-1,DW$4)-MAX($F40,DW$3)+1)/DW$5)</f>
        <v>0</v>
      </c>
      <c r="DX40" s="43" t="n">
        <f aca="false">$E40*MAX(0,(MIN(In_Decision_Date+In_PB_Days-1,DX$4)-MAX($F40,DX$3)+1)/DX$5)</f>
        <v>0</v>
      </c>
      <c r="DY40" s="43" t="n">
        <f aca="false">$E40*MAX(0,(MIN(In_Decision_Date+In_PB_Days-1,DY$4)-MAX($F40,DY$3)+1)/DY$5)</f>
        <v>0</v>
      </c>
      <c r="DZ40" s="43" t="n">
        <f aca="false">$E40*MAX(0,(MIN(In_Decision_Date+In_PB_Days-1,DZ$4)-MAX($F40,DZ$3)+1)/DZ$5)</f>
        <v>0</v>
      </c>
      <c r="EA40" s="43" t="n">
        <f aca="false">$E40*MAX(0,(MIN(In_Decision_Date+In_PB_Days-1,EA$4)-MAX($F40,EA$3)+1)/EA$5)</f>
        <v>0</v>
      </c>
      <c r="EB40" s="43" t="n">
        <f aca="false">$E40*MAX(0,(MIN(In_Decision_Date+In_PB_Days-1,EB$4)-MAX($F40,EB$3)+1)/EB$5)</f>
        <v>0</v>
      </c>
      <c r="EC40" s="43" t="n">
        <f aca="false">$E40*MAX(0,(MIN(In_Decision_Date+In_PB_Days-1,EC$4)-MAX($F40,EC$3)+1)/EC$5)</f>
        <v>0</v>
      </c>
      <c r="ED40" s="43" t="n">
        <f aca="false">$E40*MAX(0,(MIN(In_Decision_Date+In_PB_Days-1,ED$4)-MAX($F40,ED$3)+1)/ED$5)</f>
        <v>0</v>
      </c>
      <c r="EE40" s="43" t="n">
        <f aca="false">$E40*MAX(0,(MIN(In_Decision_Date+In_PB_Days-1,EE$4)-MAX($F40,EE$3)+1)/EE$5)</f>
        <v>0</v>
      </c>
      <c r="EF40" s="43" t="n">
        <f aca="false">$E40*MAX(0,(MIN(In_Decision_Date+In_PB_Days-1,EF$4)-MAX($F40,EF$3)+1)/EF$5)</f>
        <v>0</v>
      </c>
      <c r="EG40" s="43" t="n">
        <f aca="false">$E40*MAX(0,(MIN(In_Decision_Date+In_PB_Days-1,EG$4)-MAX($F40,EG$3)+1)/EG$5)</f>
        <v>0</v>
      </c>
      <c r="EH40" s="43" t="n">
        <f aca="false">$E40*MAX(0,(MIN(In_Decision_Date+In_PB_Days-1,EH$4)-MAX($F40,EH$3)+1)/EH$5)</f>
        <v>0</v>
      </c>
      <c r="EI40" s="43" t="n">
        <f aca="false">$E40*MAX(0,(MIN(In_Decision_Date+In_PB_Days-1,EI$4)-MAX($F40,EI$3)+1)/EI$5)</f>
        <v>0</v>
      </c>
      <c r="EJ40" s="43" t="n">
        <f aca="false">$E40*MAX(0,(MIN(In_Decision_Date+In_PB_Days-1,EJ$4)-MAX($F40,EJ$3)+1)/EJ$5)</f>
        <v>0</v>
      </c>
      <c r="EK40" s="43" t="n">
        <f aca="false">$E40*MAX(0,(MIN(In_Decision_Date+In_PB_Days-1,EK$4)-MAX($F40,EK$3)+1)/EK$5)</f>
        <v>0</v>
      </c>
      <c r="EL40" s="43" t="n">
        <f aca="false">$E40*MAX(0,(MIN(In_Decision_Date+In_PB_Days-1,EL$4)-MAX($F40,EL$3)+1)/EL$5)</f>
        <v>0</v>
      </c>
      <c r="EM40" s="43" t="n">
        <f aca="false">$E40*MAX(0,(MIN(In_Decision_Date+In_PB_Days-1,EM$4)-MAX($F40,EM$3)+1)/EM$5)</f>
        <v>0</v>
      </c>
      <c r="EN40" s="43" t="n">
        <f aca="false">$E40*MAX(0,(MIN(In_Decision_Date+In_PB_Days-1,EN$4)-MAX($F40,EN$3)+1)/EN$5)</f>
        <v>0</v>
      </c>
      <c r="EO40" s="43" t="n">
        <f aca="false">$E40*MAX(0,(MIN(In_Decision_Date+In_PB_Days-1,EO$4)-MAX($F40,EO$3)+1)/EO$5)</f>
        <v>0</v>
      </c>
    </row>
    <row r="41" customFormat="false" ht="15" hidden="false" customHeight="false" outlineLevel="0" collapsed="false">
      <c r="C41" s="0" t="s">
        <v>354</v>
      </c>
      <c r="D41" s="11" t="s">
        <v>33</v>
      </c>
      <c r="E41" s="43" t="n">
        <f aca="false">In_PB_Rate*$E27*$E38*Thousand/In_FX</f>
        <v>1390.41095890411</v>
      </c>
      <c r="F41" s="41" t="n">
        <f aca="false">In_Decision_Date+In_PB_Days</f>
        <v>46433</v>
      </c>
      <c r="J41" s="43" t="n">
        <f aca="false">$E41*MAX(0,(MIN(In_PB_Release,J$4)-MAX($F41,J$3)+1)/J$5)</f>
        <v>0</v>
      </c>
      <c r="K41" s="43" t="n">
        <f aca="false">$E41*MAX(0,(MIN(In_PB_Release,K$4)-MAX($F41,K$3)+1)/K$5)</f>
        <v>695.205479452055</v>
      </c>
      <c r="L41" s="43" t="n">
        <f aca="false">$E41*MAX(0,(MIN(In_PB_Release,L$4)-MAX($F41,L$3)+1)/L$5)</f>
        <v>1390.41095890411</v>
      </c>
      <c r="M41" s="43" t="n">
        <f aca="false">$E41*MAX(0,(MIN(In_PB_Release,M$4)-MAX($F41,M$3)+1)/M$5)</f>
        <v>1390.41095890411</v>
      </c>
      <c r="N41" s="43" t="n">
        <f aca="false">$E41*MAX(0,(MIN(In_PB_Release,N$4)-MAX($F41,N$3)+1)/N$5)</f>
        <v>1390.41095890411</v>
      </c>
      <c r="O41" s="43" t="n">
        <f aca="false">$E41*MAX(0,(MIN(In_PB_Release,O$4)-MAX($F41,O$3)+1)/O$5)</f>
        <v>1390.41095890411</v>
      </c>
      <c r="P41" s="43" t="n">
        <f aca="false">$E41*MAX(0,(MIN(In_PB_Release,P$4)-MAX($F41,P$3)+1)/P$5)</f>
        <v>1390.41095890411</v>
      </c>
      <c r="Q41" s="43" t="n">
        <f aca="false">$E41*MAX(0,(MIN(In_PB_Release,Q$4)-MAX($F41,Q$3)+1)/Q$5)</f>
        <v>1390.41095890411</v>
      </c>
      <c r="R41" s="43" t="n">
        <f aca="false">$E41*MAX(0,(MIN(In_PB_Release,R$4)-MAX($F41,R$3)+1)/R$5)</f>
        <v>1390.41095890411</v>
      </c>
      <c r="S41" s="43" t="n">
        <f aca="false">$E41*MAX(0,(MIN(In_PB_Release,S$4)-MAX($F41,S$3)+1)/S$5)</f>
        <v>1390.41095890411</v>
      </c>
      <c r="T41" s="43" t="n">
        <f aca="false">$E41*MAX(0,(MIN(In_PB_Release,T$4)-MAX($F41,T$3)+1)/T$5)</f>
        <v>1390.41095890411</v>
      </c>
      <c r="U41" s="43" t="n">
        <f aca="false">$E41*MAX(0,(MIN(In_PB_Release,U$4)-MAX($F41,U$3)+1)/U$5)</f>
        <v>1390.41095890411</v>
      </c>
      <c r="V41" s="43" t="n">
        <f aca="false">$E41*MAX(0,(MIN(In_PB_Release,V$4)-MAX($F41,V$3)+1)/V$5)</f>
        <v>1390.41095890411</v>
      </c>
      <c r="W41" s="43" t="n">
        <f aca="false">$E41*MAX(0,(MIN(In_PB_Release,W$4)-MAX($F41,W$3)+1)/W$5)</f>
        <v>1390.41095890411</v>
      </c>
      <c r="X41" s="43" t="n">
        <f aca="false">$E41*MAX(0,(MIN(In_PB_Release,X$4)-MAX($F41,X$3)+1)/X$5)</f>
        <v>1390.41095890411</v>
      </c>
      <c r="Y41" s="43" t="n">
        <f aca="false">$E41*MAX(0,(MIN(In_PB_Release,Y$4)-MAX($F41,Y$3)+1)/Y$5)</f>
        <v>1390.41095890411</v>
      </c>
      <c r="Z41" s="43" t="n">
        <f aca="false">$E41*MAX(0,(MIN(In_PB_Release,Z$4)-MAX($F41,Z$3)+1)/Z$5)</f>
        <v>1390.41095890411</v>
      </c>
      <c r="AA41" s="43" t="n">
        <f aca="false">$E41*MAX(0,(MIN(In_PB_Release,AA$4)-MAX($F41,AA$3)+1)/AA$5)</f>
        <v>1390.41095890411</v>
      </c>
      <c r="AB41" s="43" t="n">
        <f aca="false">$E41*MAX(0,(MIN(In_PB_Release,AB$4)-MAX($F41,AB$3)+1)/AB$5)</f>
        <v>1390.41095890411</v>
      </c>
      <c r="AC41" s="43" t="n">
        <f aca="false">$E41*MAX(0,(MIN(In_PB_Release,AC$4)-MAX($F41,AC$3)+1)/AC$5)</f>
        <v>1390.41095890411</v>
      </c>
      <c r="AD41" s="43" t="n">
        <f aca="false">$E41*MAX(0,(MIN(In_PB_Release,AD$4)-MAX($F41,AD$3)+1)/AD$5)</f>
        <v>1390.41095890411</v>
      </c>
      <c r="AE41" s="43" t="n">
        <f aca="false">$E41*MAX(0,(MIN(In_PB_Release,AE$4)-MAX($F41,AE$3)+1)/AE$5)</f>
        <v>1390.41095890411</v>
      </c>
      <c r="AF41" s="43" t="n">
        <f aca="false">$E41*MAX(0,(MIN(In_PB_Release,AF$4)-MAX($F41,AF$3)+1)/AF$5)</f>
        <v>1390.41095890411</v>
      </c>
      <c r="AG41" s="43" t="n">
        <f aca="false">$E41*MAX(0,(MIN(In_PB_Release,AG$4)-MAX($F41,AG$3)+1)/AG$5)</f>
        <v>1390.41095890411</v>
      </c>
      <c r="AH41" s="43" t="n">
        <f aca="false">$E41*MAX(0,(MIN(In_PB_Release,AH$4)-MAX($F41,AH$3)+1)/AH$5)</f>
        <v>1390.41095890411</v>
      </c>
      <c r="AI41" s="43" t="n">
        <f aca="false">$E41*MAX(0,(MIN(In_PB_Release,AI$4)-MAX($F41,AI$3)+1)/AI$5)</f>
        <v>1390.41095890411</v>
      </c>
      <c r="AJ41" s="43" t="n">
        <f aca="false">$E41*MAX(0,(MIN(In_PB_Release,AJ$4)-MAX($F41,AJ$3)+1)/AJ$5)</f>
        <v>0</v>
      </c>
      <c r="AK41" s="43" t="n">
        <f aca="false">$E41*MAX(0,(MIN(In_PB_Release,AK$4)-MAX($F41,AK$3)+1)/AK$5)</f>
        <v>0</v>
      </c>
      <c r="AL41" s="43" t="n">
        <f aca="false">$E41*MAX(0,(MIN(In_PB_Release,AL$4)-MAX($F41,AL$3)+1)/AL$5)</f>
        <v>0</v>
      </c>
      <c r="AM41" s="43" t="n">
        <f aca="false">$E41*MAX(0,(MIN(In_PB_Release,AM$4)-MAX($F41,AM$3)+1)/AM$5)</f>
        <v>0</v>
      </c>
      <c r="AN41" s="43" t="n">
        <f aca="false">$E41*MAX(0,(MIN(In_PB_Release,AN$4)-MAX($F41,AN$3)+1)/AN$5)</f>
        <v>0</v>
      </c>
      <c r="AO41" s="43" t="n">
        <f aca="false">$E41*MAX(0,(MIN(In_PB_Release,AO$4)-MAX($F41,AO$3)+1)/AO$5)</f>
        <v>0</v>
      </c>
      <c r="AP41" s="43" t="n">
        <f aca="false">$E41*MAX(0,(MIN(In_PB_Release,AP$4)-MAX($F41,AP$3)+1)/AP$5)</f>
        <v>0</v>
      </c>
      <c r="AQ41" s="43" t="n">
        <f aca="false">$E41*MAX(0,(MIN(In_PB_Release,AQ$4)-MAX($F41,AQ$3)+1)/AQ$5)</f>
        <v>0</v>
      </c>
      <c r="AR41" s="43" t="n">
        <f aca="false">$E41*MAX(0,(MIN(In_PB_Release,AR$4)-MAX($F41,AR$3)+1)/AR$5)</f>
        <v>0</v>
      </c>
      <c r="AS41" s="43" t="n">
        <f aca="false">$E41*MAX(0,(MIN(In_PB_Release,AS$4)-MAX($F41,AS$3)+1)/AS$5)</f>
        <v>0</v>
      </c>
      <c r="AT41" s="43" t="n">
        <f aca="false">$E41*MAX(0,(MIN(In_PB_Release,AT$4)-MAX($F41,AT$3)+1)/AT$5)</f>
        <v>0</v>
      </c>
      <c r="AU41" s="43" t="n">
        <f aca="false">$E41*MAX(0,(MIN(In_PB_Release,AU$4)-MAX($F41,AU$3)+1)/AU$5)</f>
        <v>0</v>
      </c>
      <c r="AV41" s="43" t="n">
        <f aca="false">$E41*MAX(0,(MIN(In_PB_Release,AV$4)-MAX($F41,AV$3)+1)/AV$5)</f>
        <v>0</v>
      </c>
      <c r="AW41" s="43" t="n">
        <f aca="false">$E41*MAX(0,(MIN(In_PB_Release,AW$4)-MAX($F41,AW$3)+1)/AW$5)</f>
        <v>0</v>
      </c>
      <c r="AX41" s="43" t="n">
        <f aca="false">$E41*MAX(0,(MIN(In_PB_Release,AX$4)-MAX($F41,AX$3)+1)/AX$5)</f>
        <v>0</v>
      </c>
      <c r="AY41" s="43" t="n">
        <f aca="false">$E41*MAX(0,(MIN(In_PB_Release,AY$4)-MAX($F41,AY$3)+1)/AY$5)</f>
        <v>0</v>
      </c>
      <c r="AZ41" s="43" t="n">
        <f aca="false">$E41*MAX(0,(MIN(In_PB_Release,AZ$4)-MAX($F41,AZ$3)+1)/AZ$5)</f>
        <v>0</v>
      </c>
      <c r="BA41" s="43" t="n">
        <f aca="false">$E41*MAX(0,(MIN(In_PB_Release,BA$4)-MAX($F41,BA$3)+1)/BA$5)</f>
        <v>0</v>
      </c>
      <c r="BB41" s="43" t="n">
        <f aca="false">$E41*MAX(0,(MIN(In_PB_Release,BB$4)-MAX($F41,BB$3)+1)/BB$5)</f>
        <v>0</v>
      </c>
      <c r="BC41" s="43" t="n">
        <f aca="false">$E41*MAX(0,(MIN(In_PB_Release,BC$4)-MAX($F41,BC$3)+1)/BC$5)</f>
        <v>0</v>
      </c>
      <c r="BD41" s="43" t="n">
        <f aca="false">$E41*MAX(0,(MIN(In_PB_Release,BD$4)-MAX($F41,BD$3)+1)/BD$5)</f>
        <v>0</v>
      </c>
      <c r="BE41" s="43" t="n">
        <f aca="false">$E41*MAX(0,(MIN(In_PB_Release,BE$4)-MAX($F41,BE$3)+1)/BE$5)</f>
        <v>0</v>
      </c>
      <c r="BF41" s="43" t="n">
        <f aca="false">$E41*MAX(0,(MIN(In_PB_Release,BF$4)-MAX($F41,BF$3)+1)/BF$5)</f>
        <v>0</v>
      </c>
      <c r="BG41" s="43" t="n">
        <f aca="false">$E41*MAX(0,(MIN(In_PB_Release,BG$4)-MAX($F41,BG$3)+1)/BG$5)</f>
        <v>0</v>
      </c>
      <c r="BH41" s="43" t="n">
        <f aca="false">$E41*MAX(0,(MIN(In_PB_Release,BH$4)-MAX($F41,BH$3)+1)/BH$5)</f>
        <v>0</v>
      </c>
      <c r="BI41" s="43" t="n">
        <f aca="false">$E41*MAX(0,(MIN(In_PB_Release,BI$4)-MAX($F41,BI$3)+1)/BI$5)</f>
        <v>0</v>
      </c>
      <c r="BJ41" s="43" t="n">
        <f aca="false">$E41*MAX(0,(MIN(In_PB_Release,BJ$4)-MAX($F41,BJ$3)+1)/BJ$5)</f>
        <v>0</v>
      </c>
      <c r="BK41" s="43" t="n">
        <f aca="false">$E41*MAX(0,(MIN(In_PB_Release,BK$4)-MAX($F41,BK$3)+1)/BK$5)</f>
        <v>0</v>
      </c>
      <c r="BL41" s="43" t="n">
        <f aca="false">$E41*MAX(0,(MIN(In_PB_Release,BL$4)-MAX($F41,BL$3)+1)/BL$5)</f>
        <v>0</v>
      </c>
      <c r="BM41" s="43" t="n">
        <f aca="false">$E41*MAX(0,(MIN(In_PB_Release,BM$4)-MAX($F41,BM$3)+1)/BM$5)</f>
        <v>0</v>
      </c>
      <c r="BN41" s="43" t="n">
        <f aca="false">$E41*MAX(0,(MIN(In_PB_Release,BN$4)-MAX($F41,BN$3)+1)/BN$5)</f>
        <v>0</v>
      </c>
      <c r="BO41" s="43" t="n">
        <f aca="false">$E41*MAX(0,(MIN(In_PB_Release,BO$4)-MAX($F41,BO$3)+1)/BO$5)</f>
        <v>0</v>
      </c>
      <c r="BP41" s="43" t="n">
        <f aca="false">$E41*MAX(0,(MIN(In_PB_Release,BP$4)-MAX($F41,BP$3)+1)/BP$5)</f>
        <v>0</v>
      </c>
      <c r="BQ41" s="43" t="n">
        <f aca="false">$E41*MAX(0,(MIN(In_PB_Release,BQ$4)-MAX($F41,BQ$3)+1)/BQ$5)</f>
        <v>0</v>
      </c>
      <c r="BR41" s="43" t="n">
        <f aca="false">$E41*MAX(0,(MIN(In_PB_Release,BR$4)-MAX($F41,BR$3)+1)/BR$5)</f>
        <v>0</v>
      </c>
      <c r="BS41" s="43" t="n">
        <f aca="false">$E41*MAX(0,(MIN(In_PB_Release,BS$4)-MAX($F41,BS$3)+1)/BS$5)</f>
        <v>0</v>
      </c>
      <c r="BT41" s="43" t="n">
        <f aca="false">$E41*MAX(0,(MIN(In_PB_Release,BT$4)-MAX($F41,BT$3)+1)/BT$5)</f>
        <v>0</v>
      </c>
      <c r="BU41" s="43" t="n">
        <f aca="false">$E41*MAX(0,(MIN(In_PB_Release,BU$4)-MAX($F41,BU$3)+1)/BU$5)</f>
        <v>0</v>
      </c>
      <c r="BV41" s="43" t="n">
        <f aca="false">$E41*MAX(0,(MIN(In_PB_Release,BV$4)-MAX($F41,BV$3)+1)/BV$5)</f>
        <v>0</v>
      </c>
      <c r="BW41" s="43" t="n">
        <f aca="false">$E41*MAX(0,(MIN(In_PB_Release,BW$4)-MAX($F41,BW$3)+1)/BW$5)</f>
        <v>0</v>
      </c>
      <c r="BX41" s="43" t="n">
        <f aca="false">$E41*MAX(0,(MIN(In_PB_Release,BX$4)-MAX($F41,BX$3)+1)/BX$5)</f>
        <v>0</v>
      </c>
      <c r="BY41" s="43" t="n">
        <f aca="false">$E41*MAX(0,(MIN(In_PB_Release,BY$4)-MAX($F41,BY$3)+1)/BY$5)</f>
        <v>0</v>
      </c>
      <c r="BZ41" s="43" t="n">
        <f aca="false">$E41*MAX(0,(MIN(In_PB_Release,BZ$4)-MAX($F41,BZ$3)+1)/BZ$5)</f>
        <v>0</v>
      </c>
      <c r="CA41" s="43" t="n">
        <f aca="false">$E41*MAX(0,(MIN(In_PB_Release,CA$4)-MAX($F41,CA$3)+1)/CA$5)</f>
        <v>0</v>
      </c>
      <c r="CB41" s="43" t="n">
        <f aca="false">$E41*MAX(0,(MIN(In_PB_Release,CB$4)-MAX($F41,CB$3)+1)/CB$5)</f>
        <v>0</v>
      </c>
      <c r="CC41" s="43" t="n">
        <f aca="false">$E41*MAX(0,(MIN(In_PB_Release,CC$4)-MAX($F41,CC$3)+1)/CC$5)</f>
        <v>0</v>
      </c>
      <c r="CD41" s="43" t="n">
        <f aca="false">$E41*MAX(0,(MIN(In_PB_Release,CD$4)-MAX($F41,CD$3)+1)/CD$5)</f>
        <v>0</v>
      </c>
      <c r="CE41" s="43" t="n">
        <f aca="false">$E41*MAX(0,(MIN(In_PB_Release,CE$4)-MAX($F41,CE$3)+1)/CE$5)</f>
        <v>0</v>
      </c>
      <c r="CF41" s="43" t="n">
        <f aca="false">$E41*MAX(0,(MIN(In_PB_Release,CF$4)-MAX($F41,CF$3)+1)/CF$5)</f>
        <v>0</v>
      </c>
      <c r="CG41" s="43" t="n">
        <f aca="false">$E41*MAX(0,(MIN(In_PB_Release,CG$4)-MAX($F41,CG$3)+1)/CG$5)</f>
        <v>0</v>
      </c>
      <c r="CH41" s="43" t="n">
        <f aca="false">$E41*MAX(0,(MIN(In_PB_Release,CH$4)-MAX($F41,CH$3)+1)/CH$5)</f>
        <v>0</v>
      </c>
      <c r="CI41" s="43" t="n">
        <f aca="false">$E41*MAX(0,(MIN(In_PB_Release,CI$4)-MAX($F41,CI$3)+1)/CI$5)</f>
        <v>0</v>
      </c>
      <c r="CJ41" s="43" t="n">
        <f aca="false">$E41*MAX(0,(MIN(In_PB_Release,CJ$4)-MAX($F41,CJ$3)+1)/CJ$5)</f>
        <v>0</v>
      </c>
      <c r="CK41" s="43" t="n">
        <f aca="false">$E41*MAX(0,(MIN(In_PB_Release,CK$4)-MAX($F41,CK$3)+1)/CK$5)</f>
        <v>0</v>
      </c>
      <c r="CL41" s="43" t="n">
        <f aca="false">$E41*MAX(0,(MIN(In_PB_Release,CL$4)-MAX($F41,CL$3)+1)/CL$5)</f>
        <v>0</v>
      </c>
      <c r="CM41" s="43" t="n">
        <f aca="false">$E41*MAX(0,(MIN(In_PB_Release,CM$4)-MAX($F41,CM$3)+1)/CM$5)</f>
        <v>0</v>
      </c>
      <c r="CN41" s="43" t="n">
        <f aca="false">$E41*MAX(0,(MIN(In_PB_Release,CN$4)-MAX($F41,CN$3)+1)/CN$5)</f>
        <v>0</v>
      </c>
      <c r="CO41" s="43" t="n">
        <f aca="false">$E41*MAX(0,(MIN(In_PB_Release,CO$4)-MAX($F41,CO$3)+1)/CO$5)</f>
        <v>0</v>
      </c>
      <c r="CP41" s="43" t="n">
        <f aca="false">$E41*MAX(0,(MIN(In_PB_Release,CP$4)-MAX($F41,CP$3)+1)/CP$5)</f>
        <v>0</v>
      </c>
      <c r="CQ41" s="43" t="n">
        <f aca="false">$E41*MAX(0,(MIN(In_PB_Release,CQ$4)-MAX($F41,CQ$3)+1)/CQ$5)</f>
        <v>0</v>
      </c>
      <c r="CR41" s="43" t="n">
        <f aca="false">$E41*MAX(0,(MIN(In_PB_Release,CR$4)-MAX($F41,CR$3)+1)/CR$5)</f>
        <v>0</v>
      </c>
      <c r="CS41" s="43" t="n">
        <f aca="false">$E41*MAX(0,(MIN(In_PB_Release,CS$4)-MAX($F41,CS$3)+1)/CS$5)</f>
        <v>0</v>
      </c>
      <c r="CT41" s="43" t="n">
        <f aca="false">$E41*MAX(0,(MIN(In_PB_Release,CT$4)-MAX($F41,CT$3)+1)/CT$5)</f>
        <v>0</v>
      </c>
      <c r="CU41" s="43" t="n">
        <f aca="false">$E41*MAX(0,(MIN(In_PB_Release,CU$4)-MAX($F41,CU$3)+1)/CU$5)</f>
        <v>0</v>
      </c>
      <c r="CV41" s="43" t="n">
        <f aca="false">$E41*MAX(0,(MIN(In_PB_Release,CV$4)-MAX($F41,CV$3)+1)/CV$5)</f>
        <v>0</v>
      </c>
      <c r="CW41" s="43" t="n">
        <f aca="false">$E41*MAX(0,(MIN(In_PB_Release,CW$4)-MAX($F41,CW$3)+1)/CW$5)</f>
        <v>0</v>
      </c>
      <c r="CX41" s="43" t="n">
        <f aca="false">$E41*MAX(0,(MIN(In_PB_Release,CX$4)-MAX($F41,CX$3)+1)/CX$5)</f>
        <v>0</v>
      </c>
      <c r="CY41" s="43" t="n">
        <f aca="false">$E41*MAX(0,(MIN(In_PB_Release,CY$4)-MAX($F41,CY$3)+1)/CY$5)</f>
        <v>0</v>
      </c>
      <c r="CZ41" s="43" t="n">
        <f aca="false">$E41*MAX(0,(MIN(In_PB_Release,CZ$4)-MAX($F41,CZ$3)+1)/CZ$5)</f>
        <v>0</v>
      </c>
      <c r="DA41" s="43" t="n">
        <f aca="false">$E41*MAX(0,(MIN(In_PB_Release,DA$4)-MAX($F41,DA$3)+1)/DA$5)</f>
        <v>0</v>
      </c>
      <c r="DB41" s="43" t="n">
        <f aca="false">$E41*MAX(0,(MIN(In_PB_Release,DB$4)-MAX($F41,DB$3)+1)/DB$5)</f>
        <v>0</v>
      </c>
      <c r="DC41" s="43" t="n">
        <f aca="false">$E41*MAX(0,(MIN(In_PB_Release,DC$4)-MAX($F41,DC$3)+1)/DC$5)</f>
        <v>0</v>
      </c>
      <c r="DD41" s="43" t="n">
        <f aca="false">$E41*MAX(0,(MIN(In_PB_Release,DD$4)-MAX($F41,DD$3)+1)/DD$5)</f>
        <v>0</v>
      </c>
      <c r="DE41" s="43" t="n">
        <f aca="false">$E41*MAX(0,(MIN(In_PB_Release,DE$4)-MAX($F41,DE$3)+1)/DE$5)</f>
        <v>0</v>
      </c>
      <c r="DF41" s="43" t="n">
        <f aca="false">$E41*MAX(0,(MIN(In_PB_Release,DF$4)-MAX($F41,DF$3)+1)/DF$5)</f>
        <v>0</v>
      </c>
      <c r="DG41" s="43" t="n">
        <f aca="false">$E41*MAX(0,(MIN(In_PB_Release,DG$4)-MAX($F41,DG$3)+1)/DG$5)</f>
        <v>0</v>
      </c>
      <c r="DH41" s="43" t="n">
        <f aca="false">$E41*MAX(0,(MIN(In_PB_Release,DH$4)-MAX($F41,DH$3)+1)/DH$5)</f>
        <v>0</v>
      </c>
      <c r="DI41" s="43" t="n">
        <f aca="false">$E41*MAX(0,(MIN(In_PB_Release,DI$4)-MAX($F41,DI$3)+1)/DI$5)</f>
        <v>0</v>
      </c>
      <c r="DJ41" s="43" t="n">
        <f aca="false">$E41*MAX(0,(MIN(In_PB_Release,DJ$4)-MAX($F41,DJ$3)+1)/DJ$5)</f>
        <v>0</v>
      </c>
      <c r="DK41" s="43" t="n">
        <f aca="false">$E41*MAX(0,(MIN(In_PB_Release,DK$4)-MAX($F41,DK$3)+1)/DK$5)</f>
        <v>0</v>
      </c>
      <c r="DL41" s="43" t="n">
        <f aca="false">$E41*MAX(0,(MIN(In_PB_Release,DL$4)-MAX($F41,DL$3)+1)/DL$5)</f>
        <v>0</v>
      </c>
      <c r="DM41" s="43" t="n">
        <f aca="false">$E41*MAX(0,(MIN(In_PB_Release,DM$4)-MAX($F41,DM$3)+1)/DM$5)</f>
        <v>0</v>
      </c>
      <c r="DN41" s="43" t="n">
        <f aca="false">$E41*MAX(0,(MIN(In_PB_Release,DN$4)-MAX($F41,DN$3)+1)/DN$5)</f>
        <v>0</v>
      </c>
      <c r="DO41" s="43" t="n">
        <f aca="false">$E41*MAX(0,(MIN(In_PB_Release,DO$4)-MAX($F41,DO$3)+1)/DO$5)</f>
        <v>0</v>
      </c>
      <c r="DP41" s="43" t="n">
        <f aca="false">$E41*MAX(0,(MIN(In_PB_Release,DP$4)-MAX($F41,DP$3)+1)/DP$5)</f>
        <v>0</v>
      </c>
      <c r="DQ41" s="43" t="n">
        <f aca="false">$E41*MAX(0,(MIN(In_PB_Release,DQ$4)-MAX($F41,DQ$3)+1)/DQ$5)</f>
        <v>0</v>
      </c>
      <c r="DR41" s="43" t="n">
        <f aca="false">$E41*MAX(0,(MIN(In_PB_Release,DR$4)-MAX($F41,DR$3)+1)/DR$5)</f>
        <v>0</v>
      </c>
      <c r="DS41" s="43" t="n">
        <f aca="false">$E41*MAX(0,(MIN(In_PB_Release,DS$4)-MAX($F41,DS$3)+1)/DS$5)</f>
        <v>0</v>
      </c>
      <c r="DT41" s="43" t="n">
        <f aca="false">$E41*MAX(0,(MIN(In_PB_Release,DT$4)-MAX($F41,DT$3)+1)/DT$5)</f>
        <v>0</v>
      </c>
      <c r="DU41" s="43" t="n">
        <f aca="false">$E41*MAX(0,(MIN(In_PB_Release,DU$4)-MAX($F41,DU$3)+1)/DU$5)</f>
        <v>0</v>
      </c>
      <c r="DV41" s="43" t="n">
        <f aca="false">$E41*MAX(0,(MIN(In_PB_Release,DV$4)-MAX($F41,DV$3)+1)/DV$5)</f>
        <v>0</v>
      </c>
      <c r="DW41" s="43" t="n">
        <f aca="false">$E41*MAX(0,(MIN(In_PB_Release,DW$4)-MAX($F41,DW$3)+1)/DW$5)</f>
        <v>0</v>
      </c>
      <c r="DX41" s="43" t="n">
        <f aca="false">$E41*MAX(0,(MIN(In_PB_Release,DX$4)-MAX($F41,DX$3)+1)/DX$5)</f>
        <v>0</v>
      </c>
      <c r="DY41" s="43" t="n">
        <f aca="false">$E41*MAX(0,(MIN(In_PB_Release,DY$4)-MAX($F41,DY$3)+1)/DY$5)</f>
        <v>0</v>
      </c>
      <c r="DZ41" s="43" t="n">
        <f aca="false">$E41*MAX(0,(MIN(In_PB_Release,DZ$4)-MAX($F41,DZ$3)+1)/DZ$5)</f>
        <v>0</v>
      </c>
      <c r="EA41" s="43" t="n">
        <f aca="false">$E41*MAX(0,(MIN(In_PB_Release,EA$4)-MAX($F41,EA$3)+1)/EA$5)</f>
        <v>0</v>
      </c>
      <c r="EB41" s="43" t="n">
        <f aca="false">$E41*MAX(0,(MIN(In_PB_Release,EB$4)-MAX($F41,EB$3)+1)/EB$5)</f>
        <v>0</v>
      </c>
      <c r="EC41" s="43" t="n">
        <f aca="false">$E41*MAX(0,(MIN(In_PB_Release,EC$4)-MAX($F41,EC$3)+1)/EC$5)</f>
        <v>0</v>
      </c>
      <c r="ED41" s="43" t="n">
        <f aca="false">$E41*MAX(0,(MIN(In_PB_Release,ED$4)-MAX($F41,ED$3)+1)/ED$5)</f>
        <v>0</v>
      </c>
      <c r="EE41" s="43" t="n">
        <f aca="false">$E41*MAX(0,(MIN(In_PB_Release,EE$4)-MAX($F41,EE$3)+1)/EE$5)</f>
        <v>0</v>
      </c>
      <c r="EF41" s="43" t="n">
        <f aca="false">$E41*MAX(0,(MIN(In_PB_Release,EF$4)-MAX($F41,EF$3)+1)/EF$5)</f>
        <v>0</v>
      </c>
      <c r="EG41" s="43" t="n">
        <f aca="false">$E41*MAX(0,(MIN(In_PB_Release,EG$4)-MAX($F41,EG$3)+1)/EG$5)</f>
        <v>0</v>
      </c>
      <c r="EH41" s="43" t="n">
        <f aca="false">$E41*MAX(0,(MIN(In_PB_Release,EH$4)-MAX($F41,EH$3)+1)/EH$5)</f>
        <v>0</v>
      </c>
      <c r="EI41" s="43" t="n">
        <f aca="false">$E41*MAX(0,(MIN(In_PB_Release,EI$4)-MAX($F41,EI$3)+1)/EI$5)</f>
        <v>0</v>
      </c>
      <c r="EJ41" s="43" t="n">
        <f aca="false">$E41*MAX(0,(MIN(In_PB_Release,EJ$4)-MAX($F41,EJ$3)+1)/EJ$5)</f>
        <v>0</v>
      </c>
      <c r="EK41" s="43" t="n">
        <f aca="false">$E41*MAX(0,(MIN(In_PB_Release,EK$4)-MAX($F41,EK$3)+1)/EK$5)</f>
        <v>0</v>
      </c>
      <c r="EL41" s="43" t="n">
        <f aca="false">$E41*MAX(0,(MIN(In_PB_Release,EL$4)-MAX($F41,EL$3)+1)/EL$5)</f>
        <v>0</v>
      </c>
      <c r="EM41" s="43" t="n">
        <f aca="false">$E41*MAX(0,(MIN(In_PB_Release,EM$4)-MAX($F41,EM$3)+1)/EM$5)</f>
        <v>0</v>
      </c>
      <c r="EN41" s="43" t="n">
        <f aca="false">$E41*MAX(0,(MIN(In_PB_Release,EN$4)-MAX($F41,EN$3)+1)/EN$5)</f>
        <v>0</v>
      </c>
      <c r="EO41" s="43" t="n">
        <f aca="false">$E41*MAX(0,(MIN(In_PB_Release,EO$4)-MAX($F41,EO$3)+1)/EO$5)</f>
        <v>0</v>
      </c>
    </row>
    <row r="42" customFormat="false" ht="15" hidden="false" customHeight="false" outlineLevel="0" collapsed="false">
      <c r="C42" s="0" t="s">
        <v>355</v>
      </c>
      <c r="D42" s="11" t="s">
        <v>33</v>
      </c>
      <c r="E42" s="43" t="n">
        <f aca="false">In_TSO_Security*In_MVA*Thousand/In_FX</f>
        <v>616.438356164384</v>
      </c>
      <c r="F42" s="41" t="n">
        <f aca="false">In_Decision_Date+In_PB_Days</f>
        <v>46433</v>
      </c>
      <c r="I42" s="43" t="n">
        <f aca="false">SUM(J42:EO42)</f>
        <v>-616.438356164384</v>
      </c>
      <c r="J42" s="43" t="n">
        <f aca="false">-$E42*N(AND(J$3&lt;=$F42,J$4&gt;=$F42))</f>
        <v>-0</v>
      </c>
      <c r="K42" s="43" t="n">
        <f aca="false">-$E42*N(AND(K$3&lt;=$F42,K$4&gt;=$F42))</f>
        <v>-616.438356164384</v>
      </c>
      <c r="L42" s="43" t="n">
        <f aca="false">-$E42*N(AND(L$3&lt;=$F42,L$4&gt;=$F42))</f>
        <v>-0</v>
      </c>
      <c r="M42" s="43" t="n">
        <f aca="false">-$E42*N(AND(M$3&lt;=$F42,M$4&gt;=$F42))</f>
        <v>-0</v>
      </c>
      <c r="N42" s="43" t="n">
        <f aca="false">-$E42*N(AND(N$3&lt;=$F42,N$4&gt;=$F42))</f>
        <v>-0</v>
      </c>
      <c r="O42" s="43" t="n">
        <f aca="false">-$E42*N(AND(O$3&lt;=$F42,O$4&gt;=$F42))</f>
        <v>-0</v>
      </c>
      <c r="P42" s="43" t="n">
        <f aca="false">-$E42*N(AND(P$3&lt;=$F42,P$4&gt;=$F42))</f>
        <v>-0</v>
      </c>
      <c r="Q42" s="43" t="n">
        <f aca="false">-$E42*N(AND(Q$3&lt;=$F42,Q$4&gt;=$F42))</f>
        <v>-0</v>
      </c>
      <c r="R42" s="43" t="n">
        <f aca="false">-$E42*N(AND(R$3&lt;=$F42,R$4&gt;=$F42))</f>
        <v>-0</v>
      </c>
      <c r="S42" s="43" t="n">
        <f aca="false">-$E42*N(AND(S$3&lt;=$F42,S$4&gt;=$F42))</f>
        <v>-0</v>
      </c>
      <c r="T42" s="43" t="n">
        <f aca="false">-$E42*N(AND(T$3&lt;=$F42,T$4&gt;=$F42))</f>
        <v>-0</v>
      </c>
      <c r="U42" s="43" t="n">
        <f aca="false">-$E42*N(AND(U$3&lt;=$F42,U$4&gt;=$F42))</f>
        <v>-0</v>
      </c>
      <c r="V42" s="43" t="n">
        <f aca="false">-$E42*N(AND(V$3&lt;=$F42,V$4&gt;=$F42))</f>
        <v>-0</v>
      </c>
      <c r="W42" s="43" t="n">
        <f aca="false">-$E42*N(AND(W$3&lt;=$F42,W$4&gt;=$F42))</f>
        <v>-0</v>
      </c>
      <c r="X42" s="43" t="n">
        <f aca="false">-$E42*N(AND(X$3&lt;=$F42,X$4&gt;=$F42))</f>
        <v>-0</v>
      </c>
      <c r="Y42" s="43" t="n">
        <f aca="false">-$E42*N(AND(Y$3&lt;=$F42,Y$4&gt;=$F42))</f>
        <v>-0</v>
      </c>
      <c r="Z42" s="43" t="n">
        <f aca="false">-$E42*N(AND(Z$3&lt;=$F42,Z$4&gt;=$F42))</f>
        <v>-0</v>
      </c>
      <c r="AA42" s="43" t="n">
        <f aca="false">-$E42*N(AND(AA$3&lt;=$F42,AA$4&gt;=$F42))</f>
        <v>-0</v>
      </c>
      <c r="AB42" s="43" t="n">
        <f aca="false">-$E42*N(AND(AB$3&lt;=$F42,AB$4&gt;=$F42))</f>
        <v>-0</v>
      </c>
      <c r="AC42" s="43" t="n">
        <f aca="false">-$E42*N(AND(AC$3&lt;=$F42,AC$4&gt;=$F42))</f>
        <v>-0</v>
      </c>
      <c r="AD42" s="43" t="n">
        <f aca="false">-$E42*N(AND(AD$3&lt;=$F42,AD$4&gt;=$F42))</f>
        <v>-0</v>
      </c>
      <c r="AE42" s="43" t="n">
        <f aca="false">-$E42*N(AND(AE$3&lt;=$F42,AE$4&gt;=$F42))</f>
        <v>-0</v>
      </c>
      <c r="AF42" s="43" t="n">
        <f aca="false">-$E42*N(AND(AF$3&lt;=$F42,AF$4&gt;=$F42))</f>
        <v>-0</v>
      </c>
      <c r="AG42" s="43" t="n">
        <f aca="false">-$E42*N(AND(AG$3&lt;=$F42,AG$4&gt;=$F42))</f>
        <v>-0</v>
      </c>
      <c r="AH42" s="43" t="n">
        <f aca="false">-$E42*N(AND(AH$3&lt;=$F42,AH$4&gt;=$F42))</f>
        <v>-0</v>
      </c>
      <c r="AI42" s="43" t="n">
        <f aca="false">-$E42*N(AND(AI$3&lt;=$F42,AI$4&gt;=$F42))</f>
        <v>-0</v>
      </c>
      <c r="AJ42" s="43" t="n">
        <f aca="false">-$E42*N(AND(AJ$3&lt;=$F42,AJ$4&gt;=$F42))</f>
        <v>-0</v>
      </c>
      <c r="AK42" s="43" t="n">
        <f aca="false">-$E42*N(AND(AK$3&lt;=$F42,AK$4&gt;=$F42))</f>
        <v>-0</v>
      </c>
      <c r="AL42" s="43" t="n">
        <f aca="false">-$E42*N(AND(AL$3&lt;=$F42,AL$4&gt;=$F42))</f>
        <v>-0</v>
      </c>
      <c r="AM42" s="43" t="n">
        <f aca="false">-$E42*N(AND(AM$3&lt;=$F42,AM$4&gt;=$F42))</f>
        <v>-0</v>
      </c>
      <c r="AN42" s="43" t="n">
        <f aca="false">-$E42*N(AND(AN$3&lt;=$F42,AN$4&gt;=$F42))</f>
        <v>-0</v>
      </c>
      <c r="AO42" s="43" t="n">
        <f aca="false">-$E42*N(AND(AO$3&lt;=$F42,AO$4&gt;=$F42))</f>
        <v>-0</v>
      </c>
      <c r="AP42" s="43" t="n">
        <f aca="false">-$E42*N(AND(AP$3&lt;=$F42,AP$4&gt;=$F42))</f>
        <v>-0</v>
      </c>
      <c r="AQ42" s="43" t="n">
        <f aca="false">-$E42*N(AND(AQ$3&lt;=$F42,AQ$4&gt;=$F42))</f>
        <v>-0</v>
      </c>
      <c r="AR42" s="43" t="n">
        <f aca="false">-$E42*N(AND(AR$3&lt;=$F42,AR$4&gt;=$F42))</f>
        <v>-0</v>
      </c>
      <c r="AS42" s="43" t="n">
        <f aca="false">-$E42*N(AND(AS$3&lt;=$F42,AS$4&gt;=$F42))</f>
        <v>-0</v>
      </c>
      <c r="AT42" s="43" t="n">
        <f aca="false">-$E42*N(AND(AT$3&lt;=$F42,AT$4&gt;=$F42))</f>
        <v>-0</v>
      </c>
      <c r="AU42" s="43" t="n">
        <f aca="false">-$E42*N(AND(AU$3&lt;=$F42,AU$4&gt;=$F42))</f>
        <v>-0</v>
      </c>
      <c r="AV42" s="43" t="n">
        <f aca="false">-$E42*N(AND(AV$3&lt;=$F42,AV$4&gt;=$F42))</f>
        <v>-0</v>
      </c>
      <c r="AW42" s="43" t="n">
        <f aca="false">-$E42*N(AND(AW$3&lt;=$F42,AW$4&gt;=$F42))</f>
        <v>-0</v>
      </c>
      <c r="AX42" s="43" t="n">
        <f aca="false">-$E42*N(AND(AX$3&lt;=$F42,AX$4&gt;=$F42))</f>
        <v>-0</v>
      </c>
      <c r="AY42" s="43" t="n">
        <f aca="false">-$E42*N(AND(AY$3&lt;=$F42,AY$4&gt;=$F42))</f>
        <v>-0</v>
      </c>
      <c r="AZ42" s="43" t="n">
        <f aca="false">-$E42*N(AND(AZ$3&lt;=$F42,AZ$4&gt;=$F42))</f>
        <v>-0</v>
      </c>
      <c r="BA42" s="43" t="n">
        <f aca="false">-$E42*N(AND(BA$3&lt;=$F42,BA$4&gt;=$F42))</f>
        <v>-0</v>
      </c>
      <c r="BB42" s="43" t="n">
        <f aca="false">-$E42*N(AND(BB$3&lt;=$F42,BB$4&gt;=$F42))</f>
        <v>-0</v>
      </c>
      <c r="BC42" s="43" t="n">
        <f aca="false">-$E42*N(AND(BC$3&lt;=$F42,BC$4&gt;=$F42))</f>
        <v>-0</v>
      </c>
      <c r="BD42" s="43" t="n">
        <f aca="false">-$E42*N(AND(BD$3&lt;=$F42,BD$4&gt;=$F42))</f>
        <v>-0</v>
      </c>
      <c r="BE42" s="43" t="n">
        <f aca="false">-$E42*N(AND(BE$3&lt;=$F42,BE$4&gt;=$F42))</f>
        <v>-0</v>
      </c>
      <c r="BF42" s="43" t="n">
        <f aca="false">-$E42*N(AND(BF$3&lt;=$F42,BF$4&gt;=$F42))</f>
        <v>-0</v>
      </c>
      <c r="BG42" s="43" t="n">
        <f aca="false">-$E42*N(AND(BG$3&lt;=$F42,BG$4&gt;=$F42))</f>
        <v>-0</v>
      </c>
      <c r="BH42" s="43" t="n">
        <f aca="false">-$E42*N(AND(BH$3&lt;=$F42,BH$4&gt;=$F42))</f>
        <v>-0</v>
      </c>
      <c r="BI42" s="43" t="n">
        <f aca="false">-$E42*N(AND(BI$3&lt;=$F42,BI$4&gt;=$F42))</f>
        <v>-0</v>
      </c>
      <c r="BJ42" s="43" t="n">
        <f aca="false">-$E42*N(AND(BJ$3&lt;=$F42,BJ$4&gt;=$F42))</f>
        <v>-0</v>
      </c>
      <c r="BK42" s="43" t="n">
        <f aca="false">-$E42*N(AND(BK$3&lt;=$F42,BK$4&gt;=$F42))</f>
        <v>-0</v>
      </c>
      <c r="BL42" s="43" t="n">
        <f aca="false">-$E42*N(AND(BL$3&lt;=$F42,BL$4&gt;=$F42))</f>
        <v>-0</v>
      </c>
      <c r="BM42" s="43" t="n">
        <f aca="false">-$E42*N(AND(BM$3&lt;=$F42,BM$4&gt;=$F42))</f>
        <v>-0</v>
      </c>
      <c r="BN42" s="43" t="n">
        <f aca="false">-$E42*N(AND(BN$3&lt;=$F42,BN$4&gt;=$F42))</f>
        <v>-0</v>
      </c>
      <c r="BO42" s="43" t="n">
        <f aca="false">-$E42*N(AND(BO$3&lt;=$F42,BO$4&gt;=$F42))</f>
        <v>-0</v>
      </c>
      <c r="BP42" s="43" t="n">
        <f aca="false">-$E42*N(AND(BP$3&lt;=$F42,BP$4&gt;=$F42))</f>
        <v>-0</v>
      </c>
      <c r="BQ42" s="43" t="n">
        <f aca="false">-$E42*N(AND(BQ$3&lt;=$F42,BQ$4&gt;=$F42))</f>
        <v>-0</v>
      </c>
      <c r="BR42" s="43" t="n">
        <f aca="false">-$E42*N(AND(BR$3&lt;=$F42,BR$4&gt;=$F42))</f>
        <v>-0</v>
      </c>
      <c r="BS42" s="43" t="n">
        <f aca="false">-$E42*N(AND(BS$3&lt;=$F42,BS$4&gt;=$F42))</f>
        <v>-0</v>
      </c>
      <c r="BT42" s="43" t="n">
        <f aca="false">-$E42*N(AND(BT$3&lt;=$F42,BT$4&gt;=$F42))</f>
        <v>-0</v>
      </c>
      <c r="BU42" s="43" t="n">
        <f aca="false">-$E42*N(AND(BU$3&lt;=$F42,BU$4&gt;=$F42))</f>
        <v>-0</v>
      </c>
      <c r="BV42" s="43" t="n">
        <f aca="false">-$E42*N(AND(BV$3&lt;=$F42,BV$4&gt;=$F42))</f>
        <v>-0</v>
      </c>
      <c r="BW42" s="43" t="n">
        <f aca="false">-$E42*N(AND(BW$3&lt;=$F42,BW$4&gt;=$F42))</f>
        <v>-0</v>
      </c>
      <c r="BX42" s="43" t="n">
        <f aca="false">-$E42*N(AND(BX$3&lt;=$F42,BX$4&gt;=$F42))</f>
        <v>-0</v>
      </c>
      <c r="BY42" s="43" t="n">
        <f aca="false">-$E42*N(AND(BY$3&lt;=$F42,BY$4&gt;=$F42))</f>
        <v>-0</v>
      </c>
      <c r="BZ42" s="43" t="n">
        <f aca="false">-$E42*N(AND(BZ$3&lt;=$F42,BZ$4&gt;=$F42))</f>
        <v>-0</v>
      </c>
      <c r="CA42" s="43" t="n">
        <f aca="false">-$E42*N(AND(CA$3&lt;=$F42,CA$4&gt;=$F42))</f>
        <v>-0</v>
      </c>
      <c r="CB42" s="43" t="n">
        <f aca="false">-$E42*N(AND(CB$3&lt;=$F42,CB$4&gt;=$F42))</f>
        <v>-0</v>
      </c>
      <c r="CC42" s="43" t="n">
        <f aca="false">-$E42*N(AND(CC$3&lt;=$F42,CC$4&gt;=$F42))</f>
        <v>-0</v>
      </c>
      <c r="CD42" s="43" t="n">
        <f aca="false">-$E42*N(AND(CD$3&lt;=$F42,CD$4&gt;=$F42))</f>
        <v>-0</v>
      </c>
      <c r="CE42" s="43" t="n">
        <f aca="false">-$E42*N(AND(CE$3&lt;=$F42,CE$4&gt;=$F42))</f>
        <v>-0</v>
      </c>
      <c r="CF42" s="43" t="n">
        <f aca="false">-$E42*N(AND(CF$3&lt;=$F42,CF$4&gt;=$F42))</f>
        <v>-0</v>
      </c>
      <c r="CG42" s="43" t="n">
        <f aca="false">-$E42*N(AND(CG$3&lt;=$F42,CG$4&gt;=$F42))</f>
        <v>-0</v>
      </c>
      <c r="CH42" s="43" t="n">
        <f aca="false">-$E42*N(AND(CH$3&lt;=$F42,CH$4&gt;=$F42))</f>
        <v>-0</v>
      </c>
      <c r="CI42" s="43" t="n">
        <f aca="false">-$E42*N(AND(CI$3&lt;=$F42,CI$4&gt;=$F42))</f>
        <v>-0</v>
      </c>
      <c r="CJ42" s="43" t="n">
        <f aca="false">-$E42*N(AND(CJ$3&lt;=$F42,CJ$4&gt;=$F42))</f>
        <v>-0</v>
      </c>
      <c r="CK42" s="43" t="n">
        <f aca="false">-$E42*N(AND(CK$3&lt;=$F42,CK$4&gt;=$F42))</f>
        <v>-0</v>
      </c>
      <c r="CL42" s="43" t="n">
        <f aca="false">-$E42*N(AND(CL$3&lt;=$F42,CL$4&gt;=$F42))</f>
        <v>-0</v>
      </c>
      <c r="CM42" s="43" t="n">
        <f aca="false">-$E42*N(AND(CM$3&lt;=$F42,CM$4&gt;=$F42))</f>
        <v>-0</v>
      </c>
      <c r="CN42" s="43" t="n">
        <f aca="false">-$E42*N(AND(CN$3&lt;=$F42,CN$4&gt;=$F42))</f>
        <v>-0</v>
      </c>
      <c r="CO42" s="43" t="n">
        <f aca="false">-$E42*N(AND(CO$3&lt;=$F42,CO$4&gt;=$F42))</f>
        <v>-0</v>
      </c>
      <c r="CP42" s="43" t="n">
        <f aca="false">-$E42*N(AND(CP$3&lt;=$F42,CP$4&gt;=$F42))</f>
        <v>-0</v>
      </c>
      <c r="CQ42" s="43" t="n">
        <f aca="false">-$E42*N(AND(CQ$3&lt;=$F42,CQ$4&gt;=$F42))</f>
        <v>-0</v>
      </c>
      <c r="CR42" s="43" t="n">
        <f aca="false">-$E42*N(AND(CR$3&lt;=$F42,CR$4&gt;=$F42))</f>
        <v>-0</v>
      </c>
      <c r="CS42" s="43" t="n">
        <f aca="false">-$E42*N(AND(CS$3&lt;=$F42,CS$4&gt;=$F42))</f>
        <v>-0</v>
      </c>
      <c r="CT42" s="43" t="n">
        <f aca="false">-$E42*N(AND(CT$3&lt;=$F42,CT$4&gt;=$F42))</f>
        <v>-0</v>
      </c>
      <c r="CU42" s="43" t="n">
        <f aca="false">-$E42*N(AND(CU$3&lt;=$F42,CU$4&gt;=$F42))</f>
        <v>-0</v>
      </c>
      <c r="CV42" s="43" t="n">
        <f aca="false">-$E42*N(AND(CV$3&lt;=$F42,CV$4&gt;=$F42))</f>
        <v>-0</v>
      </c>
      <c r="CW42" s="43" t="n">
        <f aca="false">-$E42*N(AND(CW$3&lt;=$F42,CW$4&gt;=$F42))</f>
        <v>-0</v>
      </c>
      <c r="CX42" s="43" t="n">
        <f aca="false">-$E42*N(AND(CX$3&lt;=$F42,CX$4&gt;=$F42))</f>
        <v>-0</v>
      </c>
      <c r="CY42" s="43" t="n">
        <f aca="false">-$E42*N(AND(CY$3&lt;=$F42,CY$4&gt;=$F42))</f>
        <v>-0</v>
      </c>
      <c r="CZ42" s="43" t="n">
        <f aca="false">-$E42*N(AND(CZ$3&lt;=$F42,CZ$4&gt;=$F42))</f>
        <v>-0</v>
      </c>
      <c r="DA42" s="43" t="n">
        <f aca="false">-$E42*N(AND(DA$3&lt;=$F42,DA$4&gt;=$F42))</f>
        <v>-0</v>
      </c>
      <c r="DB42" s="43" t="n">
        <f aca="false">-$E42*N(AND(DB$3&lt;=$F42,DB$4&gt;=$F42))</f>
        <v>-0</v>
      </c>
      <c r="DC42" s="43" t="n">
        <f aca="false">-$E42*N(AND(DC$3&lt;=$F42,DC$4&gt;=$F42))</f>
        <v>-0</v>
      </c>
      <c r="DD42" s="43" t="n">
        <f aca="false">-$E42*N(AND(DD$3&lt;=$F42,DD$4&gt;=$F42))</f>
        <v>-0</v>
      </c>
      <c r="DE42" s="43" t="n">
        <f aca="false">-$E42*N(AND(DE$3&lt;=$F42,DE$4&gt;=$F42))</f>
        <v>-0</v>
      </c>
      <c r="DF42" s="43" t="n">
        <f aca="false">-$E42*N(AND(DF$3&lt;=$F42,DF$4&gt;=$F42))</f>
        <v>-0</v>
      </c>
      <c r="DG42" s="43" t="n">
        <f aca="false">-$E42*N(AND(DG$3&lt;=$F42,DG$4&gt;=$F42))</f>
        <v>-0</v>
      </c>
      <c r="DH42" s="43" t="n">
        <f aca="false">-$E42*N(AND(DH$3&lt;=$F42,DH$4&gt;=$F42))</f>
        <v>-0</v>
      </c>
      <c r="DI42" s="43" t="n">
        <f aca="false">-$E42*N(AND(DI$3&lt;=$F42,DI$4&gt;=$F42))</f>
        <v>-0</v>
      </c>
      <c r="DJ42" s="43" t="n">
        <f aca="false">-$E42*N(AND(DJ$3&lt;=$F42,DJ$4&gt;=$F42))</f>
        <v>-0</v>
      </c>
      <c r="DK42" s="43" t="n">
        <f aca="false">-$E42*N(AND(DK$3&lt;=$F42,DK$4&gt;=$F42))</f>
        <v>-0</v>
      </c>
      <c r="DL42" s="43" t="n">
        <f aca="false">-$E42*N(AND(DL$3&lt;=$F42,DL$4&gt;=$F42))</f>
        <v>-0</v>
      </c>
      <c r="DM42" s="43" t="n">
        <f aca="false">-$E42*N(AND(DM$3&lt;=$F42,DM$4&gt;=$F42))</f>
        <v>-0</v>
      </c>
      <c r="DN42" s="43" t="n">
        <f aca="false">-$E42*N(AND(DN$3&lt;=$F42,DN$4&gt;=$F42))</f>
        <v>-0</v>
      </c>
      <c r="DO42" s="43" t="n">
        <f aca="false">-$E42*N(AND(DO$3&lt;=$F42,DO$4&gt;=$F42))</f>
        <v>-0</v>
      </c>
      <c r="DP42" s="43" t="n">
        <f aca="false">-$E42*N(AND(DP$3&lt;=$F42,DP$4&gt;=$F42))</f>
        <v>-0</v>
      </c>
      <c r="DQ42" s="43" t="n">
        <f aca="false">-$E42*N(AND(DQ$3&lt;=$F42,DQ$4&gt;=$F42))</f>
        <v>-0</v>
      </c>
      <c r="DR42" s="43" t="n">
        <f aca="false">-$E42*N(AND(DR$3&lt;=$F42,DR$4&gt;=$F42))</f>
        <v>-0</v>
      </c>
      <c r="DS42" s="43" t="n">
        <f aca="false">-$E42*N(AND(DS$3&lt;=$F42,DS$4&gt;=$F42))</f>
        <v>-0</v>
      </c>
      <c r="DT42" s="43" t="n">
        <f aca="false">-$E42*N(AND(DT$3&lt;=$F42,DT$4&gt;=$F42))</f>
        <v>-0</v>
      </c>
      <c r="DU42" s="43" t="n">
        <f aca="false">-$E42*N(AND(DU$3&lt;=$F42,DU$4&gt;=$F42))</f>
        <v>-0</v>
      </c>
      <c r="DV42" s="43" t="n">
        <f aca="false">-$E42*N(AND(DV$3&lt;=$F42,DV$4&gt;=$F42))</f>
        <v>-0</v>
      </c>
      <c r="DW42" s="43" t="n">
        <f aca="false">-$E42*N(AND(DW$3&lt;=$F42,DW$4&gt;=$F42))</f>
        <v>-0</v>
      </c>
      <c r="DX42" s="43" t="n">
        <f aca="false">-$E42*N(AND(DX$3&lt;=$F42,DX$4&gt;=$F42))</f>
        <v>-0</v>
      </c>
      <c r="DY42" s="43" t="n">
        <f aca="false">-$E42*N(AND(DY$3&lt;=$F42,DY$4&gt;=$F42))</f>
        <v>-0</v>
      </c>
      <c r="DZ42" s="43" t="n">
        <f aca="false">-$E42*N(AND(DZ$3&lt;=$F42,DZ$4&gt;=$F42))</f>
        <v>-0</v>
      </c>
      <c r="EA42" s="43" t="n">
        <f aca="false">-$E42*N(AND(EA$3&lt;=$F42,EA$4&gt;=$F42))</f>
        <v>-0</v>
      </c>
      <c r="EB42" s="43" t="n">
        <f aca="false">-$E42*N(AND(EB$3&lt;=$F42,EB$4&gt;=$F42))</f>
        <v>-0</v>
      </c>
      <c r="EC42" s="43" t="n">
        <f aca="false">-$E42*N(AND(EC$3&lt;=$F42,EC$4&gt;=$F42))</f>
        <v>-0</v>
      </c>
      <c r="ED42" s="43" t="n">
        <f aca="false">-$E42*N(AND(ED$3&lt;=$F42,ED$4&gt;=$F42))</f>
        <v>-0</v>
      </c>
      <c r="EE42" s="43" t="n">
        <f aca="false">-$E42*N(AND(EE$3&lt;=$F42,EE$4&gt;=$F42))</f>
        <v>-0</v>
      </c>
      <c r="EF42" s="43" t="n">
        <f aca="false">-$E42*N(AND(EF$3&lt;=$F42,EF$4&gt;=$F42))</f>
        <v>-0</v>
      </c>
      <c r="EG42" s="43" t="n">
        <f aca="false">-$E42*N(AND(EG$3&lt;=$F42,EG$4&gt;=$F42))</f>
        <v>-0</v>
      </c>
      <c r="EH42" s="43" t="n">
        <f aca="false">-$E42*N(AND(EH$3&lt;=$F42,EH$4&gt;=$F42))</f>
        <v>-0</v>
      </c>
      <c r="EI42" s="43" t="n">
        <f aca="false">-$E42*N(AND(EI$3&lt;=$F42,EI$4&gt;=$F42))</f>
        <v>-0</v>
      </c>
      <c r="EJ42" s="43" t="n">
        <f aca="false">-$E42*N(AND(EJ$3&lt;=$F42,EJ$4&gt;=$F42))</f>
        <v>-0</v>
      </c>
      <c r="EK42" s="43" t="n">
        <f aca="false">-$E42*N(AND(EK$3&lt;=$F42,EK$4&gt;=$F42))</f>
        <v>-0</v>
      </c>
      <c r="EL42" s="43" t="n">
        <f aca="false">-$E42*N(AND(EL$3&lt;=$F42,EL$4&gt;=$F42))</f>
        <v>-0</v>
      </c>
      <c r="EM42" s="43" t="n">
        <f aca="false">-$E42*N(AND(EM$3&lt;=$F42,EM$4&gt;=$F42))</f>
        <v>-0</v>
      </c>
      <c r="EN42" s="43" t="n">
        <f aca="false">-$E42*N(AND(EN$3&lt;=$F42,EN$4&gt;=$F42))</f>
        <v>-0</v>
      </c>
      <c r="EO42" s="43" t="n">
        <f aca="false">-$E42*N(AND(EO$3&lt;=$F42,EO$4&gt;=$F42))</f>
        <v>-0</v>
      </c>
    </row>
    <row r="43" customFormat="false" ht="15" hidden="false" customHeight="false" outlineLevel="0" collapsed="false">
      <c r="C43" s="0" t="s">
        <v>356</v>
      </c>
      <c r="D43" s="11" t="s">
        <v>33</v>
      </c>
      <c r="E43" s="43" t="n">
        <f aca="false">In_Direct_Fee*Thousand/In_FX</f>
        <v>1260.27397260274</v>
      </c>
      <c r="F43" s="20" t="n">
        <f aca="false">In_HCSSZ_Date</f>
        <v>47126</v>
      </c>
      <c r="I43" s="43" t="n">
        <f aca="false">SUM(J43:EO43)</f>
        <v>-1260.27397260274</v>
      </c>
      <c r="J43" s="43" t="n">
        <f aca="false">-$E43*N(AND(J$3&lt;=$F43,J$4&gt;=$F43))</f>
        <v>-0</v>
      </c>
      <c r="K43" s="43" t="n">
        <f aca="false">-$E43*N(AND(K$3&lt;=$F43,K$4&gt;=$F43))</f>
        <v>-0</v>
      </c>
      <c r="L43" s="43" t="n">
        <f aca="false">-$E43*N(AND(L$3&lt;=$F43,L$4&gt;=$F43))</f>
        <v>-0</v>
      </c>
      <c r="M43" s="43" t="n">
        <f aca="false">-$E43*N(AND(M$3&lt;=$F43,M$4&gt;=$F43))</f>
        <v>-0</v>
      </c>
      <c r="N43" s="43" t="n">
        <f aca="false">-$E43*N(AND(N$3&lt;=$F43,N$4&gt;=$F43))</f>
        <v>-0</v>
      </c>
      <c r="O43" s="43" t="n">
        <f aca="false">-$E43*N(AND(O$3&lt;=$F43,O$4&gt;=$F43))</f>
        <v>-0</v>
      </c>
      <c r="P43" s="43" t="n">
        <f aca="false">-$E43*N(AND(P$3&lt;=$F43,P$4&gt;=$F43))</f>
        <v>-0</v>
      </c>
      <c r="Q43" s="43" t="n">
        <f aca="false">-$E43*N(AND(Q$3&lt;=$F43,Q$4&gt;=$F43))</f>
        <v>-0</v>
      </c>
      <c r="R43" s="43" t="n">
        <f aca="false">-$E43*N(AND(R$3&lt;=$F43,R$4&gt;=$F43))</f>
        <v>-0</v>
      </c>
      <c r="S43" s="43" t="n">
        <f aca="false">-$E43*N(AND(S$3&lt;=$F43,S$4&gt;=$F43))</f>
        <v>-1260.27397260274</v>
      </c>
      <c r="T43" s="43" t="n">
        <f aca="false">-$E43*N(AND(T$3&lt;=$F43,T$4&gt;=$F43))</f>
        <v>-0</v>
      </c>
      <c r="U43" s="43" t="n">
        <f aca="false">-$E43*N(AND(U$3&lt;=$F43,U$4&gt;=$F43))</f>
        <v>-0</v>
      </c>
      <c r="V43" s="43" t="n">
        <f aca="false">-$E43*N(AND(V$3&lt;=$F43,V$4&gt;=$F43))</f>
        <v>-0</v>
      </c>
      <c r="W43" s="43" t="n">
        <f aca="false">-$E43*N(AND(W$3&lt;=$F43,W$4&gt;=$F43))</f>
        <v>-0</v>
      </c>
      <c r="X43" s="43" t="n">
        <f aca="false">-$E43*N(AND(X$3&lt;=$F43,X$4&gt;=$F43))</f>
        <v>-0</v>
      </c>
      <c r="Y43" s="43" t="n">
        <f aca="false">-$E43*N(AND(Y$3&lt;=$F43,Y$4&gt;=$F43))</f>
        <v>-0</v>
      </c>
      <c r="Z43" s="43" t="n">
        <f aca="false">-$E43*N(AND(Z$3&lt;=$F43,Z$4&gt;=$F43))</f>
        <v>-0</v>
      </c>
      <c r="AA43" s="43" t="n">
        <f aca="false">-$E43*N(AND(AA$3&lt;=$F43,AA$4&gt;=$F43))</f>
        <v>-0</v>
      </c>
      <c r="AB43" s="43" t="n">
        <f aca="false">-$E43*N(AND(AB$3&lt;=$F43,AB$4&gt;=$F43))</f>
        <v>-0</v>
      </c>
      <c r="AC43" s="43" t="n">
        <f aca="false">-$E43*N(AND(AC$3&lt;=$F43,AC$4&gt;=$F43))</f>
        <v>-0</v>
      </c>
      <c r="AD43" s="43" t="n">
        <f aca="false">-$E43*N(AND(AD$3&lt;=$F43,AD$4&gt;=$F43))</f>
        <v>-0</v>
      </c>
      <c r="AE43" s="43" t="n">
        <f aca="false">-$E43*N(AND(AE$3&lt;=$F43,AE$4&gt;=$F43))</f>
        <v>-0</v>
      </c>
      <c r="AF43" s="43" t="n">
        <f aca="false">-$E43*N(AND(AF$3&lt;=$F43,AF$4&gt;=$F43))</f>
        <v>-0</v>
      </c>
      <c r="AG43" s="43" t="n">
        <f aca="false">-$E43*N(AND(AG$3&lt;=$F43,AG$4&gt;=$F43))</f>
        <v>-0</v>
      </c>
      <c r="AH43" s="43" t="n">
        <f aca="false">-$E43*N(AND(AH$3&lt;=$F43,AH$4&gt;=$F43))</f>
        <v>-0</v>
      </c>
      <c r="AI43" s="43" t="n">
        <f aca="false">-$E43*N(AND(AI$3&lt;=$F43,AI$4&gt;=$F43))</f>
        <v>-0</v>
      </c>
      <c r="AJ43" s="43" t="n">
        <f aca="false">-$E43*N(AND(AJ$3&lt;=$F43,AJ$4&gt;=$F43))</f>
        <v>-0</v>
      </c>
      <c r="AK43" s="43" t="n">
        <f aca="false">-$E43*N(AND(AK$3&lt;=$F43,AK$4&gt;=$F43))</f>
        <v>-0</v>
      </c>
      <c r="AL43" s="43" t="n">
        <f aca="false">-$E43*N(AND(AL$3&lt;=$F43,AL$4&gt;=$F43))</f>
        <v>-0</v>
      </c>
      <c r="AM43" s="43" t="n">
        <f aca="false">-$E43*N(AND(AM$3&lt;=$F43,AM$4&gt;=$F43))</f>
        <v>-0</v>
      </c>
      <c r="AN43" s="43" t="n">
        <f aca="false">-$E43*N(AND(AN$3&lt;=$F43,AN$4&gt;=$F43))</f>
        <v>-0</v>
      </c>
      <c r="AO43" s="43" t="n">
        <f aca="false">-$E43*N(AND(AO$3&lt;=$F43,AO$4&gt;=$F43))</f>
        <v>-0</v>
      </c>
      <c r="AP43" s="43" t="n">
        <f aca="false">-$E43*N(AND(AP$3&lt;=$F43,AP$4&gt;=$F43))</f>
        <v>-0</v>
      </c>
      <c r="AQ43" s="43" t="n">
        <f aca="false">-$E43*N(AND(AQ$3&lt;=$F43,AQ$4&gt;=$F43))</f>
        <v>-0</v>
      </c>
      <c r="AR43" s="43" t="n">
        <f aca="false">-$E43*N(AND(AR$3&lt;=$F43,AR$4&gt;=$F43))</f>
        <v>-0</v>
      </c>
      <c r="AS43" s="43" t="n">
        <f aca="false">-$E43*N(AND(AS$3&lt;=$F43,AS$4&gt;=$F43))</f>
        <v>-0</v>
      </c>
      <c r="AT43" s="43" t="n">
        <f aca="false">-$E43*N(AND(AT$3&lt;=$F43,AT$4&gt;=$F43))</f>
        <v>-0</v>
      </c>
      <c r="AU43" s="43" t="n">
        <f aca="false">-$E43*N(AND(AU$3&lt;=$F43,AU$4&gt;=$F43))</f>
        <v>-0</v>
      </c>
      <c r="AV43" s="43" t="n">
        <f aca="false">-$E43*N(AND(AV$3&lt;=$F43,AV$4&gt;=$F43))</f>
        <v>-0</v>
      </c>
      <c r="AW43" s="43" t="n">
        <f aca="false">-$E43*N(AND(AW$3&lt;=$F43,AW$4&gt;=$F43))</f>
        <v>-0</v>
      </c>
      <c r="AX43" s="43" t="n">
        <f aca="false">-$E43*N(AND(AX$3&lt;=$F43,AX$4&gt;=$F43))</f>
        <v>-0</v>
      </c>
      <c r="AY43" s="43" t="n">
        <f aca="false">-$E43*N(AND(AY$3&lt;=$F43,AY$4&gt;=$F43))</f>
        <v>-0</v>
      </c>
      <c r="AZ43" s="43" t="n">
        <f aca="false">-$E43*N(AND(AZ$3&lt;=$F43,AZ$4&gt;=$F43))</f>
        <v>-0</v>
      </c>
      <c r="BA43" s="43" t="n">
        <f aca="false">-$E43*N(AND(BA$3&lt;=$F43,BA$4&gt;=$F43))</f>
        <v>-0</v>
      </c>
      <c r="BB43" s="43" t="n">
        <f aca="false">-$E43*N(AND(BB$3&lt;=$F43,BB$4&gt;=$F43))</f>
        <v>-0</v>
      </c>
      <c r="BC43" s="43" t="n">
        <f aca="false">-$E43*N(AND(BC$3&lt;=$F43,BC$4&gt;=$F43))</f>
        <v>-0</v>
      </c>
      <c r="BD43" s="43" t="n">
        <f aca="false">-$E43*N(AND(BD$3&lt;=$F43,BD$4&gt;=$F43))</f>
        <v>-0</v>
      </c>
      <c r="BE43" s="43" t="n">
        <f aca="false">-$E43*N(AND(BE$3&lt;=$F43,BE$4&gt;=$F43))</f>
        <v>-0</v>
      </c>
      <c r="BF43" s="43" t="n">
        <f aca="false">-$E43*N(AND(BF$3&lt;=$F43,BF$4&gt;=$F43))</f>
        <v>-0</v>
      </c>
      <c r="BG43" s="43" t="n">
        <f aca="false">-$E43*N(AND(BG$3&lt;=$F43,BG$4&gt;=$F43))</f>
        <v>-0</v>
      </c>
      <c r="BH43" s="43" t="n">
        <f aca="false">-$E43*N(AND(BH$3&lt;=$F43,BH$4&gt;=$F43))</f>
        <v>-0</v>
      </c>
      <c r="BI43" s="43" t="n">
        <f aca="false">-$E43*N(AND(BI$3&lt;=$F43,BI$4&gt;=$F43))</f>
        <v>-0</v>
      </c>
      <c r="BJ43" s="43" t="n">
        <f aca="false">-$E43*N(AND(BJ$3&lt;=$F43,BJ$4&gt;=$F43))</f>
        <v>-0</v>
      </c>
      <c r="BK43" s="43" t="n">
        <f aca="false">-$E43*N(AND(BK$3&lt;=$F43,BK$4&gt;=$F43))</f>
        <v>-0</v>
      </c>
      <c r="BL43" s="43" t="n">
        <f aca="false">-$E43*N(AND(BL$3&lt;=$F43,BL$4&gt;=$F43))</f>
        <v>-0</v>
      </c>
      <c r="BM43" s="43" t="n">
        <f aca="false">-$E43*N(AND(BM$3&lt;=$F43,BM$4&gt;=$F43))</f>
        <v>-0</v>
      </c>
      <c r="BN43" s="43" t="n">
        <f aca="false">-$E43*N(AND(BN$3&lt;=$F43,BN$4&gt;=$F43))</f>
        <v>-0</v>
      </c>
      <c r="BO43" s="43" t="n">
        <f aca="false">-$E43*N(AND(BO$3&lt;=$F43,BO$4&gt;=$F43))</f>
        <v>-0</v>
      </c>
      <c r="BP43" s="43" t="n">
        <f aca="false">-$E43*N(AND(BP$3&lt;=$F43,BP$4&gt;=$F43))</f>
        <v>-0</v>
      </c>
      <c r="BQ43" s="43" t="n">
        <f aca="false">-$E43*N(AND(BQ$3&lt;=$F43,BQ$4&gt;=$F43))</f>
        <v>-0</v>
      </c>
      <c r="BR43" s="43" t="n">
        <f aca="false">-$E43*N(AND(BR$3&lt;=$F43,BR$4&gt;=$F43))</f>
        <v>-0</v>
      </c>
      <c r="BS43" s="43" t="n">
        <f aca="false">-$E43*N(AND(BS$3&lt;=$F43,BS$4&gt;=$F43))</f>
        <v>-0</v>
      </c>
      <c r="BT43" s="43" t="n">
        <f aca="false">-$E43*N(AND(BT$3&lt;=$F43,BT$4&gt;=$F43))</f>
        <v>-0</v>
      </c>
      <c r="BU43" s="43" t="n">
        <f aca="false">-$E43*N(AND(BU$3&lt;=$F43,BU$4&gt;=$F43))</f>
        <v>-0</v>
      </c>
      <c r="BV43" s="43" t="n">
        <f aca="false">-$E43*N(AND(BV$3&lt;=$F43,BV$4&gt;=$F43))</f>
        <v>-0</v>
      </c>
      <c r="BW43" s="43" t="n">
        <f aca="false">-$E43*N(AND(BW$3&lt;=$F43,BW$4&gt;=$F43))</f>
        <v>-0</v>
      </c>
      <c r="BX43" s="43" t="n">
        <f aca="false">-$E43*N(AND(BX$3&lt;=$F43,BX$4&gt;=$F43))</f>
        <v>-0</v>
      </c>
      <c r="BY43" s="43" t="n">
        <f aca="false">-$E43*N(AND(BY$3&lt;=$F43,BY$4&gt;=$F43))</f>
        <v>-0</v>
      </c>
      <c r="BZ43" s="43" t="n">
        <f aca="false">-$E43*N(AND(BZ$3&lt;=$F43,BZ$4&gt;=$F43))</f>
        <v>-0</v>
      </c>
      <c r="CA43" s="43" t="n">
        <f aca="false">-$E43*N(AND(CA$3&lt;=$F43,CA$4&gt;=$F43))</f>
        <v>-0</v>
      </c>
      <c r="CB43" s="43" t="n">
        <f aca="false">-$E43*N(AND(CB$3&lt;=$F43,CB$4&gt;=$F43))</f>
        <v>-0</v>
      </c>
      <c r="CC43" s="43" t="n">
        <f aca="false">-$E43*N(AND(CC$3&lt;=$F43,CC$4&gt;=$F43))</f>
        <v>-0</v>
      </c>
      <c r="CD43" s="43" t="n">
        <f aca="false">-$E43*N(AND(CD$3&lt;=$F43,CD$4&gt;=$F43))</f>
        <v>-0</v>
      </c>
      <c r="CE43" s="43" t="n">
        <f aca="false">-$E43*N(AND(CE$3&lt;=$F43,CE$4&gt;=$F43))</f>
        <v>-0</v>
      </c>
      <c r="CF43" s="43" t="n">
        <f aca="false">-$E43*N(AND(CF$3&lt;=$F43,CF$4&gt;=$F43))</f>
        <v>-0</v>
      </c>
      <c r="CG43" s="43" t="n">
        <f aca="false">-$E43*N(AND(CG$3&lt;=$F43,CG$4&gt;=$F43))</f>
        <v>-0</v>
      </c>
      <c r="CH43" s="43" t="n">
        <f aca="false">-$E43*N(AND(CH$3&lt;=$F43,CH$4&gt;=$F43))</f>
        <v>-0</v>
      </c>
      <c r="CI43" s="43" t="n">
        <f aca="false">-$E43*N(AND(CI$3&lt;=$F43,CI$4&gt;=$F43))</f>
        <v>-0</v>
      </c>
      <c r="CJ43" s="43" t="n">
        <f aca="false">-$E43*N(AND(CJ$3&lt;=$F43,CJ$4&gt;=$F43))</f>
        <v>-0</v>
      </c>
      <c r="CK43" s="43" t="n">
        <f aca="false">-$E43*N(AND(CK$3&lt;=$F43,CK$4&gt;=$F43))</f>
        <v>-0</v>
      </c>
      <c r="CL43" s="43" t="n">
        <f aca="false">-$E43*N(AND(CL$3&lt;=$F43,CL$4&gt;=$F43))</f>
        <v>-0</v>
      </c>
      <c r="CM43" s="43" t="n">
        <f aca="false">-$E43*N(AND(CM$3&lt;=$F43,CM$4&gt;=$F43))</f>
        <v>-0</v>
      </c>
      <c r="CN43" s="43" t="n">
        <f aca="false">-$E43*N(AND(CN$3&lt;=$F43,CN$4&gt;=$F43))</f>
        <v>-0</v>
      </c>
      <c r="CO43" s="43" t="n">
        <f aca="false">-$E43*N(AND(CO$3&lt;=$F43,CO$4&gt;=$F43))</f>
        <v>-0</v>
      </c>
      <c r="CP43" s="43" t="n">
        <f aca="false">-$E43*N(AND(CP$3&lt;=$F43,CP$4&gt;=$F43))</f>
        <v>-0</v>
      </c>
      <c r="CQ43" s="43" t="n">
        <f aca="false">-$E43*N(AND(CQ$3&lt;=$F43,CQ$4&gt;=$F43))</f>
        <v>-0</v>
      </c>
      <c r="CR43" s="43" t="n">
        <f aca="false">-$E43*N(AND(CR$3&lt;=$F43,CR$4&gt;=$F43))</f>
        <v>-0</v>
      </c>
      <c r="CS43" s="43" t="n">
        <f aca="false">-$E43*N(AND(CS$3&lt;=$F43,CS$4&gt;=$F43))</f>
        <v>-0</v>
      </c>
      <c r="CT43" s="43" t="n">
        <f aca="false">-$E43*N(AND(CT$3&lt;=$F43,CT$4&gt;=$F43))</f>
        <v>-0</v>
      </c>
      <c r="CU43" s="43" t="n">
        <f aca="false">-$E43*N(AND(CU$3&lt;=$F43,CU$4&gt;=$F43))</f>
        <v>-0</v>
      </c>
      <c r="CV43" s="43" t="n">
        <f aca="false">-$E43*N(AND(CV$3&lt;=$F43,CV$4&gt;=$F43))</f>
        <v>-0</v>
      </c>
      <c r="CW43" s="43" t="n">
        <f aca="false">-$E43*N(AND(CW$3&lt;=$F43,CW$4&gt;=$F43))</f>
        <v>-0</v>
      </c>
      <c r="CX43" s="43" t="n">
        <f aca="false">-$E43*N(AND(CX$3&lt;=$F43,CX$4&gt;=$F43))</f>
        <v>-0</v>
      </c>
      <c r="CY43" s="43" t="n">
        <f aca="false">-$E43*N(AND(CY$3&lt;=$F43,CY$4&gt;=$F43))</f>
        <v>-0</v>
      </c>
      <c r="CZ43" s="43" t="n">
        <f aca="false">-$E43*N(AND(CZ$3&lt;=$F43,CZ$4&gt;=$F43))</f>
        <v>-0</v>
      </c>
      <c r="DA43" s="43" t="n">
        <f aca="false">-$E43*N(AND(DA$3&lt;=$F43,DA$4&gt;=$F43))</f>
        <v>-0</v>
      </c>
      <c r="DB43" s="43" t="n">
        <f aca="false">-$E43*N(AND(DB$3&lt;=$F43,DB$4&gt;=$F43))</f>
        <v>-0</v>
      </c>
      <c r="DC43" s="43" t="n">
        <f aca="false">-$E43*N(AND(DC$3&lt;=$F43,DC$4&gt;=$F43))</f>
        <v>-0</v>
      </c>
      <c r="DD43" s="43" t="n">
        <f aca="false">-$E43*N(AND(DD$3&lt;=$F43,DD$4&gt;=$F43))</f>
        <v>-0</v>
      </c>
      <c r="DE43" s="43" t="n">
        <f aca="false">-$E43*N(AND(DE$3&lt;=$F43,DE$4&gt;=$F43))</f>
        <v>-0</v>
      </c>
      <c r="DF43" s="43" t="n">
        <f aca="false">-$E43*N(AND(DF$3&lt;=$F43,DF$4&gt;=$F43))</f>
        <v>-0</v>
      </c>
      <c r="DG43" s="43" t="n">
        <f aca="false">-$E43*N(AND(DG$3&lt;=$F43,DG$4&gt;=$F43))</f>
        <v>-0</v>
      </c>
      <c r="DH43" s="43" t="n">
        <f aca="false">-$E43*N(AND(DH$3&lt;=$F43,DH$4&gt;=$F43))</f>
        <v>-0</v>
      </c>
      <c r="DI43" s="43" t="n">
        <f aca="false">-$E43*N(AND(DI$3&lt;=$F43,DI$4&gt;=$F43))</f>
        <v>-0</v>
      </c>
      <c r="DJ43" s="43" t="n">
        <f aca="false">-$E43*N(AND(DJ$3&lt;=$F43,DJ$4&gt;=$F43))</f>
        <v>-0</v>
      </c>
      <c r="DK43" s="43" t="n">
        <f aca="false">-$E43*N(AND(DK$3&lt;=$F43,DK$4&gt;=$F43))</f>
        <v>-0</v>
      </c>
      <c r="DL43" s="43" t="n">
        <f aca="false">-$E43*N(AND(DL$3&lt;=$F43,DL$4&gt;=$F43))</f>
        <v>-0</v>
      </c>
      <c r="DM43" s="43" t="n">
        <f aca="false">-$E43*N(AND(DM$3&lt;=$F43,DM$4&gt;=$F43))</f>
        <v>-0</v>
      </c>
      <c r="DN43" s="43" t="n">
        <f aca="false">-$E43*N(AND(DN$3&lt;=$F43,DN$4&gt;=$F43))</f>
        <v>-0</v>
      </c>
      <c r="DO43" s="43" t="n">
        <f aca="false">-$E43*N(AND(DO$3&lt;=$F43,DO$4&gt;=$F43))</f>
        <v>-0</v>
      </c>
      <c r="DP43" s="43" t="n">
        <f aca="false">-$E43*N(AND(DP$3&lt;=$F43,DP$4&gt;=$F43))</f>
        <v>-0</v>
      </c>
      <c r="DQ43" s="43" t="n">
        <f aca="false">-$E43*N(AND(DQ$3&lt;=$F43,DQ$4&gt;=$F43))</f>
        <v>-0</v>
      </c>
      <c r="DR43" s="43" t="n">
        <f aca="false">-$E43*N(AND(DR$3&lt;=$F43,DR$4&gt;=$F43))</f>
        <v>-0</v>
      </c>
      <c r="DS43" s="43" t="n">
        <f aca="false">-$E43*N(AND(DS$3&lt;=$F43,DS$4&gt;=$F43))</f>
        <v>-0</v>
      </c>
      <c r="DT43" s="43" t="n">
        <f aca="false">-$E43*N(AND(DT$3&lt;=$F43,DT$4&gt;=$F43))</f>
        <v>-0</v>
      </c>
      <c r="DU43" s="43" t="n">
        <f aca="false">-$E43*N(AND(DU$3&lt;=$F43,DU$4&gt;=$F43))</f>
        <v>-0</v>
      </c>
      <c r="DV43" s="43" t="n">
        <f aca="false">-$E43*N(AND(DV$3&lt;=$F43,DV$4&gt;=$F43))</f>
        <v>-0</v>
      </c>
      <c r="DW43" s="43" t="n">
        <f aca="false">-$E43*N(AND(DW$3&lt;=$F43,DW$4&gt;=$F43))</f>
        <v>-0</v>
      </c>
      <c r="DX43" s="43" t="n">
        <f aca="false">-$E43*N(AND(DX$3&lt;=$F43,DX$4&gt;=$F43))</f>
        <v>-0</v>
      </c>
      <c r="DY43" s="43" t="n">
        <f aca="false">-$E43*N(AND(DY$3&lt;=$F43,DY$4&gt;=$F43))</f>
        <v>-0</v>
      </c>
      <c r="DZ43" s="43" t="n">
        <f aca="false">-$E43*N(AND(DZ$3&lt;=$F43,DZ$4&gt;=$F43))</f>
        <v>-0</v>
      </c>
      <c r="EA43" s="43" t="n">
        <f aca="false">-$E43*N(AND(EA$3&lt;=$F43,EA$4&gt;=$F43))</f>
        <v>-0</v>
      </c>
      <c r="EB43" s="43" t="n">
        <f aca="false">-$E43*N(AND(EB$3&lt;=$F43,EB$4&gt;=$F43))</f>
        <v>-0</v>
      </c>
      <c r="EC43" s="43" t="n">
        <f aca="false">-$E43*N(AND(EC$3&lt;=$F43,EC$4&gt;=$F43))</f>
        <v>-0</v>
      </c>
      <c r="ED43" s="43" t="n">
        <f aca="false">-$E43*N(AND(ED$3&lt;=$F43,ED$4&gt;=$F43))</f>
        <v>-0</v>
      </c>
      <c r="EE43" s="43" t="n">
        <f aca="false">-$E43*N(AND(EE$3&lt;=$F43,EE$4&gt;=$F43))</f>
        <v>-0</v>
      </c>
      <c r="EF43" s="43" t="n">
        <f aca="false">-$E43*N(AND(EF$3&lt;=$F43,EF$4&gt;=$F43))</f>
        <v>-0</v>
      </c>
      <c r="EG43" s="43" t="n">
        <f aca="false">-$E43*N(AND(EG$3&lt;=$F43,EG$4&gt;=$F43))</f>
        <v>-0</v>
      </c>
      <c r="EH43" s="43" t="n">
        <f aca="false">-$E43*N(AND(EH$3&lt;=$F43,EH$4&gt;=$F43))</f>
        <v>-0</v>
      </c>
      <c r="EI43" s="43" t="n">
        <f aca="false">-$E43*N(AND(EI$3&lt;=$F43,EI$4&gt;=$F43))</f>
        <v>-0</v>
      </c>
      <c r="EJ43" s="43" t="n">
        <f aca="false">-$E43*N(AND(EJ$3&lt;=$F43,EJ$4&gt;=$F43))</f>
        <v>-0</v>
      </c>
      <c r="EK43" s="43" t="n">
        <f aca="false">-$E43*N(AND(EK$3&lt;=$F43,EK$4&gt;=$F43))</f>
        <v>-0</v>
      </c>
      <c r="EL43" s="43" t="n">
        <f aca="false">-$E43*N(AND(EL$3&lt;=$F43,EL$4&gt;=$F43))</f>
        <v>-0</v>
      </c>
      <c r="EM43" s="43" t="n">
        <f aca="false">-$E43*N(AND(EM$3&lt;=$F43,EM$4&gt;=$F43))</f>
        <v>-0</v>
      </c>
      <c r="EN43" s="43" t="n">
        <f aca="false">-$E43*N(AND(EN$3&lt;=$F43,EN$4&gt;=$F43))</f>
        <v>-0</v>
      </c>
      <c r="EO43" s="43" t="n">
        <f aca="false">-$E43*N(AND(EO$3&lt;=$F43,EO$4&gt;=$F43))</f>
        <v>-0</v>
      </c>
    </row>
    <row r="44" customFormat="false" ht="15" hidden="false" customHeight="false" outlineLevel="0" collapsed="false">
      <c r="C44" s="0" t="s">
        <v>357</v>
      </c>
      <c r="D44" s="11" t="s">
        <v>33</v>
      </c>
      <c r="E44" s="43" t="n">
        <f aca="false">(In_Indirect_Fee-In_TSO_Security)*In_MVA*Thousand/In_FX</f>
        <v>6894.54917808219</v>
      </c>
      <c r="F44" s="20" t="n">
        <f aca="false">In_HCSSZ_Date</f>
        <v>47126</v>
      </c>
      <c r="I44" s="43" t="n">
        <f aca="false">SUM(J44:EO44)</f>
        <v>-6894.54917808219</v>
      </c>
      <c r="J44" s="43" t="n">
        <f aca="false">-$E44*N(AND(J$3&lt;=$F44,J$4&gt;=$F44))</f>
        <v>-0</v>
      </c>
      <c r="K44" s="43" t="n">
        <f aca="false">-$E44*N(AND(K$3&lt;=$F44,K$4&gt;=$F44))</f>
        <v>-0</v>
      </c>
      <c r="L44" s="43" t="n">
        <f aca="false">-$E44*N(AND(L$3&lt;=$F44,L$4&gt;=$F44))</f>
        <v>-0</v>
      </c>
      <c r="M44" s="43" t="n">
        <f aca="false">-$E44*N(AND(M$3&lt;=$F44,M$4&gt;=$F44))</f>
        <v>-0</v>
      </c>
      <c r="N44" s="43" t="n">
        <f aca="false">-$E44*N(AND(N$3&lt;=$F44,N$4&gt;=$F44))</f>
        <v>-0</v>
      </c>
      <c r="O44" s="43" t="n">
        <f aca="false">-$E44*N(AND(O$3&lt;=$F44,O$4&gt;=$F44))</f>
        <v>-0</v>
      </c>
      <c r="P44" s="43" t="n">
        <f aca="false">-$E44*N(AND(P$3&lt;=$F44,P$4&gt;=$F44))</f>
        <v>-0</v>
      </c>
      <c r="Q44" s="43" t="n">
        <f aca="false">-$E44*N(AND(Q$3&lt;=$F44,Q$4&gt;=$F44))</f>
        <v>-0</v>
      </c>
      <c r="R44" s="43" t="n">
        <f aca="false">-$E44*N(AND(R$3&lt;=$F44,R$4&gt;=$F44))</f>
        <v>-0</v>
      </c>
      <c r="S44" s="43" t="n">
        <f aca="false">-$E44*N(AND(S$3&lt;=$F44,S$4&gt;=$F44))</f>
        <v>-6894.54917808219</v>
      </c>
      <c r="T44" s="43" t="n">
        <f aca="false">-$E44*N(AND(T$3&lt;=$F44,T$4&gt;=$F44))</f>
        <v>-0</v>
      </c>
      <c r="U44" s="43" t="n">
        <f aca="false">-$E44*N(AND(U$3&lt;=$F44,U$4&gt;=$F44))</f>
        <v>-0</v>
      </c>
      <c r="V44" s="43" t="n">
        <f aca="false">-$E44*N(AND(V$3&lt;=$F44,V$4&gt;=$F44))</f>
        <v>-0</v>
      </c>
      <c r="W44" s="43" t="n">
        <f aca="false">-$E44*N(AND(W$3&lt;=$F44,W$4&gt;=$F44))</f>
        <v>-0</v>
      </c>
      <c r="X44" s="43" t="n">
        <f aca="false">-$E44*N(AND(X$3&lt;=$F44,X$4&gt;=$F44))</f>
        <v>-0</v>
      </c>
      <c r="Y44" s="43" t="n">
        <f aca="false">-$E44*N(AND(Y$3&lt;=$F44,Y$4&gt;=$F44))</f>
        <v>-0</v>
      </c>
      <c r="Z44" s="43" t="n">
        <f aca="false">-$E44*N(AND(Z$3&lt;=$F44,Z$4&gt;=$F44))</f>
        <v>-0</v>
      </c>
      <c r="AA44" s="43" t="n">
        <f aca="false">-$E44*N(AND(AA$3&lt;=$F44,AA$4&gt;=$F44))</f>
        <v>-0</v>
      </c>
      <c r="AB44" s="43" t="n">
        <f aca="false">-$E44*N(AND(AB$3&lt;=$F44,AB$4&gt;=$F44))</f>
        <v>-0</v>
      </c>
      <c r="AC44" s="43" t="n">
        <f aca="false">-$E44*N(AND(AC$3&lt;=$F44,AC$4&gt;=$F44))</f>
        <v>-0</v>
      </c>
      <c r="AD44" s="43" t="n">
        <f aca="false">-$E44*N(AND(AD$3&lt;=$F44,AD$4&gt;=$F44))</f>
        <v>-0</v>
      </c>
      <c r="AE44" s="43" t="n">
        <f aca="false">-$E44*N(AND(AE$3&lt;=$F44,AE$4&gt;=$F44))</f>
        <v>-0</v>
      </c>
      <c r="AF44" s="43" t="n">
        <f aca="false">-$E44*N(AND(AF$3&lt;=$F44,AF$4&gt;=$F44))</f>
        <v>-0</v>
      </c>
      <c r="AG44" s="43" t="n">
        <f aca="false">-$E44*N(AND(AG$3&lt;=$F44,AG$4&gt;=$F44))</f>
        <v>-0</v>
      </c>
      <c r="AH44" s="43" t="n">
        <f aca="false">-$E44*N(AND(AH$3&lt;=$F44,AH$4&gt;=$F44))</f>
        <v>-0</v>
      </c>
      <c r="AI44" s="43" t="n">
        <f aca="false">-$E44*N(AND(AI$3&lt;=$F44,AI$4&gt;=$F44))</f>
        <v>-0</v>
      </c>
      <c r="AJ44" s="43" t="n">
        <f aca="false">-$E44*N(AND(AJ$3&lt;=$F44,AJ$4&gt;=$F44))</f>
        <v>-0</v>
      </c>
      <c r="AK44" s="43" t="n">
        <f aca="false">-$E44*N(AND(AK$3&lt;=$F44,AK$4&gt;=$F44))</f>
        <v>-0</v>
      </c>
      <c r="AL44" s="43" t="n">
        <f aca="false">-$E44*N(AND(AL$3&lt;=$F44,AL$4&gt;=$F44))</f>
        <v>-0</v>
      </c>
      <c r="AM44" s="43" t="n">
        <f aca="false">-$E44*N(AND(AM$3&lt;=$F44,AM$4&gt;=$F44))</f>
        <v>-0</v>
      </c>
      <c r="AN44" s="43" t="n">
        <f aca="false">-$E44*N(AND(AN$3&lt;=$F44,AN$4&gt;=$F44))</f>
        <v>-0</v>
      </c>
      <c r="AO44" s="43" t="n">
        <f aca="false">-$E44*N(AND(AO$3&lt;=$F44,AO$4&gt;=$F44))</f>
        <v>-0</v>
      </c>
      <c r="AP44" s="43" t="n">
        <f aca="false">-$E44*N(AND(AP$3&lt;=$F44,AP$4&gt;=$F44))</f>
        <v>-0</v>
      </c>
      <c r="AQ44" s="43" t="n">
        <f aca="false">-$E44*N(AND(AQ$3&lt;=$F44,AQ$4&gt;=$F44))</f>
        <v>-0</v>
      </c>
      <c r="AR44" s="43" t="n">
        <f aca="false">-$E44*N(AND(AR$3&lt;=$F44,AR$4&gt;=$F44))</f>
        <v>-0</v>
      </c>
      <c r="AS44" s="43" t="n">
        <f aca="false">-$E44*N(AND(AS$3&lt;=$F44,AS$4&gt;=$F44))</f>
        <v>-0</v>
      </c>
      <c r="AT44" s="43" t="n">
        <f aca="false">-$E44*N(AND(AT$3&lt;=$F44,AT$4&gt;=$F44))</f>
        <v>-0</v>
      </c>
      <c r="AU44" s="43" t="n">
        <f aca="false">-$E44*N(AND(AU$3&lt;=$F44,AU$4&gt;=$F44))</f>
        <v>-0</v>
      </c>
      <c r="AV44" s="43" t="n">
        <f aca="false">-$E44*N(AND(AV$3&lt;=$F44,AV$4&gt;=$F44))</f>
        <v>-0</v>
      </c>
      <c r="AW44" s="43" t="n">
        <f aca="false">-$E44*N(AND(AW$3&lt;=$F44,AW$4&gt;=$F44))</f>
        <v>-0</v>
      </c>
      <c r="AX44" s="43" t="n">
        <f aca="false">-$E44*N(AND(AX$3&lt;=$F44,AX$4&gt;=$F44))</f>
        <v>-0</v>
      </c>
      <c r="AY44" s="43" t="n">
        <f aca="false">-$E44*N(AND(AY$3&lt;=$F44,AY$4&gt;=$F44))</f>
        <v>-0</v>
      </c>
      <c r="AZ44" s="43" t="n">
        <f aca="false">-$E44*N(AND(AZ$3&lt;=$F44,AZ$4&gt;=$F44))</f>
        <v>-0</v>
      </c>
      <c r="BA44" s="43" t="n">
        <f aca="false">-$E44*N(AND(BA$3&lt;=$F44,BA$4&gt;=$F44))</f>
        <v>-0</v>
      </c>
      <c r="BB44" s="43" t="n">
        <f aca="false">-$E44*N(AND(BB$3&lt;=$F44,BB$4&gt;=$F44))</f>
        <v>-0</v>
      </c>
      <c r="BC44" s="43" t="n">
        <f aca="false">-$E44*N(AND(BC$3&lt;=$F44,BC$4&gt;=$F44))</f>
        <v>-0</v>
      </c>
      <c r="BD44" s="43" t="n">
        <f aca="false">-$E44*N(AND(BD$3&lt;=$F44,BD$4&gt;=$F44))</f>
        <v>-0</v>
      </c>
      <c r="BE44" s="43" t="n">
        <f aca="false">-$E44*N(AND(BE$3&lt;=$F44,BE$4&gt;=$F44))</f>
        <v>-0</v>
      </c>
      <c r="BF44" s="43" t="n">
        <f aca="false">-$E44*N(AND(BF$3&lt;=$F44,BF$4&gt;=$F44))</f>
        <v>-0</v>
      </c>
      <c r="BG44" s="43" t="n">
        <f aca="false">-$E44*N(AND(BG$3&lt;=$F44,BG$4&gt;=$F44))</f>
        <v>-0</v>
      </c>
      <c r="BH44" s="43" t="n">
        <f aca="false">-$E44*N(AND(BH$3&lt;=$F44,BH$4&gt;=$F44))</f>
        <v>-0</v>
      </c>
      <c r="BI44" s="43" t="n">
        <f aca="false">-$E44*N(AND(BI$3&lt;=$F44,BI$4&gt;=$F44))</f>
        <v>-0</v>
      </c>
      <c r="BJ44" s="43" t="n">
        <f aca="false">-$E44*N(AND(BJ$3&lt;=$F44,BJ$4&gt;=$F44))</f>
        <v>-0</v>
      </c>
      <c r="BK44" s="43" t="n">
        <f aca="false">-$E44*N(AND(BK$3&lt;=$F44,BK$4&gt;=$F44))</f>
        <v>-0</v>
      </c>
      <c r="BL44" s="43" t="n">
        <f aca="false">-$E44*N(AND(BL$3&lt;=$F44,BL$4&gt;=$F44))</f>
        <v>-0</v>
      </c>
      <c r="BM44" s="43" t="n">
        <f aca="false">-$E44*N(AND(BM$3&lt;=$F44,BM$4&gt;=$F44))</f>
        <v>-0</v>
      </c>
      <c r="BN44" s="43" t="n">
        <f aca="false">-$E44*N(AND(BN$3&lt;=$F44,BN$4&gt;=$F44))</f>
        <v>-0</v>
      </c>
      <c r="BO44" s="43" t="n">
        <f aca="false">-$E44*N(AND(BO$3&lt;=$F44,BO$4&gt;=$F44))</f>
        <v>-0</v>
      </c>
      <c r="BP44" s="43" t="n">
        <f aca="false">-$E44*N(AND(BP$3&lt;=$F44,BP$4&gt;=$F44))</f>
        <v>-0</v>
      </c>
      <c r="BQ44" s="43" t="n">
        <f aca="false">-$E44*N(AND(BQ$3&lt;=$F44,BQ$4&gt;=$F44))</f>
        <v>-0</v>
      </c>
      <c r="BR44" s="43" t="n">
        <f aca="false">-$E44*N(AND(BR$3&lt;=$F44,BR$4&gt;=$F44))</f>
        <v>-0</v>
      </c>
      <c r="BS44" s="43" t="n">
        <f aca="false">-$E44*N(AND(BS$3&lt;=$F44,BS$4&gt;=$F44))</f>
        <v>-0</v>
      </c>
      <c r="BT44" s="43" t="n">
        <f aca="false">-$E44*N(AND(BT$3&lt;=$F44,BT$4&gt;=$F44))</f>
        <v>-0</v>
      </c>
      <c r="BU44" s="43" t="n">
        <f aca="false">-$E44*N(AND(BU$3&lt;=$F44,BU$4&gt;=$F44))</f>
        <v>-0</v>
      </c>
      <c r="BV44" s="43" t="n">
        <f aca="false">-$E44*N(AND(BV$3&lt;=$F44,BV$4&gt;=$F44))</f>
        <v>-0</v>
      </c>
      <c r="BW44" s="43" t="n">
        <f aca="false">-$E44*N(AND(BW$3&lt;=$F44,BW$4&gt;=$F44))</f>
        <v>-0</v>
      </c>
      <c r="BX44" s="43" t="n">
        <f aca="false">-$E44*N(AND(BX$3&lt;=$F44,BX$4&gt;=$F44))</f>
        <v>-0</v>
      </c>
      <c r="BY44" s="43" t="n">
        <f aca="false">-$E44*N(AND(BY$3&lt;=$F44,BY$4&gt;=$F44))</f>
        <v>-0</v>
      </c>
      <c r="BZ44" s="43" t="n">
        <f aca="false">-$E44*N(AND(BZ$3&lt;=$F44,BZ$4&gt;=$F44))</f>
        <v>-0</v>
      </c>
      <c r="CA44" s="43" t="n">
        <f aca="false">-$E44*N(AND(CA$3&lt;=$F44,CA$4&gt;=$F44))</f>
        <v>-0</v>
      </c>
      <c r="CB44" s="43" t="n">
        <f aca="false">-$E44*N(AND(CB$3&lt;=$F44,CB$4&gt;=$F44))</f>
        <v>-0</v>
      </c>
      <c r="CC44" s="43" t="n">
        <f aca="false">-$E44*N(AND(CC$3&lt;=$F44,CC$4&gt;=$F44))</f>
        <v>-0</v>
      </c>
      <c r="CD44" s="43" t="n">
        <f aca="false">-$E44*N(AND(CD$3&lt;=$F44,CD$4&gt;=$F44))</f>
        <v>-0</v>
      </c>
      <c r="CE44" s="43" t="n">
        <f aca="false">-$E44*N(AND(CE$3&lt;=$F44,CE$4&gt;=$F44))</f>
        <v>-0</v>
      </c>
      <c r="CF44" s="43" t="n">
        <f aca="false">-$E44*N(AND(CF$3&lt;=$F44,CF$4&gt;=$F44))</f>
        <v>-0</v>
      </c>
      <c r="CG44" s="43" t="n">
        <f aca="false">-$E44*N(AND(CG$3&lt;=$F44,CG$4&gt;=$F44))</f>
        <v>-0</v>
      </c>
      <c r="CH44" s="43" t="n">
        <f aca="false">-$E44*N(AND(CH$3&lt;=$F44,CH$4&gt;=$F44))</f>
        <v>-0</v>
      </c>
      <c r="CI44" s="43" t="n">
        <f aca="false">-$E44*N(AND(CI$3&lt;=$F44,CI$4&gt;=$F44))</f>
        <v>-0</v>
      </c>
      <c r="CJ44" s="43" t="n">
        <f aca="false">-$E44*N(AND(CJ$3&lt;=$F44,CJ$4&gt;=$F44))</f>
        <v>-0</v>
      </c>
      <c r="CK44" s="43" t="n">
        <f aca="false">-$E44*N(AND(CK$3&lt;=$F44,CK$4&gt;=$F44))</f>
        <v>-0</v>
      </c>
      <c r="CL44" s="43" t="n">
        <f aca="false">-$E44*N(AND(CL$3&lt;=$F44,CL$4&gt;=$F44))</f>
        <v>-0</v>
      </c>
      <c r="CM44" s="43" t="n">
        <f aca="false">-$E44*N(AND(CM$3&lt;=$F44,CM$4&gt;=$F44))</f>
        <v>-0</v>
      </c>
      <c r="CN44" s="43" t="n">
        <f aca="false">-$E44*N(AND(CN$3&lt;=$F44,CN$4&gt;=$F44))</f>
        <v>-0</v>
      </c>
      <c r="CO44" s="43" t="n">
        <f aca="false">-$E44*N(AND(CO$3&lt;=$F44,CO$4&gt;=$F44))</f>
        <v>-0</v>
      </c>
      <c r="CP44" s="43" t="n">
        <f aca="false">-$E44*N(AND(CP$3&lt;=$F44,CP$4&gt;=$F44))</f>
        <v>-0</v>
      </c>
      <c r="CQ44" s="43" t="n">
        <f aca="false">-$E44*N(AND(CQ$3&lt;=$F44,CQ$4&gt;=$F44))</f>
        <v>-0</v>
      </c>
      <c r="CR44" s="43" t="n">
        <f aca="false">-$E44*N(AND(CR$3&lt;=$F44,CR$4&gt;=$F44))</f>
        <v>-0</v>
      </c>
      <c r="CS44" s="43" t="n">
        <f aca="false">-$E44*N(AND(CS$3&lt;=$F44,CS$4&gt;=$F44))</f>
        <v>-0</v>
      </c>
      <c r="CT44" s="43" t="n">
        <f aca="false">-$E44*N(AND(CT$3&lt;=$F44,CT$4&gt;=$F44))</f>
        <v>-0</v>
      </c>
      <c r="CU44" s="43" t="n">
        <f aca="false">-$E44*N(AND(CU$3&lt;=$F44,CU$4&gt;=$F44))</f>
        <v>-0</v>
      </c>
      <c r="CV44" s="43" t="n">
        <f aca="false">-$E44*N(AND(CV$3&lt;=$F44,CV$4&gt;=$F44))</f>
        <v>-0</v>
      </c>
      <c r="CW44" s="43" t="n">
        <f aca="false">-$E44*N(AND(CW$3&lt;=$F44,CW$4&gt;=$F44))</f>
        <v>-0</v>
      </c>
      <c r="CX44" s="43" t="n">
        <f aca="false">-$E44*N(AND(CX$3&lt;=$F44,CX$4&gt;=$F44))</f>
        <v>-0</v>
      </c>
      <c r="CY44" s="43" t="n">
        <f aca="false">-$E44*N(AND(CY$3&lt;=$F44,CY$4&gt;=$F44))</f>
        <v>-0</v>
      </c>
      <c r="CZ44" s="43" t="n">
        <f aca="false">-$E44*N(AND(CZ$3&lt;=$F44,CZ$4&gt;=$F44))</f>
        <v>-0</v>
      </c>
      <c r="DA44" s="43" t="n">
        <f aca="false">-$E44*N(AND(DA$3&lt;=$F44,DA$4&gt;=$F44))</f>
        <v>-0</v>
      </c>
      <c r="DB44" s="43" t="n">
        <f aca="false">-$E44*N(AND(DB$3&lt;=$F44,DB$4&gt;=$F44))</f>
        <v>-0</v>
      </c>
      <c r="DC44" s="43" t="n">
        <f aca="false">-$E44*N(AND(DC$3&lt;=$F44,DC$4&gt;=$F44))</f>
        <v>-0</v>
      </c>
      <c r="DD44" s="43" t="n">
        <f aca="false">-$E44*N(AND(DD$3&lt;=$F44,DD$4&gt;=$F44))</f>
        <v>-0</v>
      </c>
      <c r="DE44" s="43" t="n">
        <f aca="false">-$E44*N(AND(DE$3&lt;=$F44,DE$4&gt;=$F44))</f>
        <v>-0</v>
      </c>
      <c r="DF44" s="43" t="n">
        <f aca="false">-$E44*N(AND(DF$3&lt;=$F44,DF$4&gt;=$F44))</f>
        <v>-0</v>
      </c>
      <c r="DG44" s="43" t="n">
        <f aca="false">-$E44*N(AND(DG$3&lt;=$F44,DG$4&gt;=$F44))</f>
        <v>-0</v>
      </c>
      <c r="DH44" s="43" t="n">
        <f aca="false">-$E44*N(AND(DH$3&lt;=$F44,DH$4&gt;=$F44))</f>
        <v>-0</v>
      </c>
      <c r="DI44" s="43" t="n">
        <f aca="false">-$E44*N(AND(DI$3&lt;=$F44,DI$4&gt;=$F44))</f>
        <v>-0</v>
      </c>
      <c r="DJ44" s="43" t="n">
        <f aca="false">-$E44*N(AND(DJ$3&lt;=$F44,DJ$4&gt;=$F44))</f>
        <v>-0</v>
      </c>
      <c r="DK44" s="43" t="n">
        <f aca="false">-$E44*N(AND(DK$3&lt;=$F44,DK$4&gt;=$F44))</f>
        <v>-0</v>
      </c>
      <c r="DL44" s="43" t="n">
        <f aca="false">-$E44*N(AND(DL$3&lt;=$F44,DL$4&gt;=$F44))</f>
        <v>-0</v>
      </c>
      <c r="DM44" s="43" t="n">
        <f aca="false">-$E44*N(AND(DM$3&lt;=$F44,DM$4&gt;=$F44))</f>
        <v>-0</v>
      </c>
      <c r="DN44" s="43" t="n">
        <f aca="false">-$E44*N(AND(DN$3&lt;=$F44,DN$4&gt;=$F44))</f>
        <v>-0</v>
      </c>
      <c r="DO44" s="43" t="n">
        <f aca="false">-$E44*N(AND(DO$3&lt;=$F44,DO$4&gt;=$F44))</f>
        <v>-0</v>
      </c>
      <c r="DP44" s="43" t="n">
        <f aca="false">-$E44*N(AND(DP$3&lt;=$F44,DP$4&gt;=$F44))</f>
        <v>-0</v>
      </c>
      <c r="DQ44" s="43" t="n">
        <f aca="false">-$E44*N(AND(DQ$3&lt;=$F44,DQ$4&gt;=$F44))</f>
        <v>-0</v>
      </c>
      <c r="DR44" s="43" t="n">
        <f aca="false">-$E44*N(AND(DR$3&lt;=$F44,DR$4&gt;=$F44))</f>
        <v>-0</v>
      </c>
      <c r="DS44" s="43" t="n">
        <f aca="false">-$E44*N(AND(DS$3&lt;=$F44,DS$4&gt;=$F44))</f>
        <v>-0</v>
      </c>
      <c r="DT44" s="43" t="n">
        <f aca="false">-$E44*N(AND(DT$3&lt;=$F44,DT$4&gt;=$F44))</f>
        <v>-0</v>
      </c>
      <c r="DU44" s="43" t="n">
        <f aca="false">-$E44*N(AND(DU$3&lt;=$F44,DU$4&gt;=$F44))</f>
        <v>-0</v>
      </c>
      <c r="DV44" s="43" t="n">
        <f aca="false">-$E44*N(AND(DV$3&lt;=$F44,DV$4&gt;=$F44))</f>
        <v>-0</v>
      </c>
      <c r="DW44" s="43" t="n">
        <f aca="false">-$E44*N(AND(DW$3&lt;=$F44,DW$4&gt;=$F44))</f>
        <v>-0</v>
      </c>
      <c r="DX44" s="43" t="n">
        <f aca="false">-$E44*N(AND(DX$3&lt;=$F44,DX$4&gt;=$F44))</f>
        <v>-0</v>
      </c>
      <c r="DY44" s="43" t="n">
        <f aca="false">-$E44*N(AND(DY$3&lt;=$F44,DY$4&gt;=$F44))</f>
        <v>-0</v>
      </c>
      <c r="DZ44" s="43" t="n">
        <f aca="false">-$E44*N(AND(DZ$3&lt;=$F44,DZ$4&gt;=$F44))</f>
        <v>-0</v>
      </c>
      <c r="EA44" s="43" t="n">
        <f aca="false">-$E44*N(AND(EA$3&lt;=$F44,EA$4&gt;=$F44))</f>
        <v>-0</v>
      </c>
      <c r="EB44" s="43" t="n">
        <f aca="false">-$E44*N(AND(EB$3&lt;=$F44,EB$4&gt;=$F44))</f>
        <v>-0</v>
      </c>
      <c r="EC44" s="43" t="n">
        <f aca="false">-$E44*N(AND(EC$3&lt;=$F44,EC$4&gt;=$F44))</f>
        <v>-0</v>
      </c>
      <c r="ED44" s="43" t="n">
        <f aca="false">-$E44*N(AND(ED$3&lt;=$F44,ED$4&gt;=$F44))</f>
        <v>-0</v>
      </c>
      <c r="EE44" s="43" t="n">
        <f aca="false">-$E44*N(AND(EE$3&lt;=$F44,EE$4&gt;=$F44))</f>
        <v>-0</v>
      </c>
      <c r="EF44" s="43" t="n">
        <f aca="false">-$E44*N(AND(EF$3&lt;=$F44,EF$4&gt;=$F44))</f>
        <v>-0</v>
      </c>
      <c r="EG44" s="43" t="n">
        <f aca="false">-$E44*N(AND(EG$3&lt;=$F44,EG$4&gt;=$F44))</f>
        <v>-0</v>
      </c>
      <c r="EH44" s="43" t="n">
        <f aca="false">-$E44*N(AND(EH$3&lt;=$F44,EH$4&gt;=$F44))</f>
        <v>-0</v>
      </c>
      <c r="EI44" s="43" t="n">
        <f aca="false">-$E44*N(AND(EI$3&lt;=$F44,EI$4&gt;=$F44))</f>
        <v>-0</v>
      </c>
      <c r="EJ44" s="43" t="n">
        <f aca="false">-$E44*N(AND(EJ$3&lt;=$F44,EJ$4&gt;=$F44))</f>
        <v>-0</v>
      </c>
      <c r="EK44" s="43" t="n">
        <f aca="false">-$E44*N(AND(EK$3&lt;=$F44,EK$4&gt;=$F44))</f>
        <v>-0</v>
      </c>
      <c r="EL44" s="43" t="n">
        <f aca="false">-$E44*N(AND(EL$3&lt;=$F44,EL$4&gt;=$F44))</f>
        <v>-0</v>
      </c>
      <c r="EM44" s="43" t="n">
        <f aca="false">-$E44*N(AND(EM$3&lt;=$F44,EM$4&gt;=$F44))</f>
        <v>-0</v>
      </c>
      <c r="EN44" s="43" t="n">
        <f aca="false">-$E44*N(AND(EN$3&lt;=$F44,EN$4&gt;=$F44))</f>
        <v>-0</v>
      </c>
      <c r="EO44" s="43" t="n">
        <f aca="false">-$E44*N(AND(EO$3&lt;=$F44,EO$4&gt;=$F44))</f>
        <v>-0</v>
      </c>
    </row>
    <row r="45" customFormat="false" ht="15" hidden="false" customHeight="false" outlineLevel="0" collapsed="false">
      <c r="C45" s="0" t="s">
        <v>358</v>
      </c>
      <c r="D45" s="11" t="s">
        <v>33</v>
      </c>
      <c r="I45" s="43" t="n">
        <f aca="false">SUM(J45:EO45)</f>
        <v>-8154.82315068493</v>
      </c>
      <c r="J45" s="43" t="n">
        <f aca="false">J43+J44</f>
        <v>-0</v>
      </c>
      <c r="K45" s="43" t="n">
        <f aca="false">K43+K44</f>
        <v>-0</v>
      </c>
      <c r="L45" s="43" t="n">
        <f aca="false">L43+L44</f>
        <v>-0</v>
      </c>
      <c r="M45" s="43" t="n">
        <f aca="false">M43+M44</f>
        <v>-0</v>
      </c>
      <c r="N45" s="43" t="n">
        <f aca="false">N43+N44</f>
        <v>-0</v>
      </c>
      <c r="O45" s="43" t="n">
        <f aca="false">O43+O44</f>
        <v>-0</v>
      </c>
      <c r="P45" s="43" t="n">
        <f aca="false">P43+P44</f>
        <v>-0</v>
      </c>
      <c r="Q45" s="43" t="n">
        <f aca="false">Q43+Q44</f>
        <v>-0</v>
      </c>
      <c r="R45" s="43" t="n">
        <f aca="false">R43+R44</f>
        <v>-0</v>
      </c>
      <c r="S45" s="43" t="n">
        <f aca="false">S43+S44</f>
        <v>-8154.82315068493</v>
      </c>
      <c r="T45" s="43" t="n">
        <f aca="false">T43+T44</f>
        <v>-0</v>
      </c>
      <c r="U45" s="43" t="n">
        <f aca="false">U43+U44</f>
        <v>-0</v>
      </c>
      <c r="V45" s="43" t="n">
        <f aca="false">V43+V44</f>
        <v>-0</v>
      </c>
      <c r="W45" s="43" t="n">
        <f aca="false">W43+W44</f>
        <v>-0</v>
      </c>
      <c r="X45" s="43" t="n">
        <f aca="false">X43+X44</f>
        <v>-0</v>
      </c>
      <c r="Y45" s="43" t="n">
        <f aca="false">Y43+Y44</f>
        <v>-0</v>
      </c>
      <c r="Z45" s="43" t="n">
        <f aca="false">Z43+Z44</f>
        <v>-0</v>
      </c>
      <c r="AA45" s="43" t="n">
        <f aca="false">AA43+AA44</f>
        <v>-0</v>
      </c>
      <c r="AB45" s="43" t="n">
        <f aca="false">AB43+AB44</f>
        <v>-0</v>
      </c>
      <c r="AC45" s="43" t="n">
        <f aca="false">AC43+AC44</f>
        <v>-0</v>
      </c>
      <c r="AD45" s="43" t="n">
        <f aca="false">AD43+AD44</f>
        <v>-0</v>
      </c>
      <c r="AE45" s="43" t="n">
        <f aca="false">AE43+AE44</f>
        <v>-0</v>
      </c>
      <c r="AF45" s="43" t="n">
        <f aca="false">AF43+AF44</f>
        <v>-0</v>
      </c>
      <c r="AG45" s="43" t="n">
        <f aca="false">AG43+AG44</f>
        <v>-0</v>
      </c>
      <c r="AH45" s="43" t="n">
        <f aca="false">AH43+AH44</f>
        <v>-0</v>
      </c>
      <c r="AI45" s="43" t="n">
        <f aca="false">AI43+AI44</f>
        <v>-0</v>
      </c>
      <c r="AJ45" s="43" t="n">
        <f aca="false">AJ43+AJ44</f>
        <v>-0</v>
      </c>
      <c r="AK45" s="43" t="n">
        <f aca="false">AK43+AK44</f>
        <v>-0</v>
      </c>
      <c r="AL45" s="43" t="n">
        <f aca="false">AL43+AL44</f>
        <v>-0</v>
      </c>
      <c r="AM45" s="43" t="n">
        <f aca="false">AM43+AM44</f>
        <v>-0</v>
      </c>
      <c r="AN45" s="43" t="n">
        <f aca="false">AN43+AN44</f>
        <v>-0</v>
      </c>
      <c r="AO45" s="43" t="n">
        <f aca="false">AO43+AO44</f>
        <v>-0</v>
      </c>
      <c r="AP45" s="43" t="n">
        <f aca="false">AP43+AP44</f>
        <v>-0</v>
      </c>
      <c r="AQ45" s="43" t="n">
        <f aca="false">AQ43+AQ44</f>
        <v>-0</v>
      </c>
      <c r="AR45" s="43" t="n">
        <f aca="false">AR43+AR44</f>
        <v>-0</v>
      </c>
      <c r="AS45" s="43" t="n">
        <f aca="false">AS43+AS44</f>
        <v>-0</v>
      </c>
      <c r="AT45" s="43" t="n">
        <f aca="false">AT43+AT44</f>
        <v>-0</v>
      </c>
      <c r="AU45" s="43" t="n">
        <f aca="false">AU43+AU44</f>
        <v>-0</v>
      </c>
      <c r="AV45" s="43" t="n">
        <f aca="false">AV43+AV44</f>
        <v>-0</v>
      </c>
      <c r="AW45" s="43" t="n">
        <f aca="false">AW43+AW44</f>
        <v>-0</v>
      </c>
      <c r="AX45" s="43" t="n">
        <f aca="false">AX43+AX44</f>
        <v>-0</v>
      </c>
      <c r="AY45" s="43" t="n">
        <f aca="false">AY43+AY44</f>
        <v>-0</v>
      </c>
      <c r="AZ45" s="43" t="n">
        <f aca="false">AZ43+AZ44</f>
        <v>-0</v>
      </c>
      <c r="BA45" s="43" t="n">
        <f aca="false">BA43+BA44</f>
        <v>-0</v>
      </c>
      <c r="BB45" s="43" t="n">
        <f aca="false">BB43+BB44</f>
        <v>-0</v>
      </c>
      <c r="BC45" s="43" t="n">
        <f aca="false">BC43+BC44</f>
        <v>-0</v>
      </c>
      <c r="BD45" s="43" t="n">
        <f aca="false">BD43+BD44</f>
        <v>-0</v>
      </c>
      <c r="BE45" s="43" t="n">
        <f aca="false">BE43+BE44</f>
        <v>-0</v>
      </c>
      <c r="BF45" s="43" t="n">
        <f aca="false">BF43+BF44</f>
        <v>-0</v>
      </c>
      <c r="BG45" s="43" t="n">
        <f aca="false">BG43+BG44</f>
        <v>-0</v>
      </c>
      <c r="BH45" s="43" t="n">
        <f aca="false">BH43+BH44</f>
        <v>-0</v>
      </c>
      <c r="BI45" s="43" t="n">
        <f aca="false">BI43+BI44</f>
        <v>-0</v>
      </c>
      <c r="BJ45" s="43" t="n">
        <f aca="false">BJ43+BJ44</f>
        <v>-0</v>
      </c>
      <c r="BK45" s="43" t="n">
        <f aca="false">BK43+BK44</f>
        <v>-0</v>
      </c>
      <c r="BL45" s="43" t="n">
        <f aca="false">BL43+BL44</f>
        <v>-0</v>
      </c>
      <c r="BM45" s="43" t="n">
        <f aca="false">BM43+BM44</f>
        <v>-0</v>
      </c>
      <c r="BN45" s="43" t="n">
        <f aca="false">BN43+BN44</f>
        <v>-0</v>
      </c>
      <c r="BO45" s="43" t="n">
        <f aca="false">BO43+BO44</f>
        <v>-0</v>
      </c>
      <c r="BP45" s="43" t="n">
        <f aca="false">BP43+BP44</f>
        <v>-0</v>
      </c>
      <c r="BQ45" s="43" t="n">
        <f aca="false">BQ43+BQ44</f>
        <v>-0</v>
      </c>
      <c r="BR45" s="43" t="n">
        <f aca="false">BR43+BR44</f>
        <v>-0</v>
      </c>
      <c r="BS45" s="43" t="n">
        <f aca="false">BS43+BS44</f>
        <v>-0</v>
      </c>
      <c r="BT45" s="43" t="n">
        <f aca="false">BT43+BT44</f>
        <v>-0</v>
      </c>
      <c r="BU45" s="43" t="n">
        <f aca="false">BU43+BU44</f>
        <v>-0</v>
      </c>
      <c r="BV45" s="43" t="n">
        <f aca="false">BV43+BV44</f>
        <v>-0</v>
      </c>
      <c r="BW45" s="43" t="n">
        <f aca="false">BW43+BW44</f>
        <v>-0</v>
      </c>
      <c r="BX45" s="43" t="n">
        <f aca="false">BX43+BX44</f>
        <v>-0</v>
      </c>
      <c r="BY45" s="43" t="n">
        <f aca="false">BY43+BY44</f>
        <v>-0</v>
      </c>
      <c r="BZ45" s="43" t="n">
        <f aca="false">BZ43+BZ44</f>
        <v>-0</v>
      </c>
      <c r="CA45" s="43" t="n">
        <f aca="false">CA43+CA44</f>
        <v>-0</v>
      </c>
      <c r="CB45" s="43" t="n">
        <f aca="false">CB43+CB44</f>
        <v>-0</v>
      </c>
      <c r="CC45" s="43" t="n">
        <f aca="false">CC43+CC44</f>
        <v>-0</v>
      </c>
      <c r="CD45" s="43" t="n">
        <f aca="false">CD43+CD44</f>
        <v>-0</v>
      </c>
      <c r="CE45" s="43" t="n">
        <f aca="false">CE43+CE44</f>
        <v>-0</v>
      </c>
      <c r="CF45" s="43" t="n">
        <f aca="false">CF43+CF44</f>
        <v>-0</v>
      </c>
      <c r="CG45" s="43" t="n">
        <f aca="false">CG43+CG44</f>
        <v>-0</v>
      </c>
      <c r="CH45" s="43" t="n">
        <f aca="false">CH43+CH44</f>
        <v>-0</v>
      </c>
      <c r="CI45" s="43" t="n">
        <f aca="false">CI43+CI44</f>
        <v>-0</v>
      </c>
      <c r="CJ45" s="43" t="n">
        <f aca="false">CJ43+CJ44</f>
        <v>-0</v>
      </c>
      <c r="CK45" s="43" t="n">
        <f aca="false">CK43+CK44</f>
        <v>-0</v>
      </c>
      <c r="CL45" s="43" t="n">
        <f aca="false">CL43+CL44</f>
        <v>-0</v>
      </c>
      <c r="CM45" s="43" t="n">
        <f aca="false">CM43+CM44</f>
        <v>-0</v>
      </c>
      <c r="CN45" s="43" t="n">
        <f aca="false">CN43+CN44</f>
        <v>-0</v>
      </c>
      <c r="CO45" s="43" t="n">
        <f aca="false">CO43+CO44</f>
        <v>-0</v>
      </c>
      <c r="CP45" s="43" t="n">
        <f aca="false">CP43+CP44</f>
        <v>-0</v>
      </c>
      <c r="CQ45" s="43" t="n">
        <f aca="false">CQ43+CQ44</f>
        <v>-0</v>
      </c>
      <c r="CR45" s="43" t="n">
        <f aca="false">CR43+CR44</f>
        <v>-0</v>
      </c>
      <c r="CS45" s="43" t="n">
        <f aca="false">CS43+CS44</f>
        <v>-0</v>
      </c>
      <c r="CT45" s="43" t="n">
        <f aca="false">CT43+CT44</f>
        <v>-0</v>
      </c>
      <c r="CU45" s="43" t="n">
        <f aca="false">CU43+CU44</f>
        <v>-0</v>
      </c>
      <c r="CV45" s="43" t="n">
        <f aca="false">CV43+CV44</f>
        <v>-0</v>
      </c>
      <c r="CW45" s="43" t="n">
        <f aca="false">CW43+CW44</f>
        <v>-0</v>
      </c>
      <c r="CX45" s="43" t="n">
        <f aca="false">CX43+CX44</f>
        <v>-0</v>
      </c>
      <c r="CY45" s="43" t="n">
        <f aca="false">CY43+CY44</f>
        <v>-0</v>
      </c>
      <c r="CZ45" s="43" t="n">
        <f aca="false">CZ43+CZ44</f>
        <v>-0</v>
      </c>
      <c r="DA45" s="43" t="n">
        <f aca="false">DA43+DA44</f>
        <v>-0</v>
      </c>
      <c r="DB45" s="43" t="n">
        <f aca="false">DB43+DB44</f>
        <v>-0</v>
      </c>
      <c r="DC45" s="43" t="n">
        <f aca="false">DC43+DC44</f>
        <v>-0</v>
      </c>
      <c r="DD45" s="43" t="n">
        <f aca="false">DD43+DD44</f>
        <v>-0</v>
      </c>
      <c r="DE45" s="43" t="n">
        <f aca="false">DE43+DE44</f>
        <v>-0</v>
      </c>
      <c r="DF45" s="43" t="n">
        <f aca="false">DF43+DF44</f>
        <v>-0</v>
      </c>
      <c r="DG45" s="43" t="n">
        <f aca="false">DG43+DG44</f>
        <v>-0</v>
      </c>
      <c r="DH45" s="43" t="n">
        <f aca="false">DH43+DH44</f>
        <v>-0</v>
      </c>
      <c r="DI45" s="43" t="n">
        <f aca="false">DI43+DI44</f>
        <v>-0</v>
      </c>
      <c r="DJ45" s="43" t="n">
        <f aca="false">DJ43+DJ44</f>
        <v>-0</v>
      </c>
      <c r="DK45" s="43" t="n">
        <f aca="false">DK43+DK44</f>
        <v>-0</v>
      </c>
      <c r="DL45" s="43" t="n">
        <f aca="false">DL43+DL44</f>
        <v>-0</v>
      </c>
      <c r="DM45" s="43" t="n">
        <f aca="false">DM43+DM44</f>
        <v>-0</v>
      </c>
      <c r="DN45" s="43" t="n">
        <f aca="false">DN43+DN44</f>
        <v>-0</v>
      </c>
      <c r="DO45" s="43" t="n">
        <f aca="false">DO43+DO44</f>
        <v>-0</v>
      </c>
      <c r="DP45" s="43" t="n">
        <f aca="false">DP43+DP44</f>
        <v>-0</v>
      </c>
      <c r="DQ45" s="43" t="n">
        <f aca="false">DQ43+DQ44</f>
        <v>-0</v>
      </c>
      <c r="DR45" s="43" t="n">
        <f aca="false">DR43+DR44</f>
        <v>-0</v>
      </c>
      <c r="DS45" s="43" t="n">
        <f aca="false">DS43+DS44</f>
        <v>-0</v>
      </c>
      <c r="DT45" s="43" t="n">
        <f aca="false">DT43+DT44</f>
        <v>-0</v>
      </c>
      <c r="DU45" s="43" t="n">
        <f aca="false">DU43+DU44</f>
        <v>-0</v>
      </c>
      <c r="DV45" s="43" t="n">
        <f aca="false">DV43+DV44</f>
        <v>-0</v>
      </c>
      <c r="DW45" s="43" t="n">
        <f aca="false">DW43+DW44</f>
        <v>-0</v>
      </c>
      <c r="DX45" s="43" t="n">
        <f aca="false">DX43+DX44</f>
        <v>-0</v>
      </c>
      <c r="DY45" s="43" t="n">
        <f aca="false">DY43+DY44</f>
        <v>-0</v>
      </c>
      <c r="DZ45" s="43" t="n">
        <f aca="false">DZ43+DZ44</f>
        <v>-0</v>
      </c>
      <c r="EA45" s="43" t="n">
        <f aca="false">EA43+EA44</f>
        <v>-0</v>
      </c>
      <c r="EB45" s="43" t="n">
        <f aca="false">EB43+EB44</f>
        <v>-0</v>
      </c>
      <c r="EC45" s="43" t="n">
        <f aca="false">EC43+EC44</f>
        <v>-0</v>
      </c>
      <c r="ED45" s="43" t="n">
        <f aca="false">ED43+ED44</f>
        <v>-0</v>
      </c>
      <c r="EE45" s="43" t="n">
        <f aca="false">EE43+EE44</f>
        <v>-0</v>
      </c>
      <c r="EF45" s="43" t="n">
        <f aca="false">EF43+EF44</f>
        <v>-0</v>
      </c>
      <c r="EG45" s="43" t="n">
        <f aca="false">EG43+EG44</f>
        <v>-0</v>
      </c>
      <c r="EH45" s="43" t="n">
        <f aca="false">EH43+EH44</f>
        <v>-0</v>
      </c>
      <c r="EI45" s="43" t="n">
        <f aca="false">EI43+EI44</f>
        <v>-0</v>
      </c>
      <c r="EJ45" s="43" t="n">
        <f aca="false">EJ43+EJ44</f>
        <v>-0</v>
      </c>
      <c r="EK45" s="43" t="n">
        <f aca="false">EK43+EK44</f>
        <v>-0</v>
      </c>
      <c r="EL45" s="43" t="n">
        <f aca="false">EL43+EL44</f>
        <v>-0</v>
      </c>
      <c r="EM45" s="43" t="n">
        <f aca="false">EM43+EM44</f>
        <v>-0</v>
      </c>
      <c r="EN45" s="43" t="n">
        <f aca="false">EN43+EN44</f>
        <v>-0</v>
      </c>
      <c r="EO45" s="43" t="n">
        <f aca="false">EO43+EO44</f>
        <v>-0</v>
      </c>
    </row>
    <row r="46" customFormat="false" ht="15" hidden="false" customHeight="false" outlineLevel="0" collapsed="false">
      <c r="C46" s="0" t="s">
        <v>359</v>
      </c>
      <c r="D46" s="11" t="s">
        <v>33</v>
      </c>
      <c r="E46" s="43" t="n">
        <f aca="false">SUMIF($J$4:$EO$4,"&lt;="&amp;In_COD,$J46:$EO46)</f>
        <v>-307.551285419403</v>
      </c>
      <c r="I46" s="43" t="n">
        <f aca="false">SUM(J46:EO46)</f>
        <v>-516.227209607806</v>
      </c>
      <c r="J46" s="43" t="n">
        <f aca="false">-(J40+J41)*In_Guarantee_Fee*J$5/Days_In_Year</f>
        <v>-2.87986489022331</v>
      </c>
      <c r="K46" s="43" t="n">
        <f aca="false">-(K40+K41)*In_Guarantee_Fee*K$5/Days_In_Year</f>
        <v>-12.342278100957</v>
      </c>
      <c r="L46" s="43" t="n">
        <f aca="false">-(L40+L41)*In_Guarantee_Fee*L$5/Days_In_Year</f>
        <v>-20.7990242071683</v>
      </c>
      <c r="M46" s="43" t="n">
        <f aca="false">-(M40+M41)*In_Guarantee_Fee*M$5/Days_In_Year</f>
        <v>-21.0275849127416</v>
      </c>
      <c r="N46" s="43" t="n">
        <f aca="false">-(N40+N41)*In_Guarantee_Fee*N$5/Days_In_Year</f>
        <v>-21.0275849127416</v>
      </c>
      <c r="O46" s="43" t="n">
        <f aca="false">-(O40+O41)*In_Guarantee_Fee*O$5/Days_In_Year</f>
        <v>-20.7990242071683</v>
      </c>
      <c r="P46" s="43" t="n">
        <f aca="false">-(P40+P41)*In_Guarantee_Fee*P$5/Days_In_Year</f>
        <v>-20.7990242071683</v>
      </c>
      <c r="Q46" s="43" t="n">
        <f aca="false">-(Q40+Q41)*In_Guarantee_Fee*Q$5/Days_In_Year</f>
        <v>-21.0275849127416</v>
      </c>
      <c r="R46" s="43" t="n">
        <f aca="false">-(R40+R41)*In_Guarantee_Fee*R$5/Days_In_Year</f>
        <v>-21.0275849127416</v>
      </c>
      <c r="S46" s="43" t="n">
        <f aca="false">-(S40+S41)*In_Guarantee_Fee*S$5/Days_In_Year</f>
        <v>-20.570463501595</v>
      </c>
      <c r="T46" s="43" t="n">
        <f aca="false">-(T40+T41)*In_Guarantee_Fee*T$5/Days_In_Year</f>
        <v>-20.7990242071683</v>
      </c>
      <c r="U46" s="43" t="n">
        <f aca="false">-(U40+U41)*In_Guarantee_Fee*U$5/Days_In_Year</f>
        <v>-21.0275849127416</v>
      </c>
      <c r="V46" s="43" t="n">
        <f aca="false">-(V40+V41)*In_Guarantee_Fee*V$5/Days_In_Year</f>
        <v>-21.0275849127416</v>
      </c>
      <c r="W46" s="43" t="n">
        <f aca="false">-(W40+W41)*In_Guarantee_Fee*W$5/Days_In_Year</f>
        <v>-20.570463501595</v>
      </c>
      <c r="X46" s="43" t="n">
        <f aca="false">-(X40+X41)*In_Guarantee_Fee*X$5/Days_In_Year</f>
        <v>-20.7990242071683</v>
      </c>
      <c r="Y46" s="43" t="n">
        <f aca="false">-(Y40+Y41)*In_Guarantee_Fee*Y$5/Days_In_Year</f>
        <v>-21.0275849127416</v>
      </c>
      <c r="Z46" s="43" t="n">
        <f aca="false">-(Z40+Z41)*In_Guarantee_Fee*Z$5/Days_In_Year</f>
        <v>-21.0275849127416</v>
      </c>
      <c r="AA46" s="43" t="n">
        <f aca="false">-(AA40+AA41)*In_Guarantee_Fee*AA$5/Days_In_Year</f>
        <v>-20.570463501595</v>
      </c>
      <c r="AB46" s="43" t="n">
        <f aca="false">-(AB40+AB41)*In_Guarantee_Fee*AB$5/Days_In_Year</f>
        <v>-20.7990242071683</v>
      </c>
      <c r="AC46" s="43" t="n">
        <f aca="false">-(AC40+AC41)*In_Guarantee_Fee*AC$5/Days_In_Year</f>
        <v>-21.0275849127416</v>
      </c>
      <c r="AD46" s="43" t="n">
        <f aca="false">-(AD40+AD41)*In_Guarantee_Fee*AD$5/Days_In_Year</f>
        <v>-21.0275849127416</v>
      </c>
      <c r="AE46" s="43" t="n">
        <f aca="false">-(AE40+AE41)*In_Guarantee_Fee*AE$5/Days_In_Year</f>
        <v>-20.7990242071683</v>
      </c>
      <c r="AF46" s="43" t="n">
        <f aca="false">-(AF40+AF41)*In_Guarantee_Fee*AF$5/Days_In_Year</f>
        <v>-20.7990242071683</v>
      </c>
      <c r="AG46" s="43" t="n">
        <f aca="false">-(AG40+AG41)*In_Guarantee_Fee*AG$5/Days_In_Year</f>
        <v>-21.0275849127416</v>
      </c>
      <c r="AH46" s="43" t="n">
        <f aca="false">-(AH40+AH41)*In_Guarantee_Fee*AH$5/Days_In_Year</f>
        <v>-21.0275849127416</v>
      </c>
      <c r="AI46" s="43" t="n">
        <f aca="false">-(AI40+AI41)*In_Guarantee_Fee*AI$5/Days_In_Year</f>
        <v>-20.570463501595</v>
      </c>
      <c r="AJ46" s="43" t="n">
        <f aca="false">-(AJ40+AJ41)*In_Guarantee_Fee*AJ$5/Days_In_Year</f>
        <v>-0</v>
      </c>
      <c r="AK46" s="43" t="n">
        <f aca="false">-(AK40+AK41)*In_Guarantee_Fee*AK$5/Days_In_Year</f>
        <v>-0</v>
      </c>
      <c r="AL46" s="43" t="n">
        <f aca="false">-(AL40+AL41)*In_Guarantee_Fee*AL$5/Days_In_Year</f>
        <v>-0</v>
      </c>
      <c r="AM46" s="43" t="n">
        <f aca="false">-(AM40+AM41)*In_Guarantee_Fee*AM$5/Days_In_Year</f>
        <v>-0</v>
      </c>
      <c r="AN46" s="43" t="n">
        <f aca="false">-(AN40+AN41)*In_Guarantee_Fee*AN$5/Days_In_Year</f>
        <v>-0</v>
      </c>
      <c r="AO46" s="43" t="n">
        <f aca="false">-(AO40+AO41)*In_Guarantee_Fee*AO$5/Days_In_Year</f>
        <v>-0</v>
      </c>
      <c r="AP46" s="43" t="n">
        <f aca="false">-(AP40+AP41)*In_Guarantee_Fee*AP$5/Days_In_Year</f>
        <v>-0</v>
      </c>
      <c r="AQ46" s="43" t="n">
        <f aca="false">-(AQ40+AQ41)*In_Guarantee_Fee*AQ$5/Days_In_Year</f>
        <v>-0</v>
      </c>
      <c r="AR46" s="43" t="n">
        <f aca="false">-(AR40+AR41)*In_Guarantee_Fee*AR$5/Days_In_Year</f>
        <v>-0</v>
      </c>
      <c r="AS46" s="43" t="n">
        <f aca="false">-(AS40+AS41)*In_Guarantee_Fee*AS$5/Days_In_Year</f>
        <v>-0</v>
      </c>
      <c r="AT46" s="43" t="n">
        <f aca="false">-(AT40+AT41)*In_Guarantee_Fee*AT$5/Days_In_Year</f>
        <v>-0</v>
      </c>
      <c r="AU46" s="43" t="n">
        <f aca="false">-(AU40+AU41)*In_Guarantee_Fee*AU$5/Days_In_Year</f>
        <v>-0</v>
      </c>
      <c r="AV46" s="43" t="n">
        <f aca="false">-(AV40+AV41)*In_Guarantee_Fee*AV$5/Days_In_Year</f>
        <v>-0</v>
      </c>
      <c r="AW46" s="43" t="n">
        <f aca="false">-(AW40+AW41)*In_Guarantee_Fee*AW$5/Days_In_Year</f>
        <v>-0</v>
      </c>
      <c r="AX46" s="43" t="n">
        <f aca="false">-(AX40+AX41)*In_Guarantee_Fee*AX$5/Days_In_Year</f>
        <v>-0</v>
      </c>
      <c r="AY46" s="43" t="n">
        <f aca="false">-(AY40+AY41)*In_Guarantee_Fee*AY$5/Days_In_Year</f>
        <v>-0</v>
      </c>
      <c r="AZ46" s="43" t="n">
        <f aca="false">-(AZ40+AZ41)*In_Guarantee_Fee*AZ$5/Days_In_Year</f>
        <v>-0</v>
      </c>
      <c r="BA46" s="43" t="n">
        <f aca="false">-(BA40+BA41)*In_Guarantee_Fee*BA$5/Days_In_Year</f>
        <v>-0</v>
      </c>
      <c r="BB46" s="43" t="n">
        <f aca="false">-(BB40+BB41)*In_Guarantee_Fee*BB$5/Days_In_Year</f>
        <v>-0</v>
      </c>
      <c r="BC46" s="43" t="n">
        <f aca="false">-(BC40+BC41)*In_Guarantee_Fee*BC$5/Days_In_Year</f>
        <v>-0</v>
      </c>
      <c r="BD46" s="43" t="n">
        <f aca="false">-(BD40+BD41)*In_Guarantee_Fee*BD$5/Days_In_Year</f>
        <v>-0</v>
      </c>
      <c r="BE46" s="43" t="n">
        <f aca="false">-(BE40+BE41)*In_Guarantee_Fee*BE$5/Days_In_Year</f>
        <v>-0</v>
      </c>
      <c r="BF46" s="43" t="n">
        <f aca="false">-(BF40+BF41)*In_Guarantee_Fee*BF$5/Days_In_Year</f>
        <v>-0</v>
      </c>
      <c r="BG46" s="43" t="n">
        <f aca="false">-(BG40+BG41)*In_Guarantee_Fee*BG$5/Days_In_Year</f>
        <v>-0</v>
      </c>
      <c r="BH46" s="43" t="n">
        <f aca="false">-(BH40+BH41)*In_Guarantee_Fee*BH$5/Days_In_Year</f>
        <v>-0</v>
      </c>
      <c r="BI46" s="43" t="n">
        <f aca="false">-(BI40+BI41)*In_Guarantee_Fee*BI$5/Days_In_Year</f>
        <v>-0</v>
      </c>
      <c r="BJ46" s="43" t="n">
        <f aca="false">-(BJ40+BJ41)*In_Guarantee_Fee*BJ$5/Days_In_Year</f>
        <v>-0</v>
      </c>
      <c r="BK46" s="43" t="n">
        <f aca="false">-(BK40+BK41)*In_Guarantee_Fee*BK$5/Days_In_Year</f>
        <v>-0</v>
      </c>
      <c r="BL46" s="43" t="n">
        <f aca="false">-(BL40+BL41)*In_Guarantee_Fee*BL$5/Days_In_Year</f>
        <v>-0</v>
      </c>
      <c r="BM46" s="43" t="n">
        <f aca="false">-(BM40+BM41)*In_Guarantee_Fee*BM$5/Days_In_Year</f>
        <v>-0</v>
      </c>
      <c r="BN46" s="43" t="n">
        <f aca="false">-(BN40+BN41)*In_Guarantee_Fee*BN$5/Days_In_Year</f>
        <v>-0</v>
      </c>
      <c r="BO46" s="43" t="n">
        <f aca="false">-(BO40+BO41)*In_Guarantee_Fee*BO$5/Days_In_Year</f>
        <v>-0</v>
      </c>
      <c r="BP46" s="43" t="n">
        <f aca="false">-(BP40+BP41)*In_Guarantee_Fee*BP$5/Days_In_Year</f>
        <v>-0</v>
      </c>
      <c r="BQ46" s="43" t="n">
        <f aca="false">-(BQ40+BQ41)*In_Guarantee_Fee*BQ$5/Days_In_Year</f>
        <v>-0</v>
      </c>
      <c r="BR46" s="43" t="n">
        <f aca="false">-(BR40+BR41)*In_Guarantee_Fee*BR$5/Days_In_Year</f>
        <v>-0</v>
      </c>
      <c r="BS46" s="43" t="n">
        <f aca="false">-(BS40+BS41)*In_Guarantee_Fee*BS$5/Days_In_Year</f>
        <v>-0</v>
      </c>
      <c r="BT46" s="43" t="n">
        <f aca="false">-(BT40+BT41)*In_Guarantee_Fee*BT$5/Days_In_Year</f>
        <v>-0</v>
      </c>
      <c r="BU46" s="43" t="n">
        <f aca="false">-(BU40+BU41)*In_Guarantee_Fee*BU$5/Days_In_Year</f>
        <v>-0</v>
      </c>
      <c r="BV46" s="43" t="n">
        <f aca="false">-(BV40+BV41)*In_Guarantee_Fee*BV$5/Days_In_Year</f>
        <v>-0</v>
      </c>
      <c r="BW46" s="43" t="n">
        <f aca="false">-(BW40+BW41)*In_Guarantee_Fee*BW$5/Days_In_Year</f>
        <v>-0</v>
      </c>
      <c r="BX46" s="43" t="n">
        <f aca="false">-(BX40+BX41)*In_Guarantee_Fee*BX$5/Days_In_Year</f>
        <v>-0</v>
      </c>
      <c r="BY46" s="43" t="n">
        <f aca="false">-(BY40+BY41)*In_Guarantee_Fee*BY$5/Days_In_Year</f>
        <v>-0</v>
      </c>
      <c r="BZ46" s="43" t="n">
        <f aca="false">-(BZ40+BZ41)*In_Guarantee_Fee*BZ$5/Days_In_Year</f>
        <v>-0</v>
      </c>
      <c r="CA46" s="43" t="n">
        <f aca="false">-(CA40+CA41)*In_Guarantee_Fee*CA$5/Days_In_Year</f>
        <v>-0</v>
      </c>
      <c r="CB46" s="43" t="n">
        <f aca="false">-(CB40+CB41)*In_Guarantee_Fee*CB$5/Days_In_Year</f>
        <v>-0</v>
      </c>
      <c r="CC46" s="43" t="n">
        <f aca="false">-(CC40+CC41)*In_Guarantee_Fee*CC$5/Days_In_Year</f>
        <v>-0</v>
      </c>
      <c r="CD46" s="43" t="n">
        <f aca="false">-(CD40+CD41)*In_Guarantee_Fee*CD$5/Days_In_Year</f>
        <v>-0</v>
      </c>
      <c r="CE46" s="43" t="n">
        <f aca="false">-(CE40+CE41)*In_Guarantee_Fee*CE$5/Days_In_Year</f>
        <v>-0</v>
      </c>
      <c r="CF46" s="43" t="n">
        <f aca="false">-(CF40+CF41)*In_Guarantee_Fee*CF$5/Days_In_Year</f>
        <v>-0</v>
      </c>
      <c r="CG46" s="43" t="n">
        <f aca="false">-(CG40+CG41)*In_Guarantee_Fee*CG$5/Days_In_Year</f>
        <v>-0</v>
      </c>
      <c r="CH46" s="43" t="n">
        <f aca="false">-(CH40+CH41)*In_Guarantee_Fee*CH$5/Days_In_Year</f>
        <v>-0</v>
      </c>
      <c r="CI46" s="43" t="n">
        <f aca="false">-(CI40+CI41)*In_Guarantee_Fee*CI$5/Days_In_Year</f>
        <v>-0</v>
      </c>
      <c r="CJ46" s="43" t="n">
        <f aca="false">-(CJ40+CJ41)*In_Guarantee_Fee*CJ$5/Days_In_Year</f>
        <v>-0</v>
      </c>
      <c r="CK46" s="43" t="n">
        <f aca="false">-(CK40+CK41)*In_Guarantee_Fee*CK$5/Days_In_Year</f>
        <v>-0</v>
      </c>
      <c r="CL46" s="43" t="n">
        <f aca="false">-(CL40+CL41)*In_Guarantee_Fee*CL$5/Days_In_Year</f>
        <v>-0</v>
      </c>
      <c r="CM46" s="43" t="n">
        <f aca="false">-(CM40+CM41)*In_Guarantee_Fee*CM$5/Days_In_Year</f>
        <v>-0</v>
      </c>
      <c r="CN46" s="43" t="n">
        <f aca="false">-(CN40+CN41)*In_Guarantee_Fee*CN$5/Days_In_Year</f>
        <v>-0</v>
      </c>
      <c r="CO46" s="43" t="n">
        <f aca="false">-(CO40+CO41)*In_Guarantee_Fee*CO$5/Days_In_Year</f>
        <v>-0</v>
      </c>
      <c r="CP46" s="43" t="n">
        <f aca="false">-(CP40+CP41)*In_Guarantee_Fee*CP$5/Days_In_Year</f>
        <v>-0</v>
      </c>
      <c r="CQ46" s="43" t="n">
        <f aca="false">-(CQ40+CQ41)*In_Guarantee_Fee*CQ$5/Days_In_Year</f>
        <v>-0</v>
      </c>
      <c r="CR46" s="43" t="n">
        <f aca="false">-(CR40+CR41)*In_Guarantee_Fee*CR$5/Days_In_Year</f>
        <v>-0</v>
      </c>
      <c r="CS46" s="43" t="n">
        <f aca="false">-(CS40+CS41)*In_Guarantee_Fee*CS$5/Days_In_Year</f>
        <v>-0</v>
      </c>
      <c r="CT46" s="43" t="n">
        <f aca="false">-(CT40+CT41)*In_Guarantee_Fee*CT$5/Days_In_Year</f>
        <v>-0</v>
      </c>
      <c r="CU46" s="43" t="n">
        <f aca="false">-(CU40+CU41)*In_Guarantee_Fee*CU$5/Days_In_Year</f>
        <v>-0</v>
      </c>
      <c r="CV46" s="43" t="n">
        <f aca="false">-(CV40+CV41)*In_Guarantee_Fee*CV$5/Days_In_Year</f>
        <v>-0</v>
      </c>
      <c r="CW46" s="43" t="n">
        <f aca="false">-(CW40+CW41)*In_Guarantee_Fee*CW$5/Days_In_Year</f>
        <v>-0</v>
      </c>
      <c r="CX46" s="43" t="n">
        <f aca="false">-(CX40+CX41)*In_Guarantee_Fee*CX$5/Days_In_Year</f>
        <v>-0</v>
      </c>
      <c r="CY46" s="43" t="n">
        <f aca="false">-(CY40+CY41)*In_Guarantee_Fee*CY$5/Days_In_Year</f>
        <v>-0</v>
      </c>
      <c r="CZ46" s="43" t="n">
        <f aca="false">-(CZ40+CZ41)*In_Guarantee_Fee*CZ$5/Days_In_Year</f>
        <v>-0</v>
      </c>
      <c r="DA46" s="43" t="n">
        <f aca="false">-(DA40+DA41)*In_Guarantee_Fee*DA$5/Days_In_Year</f>
        <v>-0</v>
      </c>
      <c r="DB46" s="43" t="n">
        <f aca="false">-(DB40+DB41)*In_Guarantee_Fee*DB$5/Days_In_Year</f>
        <v>-0</v>
      </c>
      <c r="DC46" s="43" t="n">
        <f aca="false">-(DC40+DC41)*In_Guarantee_Fee*DC$5/Days_In_Year</f>
        <v>-0</v>
      </c>
      <c r="DD46" s="43" t="n">
        <f aca="false">-(DD40+DD41)*In_Guarantee_Fee*DD$5/Days_In_Year</f>
        <v>-0</v>
      </c>
      <c r="DE46" s="43" t="n">
        <f aca="false">-(DE40+DE41)*In_Guarantee_Fee*DE$5/Days_In_Year</f>
        <v>-0</v>
      </c>
      <c r="DF46" s="43" t="n">
        <f aca="false">-(DF40+DF41)*In_Guarantee_Fee*DF$5/Days_In_Year</f>
        <v>-0</v>
      </c>
      <c r="DG46" s="43" t="n">
        <f aca="false">-(DG40+DG41)*In_Guarantee_Fee*DG$5/Days_In_Year</f>
        <v>-0</v>
      </c>
      <c r="DH46" s="43" t="n">
        <f aca="false">-(DH40+DH41)*In_Guarantee_Fee*DH$5/Days_In_Year</f>
        <v>-0</v>
      </c>
      <c r="DI46" s="43" t="n">
        <f aca="false">-(DI40+DI41)*In_Guarantee_Fee*DI$5/Days_In_Year</f>
        <v>-0</v>
      </c>
      <c r="DJ46" s="43" t="n">
        <f aca="false">-(DJ40+DJ41)*In_Guarantee_Fee*DJ$5/Days_In_Year</f>
        <v>-0</v>
      </c>
      <c r="DK46" s="43" t="n">
        <f aca="false">-(DK40+DK41)*In_Guarantee_Fee*DK$5/Days_In_Year</f>
        <v>-0</v>
      </c>
      <c r="DL46" s="43" t="n">
        <f aca="false">-(DL40+DL41)*In_Guarantee_Fee*DL$5/Days_In_Year</f>
        <v>-0</v>
      </c>
      <c r="DM46" s="43" t="n">
        <f aca="false">-(DM40+DM41)*In_Guarantee_Fee*DM$5/Days_In_Year</f>
        <v>-0</v>
      </c>
      <c r="DN46" s="43" t="n">
        <f aca="false">-(DN40+DN41)*In_Guarantee_Fee*DN$5/Days_In_Year</f>
        <v>-0</v>
      </c>
      <c r="DO46" s="43" t="n">
        <f aca="false">-(DO40+DO41)*In_Guarantee_Fee*DO$5/Days_In_Year</f>
        <v>-0</v>
      </c>
      <c r="DP46" s="43" t="n">
        <f aca="false">-(DP40+DP41)*In_Guarantee_Fee*DP$5/Days_In_Year</f>
        <v>-0</v>
      </c>
      <c r="DQ46" s="43" t="n">
        <f aca="false">-(DQ40+DQ41)*In_Guarantee_Fee*DQ$5/Days_In_Year</f>
        <v>-0</v>
      </c>
      <c r="DR46" s="43" t="n">
        <f aca="false">-(DR40+DR41)*In_Guarantee_Fee*DR$5/Days_In_Year</f>
        <v>-0</v>
      </c>
      <c r="DS46" s="43" t="n">
        <f aca="false">-(DS40+DS41)*In_Guarantee_Fee*DS$5/Days_In_Year</f>
        <v>-0</v>
      </c>
      <c r="DT46" s="43" t="n">
        <f aca="false">-(DT40+DT41)*In_Guarantee_Fee*DT$5/Days_In_Year</f>
        <v>-0</v>
      </c>
      <c r="DU46" s="43" t="n">
        <f aca="false">-(DU40+DU41)*In_Guarantee_Fee*DU$5/Days_In_Year</f>
        <v>-0</v>
      </c>
      <c r="DV46" s="43" t="n">
        <f aca="false">-(DV40+DV41)*In_Guarantee_Fee*DV$5/Days_In_Year</f>
        <v>-0</v>
      </c>
      <c r="DW46" s="43" t="n">
        <f aca="false">-(DW40+DW41)*In_Guarantee_Fee*DW$5/Days_In_Year</f>
        <v>-0</v>
      </c>
      <c r="DX46" s="43" t="n">
        <f aca="false">-(DX40+DX41)*In_Guarantee_Fee*DX$5/Days_In_Year</f>
        <v>-0</v>
      </c>
      <c r="DY46" s="43" t="n">
        <f aca="false">-(DY40+DY41)*In_Guarantee_Fee*DY$5/Days_In_Year</f>
        <v>-0</v>
      </c>
      <c r="DZ46" s="43" t="n">
        <f aca="false">-(DZ40+DZ41)*In_Guarantee_Fee*DZ$5/Days_In_Year</f>
        <v>-0</v>
      </c>
      <c r="EA46" s="43" t="n">
        <f aca="false">-(EA40+EA41)*In_Guarantee_Fee*EA$5/Days_In_Year</f>
        <v>-0</v>
      </c>
      <c r="EB46" s="43" t="n">
        <f aca="false">-(EB40+EB41)*In_Guarantee_Fee*EB$5/Days_In_Year</f>
        <v>-0</v>
      </c>
      <c r="EC46" s="43" t="n">
        <f aca="false">-(EC40+EC41)*In_Guarantee_Fee*EC$5/Days_In_Year</f>
        <v>-0</v>
      </c>
      <c r="ED46" s="43" t="n">
        <f aca="false">-(ED40+ED41)*In_Guarantee_Fee*ED$5/Days_In_Year</f>
        <v>-0</v>
      </c>
      <c r="EE46" s="43" t="n">
        <f aca="false">-(EE40+EE41)*In_Guarantee_Fee*EE$5/Days_In_Year</f>
        <v>-0</v>
      </c>
      <c r="EF46" s="43" t="n">
        <f aca="false">-(EF40+EF41)*In_Guarantee_Fee*EF$5/Days_In_Year</f>
        <v>-0</v>
      </c>
      <c r="EG46" s="43" t="n">
        <f aca="false">-(EG40+EG41)*In_Guarantee_Fee*EG$5/Days_In_Year</f>
        <v>-0</v>
      </c>
      <c r="EH46" s="43" t="n">
        <f aca="false">-(EH40+EH41)*In_Guarantee_Fee*EH$5/Days_In_Year</f>
        <v>-0</v>
      </c>
      <c r="EI46" s="43" t="n">
        <f aca="false">-(EI40+EI41)*In_Guarantee_Fee*EI$5/Days_In_Year</f>
        <v>-0</v>
      </c>
      <c r="EJ46" s="43" t="n">
        <f aca="false">-(EJ40+EJ41)*In_Guarantee_Fee*EJ$5/Days_In_Year</f>
        <v>-0</v>
      </c>
      <c r="EK46" s="43" t="n">
        <f aca="false">-(EK40+EK41)*In_Guarantee_Fee*EK$5/Days_In_Year</f>
        <v>-0</v>
      </c>
      <c r="EL46" s="43" t="n">
        <f aca="false">-(EL40+EL41)*In_Guarantee_Fee*EL$5/Days_In_Year</f>
        <v>-0</v>
      </c>
      <c r="EM46" s="43" t="n">
        <f aca="false">-(EM40+EM41)*In_Guarantee_Fee*EM$5/Days_In_Year</f>
        <v>-0</v>
      </c>
      <c r="EN46" s="43" t="n">
        <f aca="false">-(EN40+EN41)*In_Guarantee_Fee*EN$5/Days_In_Year</f>
        <v>-0</v>
      </c>
      <c r="EO46" s="43" t="n">
        <f aca="false">-(EO40+EO41)*In_Guarantee_Fee*EO$5/Days_In_Year</f>
        <v>-0</v>
      </c>
    </row>
    <row r="47" customFormat="false" ht="15" hidden="false" customHeight="false" outlineLevel="0" collapsed="false">
      <c r="C47" s="21" t="s">
        <v>360</v>
      </c>
      <c r="D47" s="11" t="s">
        <v>33</v>
      </c>
      <c r="I47" s="54" t="n">
        <f aca="false">SUM(J47:EO47)</f>
        <v>-6290.88474385438</v>
      </c>
      <c r="J47" s="54" t="n">
        <f aca="false">J35+J36+J37+J39+J42+J46</f>
        <v>-4661.09904297242</v>
      </c>
      <c r="K47" s="54" t="n">
        <f aca="false">K35+K36+K37+K39+K42+K46</f>
        <v>-699.203169476608</v>
      </c>
      <c r="L47" s="54" t="n">
        <f aca="false">L35+L36+L37+L39+L42+L46</f>
        <v>-92.0040320318945</v>
      </c>
      <c r="M47" s="54" t="n">
        <f aca="false">M35+M36+M37+M39+M42+M46</f>
        <v>-93.0150653509263</v>
      </c>
      <c r="N47" s="54" t="n">
        <f aca="false">N35+N36+N37+N39+N42+N46</f>
        <v>-93.0150653509263</v>
      </c>
      <c r="O47" s="54" t="n">
        <f aca="false">O35+O36+O37+O39+O42+O46</f>
        <v>-92.0040320318945</v>
      </c>
      <c r="P47" s="54" t="n">
        <f aca="false">P35+P36+P37+P39+P42+P46</f>
        <v>-92.0040320318945</v>
      </c>
      <c r="Q47" s="54" t="n">
        <f aca="false">Q35+Q36+Q37+Q39+Q42+Q46</f>
        <v>-93.0150653509263</v>
      </c>
      <c r="R47" s="54" t="n">
        <f aca="false">R35+R36+R37+R39+R42+R46</f>
        <v>-21.0275849127416</v>
      </c>
      <c r="S47" s="54" t="n">
        <f aca="false">S35+S36+S37+S39+S42+S46</f>
        <v>-20.570463501595</v>
      </c>
      <c r="T47" s="54" t="n">
        <f aca="false">T35+T36+T37+T39+T42+T46</f>
        <v>-20.7990242071683</v>
      </c>
      <c r="U47" s="54" t="n">
        <f aca="false">U35+U36+U37+U39+U42+U46</f>
        <v>-21.0275849127416</v>
      </c>
      <c r="V47" s="54" t="n">
        <f aca="false">V35+V36+V37+V39+V42+V46</f>
        <v>-21.0275849127416</v>
      </c>
      <c r="W47" s="54" t="n">
        <f aca="false">W35+W36+W37+W39+W42+W46</f>
        <v>-20.570463501595</v>
      </c>
      <c r="X47" s="54" t="n">
        <f aca="false">X35+X36+X37+X39+X42+X46</f>
        <v>-20.7990242071683</v>
      </c>
      <c r="Y47" s="54" t="n">
        <f aca="false">Y35+Y36+Y37+Y39+Y42+Y46</f>
        <v>-21.0275849127416</v>
      </c>
      <c r="Z47" s="54" t="n">
        <f aca="false">Z35+Z36+Z37+Z39+Z42+Z46</f>
        <v>-21.0275849127416</v>
      </c>
      <c r="AA47" s="54" t="n">
        <f aca="false">AA35+AA36+AA37+AA39+AA42+AA46</f>
        <v>-20.570463501595</v>
      </c>
      <c r="AB47" s="54" t="n">
        <f aca="false">AB35+AB36+AB37+AB39+AB42+AB46</f>
        <v>-20.7990242071683</v>
      </c>
      <c r="AC47" s="54" t="n">
        <f aca="false">AC35+AC36+AC37+AC39+AC42+AC46</f>
        <v>-21.0275849127416</v>
      </c>
      <c r="AD47" s="54" t="n">
        <f aca="false">AD35+AD36+AD37+AD39+AD42+AD46</f>
        <v>-21.0275849127416</v>
      </c>
      <c r="AE47" s="54" t="n">
        <f aca="false">AE35+AE36+AE37+AE39+AE42+AE46</f>
        <v>-20.7990242071683</v>
      </c>
      <c r="AF47" s="54" t="n">
        <f aca="false">AF35+AF36+AF37+AF39+AF42+AF46</f>
        <v>-20.7990242071683</v>
      </c>
      <c r="AG47" s="54" t="n">
        <f aca="false">AG35+AG36+AG37+AG39+AG42+AG46</f>
        <v>-21.0275849127416</v>
      </c>
      <c r="AH47" s="54" t="n">
        <f aca="false">AH35+AH36+AH37+AH39+AH42+AH46</f>
        <v>-21.0275849127416</v>
      </c>
      <c r="AI47" s="54" t="n">
        <f aca="false">AI35+AI36+AI37+AI39+AI42+AI46</f>
        <v>-20.570463501595</v>
      </c>
      <c r="AJ47" s="54" t="n">
        <f aca="false">AJ35+AJ36+AJ37+AJ39+AJ42+AJ46</f>
        <v>-0</v>
      </c>
      <c r="AK47" s="54" t="n">
        <f aca="false">AK35+AK36+AK37+AK39+AK42+AK46</f>
        <v>-0</v>
      </c>
      <c r="AL47" s="54" t="n">
        <f aca="false">AL35+AL36+AL37+AL39+AL42+AL46</f>
        <v>-0</v>
      </c>
      <c r="AM47" s="54" t="n">
        <f aca="false">AM35+AM36+AM37+AM39+AM42+AM46</f>
        <v>-0</v>
      </c>
      <c r="AN47" s="54" t="n">
        <f aca="false">AN35+AN36+AN37+AN39+AN42+AN46</f>
        <v>-0</v>
      </c>
      <c r="AO47" s="54" t="n">
        <f aca="false">AO35+AO36+AO37+AO39+AO42+AO46</f>
        <v>-0</v>
      </c>
      <c r="AP47" s="54" t="n">
        <f aca="false">AP35+AP36+AP37+AP39+AP42+AP46</f>
        <v>-0</v>
      </c>
      <c r="AQ47" s="54" t="n">
        <f aca="false">AQ35+AQ36+AQ37+AQ39+AQ42+AQ46</f>
        <v>-0</v>
      </c>
      <c r="AR47" s="54" t="n">
        <f aca="false">AR35+AR36+AR37+AR39+AR42+AR46</f>
        <v>-0</v>
      </c>
      <c r="AS47" s="54" t="n">
        <f aca="false">AS35+AS36+AS37+AS39+AS42+AS46</f>
        <v>-0</v>
      </c>
      <c r="AT47" s="54" t="n">
        <f aca="false">AT35+AT36+AT37+AT39+AT42+AT46</f>
        <v>-0</v>
      </c>
      <c r="AU47" s="54" t="n">
        <f aca="false">AU35+AU36+AU37+AU39+AU42+AU46</f>
        <v>-0</v>
      </c>
      <c r="AV47" s="54" t="n">
        <f aca="false">AV35+AV36+AV37+AV39+AV42+AV46</f>
        <v>-0</v>
      </c>
      <c r="AW47" s="54" t="n">
        <f aca="false">AW35+AW36+AW37+AW39+AW42+AW46</f>
        <v>-0</v>
      </c>
      <c r="AX47" s="54" t="n">
        <f aca="false">AX35+AX36+AX37+AX39+AX42+AX46</f>
        <v>-0</v>
      </c>
      <c r="AY47" s="54" t="n">
        <f aca="false">AY35+AY36+AY37+AY39+AY42+AY46</f>
        <v>-0</v>
      </c>
      <c r="AZ47" s="54" t="n">
        <f aca="false">AZ35+AZ36+AZ37+AZ39+AZ42+AZ46</f>
        <v>-0</v>
      </c>
      <c r="BA47" s="54" t="n">
        <f aca="false">BA35+BA36+BA37+BA39+BA42+BA46</f>
        <v>-0</v>
      </c>
      <c r="BB47" s="54" t="n">
        <f aca="false">BB35+BB36+BB37+BB39+BB42+BB46</f>
        <v>-0</v>
      </c>
      <c r="BC47" s="54" t="n">
        <f aca="false">BC35+BC36+BC37+BC39+BC42+BC46</f>
        <v>-0</v>
      </c>
      <c r="BD47" s="54" t="n">
        <f aca="false">BD35+BD36+BD37+BD39+BD42+BD46</f>
        <v>-0</v>
      </c>
      <c r="BE47" s="54" t="n">
        <f aca="false">BE35+BE36+BE37+BE39+BE42+BE46</f>
        <v>-0</v>
      </c>
      <c r="BF47" s="54" t="n">
        <f aca="false">BF35+BF36+BF37+BF39+BF42+BF46</f>
        <v>-0</v>
      </c>
      <c r="BG47" s="54" t="n">
        <f aca="false">BG35+BG36+BG37+BG39+BG42+BG46</f>
        <v>-0</v>
      </c>
      <c r="BH47" s="54" t="n">
        <f aca="false">BH35+BH36+BH37+BH39+BH42+BH46</f>
        <v>-0</v>
      </c>
      <c r="BI47" s="54" t="n">
        <f aca="false">BI35+BI36+BI37+BI39+BI42+BI46</f>
        <v>-0</v>
      </c>
      <c r="BJ47" s="54" t="n">
        <f aca="false">BJ35+BJ36+BJ37+BJ39+BJ42+BJ46</f>
        <v>-0</v>
      </c>
      <c r="BK47" s="54" t="n">
        <f aca="false">BK35+BK36+BK37+BK39+BK42+BK46</f>
        <v>-0</v>
      </c>
      <c r="BL47" s="54" t="n">
        <f aca="false">BL35+BL36+BL37+BL39+BL42+BL46</f>
        <v>-0</v>
      </c>
      <c r="BM47" s="54" t="n">
        <f aca="false">BM35+BM36+BM37+BM39+BM42+BM46</f>
        <v>-0</v>
      </c>
      <c r="BN47" s="54" t="n">
        <f aca="false">BN35+BN36+BN37+BN39+BN42+BN46</f>
        <v>-0</v>
      </c>
      <c r="BO47" s="54" t="n">
        <f aca="false">BO35+BO36+BO37+BO39+BO42+BO46</f>
        <v>-0</v>
      </c>
      <c r="BP47" s="54" t="n">
        <f aca="false">BP35+BP36+BP37+BP39+BP42+BP46</f>
        <v>-0</v>
      </c>
      <c r="BQ47" s="54" t="n">
        <f aca="false">BQ35+BQ36+BQ37+BQ39+BQ42+BQ46</f>
        <v>-0</v>
      </c>
      <c r="BR47" s="54" t="n">
        <f aca="false">BR35+BR36+BR37+BR39+BR42+BR46</f>
        <v>-0</v>
      </c>
      <c r="BS47" s="54" t="n">
        <f aca="false">BS35+BS36+BS37+BS39+BS42+BS46</f>
        <v>-0</v>
      </c>
      <c r="BT47" s="54" t="n">
        <f aca="false">BT35+BT36+BT37+BT39+BT42+BT46</f>
        <v>-0</v>
      </c>
      <c r="BU47" s="54" t="n">
        <f aca="false">BU35+BU36+BU37+BU39+BU42+BU46</f>
        <v>-0</v>
      </c>
      <c r="BV47" s="54" t="n">
        <f aca="false">BV35+BV36+BV37+BV39+BV42+BV46</f>
        <v>-0</v>
      </c>
      <c r="BW47" s="54" t="n">
        <f aca="false">BW35+BW36+BW37+BW39+BW42+BW46</f>
        <v>-0</v>
      </c>
      <c r="BX47" s="54" t="n">
        <f aca="false">BX35+BX36+BX37+BX39+BX42+BX46</f>
        <v>-0</v>
      </c>
      <c r="BY47" s="54" t="n">
        <f aca="false">BY35+BY36+BY37+BY39+BY42+BY46</f>
        <v>-0</v>
      </c>
      <c r="BZ47" s="54" t="n">
        <f aca="false">BZ35+BZ36+BZ37+BZ39+BZ42+BZ46</f>
        <v>-0</v>
      </c>
      <c r="CA47" s="54" t="n">
        <f aca="false">CA35+CA36+CA37+CA39+CA42+CA46</f>
        <v>-0</v>
      </c>
      <c r="CB47" s="54" t="n">
        <f aca="false">CB35+CB36+CB37+CB39+CB42+CB46</f>
        <v>-0</v>
      </c>
      <c r="CC47" s="54" t="n">
        <f aca="false">CC35+CC36+CC37+CC39+CC42+CC46</f>
        <v>-0</v>
      </c>
      <c r="CD47" s="54" t="n">
        <f aca="false">CD35+CD36+CD37+CD39+CD42+CD46</f>
        <v>-0</v>
      </c>
      <c r="CE47" s="54" t="n">
        <f aca="false">CE35+CE36+CE37+CE39+CE42+CE46</f>
        <v>-0</v>
      </c>
      <c r="CF47" s="54" t="n">
        <f aca="false">CF35+CF36+CF37+CF39+CF42+CF46</f>
        <v>-0</v>
      </c>
      <c r="CG47" s="54" t="n">
        <f aca="false">CG35+CG36+CG37+CG39+CG42+CG46</f>
        <v>-0</v>
      </c>
      <c r="CH47" s="54" t="n">
        <f aca="false">CH35+CH36+CH37+CH39+CH42+CH46</f>
        <v>-0</v>
      </c>
      <c r="CI47" s="54" t="n">
        <f aca="false">CI35+CI36+CI37+CI39+CI42+CI46</f>
        <v>-0</v>
      </c>
      <c r="CJ47" s="54" t="n">
        <f aca="false">CJ35+CJ36+CJ37+CJ39+CJ42+CJ46</f>
        <v>-0</v>
      </c>
      <c r="CK47" s="54" t="n">
        <f aca="false">CK35+CK36+CK37+CK39+CK42+CK46</f>
        <v>-0</v>
      </c>
      <c r="CL47" s="54" t="n">
        <f aca="false">CL35+CL36+CL37+CL39+CL42+CL46</f>
        <v>-0</v>
      </c>
      <c r="CM47" s="54" t="n">
        <f aca="false">CM35+CM36+CM37+CM39+CM42+CM46</f>
        <v>-0</v>
      </c>
      <c r="CN47" s="54" t="n">
        <f aca="false">CN35+CN36+CN37+CN39+CN42+CN46</f>
        <v>-0</v>
      </c>
      <c r="CO47" s="54" t="n">
        <f aca="false">CO35+CO36+CO37+CO39+CO42+CO46</f>
        <v>-0</v>
      </c>
      <c r="CP47" s="54" t="n">
        <f aca="false">CP35+CP36+CP37+CP39+CP42+CP46</f>
        <v>-0</v>
      </c>
      <c r="CQ47" s="54" t="n">
        <f aca="false">CQ35+CQ36+CQ37+CQ39+CQ42+CQ46</f>
        <v>-0</v>
      </c>
      <c r="CR47" s="54" t="n">
        <f aca="false">CR35+CR36+CR37+CR39+CR42+CR46</f>
        <v>-0</v>
      </c>
      <c r="CS47" s="54" t="n">
        <f aca="false">CS35+CS36+CS37+CS39+CS42+CS46</f>
        <v>-0</v>
      </c>
      <c r="CT47" s="54" t="n">
        <f aca="false">CT35+CT36+CT37+CT39+CT42+CT46</f>
        <v>-0</v>
      </c>
      <c r="CU47" s="54" t="n">
        <f aca="false">CU35+CU36+CU37+CU39+CU42+CU46</f>
        <v>-0</v>
      </c>
      <c r="CV47" s="54" t="n">
        <f aca="false">CV35+CV36+CV37+CV39+CV42+CV46</f>
        <v>-0</v>
      </c>
      <c r="CW47" s="54" t="n">
        <f aca="false">CW35+CW36+CW37+CW39+CW42+CW46</f>
        <v>-0</v>
      </c>
      <c r="CX47" s="54" t="n">
        <f aca="false">CX35+CX36+CX37+CX39+CX42+CX46</f>
        <v>-0</v>
      </c>
      <c r="CY47" s="54" t="n">
        <f aca="false">CY35+CY36+CY37+CY39+CY42+CY46</f>
        <v>-0</v>
      </c>
      <c r="CZ47" s="54" t="n">
        <f aca="false">CZ35+CZ36+CZ37+CZ39+CZ42+CZ46</f>
        <v>-0</v>
      </c>
      <c r="DA47" s="54" t="n">
        <f aca="false">DA35+DA36+DA37+DA39+DA42+DA46</f>
        <v>-0</v>
      </c>
      <c r="DB47" s="54" t="n">
        <f aca="false">DB35+DB36+DB37+DB39+DB42+DB46</f>
        <v>-0</v>
      </c>
      <c r="DC47" s="54" t="n">
        <f aca="false">DC35+DC36+DC37+DC39+DC42+DC46</f>
        <v>-0</v>
      </c>
      <c r="DD47" s="54" t="n">
        <f aca="false">DD35+DD36+DD37+DD39+DD42+DD46</f>
        <v>-0</v>
      </c>
      <c r="DE47" s="54" t="n">
        <f aca="false">DE35+DE36+DE37+DE39+DE42+DE46</f>
        <v>-0</v>
      </c>
      <c r="DF47" s="54" t="n">
        <f aca="false">DF35+DF36+DF37+DF39+DF42+DF46</f>
        <v>-0</v>
      </c>
      <c r="DG47" s="54" t="n">
        <f aca="false">DG35+DG36+DG37+DG39+DG42+DG46</f>
        <v>-0</v>
      </c>
      <c r="DH47" s="54" t="n">
        <f aca="false">DH35+DH36+DH37+DH39+DH42+DH46</f>
        <v>-0</v>
      </c>
      <c r="DI47" s="54" t="n">
        <f aca="false">DI35+DI36+DI37+DI39+DI42+DI46</f>
        <v>-0</v>
      </c>
      <c r="DJ47" s="54" t="n">
        <f aca="false">DJ35+DJ36+DJ37+DJ39+DJ42+DJ46</f>
        <v>-0</v>
      </c>
      <c r="DK47" s="54" t="n">
        <f aca="false">DK35+DK36+DK37+DK39+DK42+DK46</f>
        <v>-0</v>
      </c>
      <c r="DL47" s="54" t="n">
        <f aca="false">DL35+DL36+DL37+DL39+DL42+DL46</f>
        <v>-0</v>
      </c>
      <c r="DM47" s="54" t="n">
        <f aca="false">DM35+DM36+DM37+DM39+DM42+DM46</f>
        <v>-0</v>
      </c>
      <c r="DN47" s="54" t="n">
        <f aca="false">DN35+DN36+DN37+DN39+DN42+DN46</f>
        <v>-0</v>
      </c>
      <c r="DO47" s="54" t="n">
        <f aca="false">DO35+DO36+DO37+DO39+DO42+DO46</f>
        <v>-0</v>
      </c>
      <c r="DP47" s="54" t="n">
        <f aca="false">DP35+DP36+DP37+DP39+DP42+DP46</f>
        <v>-0</v>
      </c>
      <c r="DQ47" s="54" t="n">
        <f aca="false">DQ35+DQ36+DQ37+DQ39+DQ42+DQ46</f>
        <v>-0</v>
      </c>
      <c r="DR47" s="54" t="n">
        <f aca="false">DR35+DR36+DR37+DR39+DR42+DR46</f>
        <v>-0</v>
      </c>
      <c r="DS47" s="54" t="n">
        <f aca="false">DS35+DS36+DS37+DS39+DS42+DS46</f>
        <v>-0</v>
      </c>
      <c r="DT47" s="54" t="n">
        <f aca="false">DT35+DT36+DT37+DT39+DT42+DT46</f>
        <v>-0</v>
      </c>
      <c r="DU47" s="54" t="n">
        <f aca="false">DU35+DU36+DU37+DU39+DU42+DU46</f>
        <v>-0</v>
      </c>
      <c r="DV47" s="54" t="n">
        <f aca="false">DV35+DV36+DV37+DV39+DV42+DV46</f>
        <v>-0</v>
      </c>
      <c r="DW47" s="54" t="n">
        <f aca="false">DW35+DW36+DW37+DW39+DW42+DW46</f>
        <v>-0</v>
      </c>
      <c r="DX47" s="54" t="n">
        <f aca="false">DX35+DX36+DX37+DX39+DX42+DX46</f>
        <v>-0</v>
      </c>
      <c r="DY47" s="54" t="n">
        <f aca="false">DY35+DY36+DY37+DY39+DY42+DY46</f>
        <v>-0</v>
      </c>
      <c r="DZ47" s="54" t="n">
        <f aca="false">DZ35+DZ36+DZ37+DZ39+DZ42+DZ46</f>
        <v>-0</v>
      </c>
      <c r="EA47" s="54" t="n">
        <f aca="false">EA35+EA36+EA37+EA39+EA42+EA46</f>
        <v>-0</v>
      </c>
      <c r="EB47" s="54" t="n">
        <f aca="false">EB35+EB36+EB37+EB39+EB42+EB46</f>
        <v>-0</v>
      </c>
      <c r="EC47" s="54" t="n">
        <f aca="false">EC35+EC36+EC37+EC39+EC42+EC46</f>
        <v>-0</v>
      </c>
      <c r="ED47" s="54" t="n">
        <f aca="false">ED35+ED36+ED37+ED39+ED42+ED46</f>
        <v>-0</v>
      </c>
      <c r="EE47" s="54" t="n">
        <f aca="false">EE35+EE36+EE37+EE39+EE42+EE46</f>
        <v>-0</v>
      </c>
      <c r="EF47" s="54" t="n">
        <f aca="false">EF35+EF36+EF37+EF39+EF42+EF46</f>
        <v>-0</v>
      </c>
      <c r="EG47" s="54" t="n">
        <f aca="false">EG35+EG36+EG37+EG39+EG42+EG46</f>
        <v>-0</v>
      </c>
      <c r="EH47" s="54" t="n">
        <f aca="false">EH35+EH36+EH37+EH39+EH42+EH46</f>
        <v>-0</v>
      </c>
      <c r="EI47" s="54" t="n">
        <f aca="false">EI35+EI36+EI37+EI39+EI42+EI46</f>
        <v>-0</v>
      </c>
      <c r="EJ47" s="54" t="n">
        <f aca="false">EJ35+EJ36+EJ37+EJ39+EJ42+EJ46</f>
        <v>-0</v>
      </c>
      <c r="EK47" s="54" t="n">
        <f aca="false">EK35+EK36+EK37+EK39+EK42+EK46</f>
        <v>-0</v>
      </c>
      <c r="EL47" s="54" t="n">
        <f aca="false">EL35+EL36+EL37+EL39+EL42+EL46</f>
        <v>-0</v>
      </c>
      <c r="EM47" s="54" t="n">
        <f aca="false">EM35+EM36+EM37+EM39+EM42+EM46</f>
        <v>-0</v>
      </c>
      <c r="EN47" s="54" t="n">
        <f aca="false">EN35+EN36+EN37+EN39+EN42+EN46</f>
        <v>-0</v>
      </c>
      <c r="EO47" s="54" t="n">
        <f aca="false">EO35+EO36+EO37+EO39+EO42+EO46</f>
        <v>-0</v>
      </c>
    </row>
    <row r="49" customFormat="false" ht="15" hidden="false" customHeight="false" outlineLevel="0" collapsed="false">
      <c r="A49" s="9" t="s">
        <v>13</v>
      </c>
      <c r="B49" s="9"/>
      <c r="C49" s="9" t="s">
        <v>361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</row>
    <row r="50" customFormat="false" ht="15" hidden="false" customHeight="false" outlineLevel="0" collapsed="false">
      <c r="C50" s="0" t="s">
        <v>362</v>
      </c>
      <c r="D50" s="11" t="s">
        <v>19</v>
      </c>
      <c r="E50" s="43" t="n">
        <f aca="false">IF($E29=1,In_Turbine,In_Turbine_CN)</f>
        <v>600</v>
      </c>
    </row>
    <row r="51" customFormat="false" ht="15" hidden="false" customHeight="false" outlineLevel="0" collapsed="false">
      <c r="C51" s="0" t="s">
        <v>363</v>
      </c>
      <c r="D51" s="11" t="s">
        <v>33</v>
      </c>
      <c r="E51" s="43" t="n">
        <f aca="false">IF($E29=1,In_Substation,In_Substation_CN)</f>
        <v>12000</v>
      </c>
    </row>
    <row r="52" customFormat="false" ht="15" hidden="false" customHeight="false" outlineLevel="0" collapsed="false">
      <c r="C52" s="0" t="s">
        <v>364</v>
      </c>
      <c r="D52" s="11" t="s">
        <v>33</v>
      </c>
      <c r="E52" s="43" t="n">
        <f aca="false">(($E50+In_Other_Wind)*In_Wind_MW+$E51)*(1+In_Capex_Contingency)</f>
        <v>62737.5</v>
      </c>
      <c r="I52" s="43" t="n">
        <f aca="false">SUM(J52:EO52)</f>
        <v>-62737.5</v>
      </c>
      <c r="J52" s="43" t="n">
        <f aca="false">-$E52*J12</f>
        <v>-0</v>
      </c>
      <c r="K52" s="43" t="n">
        <f aca="false">-$E52*K12</f>
        <v>-0</v>
      </c>
      <c r="L52" s="43" t="n">
        <f aca="false">-$E52*L12</f>
        <v>-0</v>
      </c>
      <c r="M52" s="43" t="n">
        <f aca="false">-$E52*M12</f>
        <v>-0</v>
      </c>
      <c r="N52" s="43" t="n">
        <f aca="false">-$E52*N12</f>
        <v>-0</v>
      </c>
      <c r="O52" s="43" t="n">
        <f aca="false">-$E52*O12</f>
        <v>-0</v>
      </c>
      <c r="P52" s="43" t="n">
        <f aca="false">-$E52*P12</f>
        <v>-0</v>
      </c>
      <c r="Q52" s="43" t="n">
        <f aca="false">-$E52*Q12</f>
        <v>-0</v>
      </c>
      <c r="R52" s="43" t="n">
        <f aca="false">-$E52*R12</f>
        <v>-7906.64383561644</v>
      </c>
      <c r="S52" s="43" t="n">
        <f aca="false">-$E52*S12</f>
        <v>-7734.7602739726</v>
      </c>
      <c r="T52" s="43" t="n">
        <f aca="false">-$E52*T12</f>
        <v>-7820.70205479452</v>
      </c>
      <c r="U52" s="43" t="n">
        <f aca="false">-$E52*U12</f>
        <v>-7906.64383561644</v>
      </c>
      <c r="V52" s="43" t="n">
        <f aca="false">-$E52*V12</f>
        <v>-7906.64383561644</v>
      </c>
      <c r="W52" s="43" t="n">
        <f aca="false">-$E52*W12</f>
        <v>-7734.7602739726</v>
      </c>
      <c r="X52" s="43" t="n">
        <f aca="false">-$E52*X12</f>
        <v>-7820.70205479452</v>
      </c>
      <c r="Y52" s="43" t="n">
        <f aca="false">-$E52*Y12</f>
        <v>-7906.64383561644</v>
      </c>
      <c r="Z52" s="43" t="n">
        <f aca="false">-$E52*Z12</f>
        <v>-0</v>
      </c>
      <c r="AA52" s="43" t="n">
        <f aca="false">-$E52*AA12</f>
        <v>-0</v>
      </c>
      <c r="AB52" s="43" t="n">
        <f aca="false">-$E52*AB12</f>
        <v>-0</v>
      </c>
      <c r="AC52" s="43" t="n">
        <f aca="false">-$E52*AC12</f>
        <v>-0</v>
      </c>
      <c r="AD52" s="43" t="n">
        <f aca="false">-$E52*AD12</f>
        <v>-0</v>
      </c>
      <c r="AE52" s="43" t="n">
        <f aca="false">-$E52*AE12</f>
        <v>-0</v>
      </c>
      <c r="AF52" s="43" t="n">
        <f aca="false">-$E52*AF12</f>
        <v>-0</v>
      </c>
      <c r="AG52" s="43" t="n">
        <f aca="false">-$E52*AG12</f>
        <v>-0</v>
      </c>
      <c r="AH52" s="43" t="n">
        <f aca="false">-$E52*AH12</f>
        <v>-0</v>
      </c>
      <c r="AI52" s="43" t="n">
        <f aca="false">-$E52*AI12</f>
        <v>-0</v>
      </c>
      <c r="AJ52" s="43" t="n">
        <f aca="false">-$E52*AJ12</f>
        <v>-0</v>
      </c>
      <c r="AK52" s="43" t="n">
        <f aca="false">-$E52*AK12</f>
        <v>-0</v>
      </c>
      <c r="AL52" s="43" t="n">
        <f aca="false">-$E52*AL12</f>
        <v>-0</v>
      </c>
      <c r="AM52" s="43" t="n">
        <f aca="false">-$E52*AM12</f>
        <v>-0</v>
      </c>
      <c r="AN52" s="43" t="n">
        <f aca="false">-$E52*AN12</f>
        <v>-0</v>
      </c>
      <c r="AO52" s="43" t="n">
        <f aca="false">-$E52*AO12</f>
        <v>-0</v>
      </c>
      <c r="AP52" s="43" t="n">
        <f aca="false">-$E52*AP12</f>
        <v>-0</v>
      </c>
      <c r="AQ52" s="43" t="n">
        <f aca="false">-$E52*AQ12</f>
        <v>-0</v>
      </c>
      <c r="AR52" s="43" t="n">
        <f aca="false">-$E52*AR12</f>
        <v>-0</v>
      </c>
      <c r="AS52" s="43" t="n">
        <f aca="false">-$E52*AS12</f>
        <v>-0</v>
      </c>
      <c r="AT52" s="43" t="n">
        <f aca="false">-$E52*AT12</f>
        <v>-0</v>
      </c>
      <c r="AU52" s="43" t="n">
        <f aca="false">-$E52*AU12</f>
        <v>-0</v>
      </c>
      <c r="AV52" s="43" t="n">
        <f aca="false">-$E52*AV12</f>
        <v>-0</v>
      </c>
      <c r="AW52" s="43" t="n">
        <f aca="false">-$E52*AW12</f>
        <v>-0</v>
      </c>
      <c r="AX52" s="43" t="n">
        <f aca="false">-$E52*AX12</f>
        <v>-0</v>
      </c>
      <c r="AY52" s="43" t="n">
        <f aca="false">-$E52*AY12</f>
        <v>-0</v>
      </c>
      <c r="AZ52" s="43" t="n">
        <f aca="false">-$E52*AZ12</f>
        <v>-0</v>
      </c>
      <c r="BA52" s="43" t="n">
        <f aca="false">-$E52*BA12</f>
        <v>-0</v>
      </c>
      <c r="BB52" s="43" t="n">
        <f aca="false">-$E52*BB12</f>
        <v>-0</v>
      </c>
      <c r="BC52" s="43" t="n">
        <f aca="false">-$E52*BC12</f>
        <v>-0</v>
      </c>
      <c r="BD52" s="43" t="n">
        <f aca="false">-$E52*BD12</f>
        <v>-0</v>
      </c>
      <c r="BE52" s="43" t="n">
        <f aca="false">-$E52*BE12</f>
        <v>-0</v>
      </c>
      <c r="BF52" s="43" t="n">
        <f aca="false">-$E52*BF12</f>
        <v>-0</v>
      </c>
      <c r="BG52" s="43" t="n">
        <f aca="false">-$E52*BG12</f>
        <v>-0</v>
      </c>
      <c r="BH52" s="43" t="n">
        <f aca="false">-$E52*BH12</f>
        <v>-0</v>
      </c>
      <c r="BI52" s="43" t="n">
        <f aca="false">-$E52*BI12</f>
        <v>-0</v>
      </c>
      <c r="BJ52" s="43" t="n">
        <f aca="false">-$E52*BJ12</f>
        <v>-0</v>
      </c>
      <c r="BK52" s="43" t="n">
        <f aca="false">-$E52*BK12</f>
        <v>-0</v>
      </c>
      <c r="BL52" s="43" t="n">
        <f aca="false">-$E52*BL12</f>
        <v>-0</v>
      </c>
      <c r="BM52" s="43" t="n">
        <f aca="false">-$E52*BM12</f>
        <v>-0</v>
      </c>
      <c r="BN52" s="43" t="n">
        <f aca="false">-$E52*BN12</f>
        <v>-0</v>
      </c>
      <c r="BO52" s="43" t="n">
        <f aca="false">-$E52*BO12</f>
        <v>-0</v>
      </c>
      <c r="BP52" s="43" t="n">
        <f aca="false">-$E52*BP12</f>
        <v>-0</v>
      </c>
      <c r="BQ52" s="43" t="n">
        <f aca="false">-$E52*BQ12</f>
        <v>-0</v>
      </c>
      <c r="BR52" s="43" t="n">
        <f aca="false">-$E52*BR12</f>
        <v>-0</v>
      </c>
      <c r="BS52" s="43" t="n">
        <f aca="false">-$E52*BS12</f>
        <v>-0</v>
      </c>
      <c r="BT52" s="43" t="n">
        <f aca="false">-$E52*BT12</f>
        <v>-0</v>
      </c>
      <c r="BU52" s="43" t="n">
        <f aca="false">-$E52*BU12</f>
        <v>-0</v>
      </c>
      <c r="BV52" s="43" t="n">
        <f aca="false">-$E52*BV12</f>
        <v>-0</v>
      </c>
      <c r="BW52" s="43" t="n">
        <f aca="false">-$E52*BW12</f>
        <v>-0</v>
      </c>
      <c r="BX52" s="43" t="n">
        <f aca="false">-$E52*BX12</f>
        <v>-0</v>
      </c>
      <c r="BY52" s="43" t="n">
        <f aca="false">-$E52*BY12</f>
        <v>-0</v>
      </c>
      <c r="BZ52" s="43" t="n">
        <f aca="false">-$E52*BZ12</f>
        <v>-0</v>
      </c>
      <c r="CA52" s="43" t="n">
        <f aca="false">-$E52*CA12</f>
        <v>-0</v>
      </c>
      <c r="CB52" s="43" t="n">
        <f aca="false">-$E52*CB12</f>
        <v>-0</v>
      </c>
      <c r="CC52" s="43" t="n">
        <f aca="false">-$E52*CC12</f>
        <v>-0</v>
      </c>
      <c r="CD52" s="43" t="n">
        <f aca="false">-$E52*CD12</f>
        <v>-0</v>
      </c>
      <c r="CE52" s="43" t="n">
        <f aca="false">-$E52*CE12</f>
        <v>-0</v>
      </c>
      <c r="CF52" s="43" t="n">
        <f aca="false">-$E52*CF12</f>
        <v>-0</v>
      </c>
      <c r="CG52" s="43" t="n">
        <f aca="false">-$E52*CG12</f>
        <v>-0</v>
      </c>
      <c r="CH52" s="43" t="n">
        <f aca="false">-$E52*CH12</f>
        <v>-0</v>
      </c>
      <c r="CI52" s="43" t="n">
        <f aca="false">-$E52*CI12</f>
        <v>-0</v>
      </c>
      <c r="CJ52" s="43" t="n">
        <f aca="false">-$E52*CJ12</f>
        <v>-0</v>
      </c>
      <c r="CK52" s="43" t="n">
        <f aca="false">-$E52*CK12</f>
        <v>-0</v>
      </c>
      <c r="CL52" s="43" t="n">
        <f aca="false">-$E52*CL12</f>
        <v>-0</v>
      </c>
      <c r="CM52" s="43" t="n">
        <f aca="false">-$E52*CM12</f>
        <v>-0</v>
      </c>
      <c r="CN52" s="43" t="n">
        <f aca="false">-$E52*CN12</f>
        <v>-0</v>
      </c>
      <c r="CO52" s="43" t="n">
        <f aca="false">-$E52*CO12</f>
        <v>-0</v>
      </c>
      <c r="CP52" s="43" t="n">
        <f aca="false">-$E52*CP12</f>
        <v>-0</v>
      </c>
      <c r="CQ52" s="43" t="n">
        <f aca="false">-$E52*CQ12</f>
        <v>-0</v>
      </c>
      <c r="CR52" s="43" t="n">
        <f aca="false">-$E52*CR12</f>
        <v>-0</v>
      </c>
      <c r="CS52" s="43" t="n">
        <f aca="false">-$E52*CS12</f>
        <v>-0</v>
      </c>
      <c r="CT52" s="43" t="n">
        <f aca="false">-$E52*CT12</f>
        <v>-0</v>
      </c>
      <c r="CU52" s="43" t="n">
        <f aca="false">-$E52*CU12</f>
        <v>-0</v>
      </c>
      <c r="CV52" s="43" t="n">
        <f aca="false">-$E52*CV12</f>
        <v>-0</v>
      </c>
      <c r="CW52" s="43" t="n">
        <f aca="false">-$E52*CW12</f>
        <v>-0</v>
      </c>
      <c r="CX52" s="43" t="n">
        <f aca="false">-$E52*CX12</f>
        <v>-0</v>
      </c>
      <c r="CY52" s="43" t="n">
        <f aca="false">-$E52*CY12</f>
        <v>-0</v>
      </c>
      <c r="CZ52" s="43" t="n">
        <f aca="false">-$E52*CZ12</f>
        <v>-0</v>
      </c>
      <c r="DA52" s="43" t="n">
        <f aca="false">-$E52*DA12</f>
        <v>-0</v>
      </c>
      <c r="DB52" s="43" t="n">
        <f aca="false">-$E52*DB12</f>
        <v>-0</v>
      </c>
      <c r="DC52" s="43" t="n">
        <f aca="false">-$E52*DC12</f>
        <v>-0</v>
      </c>
      <c r="DD52" s="43" t="n">
        <f aca="false">-$E52*DD12</f>
        <v>-0</v>
      </c>
      <c r="DE52" s="43" t="n">
        <f aca="false">-$E52*DE12</f>
        <v>-0</v>
      </c>
      <c r="DF52" s="43" t="n">
        <f aca="false">-$E52*DF12</f>
        <v>-0</v>
      </c>
      <c r="DG52" s="43" t="n">
        <f aca="false">-$E52*DG12</f>
        <v>-0</v>
      </c>
      <c r="DH52" s="43" t="n">
        <f aca="false">-$E52*DH12</f>
        <v>-0</v>
      </c>
      <c r="DI52" s="43" t="n">
        <f aca="false">-$E52*DI12</f>
        <v>-0</v>
      </c>
      <c r="DJ52" s="43" t="n">
        <f aca="false">-$E52*DJ12</f>
        <v>-0</v>
      </c>
      <c r="DK52" s="43" t="n">
        <f aca="false">-$E52*DK12</f>
        <v>-0</v>
      </c>
      <c r="DL52" s="43" t="n">
        <f aca="false">-$E52*DL12</f>
        <v>-0</v>
      </c>
      <c r="DM52" s="43" t="n">
        <f aca="false">-$E52*DM12</f>
        <v>-0</v>
      </c>
      <c r="DN52" s="43" t="n">
        <f aca="false">-$E52*DN12</f>
        <v>-0</v>
      </c>
      <c r="DO52" s="43" t="n">
        <f aca="false">-$E52*DO12</f>
        <v>-0</v>
      </c>
      <c r="DP52" s="43" t="n">
        <f aca="false">-$E52*DP12</f>
        <v>-0</v>
      </c>
      <c r="DQ52" s="43" t="n">
        <f aca="false">-$E52*DQ12</f>
        <v>-0</v>
      </c>
      <c r="DR52" s="43" t="n">
        <f aca="false">-$E52*DR12</f>
        <v>-0</v>
      </c>
      <c r="DS52" s="43" t="n">
        <f aca="false">-$E52*DS12</f>
        <v>-0</v>
      </c>
      <c r="DT52" s="43" t="n">
        <f aca="false">-$E52*DT12</f>
        <v>-0</v>
      </c>
      <c r="DU52" s="43" t="n">
        <f aca="false">-$E52*DU12</f>
        <v>-0</v>
      </c>
      <c r="DV52" s="43" t="n">
        <f aca="false">-$E52*DV12</f>
        <v>-0</v>
      </c>
      <c r="DW52" s="43" t="n">
        <f aca="false">-$E52*DW12</f>
        <v>-0</v>
      </c>
      <c r="DX52" s="43" t="n">
        <f aca="false">-$E52*DX12</f>
        <v>-0</v>
      </c>
      <c r="DY52" s="43" t="n">
        <f aca="false">-$E52*DY12</f>
        <v>-0</v>
      </c>
      <c r="DZ52" s="43" t="n">
        <f aca="false">-$E52*DZ12</f>
        <v>-0</v>
      </c>
      <c r="EA52" s="43" t="n">
        <f aca="false">-$E52*EA12</f>
        <v>-0</v>
      </c>
      <c r="EB52" s="43" t="n">
        <f aca="false">-$E52*EB12</f>
        <v>-0</v>
      </c>
      <c r="EC52" s="43" t="n">
        <f aca="false">-$E52*EC12</f>
        <v>-0</v>
      </c>
      <c r="ED52" s="43" t="n">
        <f aca="false">-$E52*ED12</f>
        <v>-0</v>
      </c>
      <c r="EE52" s="43" t="n">
        <f aca="false">-$E52*EE12</f>
        <v>-0</v>
      </c>
      <c r="EF52" s="43" t="n">
        <f aca="false">-$E52*EF12</f>
        <v>-0</v>
      </c>
      <c r="EG52" s="43" t="n">
        <f aca="false">-$E52*EG12</f>
        <v>-0</v>
      </c>
      <c r="EH52" s="43" t="n">
        <f aca="false">-$E52*EH12</f>
        <v>-0</v>
      </c>
      <c r="EI52" s="43" t="n">
        <f aca="false">-$E52*EI12</f>
        <v>-0</v>
      </c>
      <c r="EJ52" s="43" t="n">
        <f aca="false">-$E52*EJ12</f>
        <v>-0</v>
      </c>
      <c r="EK52" s="43" t="n">
        <f aca="false">-$E52*EK12</f>
        <v>-0</v>
      </c>
      <c r="EL52" s="43" t="n">
        <f aca="false">-$E52*EL12</f>
        <v>-0</v>
      </c>
      <c r="EM52" s="43" t="n">
        <f aca="false">-$E52*EM12</f>
        <v>-0</v>
      </c>
      <c r="EN52" s="43" t="n">
        <f aca="false">-$E52*EN12</f>
        <v>-0</v>
      </c>
      <c r="EO52" s="43" t="n">
        <f aca="false">-$E52*EO12</f>
        <v>-0</v>
      </c>
    </row>
    <row r="53" customFormat="false" ht="15" hidden="false" customHeight="false" outlineLevel="0" collapsed="false">
      <c r="C53" s="0" t="s">
        <v>365</v>
      </c>
      <c r="D53" s="11" t="s">
        <v>33</v>
      </c>
      <c r="E53" s="43" t="n">
        <f aca="false">$E24*In_MVA</f>
        <v>1750</v>
      </c>
      <c r="I53" s="43" t="n">
        <f aca="false">SUM(J53:EO53)</f>
        <v>-1750</v>
      </c>
      <c r="J53" s="43" t="n">
        <f aca="false">-$E53*J14</f>
        <v>-0</v>
      </c>
      <c r="K53" s="43" t="n">
        <f aca="false">-$E53*K14</f>
        <v>-0</v>
      </c>
      <c r="L53" s="43" t="n">
        <f aca="false">-$E53*L14</f>
        <v>-0</v>
      </c>
      <c r="M53" s="43" t="n">
        <f aca="false">-$E53*M14</f>
        <v>-0</v>
      </c>
      <c r="N53" s="43" t="n">
        <f aca="false">-$E53*N14</f>
        <v>-0</v>
      </c>
      <c r="O53" s="43" t="n">
        <f aca="false">-$E53*O14</f>
        <v>-0</v>
      </c>
      <c r="P53" s="43" t="n">
        <f aca="false">-$E53*P14</f>
        <v>-0</v>
      </c>
      <c r="Q53" s="43" t="n">
        <f aca="false">-$E53*Q14</f>
        <v>-0</v>
      </c>
      <c r="R53" s="43" t="n">
        <f aca="false">-$E53*R14</f>
        <v>-0</v>
      </c>
      <c r="S53" s="43" t="n">
        <f aca="false">-$E53*S14</f>
        <v>-0</v>
      </c>
      <c r="T53" s="43" t="n">
        <f aca="false">-$E53*T14</f>
        <v>-0</v>
      </c>
      <c r="U53" s="43" t="n">
        <f aca="false">-$E53*U14</f>
        <v>-0</v>
      </c>
      <c r="V53" s="43" t="n">
        <f aca="false">-$E53*V14</f>
        <v>-0</v>
      </c>
      <c r="W53" s="43" t="n">
        <f aca="false">-$E53*W14</f>
        <v>-0</v>
      </c>
      <c r="X53" s="43" t="n">
        <f aca="false">-$E53*X14</f>
        <v>-0</v>
      </c>
      <c r="Y53" s="43" t="n">
        <f aca="false">-$E53*Y14</f>
        <v>-1750</v>
      </c>
      <c r="Z53" s="43" t="n">
        <f aca="false">-$E53*Z14</f>
        <v>-0</v>
      </c>
      <c r="AA53" s="43" t="n">
        <f aca="false">-$E53*AA14</f>
        <v>-0</v>
      </c>
      <c r="AB53" s="43" t="n">
        <f aca="false">-$E53*AB14</f>
        <v>-0</v>
      </c>
      <c r="AC53" s="43" t="n">
        <f aca="false">-$E53*AC14</f>
        <v>-0</v>
      </c>
      <c r="AD53" s="43" t="n">
        <f aca="false">-$E53*AD14</f>
        <v>-0</v>
      </c>
      <c r="AE53" s="43" t="n">
        <f aca="false">-$E53*AE14</f>
        <v>-0</v>
      </c>
      <c r="AF53" s="43" t="n">
        <f aca="false">-$E53*AF14</f>
        <v>-0</v>
      </c>
      <c r="AG53" s="43" t="n">
        <f aca="false">-$E53*AG14</f>
        <v>-0</v>
      </c>
      <c r="AH53" s="43" t="n">
        <f aca="false">-$E53*AH14</f>
        <v>-0</v>
      </c>
      <c r="AI53" s="43" t="n">
        <f aca="false">-$E53*AI14</f>
        <v>-0</v>
      </c>
      <c r="AJ53" s="43" t="n">
        <f aca="false">-$E53*AJ14</f>
        <v>-0</v>
      </c>
      <c r="AK53" s="43" t="n">
        <f aca="false">-$E53*AK14</f>
        <v>-0</v>
      </c>
      <c r="AL53" s="43" t="n">
        <f aca="false">-$E53*AL14</f>
        <v>-0</v>
      </c>
      <c r="AM53" s="43" t="n">
        <f aca="false">-$E53*AM14</f>
        <v>-0</v>
      </c>
      <c r="AN53" s="43" t="n">
        <f aca="false">-$E53*AN14</f>
        <v>-0</v>
      </c>
      <c r="AO53" s="43" t="n">
        <f aca="false">-$E53*AO14</f>
        <v>-0</v>
      </c>
      <c r="AP53" s="43" t="n">
        <f aca="false">-$E53*AP14</f>
        <v>-0</v>
      </c>
      <c r="AQ53" s="43" t="n">
        <f aca="false">-$E53*AQ14</f>
        <v>-0</v>
      </c>
      <c r="AR53" s="43" t="n">
        <f aca="false">-$E53*AR14</f>
        <v>-0</v>
      </c>
      <c r="AS53" s="43" t="n">
        <f aca="false">-$E53*AS14</f>
        <v>-0</v>
      </c>
      <c r="AT53" s="43" t="n">
        <f aca="false">-$E53*AT14</f>
        <v>-0</v>
      </c>
      <c r="AU53" s="43" t="n">
        <f aca="false">-$E53*AU14</f>
        <v>-0</v>
      </c>
      <c r="AV53" s="43" t="n">
        <f aca="false">-$E53*AV14</f>
        <v>-0</v>
      </c>
      <c r="AW53" s="43" t="n">
        <f aca="false">-$E53*AW14</f>
        <v>-0</v>
      </c>
      <c r="AX53" s="43" t="n">
        <f aca="false">-$E53*AX14</f>
        <v>-0</v>
      </c>
      <c r="AY53" s="43" t="n">
        <f aca="false">-$E53*AY14</f>
        <v>-0</v>
      </c>
      <c r="AZ53" s="43" t="n">
        <f aca="false">-$E53*AZ14</f>
        <v>-0</v>
      </c>
      <c r="BA53" s="43" t="n">
        <f aca="false">-$E53*BA14</f>
        <v>-0</v>
      </c>
      <c r="BB53" s="43" t="n">
        <f aca="false">-$E53*BB14</f>
        <v>-0</v>
      </c>
      <c r="BC53" s="43" t="n">
        <f aca="false">-$E53*BC14</f>
        <v>-0</v>
      </c>
      <c r="BD53" s="43" t="n">
        <f aca="false">-$E53*BD14</f>
        <v>-0</v>
      </c>
      <c r="BE53" s="43" t="n">
        <f aca="false">-$E53*BE14</f>
        <v>-0</v>
      </c>
      <c r="BF53" s="43" t="n">
        <f aca="false">-$E53*BF14</f>
        <v>-0</v>
      </c>
      <c r="BG53" s="43" t="n">
        <f aca="false">-$E53*BG14</f>
        <v>-0</v>
      </c>
      <c r="BH53" s="43" t="n">
        <f aca="false">-$E53*BH14</f>
        <v>-0</v>
      </c>
      <c r="BI53" s="43" t="n">
        <f aca="false">-$E53*BI14</f>
        <v>-0</v>
      </c>
      <c r="BJ53" s="43" t="n">
        <f aca="false">-$E53*BJ14</f>
        <v>-0</v>
      </c>
      <c r="BK53" s="43" t="n">
        <f aca="false">-$E53*BK14</f>
        <v>-0</v>
      </c>
      <c r="BL53" s="43" t="n">
        <f aca="false">-$E53*BL14</f>
        <v>-0</v>
      </c>
      <c r="BM53" s="43" t="n">
        <f aca="false">-$E53*BM14</f>
        <v>-0</v>
      </c>
      <c r="BN53" s="43" t="n">
        <f aca="false">-$E53*BN14</f>
        <v>-0</v>
      </c>
      <c r="BO53" s="43" t="n">
        <f aca="false">-$E53*BO14</f>
        <v>-0</v>
      </c>
      <c r="BP53" s="43" t="n">
        <f aca="false">-$E53*BP14</f>
        <v>-0</v>
      </c>
      <c r="BQ53" s="43" t="n">
        <f aca="false">-$E53*BQ14</f>
        <v>-0</v>
      </c>
      <c r="BR53" s="43" t="n">
        <f aca="false">-$E53*BR14</f>
        <v>-0</v>
      </c>
      <c r="BS53" s="43" t="n">
        <f aca="false">-$E53*BS14</f>
        <v>-0</v>
      </c>
      <c r="BT53" s="43" t="n">
        <f aca="false">-$E53*BT14</f>
        <v>-0</v>
      </c>
      <c r="BU53" s="43" t="n">
        <f aca="false">-$E53*BU14</f>
        <v>-0</v>
      </c>
      <c r="BV53" s="43" t="n">
        <f aca="false">-$E53*BV14</f>
        <v>-0</v>
      </c>
      <c r="BW53" s="43" t="n">
        <f aca="false">-$E53*BW14</f>
        <v>-0</v>
      </c>
      <c r="BX53" s="43" t="n">
        <f aca="false">-$E53*BX14</f>
        <v>-0</v>
      </c>
      <c r="BY53" s="43" t="n">
        <f aca="false">-$E53*BY14</f>
        <v>-0</v>
      </c>
      <c r="BZ53" s="43" t="n">
        <f aca="false">-$E53*BZ14</f>
        <v>-0</v>
      </c>
      <c r="CA53" s="43" t="n">
        <f aca="false">-$E53*CA14</f>
        <v>-0</v>
      </c>
      <c r="CB53" s="43" t="n">
        <f aca="false">-$E53*CB14</f>
        <v>-0</v>
      </c>
      <c r="CC53" s="43" t="n">
        <f aca="false">-$E53*CC14</f>
        <v>-0</v>
      </c>
      <c r="CD53" s="43" t="n">
        <f aca="false">-$E53*CD14</f>
        <v>-0</v>
      </c>
      <c r="CE53" s="43" t="n">
        <f aca="false">-$E53*CE14</f>
        <v>-0</v>
      </c>
      <c r="CF53" s="43" t="n">
        <f aca="false">-$E53*CF14</f>
        <v>-0</v>
      </c>
      <c r="CG53" s="43" t="n">
        <f aca="false">-$E53*CG14</f>
        <v>-0</v>
      </c>
      <c r="CH53" s="43" t="n">
        <f aca="false">-$E53*CH14</f>
        <v>-0</v>
      </c>
      <c r="CI53" s="43" t="n">
        <f aca="false">-$E53*CI14</f>
        <v>-0</v>
      </c>
      <c r="CJ53" s="43" t="n">
        <f aca="false">-$E53*CJ14</f>
        <v>-0</v>
      </c>
      <c r="CK53" s="43" t="n">
        <f aca="false">-$E53*CK14</f>
        <v>-0</v>
      </c>
      <c r="CL53" s="43" t="n">
        <f aca="false">-$E53*CL14</f>
        <v>-0</v>
      </c>
      <c r="CM53" s="43" t="n">
        <f aca="false">-$E53*CM14</f>
        <v>-0</v>
      </c>
      <c r="CN53" s="43" t="n">
        <f aca="false">-$E53*CN14</f>
        <v>-0</v>
      </c>
      <c r="CO53" s="43" t="n">
        <f aca="false">-$E53*CO14</f>
        <v>-0</v>
      </c>
      <c r="CP53" s="43" t="n">
        <f aca="false">-$E53*CP14</f>
        <v>-0</v>
      </c>
      <c r="CQ53" s="43" t="n">
        <f aca="false">-$E53*CQ14</f>
        <v>-0</v>
      </c>
      <c r="CR53" s="43" t="n">
        <f aca="false">-$E53*CR14</f>
        <v>-0</v>
      </c>
      <c r="CS53" s="43" t="n">
        <f aca="false">-$E53*CS14</f>
        <v>-0</v>
      </c>
      <c r="CT53" s="43" t="n">
        <f aca="false">-$E53*CT14</f>
        <v>-0</v>
      </c>
      <c r="CU53" s="43" t="n">
        <f aca="false">-$E53*CU14</f>
        <v>-0</v>
      </c>
      <c r="CV53" s="43" t="n">
        <f aca="false">-$E53*CV14</f>
        <v>-0</v>
      </c>
      <c r="CW53" s="43" t="n">
        <f aca="false">-$E53*CW14</f>
        <v>-0</v>
      </c>
      <c r="CX53" s="43" t="n">
        <f aca="false">-$E53*CX14</f>
        <v>-0</v>
      </c>
      <c r="CY53" s="43" t="n">
        <f aca="false">-$E53*CY14</f>
        <v>-0</v>
      </c>
      <c r="CZ53" s="43" t="n">
        <f aca="false">-$E53*CZ14</f>
        <v>-0</v>
      </c>
      <c r="DA53" s="43" t="n">
        <f aca="false">-$E53*DA14</f>
        <v>-0</v>
      </c>
      <c r="DB53" s="43" t="n">
        <f aca="false">-$E53*DB14</f>
        <v>-0</v>
      </c>
      <c r="DC53" s="43" t="n">
        <f aca="false">-$E53*DC14</f>
        <v>-0</v>
      </c>
      <c r="DD53" s="43" t="n">
        <f aca="false">-$E53*DD14</f>
        <v>-0</v>
      </c>
      <c r="DE53" s="43" t="n">
        <f aca="false">-$E53*DE14</f>
        <v>-0</v>
      </c>
      <c r="DF53" s="43" t="n">
        <f aca="false">-$E53*DF14</f>
        <v>-0</v>
      </c>
      <c r="DG53" s="43" t="n">
        <f aca="false">-$E53*DG14</f>
        <v>-0</v>
      </c>
      <c r="DH53" s="43" t="n">
        <f aca="false">-$E53*DH14</f>
        <v>-0</v>
      </c>
      <c r="DI53" s="43" t="n">
        <f aca="false">-$E53*DI14</f>
        <v>-0</v>
      </c>
      <c r="DJ53" s="43" t="n">
        <f aca="false">-$E53*DJ14</f>
        <v>-0</v>
      </c>
      <c r="DK53" s="43" t="n">
        <f aca="false">-$E53*DK14</f>
        <v>-0</v>
      </c>
      <c r="DL53" s="43" t="n">
        <f aca="false">-$E53*DL14</f>
        <v>-0</v>
      </c>
      <c r="DM53" s="43" t="n">
        <f aca="false">-$E53*DM14</f>
        <v>-0</v>
      </c>
      <c r="DN53" s="43" t="n">
        <f aca="false">-$E53*DN14</f>
        <v>-0</v>
      </c>
      <c r="DO53" s="43" t="n">
        <f aca="false">-$E53*DO14</f>
        <v>-0</v>
      </c>
      <c r="DP53" s="43" t="n">
        <f aca="false">-$E53*DP14</f>
        <v>-0</v>
      </c>
      <c r="DQ53" s="43" t="n">
        <f aca="false">-$E53*DQ14</f>
        <v>-0</v>
      </c>
      <c r="DR53" s="43" t="n">
        <f aca="false">-$E53*DR14</f>
        <v>-0</v>
      </c>
      <c r="DS53" s="43" t="n">
        <f aca="false">-$E53*DS14</f>
        <v>-0</v>
      </c>
      <c r="DT53" s="43" t="n">
        <f aca="false">-$E53*DT14</f>
        <v>-0</v>
      </c>
      <c r="DU53" s="43" t="n">
        <f aca="false">-$E53*DU14</f>
        <v>-0</v>
      </c>
      <c r="DV53" s="43" t="n">
        <f aca="false">-$E53*DV14</f>
        <v>-0</v>
      </c>
      <c r="DW53" s="43" t="n">
        <f aca="false">-$E53*DW14</f>
        <v>-0</v>
      </c>
      <c r="DX53" s="43" t="n">
        <f aca="false">-$E53*DX14</f>
        <v>-0</v>
      </c>
      <c r="DY53" s="43" t="n">
        <f aca="false">-$E53*DY14</f>
        <v>-0</v>
      </c>
      <c r="DZ53" s="43" t="n">
        <f aca="false">-$E53*DZ14</f>
        <v>-0</v>
      </c>
      <c r="EA53" s="43" t="n">
        <f aca="false">-$E53*EA14</f>
        <v>-0</v>
      </c>
      <c r="EB53" s="43" t="n">
        <f aca="false">-$E53*EB14</f>
        <v>-0</v>
      </c>
      <c r="EC53" s="43" t="n">
        <f aca="false">-$E53*EC14</f>
        <v>-0</v>
      </c>
      <c r="ED53" s="43" t="n">
        <f aca="false">-$E53*ED14</f>
        <v>-0</v>
      </c>
      <c r="EE53" s="43" t="n">
        <f aca="false">-$E53*EE14</f>
        <v>-0</v>
      </c>
      <c r="EF53" s="43" t="n">
        <f aca="false">-$E53*EF14</f>
        <v>-0</v>
      </c>
      <c r="EG53" s="43" t="n">
        <f aca="false">-$E53*EG14</f>
        <v>-0</v>
      </c>
      <c r="EH53" s="43" t="n">
        <f aca="false">-$E53*EH14</f>
        <v>-0</v>
      </c>
      <c r="EI53" s="43" t="n">
        <f aca="false">-$E53*EI14</f>
        <v>-0</v>
      </c>
      <c r="EJ53" s="43" t="n">
        <f aca="false">-$E53*EJ14</f>
        <v>-0</v>
      </c>
      <c r="EK53" s="43" t="n">
        <f aca="false">-$E53*EK14</f>
        <v>-0</v>
      </c>
      <c r="EL53" s="43" t="n">
        <f aca="false">-$E53*EL14</f>
        <v>-0</v>
      </c>
      <c r="EM53" s="43" t="n">
        <f aca="false">-$E53*EM14</f>
        <v>-0</v>
      </c>
      <c r="EN53" s="43" t="n">
        <f aca="false">-$E53*EN14</f>
        <v>-0</v>
      </c>
      <c r="EO53" s="43" t="n">
        <f aca="false">-$E53*EO14</f>
        <v>-0</v>
      </c>
    </row>
    <row r="54" customFormat="false" ht="15" hidden="false" customHeight="false" outlineLevel="0" collapsed="false">
      <c r="C54" s="21" t="s">
        <v>366</v>
      </c>
      <c r="D54" s="11" t="s">
        <v>33</v>
      </c>
      <c r="E54" s="54" t="n">
        <f aca="false">SUMPRODUCT($J54:$EO54/$J21:$EO21)*$E21</f>
        <v>-76086.7631938378</v>
      </c>
      <c r="I54" s="54" t="n">
        <f aca="false">SUM(J54:EO54)</f>
        <v>-72642.3231506849</v>
      </c>
      <c r="J54" s="54" t="n">
        <f aca="false">J52+J45+J53</f>
        <v>-0</v>
      </c>
      <c r="K54" s="54" t="n">
        <f aca="false">K52+K45+K53</f>
        <v>-0</v>
      </c>
      <c r="L54" s="54" t="n">
        <f aca="false">L52+L45+L53</f>
        <v>-0</v>
      </c>
      <c r="M54" s="54" t="n">
        <f aca="false">M52+M45+M53</f>
        <v>-0</v>
      </c>
      <c r="N54" s="54" t="n">
        <f aca="false">N52+N45+N53</f>
        <v>-0</v>
      </c>
      <c r="O54" s="54" t="n">
        <f aca="false">O52+O45+O53</f>
        <v>-0</v>
      </c>
      <c r="P54" s="54" t="n">
        <f aca="false">P52+P45+P53</f>
        <v>-0</v>
      </c>
      <c r="Q54" s="54" t="n">
        <f aca="false">Q52+Q45+Q53</f>
        <v>-0</v>
      </c>
      <c r="R54" s="54" t="n">
        <f aca="false">R52+R45+R53</f>
        <v>-7906.64383561644</v>
      </c>
      <c r="S54" s="54" t="n">
        <f aca="false">S52+S45+S53</f>
        <v>-15889.5834246575</v>
      </c>
      <c r="T54" s="54" t="n">
        <f aca="false">T52+T45+T53</f>
        <v>-7820.70205479452</v>
      </c>
      <c r="U54" s="54" t="n">
        <f aca="false">U52+U45+U53</f>
        <v>-7906.64383561644</v>
      </c>
      <c r="V54" s="54" t="n">
        <f aca="false">V52+V45+V53</f>
        <v>-7906.64383561644</v>
      </c>
      <c r="W54" s="54" t="n">
        <f aca="false">W52+W45+W53</f>
        <v>-7734.7602739726</v>
      </c>
      <c r="X54" s="54" t="n">
        <f aca="false">X52+X45+X53</f>
        <v>-7820.70205479452</v>
      </c>
      <c r="Y54" s="54" t="n">
        <f aca="false">Y52+Y45+Y53</f>
        <v>-9656.64383561644</v>
      </c>
      <c r="Z54" s="54" t="n">
        <f aca="false">Z52+Z45+Z53</f>
        <v>-0</v>
      </c>
      <c r="AA54" s="54" t="n">
        <f aca="false">AA52+AA45+AA53</f>
        <v>-0</v>
      </c>
      <c r="AB54" s="54" t="n">
        <f aca="false">AB52+AB45+AB53</f>
        <v>-0</v>
      </c>
      <c r="AC54" s="54" t="n">
        <f aca="false">AC52+AC45+AC53</f>
        <v>-0</v>
      </c>
      <c r="AD54" s="54" t="n">
        <f aca="false">AD52+AD45+AD53</f>
        <v>-0</v>
      </c>
      <c r="AE54" s="54" t="n">
        <f aca="false">AE52+AE45+AE53</f>
        <v>-0</v>
      </c>
      <c r="AF54" s="54" t="n">
        <f aca="false">AF52+AF45+AF53</f>
        <v>-0</v>
      </c>
      <c r="AG54" s="54" t="n">
        <f aca="false">AG52+AG45+AG53</f>
        <v>-0</v>
      </c>
      <c r="AH54" s="54" t="n">
        <f aca="false">AH52+AH45+AH53</f>
        <v>-0</v>
      </c>
      <c r="AI54" s="54" t="n">
        <f aca="false">AI52+AI45+AI53</f>
        <v>-0</v>
      </c>
      <c r="AJ54" s="54" t="n">
        <f aca="false">AJ52+AJ45+AJ53</f>
        <v>-0</v>
      </c>
      <c r="AK54" s="54" t="n">
        <f aca="false">AK52+AK45+AK53</f>
        <v>-0</v>
      </c>
      <c r="AL54" s="54" t="n">
        <f aca="false">AL52+AL45+AL53</f>
        <v>-0</v>
      </c>
      <c r="AM54" s="54" t="n">
        <f aca="false">AM52+AM45+AM53</f>
        <v>-0</v>
      </c>
      <c r="AN54" s="54" t="n">
        <f aca="false">AN52+AN45+AN53</f>
        <v>-0</v>
      </c>
      <c r="AO54" s="54" t="n">
        <f aca="false">AO52+AO45+AO53</f>
        <v>-0</v>
      </c>
      <c r="AP54" s="54" t="n">
        <f aca="false">AP52+AP45+AP53</f>
        <v>-0</v>
      </c>
      <c r="AQ54" s="54" t="n">
        <f aca="false">AQ52+AQ45+AQ53</f>
        <v>-0</v>
      </c>
      <c r="AR54" s="54" t="n">
        <f aca="false">AR52+AR45+AR53</f>
        <v>-0</v>
      </c>
      <c r="AS54" s="54" t="n">
        <f aca="false">AS52+AS45+AS53</f>
        <v>-0</v>
      </c>
      <c r="AT54" s="54" t="n">
        <f aca="false">AT52+AT45+AT53</f>
        <v>-0</v>
      </c>
      <c r="AU54" s="54" t="n">
        <f aca="false">AU52+AU45+AU53</f>
        <v>-0</v>
      </c>
      <c r="AV54" s="54" t="n">
        <f aca="false">AV52+AV45+AV53</f>
        <v>-0</v>
      </c>
      <c r="AW54" s="54" t="n">
        <f aca="false">AW52+AW45+AW53</f>
        <v>-0</v>
      </c>
      <c r="AX54" s="54" t="n">
        <f aca="false">AX52+AX45+AX53</f>
        <v>-0</v>
      </c>
      <c r="AY54" s="54" t="n">
        <f aca="false">AY52+AY45+AY53</f>
        <v>-0</v>
      </c>
      <c r="AZ54" s="54" t="n">
        <f aca="false">AZ52+AZ45+AZ53</f>
        <v>-0</v>
      </c>
      <c r="BA54" s="54" t="n">
        <f aca="false">BA52+BA45+BA53</f>
        <v>-0</v>
      </c>
      <c r="BB54" s="54" t="n">
        <f aca="false">BB52+BB45+BB53</f>
        <v>-0</v>
      </c>
      <c r="BC54" s="54" t="n">
        <f aca="false">BC52+BC45+BC53</f>
        <v>-0</v>
      </c>
      <c r="BD54" s="54" t="n">
        <f aca="false">BD52+BD45+BD53</f>
        <v>-0</v>
      </c>
      <c r="BE54" s="54" t="n">
        <f aca="false">BE52+BE45+BE53</f>
        <v>-0</v>
      </c>
      <c r="BF54" s="54" t="n">
        <f aca="false">BF52+BF45+BF53</f>
        <v>-0</v>
      </c>
      <c r="BG54" s="54" t="n">
        <f aca="false">BG52+BG45+BG53</f>
        <v>-0</v>
      </c>
      <c r="BH54" s="54" t="n">
        <f aca="false">BH52+BH45+BH53</f>
        <v>-0</v>
      </c>
      <c r="BI54" s="54" t="n">
        <f aca="false">BI52+BI45+BI53</f>
        <v>-0</v>
      </c>
      <c r="BJ54" s="54" t="n">
        <f aca="false">BJ52+BJ45+BJ53</f>
        <v>-0</v>
      </c>
      <c r="BK54" s="54" t="n">
        <f aca="false">BK52+BK45+BK53</f>
        <v>-0</v>
      </c>
      <c r="BL54" s="54" t="n">
        <f aca="false">BL52+BL45+BL53</f>
        <v>-0</v>
      </c>
      <c r="BM54" s="54" t="n">
        <f aca="false">BM52+BM45+BM53</f>
        <v>-0</v>
      </c>
      <c r="BN54" s="54" t="n">
        <f aca="false">BN52+BN45+BN53</f>
        <v>-0</v>
      </c>
      <c r="BO54" s="54" t="n">
        <f aca="false">BO52+BO45+BO53</f>
        <v>-0</v>
      </c>
      <c r="BP54" s="54" t="n">
        <f aca="false">BP52+BP45+BP53</f>
        <v>-0</v>
      </c>
      <c r="BQ54" s="54" t="n">
        <f aca="false">BQ52+BQ45+BQ53</f>
        <v>-0</v>
      </c>
      <c r="BR54" s="54" t="n">
        <f aca="false">BR52+BR45+BR53</f>
        <v>-0</v>
      </c>
      <c r="BS54" s="54" t="n">
        <f aca="false">BS52+BS45+BS53</f>
        <v>-0</v>
      </c>
      <c r="BT54" s="54" t="n">
        <f aca="false">BT52+BT45+BT53</f>
        <v>-0</v>
      </c>
      <c r="BU54" s="54" t="n">
        <f aca="false">BU52+BU45+BU53</f>
        <v>-0</v>
      </c>
      <c r="BV54" s="54" t="n">
        <f aca="false">BV52+BV45+BV53</f>
        <v>-0</v>
      </c>
      <c r="BW54" s="54" t="n">
        <f aca="false">BW52+BW45+BW53</f>
        <v>-0</v>
      </c>
      <c r="BX54" s="54" t="n">
        <f aca="false">BX52+BX45+BX53</f>
        <v>-0</v>
      </c>
      <c r="BY54" s="54" t="n">
        <f aca="false">BY52+BY45+BY53</f>
        <v>-0</v>
      </c>
      <c r="BZ54" s="54" t="n">
        <f aca="false">BZ52+BZ45+BZ53</f>
        <v>-0</v>
      </c>
      <c r="CA54" s="54" t="n">
        <f aca="false">CA52+CA45+CA53</f>
        <v>-0</v>
      </c>
      <c r="CB54" s="54" t="n">
        <f aca="false">CB52+CB45+CB53</f>
        <v>-0</v>
      </c>
      <c r="CC54" s="54" t="n">
        <f aca="false">CC52+CC45+CC53</f>
        <v>-0</v>
      </c>
      <c r="CD54" s="54" t="n">
        <f aca="false">CD52+CD45+CD53</f>
        <v>-0</v>
      </c>
      <c r="CE54" s="54" t="n">
        <f aca="false">CE52+CE45+CE53</f>
        <v>-0</v>
      </c>
      <c r="CF54" s="54" t="n">
        <f aca="false">CF52+CF45+CF53</f>
        <v>-0</v>
      </c>
      <c r="CG54" s="54" t="n">
        <f aca="false">CG52+CG45+CG53</f>
        <v>-0</v>
      </c>
      <c r="CH54" s="54" t="n">
        <f aca="false">CH52+CH45+CH53</f>
        <v>-0</v>
      </c>
      <c r="CI54" s="54" t="n">
        <f aca="false">CI52+CI45+CI53</f>
        <v>-0</v>
      </c>
      <c r="CJ54" s="54" t="n">
        <f aca="false">CJ52+CJ45+CJ53</f>
        <v>-0</v>
      </c>
      <c r="CK54" s="54" t="n">
        <f aca="false">CK52+CK45+CK53</f>
        <v>-0</v>
      </c>
      <c r="CL54" s="54" t="n">
        <f aca="false">CL52+CL45+CL53</f>
        <v>-0</v>
      </c>
      <c r="CM54" s="54" t="n">
        <f aca="false">CM52+CM45+CM53</f>
        <v>-0</v>
      </c>
      <c r="CN54" s="54" t="n">
        <f aca="false">CN52+CN45+CN53</f>
        <v>-0</v>
      </c>
      <c r="CO54" s="54" t="n">
        <f aca="false">CO52+CO45+CO53</f>
        <v>-0</v>
      </c>
      <c r="CP54" s="54" t="n">
        <f aca="false">CP52+CP45+CP53</f>
        <v>-0</v>
      </c>
      <c r="CQ54" s="54" t="n">
        <f aca="false">CQ52+CQ45+CQ53</f>
        <v>-0</v>
      </c>
      <c r="CR54" s="54" t="n">
        <f aca="false">CR52+CR45+CR53</f>
        <v>-0</v>
      </c>
      <c r="CS54" s="54" t="n">
        <f aca="false">CS52+CS45+CS53</f>
        <v>-0</v>
      </c>
      <c r="CT54" s="54" t="n">
        <f aca="false">CT52+CT45+CT53</f>
        <v>-0</v>
      </c>
      <c r="CU54" s="54" t="n">
        <f aca="false">CU52+CU45+CU53</f>
        <v>-0</v>
      </c>
      <c r="CV54" s="54" t="n">
        <f aca="false">CV52+CV45+CV53</f>
        <v>-0</v>
      </c>
      <c r="CW54" s="54" t="n">
        <f aca="false">CW52+CW45+CW53</f>
        <v>-0</v>
      </c>
      <c r="CX54" s="54" t="n">
        <f aca="false">CX52+CX45+CX53</f>
        <v>-0</v>
      </c>
      <c r="CY54" s="54" t="n">
        <f aca="false">CY52+CY45+CY53</f>
        <v>-0</v>
      </c>
      <c r="CZ54" s="54" t="n">
        <f aca="false">CZ52+CZ45+CZ53</f>
        <v>-0</v>
      </c>
      <c r="DA54" s="54" t="n">
        <f aca="false">DA52+DA45+DA53</f>
        <v>-0</v>
      </c>
      <c r="DB54" s="54" t="n">
        <f aca="false">DB52+DB45+DB53</f>
        <v>-0</v>
      </c>
      <c r="DC54" s="54" t="n">
        <f aca="false">DC52+DC45+DC53</f>
        <v>-0</v>
      </c>
      <c r="DD54" s="54" t="n">
        <f aca="false">DD52+DD45+DD53</f>
        <v>-0</v>
      </c>
      <c r="DE54" s="54" t="n">
        <f aca="false">DE52+DE45+DE53</f>
        <v>-0</v>
      </c>
      <c r="DF54" s="54" t="n">
        <f aca="false">DF52+DF45+DF53</f>
        <v>-0</v>
      </c>
      <c r="DG54" s="54" t="n">
        <f aca="false">DG52+DG45+DG53</f>
        <v>-0</v>
      </c>
      <c r="DH54" s="54" t="n">
        <f aca="false">DH52+DH45+DH53</f>
        <v>-0</v>
      </c>
      <c r="DI54" s="54" t="n">
        <f aca="false">DI52+DI45+DI53</f>
        <v>-0</v>
      </c>
      <c r="DJ54" s="54" t="n">
        <f aca="false">DJ52+DJ45+DJ53</f>
        <v>-0</v>
      </c>
      <c r="DK54" s="54" t="n">
        <f aca="false">DK52+DK45+DK53</f>
        <v>-0</v>
      </c>
      <c r="DL54" s="54" t="n">
        <f aca="false">DL52+DL45+DL53</f>
        <v>-0</v>
      </c>
      <c r="DM54" s="54" t="n">
        <f aca="false">DM52+DM45+DM53</f>
        <v>-0</v>
      </c>
      <c r="DN54" s="54" t="n">
        <f aca="false">DN52+DN45+DN53</f>
        <v>-0</v>
      </c>
      <c r="DO54" s="54" t="n">
        <f aca="false">DO52+DO45+DO53</f>
        <v>-0</v>
      </c>
      <c r="DP54" s="54" t="n">
        <f aca="false">DP52+DP45+DP53</f>
        <v>-0</v>
      </c>
      <c r="DQ54" s="54" t="n">
        <f aca="false">DQ52+DQ45+DQ53</f>
        <v>-0</v>
      </c>
      <c r="DR54" s="54" t="n">
        <f aca="false">DR52+DR45+DR53</f>
        <v>-0</v>
      </c>
      <c r="DS54" s="54" t="n">
        <f aca="false">DS52+DS45+DS53</f>
        <v>-0</v>
      </c>
      <c r="DT54" s="54" t="n">
        <f aca="false">DT52+DT45+DT53</f>
        <v>-0</v>
      </c>
      <c r="DU54" s="54" t="n">
        <f aca="false">DU52+DU45+DU53</f>
        <v>-0</v>
      </c>
      <c r="DV54" s="54" t="n">
        <f aca="false">DV52+DV45+DV53</f>
        <v>-0</v>
      </c>
      <c r="DW54" s="54" t="n">
        <f aca="false">DW52+DW45+DW53</f>
        <v>-0</v>
      </c>
      <c r="DX54" s="54" t="n">
        <f aca="false">DX52+DX45+DX53</f>
        <v>-0</v>
      </c>
      <c r="DY54" s="54" t="n">
        <f aca="false">DY52+DY45+DY53</f>
        <v>-0</v>
      </c>
      <c r="DZ54" s="54" t="n">
        <f aca="false">DZ52+DZ45+DZ53</f>
        <v>-0</v>
      </c>
      <c r="EA54" s="54" t="n">
        <f aca="false">EA52+EA45+EA53</f>
        <v>-0</v>
      </c>
      <c r="EB54" s="54" t="n">
        <f aca="false">EB52+EB45+EB53</f>
        <v>-0</v>
      </c>
      <c r="EC54" s="54" t="n">
        <f aca="false">EC52+EC45+EC53</f>
        <v>-0</v>
      </c>
      <c r="ED54" s="54" t="n">
        <f aca="false">ED52+ED45+ED53</f>
        <v>-0</v>
      </c>
      <c r="EE54" s="54" t="n">
        <f aca="false">EE52+EE45+EE53</f>
        <v>-0</v>
      </c>
      <c r="EF54" s="54" t="n">
        <f aca="false">EF52+EF45+EF53</f>
        <v>-0</v>
      </c>
      <c r="EG54" s="54" t="n">
        <f aca="false">EG52+EG45+EG53</f>
        <v>-0</v>
      </c>
      <c r="EH54" s="54" t="n">
        <f aca="false">EH52+EH45+EH53</f>
        <v>-0</v>
      </c>
      <c r="EI54" s="54" t="n">
        <f aca="false">EI52+EI45+EI53</f>
        <v>-0</v>
      </c>
      <c r="EJ54" s="54" t="n">
        <f aca="false">EJ52+EJ45+EJ53</f>
        <v>-0</v>
      </c>
      <c r="EK54" s="54" t="n">
        <f aca="false">EK52+EK45+EK53</f>
        <v>-0</v>
      </c>
      <c r="EL54" s="54" t="n">
        <f aca="false">EL52+EL45+EL53</f>
        <v>-0</v>
      </c>
      <c r="EM54" s="54" t="n">
        <f aca="false">EM52+EM45+EM53</f>
        <v>-0</v>
      </c>
      <c r="EN54" s="54" t="n">
        <f aca="false">EN52+EN45+EN53</f>
        <v>-0</v>
      </c>
      <c r="EO54" s="54" t="n">
        <f aca="false">EO52+EO45+EO53</f>
        <v>-0</v>
      </c>
    </row>
    <row r="56" customFormat="false" ht="15" hidden="false" customHeight="false" outlineLevel="0" collapsed="false">
      <c r="A56" s="9" t="s">
        <v>13</v>
      </c>
      <c r="B56" s="9"/>
      <c r="C56" s="9" t="s">
        <v>254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</row>
    <row r="57" customFormat="false" ht="15" hidden="false" customHeight="false" outlineLevel="0" collapsed="false">
      <c r="C57" s="0" t="s">
        <v>367</v>
      </c>
      <c r="D57" s="11" t="s">
        <v>327</v>
      </c>
      <c r="J57" s="52" t="n">
        <f aca="false">(1+In_Opex_Esc)^(J$7-YEAR(In_COD))</f>
        <v>0.905950644799755</v>
      </c>
      <c r="K57" s="52" t="n">
        <f aca="false">(1+In_Opex_Esc)^(K$7-YEAR(In_COD))</f>
        <v>0.928599410919749</v>
      </c>
      <c r="L57" s="52" t="n">
        <f aca="false">(1+In_Opex_Esc)^(L$7-YEAR(In_COD))</f>
        <v>0.928599410919749</v>
      </c>
      <c r="M57" s="52" t="n">
        <f aca="false">(1+In_Opex_Esc)^(M$7-YEAR(In_COD))</f>
        <v>0.928599410919749</v>
      </c>
      <c r="N57" s="52" t="n">
        <f aca="false">(1+In_Opex_Esc)^(N$7-YEAR(In_COD))</f>
        <v>0.928599410919749</v>
      </c>
      <c r="O57" s="52" t="n">
        <f aca="false">(1+In_Opex_Esc)^(O$7-YEAR(In_COD))</f>
        <v>0.951814396192743</v>
      </c>
      <c r="P57" s="52" t="n">
        <f aca="false">(1+In_Opex_Esc)^(P$7-YEAR(In_COD))</f>
        <v>0.951814396192743</v>
      </c>
      <c r="Q57" s="52" t="n">
        <f aca="false">(1+In_Opex_Esc)^(Q$7-YEAR(In_COD))</f>
        <v>0.951814396192743</v>
      </c>
      <c r="R57" s="52" t="n">
        <f aca="false">(1+In_Opex_Esc)^(R$7-YEAR(In_COD))</f>
        <v>0.951814396192743</v>
      </c>
      <c r="S57" s="52" t="n">
        <f aca="false">(1+In_Opex_Esc)^(S$7-YEAR(In_COD))</f>
        <v>0.975609756097561</v>
      </c>
      <c r="T57" s="52" t="n">
        <f aca="false">(1+In_Opex_Esc)^(T$7-YEAR(In_COD))</f>
        <v>0.975609756097561</v>
      </c>
      <c r="U57" s="52" t="n">
        <f aca="false">(1+In_Opex_Esc)^(U$7-YEAR(In_COD))</f>
        <v>0.975609756097561</v>
      </c>
      <c r="V57" s="52" t="n">
        <f aca="false">(1+In_Opex_Esc)^(V$7-YEAR(In_COD))</f>
        <v>0.975609756097561</v>
      </c>
      <c r="W57" s="52" t="n">
        <f aca="false">(1+In_Opex_Esc)^(W$7-YEAR(In_COD))</f>
        <v>1</v>
      </c>
      <c r="X57" s="52" t="n">
        <f aca="false">(1+In_Opex_Esc)^(X$7-YEAR(In_COD))</f>
        <v>1</v>
      </c>
      <c r="Y57" s="52" t="n">
        <f aca="false">(1+In_Opex_Esc)^(Y$7-YEAR(In_COD))</f>
        <v>1</v>
      </c>
      <c r="Z57" s="52" t="n">
        <f aca="false">(1+In_Opex_Esc)^(Z$7-YEAR(In_COD))</f>
        <v>1</v>
      </c>
      <c r="AA57" s="52" t="n">
        <f aca="false">(1+In_Opex_Esc)^(AA$7-YEAR(In_COD))</f>
        <v>1.025</v>
      </c>
      <c r="AB57" s="52" t="n">
        <f aca="false">(1+In_Opex_Esc)^(AB$7-YEAR(In_COD))</f>
        <v>1.025</v>
      </c>
      <c r="AC57" s="52" t="n">
        <f aca="false">(1+In_Opex_Esc)^(AC$7-YEAR(In_COD))</f>
        <v>1.025</v>
      </c>
      <c r="AD57" s="52" t="n">
        <f aca="false">(1+In_Opex_Esc)^(AD$7-YEAR(In_COD))</f>
        <v>1.025</v>
      </c>
      <c r="AE57" s="52" t="n">
        <f aca="false">(1+In_Opex_Esc)^(AE$7-YEAR(In_COD))</f>
        <v>1.050625</v>
      </c>
      <c r="AF57" s="52" t="n">
        <f aca="false">(1+In_Opex_Esc)^(AF$7-YEAR(In_COD))</f>
        <v>1.050625</v>
      </c>
      <c r="AG57" s="52" t="n">
        <f aca="false">(1+In_Opex_Esc)^(AG$7-YEAR(In_COD))</f>
        <v>1.050625</v>
      </c>
      <c r="AH57" s="52" t="n">
        <f aca="false">(1+In_Opex_Esc)^(AH$7-YEAR(In_COD))</f>
        <v>1.050625</v>
      </c>
      <c r="AI57" s="52" t="n">
        <f aca="false">(1+In_Opex_Esc)^(AI$7-YEAR(In_COD))</f>
        <v>1.076890625</v>
      </c>
      <c r="AJ57" s="52" t="n">
        <f aca="false">(1+In_Opex_Esc)^(AJ$7-YEAR(In_COD))</f>
        <v>1.076890625</v>
      </c>
      <c r="AK57" s="52" t="n">
        <f aca="false">(1+In_Opex_Esc)^(AK$7-YEAR(In_COD))</f>
        <v>1.076890625</v>
      </c>
      <c r="AL57" s="52" t="n">
        <f aca="false">(1+In_Opex_Esc)^(AL$7-YEAR(In_COD))</f>
        <v>1.076890625</v>
      </c>
      <c r="AM57" s="52" t="n">
        <f aca="false">(1+In_Opex_Esc)^(AM$7-YEAR(In_COD))</f>
        <v>1.103812890625</v>
      </c>
      <c r="AN57" s="52" t="n">
        <f aca="false">(1+In_Opex_Esc)^(AN$7-YEAR(In_COD))</f>
        <v>1.103812890625</v>
      </c>
      <c r="AO57" s="52" t="n">
        <f aca="false">(1+In_Opex_Esc)^(AO$7-YEAR(In_COD))</f>
        <v>1.103812890625</v>
      </c>
      <c r="AP57" s="52" t="n">
        <f aca="false">(1+In_Opex_Esc)^(AP$7-YEAR(In_COD))</f>
        <v>1.103812890625</v>
      </c>
      <c r="AQ57" s="52" t="n">
        <f aca="false">(1+In_Opex_Esc)^(AQ$7-YEAR(In_COD))</f>
        <v>1.13140821289062</v>
      </c>
      <c r="AR57" s="52" t="n">
        <f aca="false">(1+In_Opex_Esc)^(AR$7-YEAR(In_COD))</f>
        <v>1.13140821289062</v>
      </c>
      <c r="AS57" s="52" t="n">
        <f aca="false">(1+In_Opex_Esc)^(AS$7-YEAR(In_COD))</f>
        <v>1.13140821289062</v>
      </c>
      <c r="AT57" s="52" t="n">
        <f aca="false">(1+In_Opex_Esc)^(AT$7-YEAR(In_COD))</f>
        <v>1.13140821289062</v>
      </c>
      <c r="AU57" s="52" t="n">
        <f aca="false">(1+In_Opex_Esc)^(AU$7-YEAR(In_COD))</f>
        <v>1.15969341821289</v>
      </c>
      <c r="AV57" s="52" t="n">
        <f aca="false">(1+In_Opex_Esc)^(AV$7-YEAR(In_COD))</f>
        <v>1.15969341821289</v>
      </c>
      <c r="AW57" s="52" t="n">
        <f aca="false">(1+In_Opex_Esc)^(AW$7-YEAR(In_COD))</f>
        <v>1.15969341821289</v>
      </c>
      <c r="AX57" s="52" t="n">
        <f aca="false">(1+In_Opex_Esc)^(AX$7-YEAR(In_COD))</f>
        <v>1.15969341821289</v>
      </c>
      <c r="AY57" s="52" t="n">
        <f aca="false">(1+In_Opex_Esc)^(AY$7-YEAR(In_COD))</f>
        <v>1.18868575366821</v>
      </c>
      <c r="AZ57" s="52" t="n">
        <f aca="false">(1+In_Opex_Esc)^(AZ$7-YEAR(In_COD))</f>
        <v>1.18868575366821</v>
      </c>
      <c r="BA57" s="52" t="n">
        <f aca="false">(1+In_Opex_Esc)^(BA$7-YEAR(In_COD))</f>
        <v>1.18868575366821</v>
      </c>
      <c r="BB57" s="52" t="n">
        <f aca="false">(1+In_Opex_Esc)^(BB$7-YEAR(In_COD))</f>
        <v>1.18868575366821</v>
      </c>
      <c r="BC57" s="52" t="n">
        <f aca="false">(1+In_Opex_Esc)^(BC$7-YEAR(In_COD))</f>
        <v>1.21840289750992</v>
      </c>
      <c r="BD57" s="52" t="n">
        <f aca="false">(1+In_Opex_Esc)^(BD$7-YEAR(In_COD))</f>
        <v>1.21840289750992</v>
      </c>
      <c r="BE57" s="52" t="n">
        <f aca="false">(1+In_Opex_Esc)^(BE$7-YEAR(In_COD))</f>
        <v>1.21840289750992</v>
      </c>
      <c r="BF57" s="52" t="n">
        <f aca="false">(1+In_Opex_Esc)^(BF$7-YEAR(In_COD))</f>
        <v>1.21840289750992</v>
      </c>
      <c r="BG57" s="52" t="n">
        <f aca="false">(1+In_Opex_Esc)^(BG$7-YEAR(In_COD))</f>
        <v>1.24886296994767</v>
      </c>
      <c r="BH57" s="52" t="n">
        <f aca="false">(1+In_Opex_Esc)^(BH$7-YEAR(In_COD))</f>
        <v>1.24886296994767</v>
      </c>
      <c r="BI57" s="52" t="n">
        <f aca="false">(1+In_Opex_Esc)^(BI$7-YEAR(In_COD))</f>
        <v>1.24886296994767</v>
      </c>
      <c r="BJ57" s="52" t="n">
        <f aca="false">(1+In_Opex_Esc)^(BJ$7-YEAR(In_COD))</f>
        <v>1.24886296994767</v>
      </c>
      <c r="BK57" s="52" t="n">
        <f aca="false">(1+In_Opex_Esc)^(BK$7-YEAR(In_COD))</f>
        <v>1.28008454419636</v>
      </c>
      <c r="BL57" s="52" t="n">
        <f aca="false">(1+In_Opex_Esc)^(BL$7-YEAR(In_COD))</f>
        <v>1.28008454419636</v>
      </c>
      <c r="BM57" s="52" t="n">
        <f aca="false">(1+In_Opex_Esc)^(BM$7-YEAR(In_COD))</f>
        <v>1.28008454419636</v>
      </c>
      <c r="BN57" s="52" t="n">
        <f aca="false">(1+In_Opex_Esc)^(BN$7-YEAR(In_COD))</f>
        <v>1.28008454419636</v>
      </c>
      <c r="BO57" s="52" t="n">
        <f aca="false">(1+In_Opex_Esc)^(BO$7-YEAR(In_COD))</f>
        <v>1.31208665780127</v>
      </c>
      <c r="BP57" s="52" t="n">
        <f aca="false">(1+In_Opex_Esc)^(BP$7-YEAR(In_COD))</f>
        <v>1.31208665780127</v>
      </c>
      <c r="BQ57" s="52" t="n">
        <f aca="false">(1+In_Opex_Esc)^(BQ$7-YEAR(In_COD))</f>
        <v>1.31208665780127</v>
      </c>
      <c r="BR57" s="52" t="n">
        <f aca="false">(1+In_Opex_Esc)^(BR$7-YEAR(In_COD))</f>
        <v>1.31208665780127</v>
      </c>
      <c r="BS57" s="52" t="n">
        <f aca="false">(1+In_Opex_Esc)^(BS$7-YEAR(In_COD))</f>
        <v>1.3448888242463</v>
      </c>
      <c r="BT57" s="52" t="n">
        <f aca="false">(1+In_Opex_Esc)^(BT$7-YEAR(In_COD))</f>
        <v>1.3448888242463</v>
      </c>
      <c r="BU57" s="52" t="n">
        <f aca="false">(1+In_Opex_Esc)^(BU$7-YEAR(In_COD))</f>
        <v>1.3448888242463</v>
      </c>
      <c r="BV57" s="52" t="n">
        <f aca="false">(1+In_Opex_Esc)^(BV$7-YEAR(In_COD))</f>
        <v>1.3448888242463</v>
      </c>
      <c r="BW57" s="52" t="n">
        <f aca="false">(1+In_Opex_Esc)^(BW$7-YEAR(In_COD))</f>
        <v>1.37851104485245</v>
      </c>
      <c r="BX57" s="52" t="n">
        <f aca="false">(1+In_Opex_Esc)^(BX$7-YEAR(In_COD))</f>
        <v>1.37851104485245</v>
      </c>
      <c r="BY57" s="52" t="n">
        <f aca="false">(1+In_Opex_Esc)^(BY$7-YEAR(In_COD))</f>
        <v>1.37851104485245</v>
      </c>
      <c r="BZ57" s="52" t="n">
        <f aca="false">(1+In_Opex_Esc)^(BZ$7-YEAR(In_COD))</f>
        <v>1.37851104485245</v>
      </c>
      <c r="CA57" s="52" t="n">
        <f aca="false">(1+In_Opex_Esc)^(CA$7-YEAR(In_COD))</f>
        <v>1.41297382097377</v>
      </c>
      <c r="CB57" s="52" t="n">
        <f aca="false">(1+In_Opex_Esc)^(CB$7-YEAR(In_COD))</f>
        <v>1.41297382097377</v>
      </c>
      <c r="CC57" s="52" t="n">
        <f aca="false">(1+In_Opex_Esc)^(CC$7-YEAR(In_COD))</f>
        <v>1.41297382097377</v>
      </c>
      <c r="CD57" s="52" t="n">
        <f aca="false">(1+In_Opex_Esc)^(CD$7-YEAR(In_COD))</f>
        <v>1.41297382097377</v>
      </c>
      <c r="CE57" s="52" t="n">
        <f aca="false">(1+In_Opex_Esc)^(CE$7-YEAR(In_COD))</f>
        <v>1.44829816649811</v>
      </c>
      <c r="CF57" s="52" t="n">
        <f aca="false">(1+In_Opex_Esc)^(CF$7-YEAR(In_COD))</f>
        <v>1.44829816649811</v>
      </c>
      <c r="CG57" s="52" t="n">
        <f aca="false">(1+In_Opex_Esc)^(CG$7-YEAR(In_COD))</f>
        <v>1.44829816649811</v>
      </c>
      <c r="CH57" s="52" t="n">
        <f aca="false">(1+In_Opex_Esc)^(CH$7-YEAR(In_COD))</f>
        <v>1.44829816649811</v>
      </c>
      <c r="CI57" s="52" t="n">
        <f aca="false">(1+In_Opex_Esc)^(CI$7-YEAR(In_COD))</f>
        <v>1.48450562066056</v>
      </c>
      <c r="CJ57" s="52" t="n">
        <f aca="false">(1+In_Opex_Esc)^(CJ$7-YEAR(In_COD))</f>
        <v>1.48450562066056</v>
      </c>
      <c r="CK57" s="52" t="n">
        <f aca="false">(1+In_Opex_Esc)^(CK$7-YEAR(In_COD))</f>
        <v>1.48450562066056</v>
      </c>
      <c r="CL57" s="52" t="n">
        <f aca="false">(1+In_Opex_Esc)^(CL$7-YEAR(In_COD))</f>
        <v>1.48450562066056</v>
      </c>
      <c r="CM57" s="52" t="n">
        <f aca="false">(1+In_Opex_Esc)^(CM$7-YEAR(In_COD))</f>
        <v>1.52161826117708</v>
      </c>
      <c r="CN57" s="52" t="n">
        <f aca="false">(1+In_Opex_Esc)^(CN$7-YEAR(In_COD))</f>
        <v>1.52161826117708</v>
      </c>
      <c r="CO57" s="52" t="n">
        <f aca="false">(1+In_Opex_Esc)^(CO$7-YEAR(In_COD))</f>
        <v>1.52161826117708</v>
      </c>
      <c r="CP57" s="52" t="n">
        <f aca="false">(1+In_Opex_Esc)^(CP$7-YEAR(In_COD))</f>
        <v>1.52161826117708</v>
      </c>
      <c r="CQ57" s="52" t="n">
        <f aca="false">(1+In_Opex_Esc)^(CQ$7-YEAR(In_COD))</f>
        <v>1.5596587177065</v>
      </c>
      <c r="CR57" s="52" t="n">
        <f aca="false">(1+In_Opex_Esc)^(CR$7-YEAR(In_COD))</f>
        <v>1.5596587177065</v>
      </c>
      <c r="CS57" s="52" t="n">
        <f aca="false">(1+In_Opex_Esc)^(CS$7-YEAR(In_COD))</f>
        <v>1.5596587177065</v>
      </c>
      <c r="CT57" s="52" t="n">
        <f aca="false">(1+In_Opex_Esc)^(CT$7-YEAR(In_COD))</f>
        <v>1.5596587177065</v>
      </c>
      <c r="CU57" s="52" t="n">
        <f aca="false">(1+In_Opex_Esc)^(CU$7-YEAR(In_COD))</f>
        <v>1.59865018564917</v>
      </c>
      <c r="CV57" s="52" t="n">
        <f aca="false">(1+In_Opex_Esc)^(CV$7-YEAR(In_COD))</f>
        <v>1.59865018564917</v>
      </c>
      <c r="CW57" s="52" t="n">
        <f aca="false">(1+In_Opex_Esc)^(CW$7-YEAR(In_COD))</f>
        <v>1.59865018564917</v>
      </c>
      <c r="CX57" s="52" t="n">
        <f aca="false">(1+In_Opex_Esc)^(CX$7-YEAR(In_COD))</f>
        <v>1.59865018564917</v>
      </c>
      <c r="CY57" s="52" t="n">
        <f aca="false">(1+In_Opex_Esc)^(CY$7-YEAR(In_COD))</f>
        <v>1.63861644029039</v>
      </c>
      <c r="CZ57" s="52" t="n">
        <f aca="false">(1+In_Opex_Esc)^(CZ$7-YEAR(In_COD))</f>
        <v>1.63861644029039</v>
      </c>
      <c r="DA57" s="52" t="n">
        <f aca="false">(1+In_Opex_Esc)^(DA$7-YEAR(In_COD))</f>
        <v>1.63861644029039</v>
      </c>
      <c r="DB57" s="52" t="n">
        <f aca="false">(1+In_Opex_Esc)^(DB$7-YEAR(In_COD))</f>
        <v>1.63861644029039</v>
      </c>
      <c r="DC57" s="52" t="n">
        <f aca="false">(1+In_Opex_Esc)^(DC$7-YEAR(In_COD))</f>
        <v>1.67958185129765</v>
      </c>
      <c r="DD57" s="52" t="n">
        <f aca="false">(1+In_Opex_Esc)^(DD$7-YEAR(In_COD))</f>
        <v>1.67958185129765</v>
      </c>
      <c r="DE57" s="52" t="n">
        <f aca="false">(1+In_Opex_Esc)^(DE$7-YEAR(In_COD))</f>
        <v>1.67958185129765</v>
      </c>
      <c r="DF57" s="52" t="n">
        <f aca="false">(1+In_Opex_Esc)^(DF$7-YEAR(In_COD))</f>
        <v>1.67958185129765</v>
      </c>
      <c r="DG57" s="52" t="n">
        <f aca="false">(1+In_Opex_Esc)^(DG$7-YEAR(In_COD))</f>
        <v>1.7215713975801</v>
      </c>
      <c r="DH57" s="52" t="n">
        <f aca="false">(1+In_Opex_Esc)^(DH$7-YEAR(In_COD))</f>
        <v>1.7215713975801</v>
      </c>
      <c r="DI57" s="52" t="n">
        <f aca="false">(1+In_Opex_Esc)^(DI$7-YEAR(In_COD))</f>
        <v>1.7215713975801</v>
      </c>
      <c r="DJ57" s="52" t="n">
        <f aca="false">(1+In_Opex_Esc)^(DJ$7-YEAR(In_COD))</f>
        <v>1.7215713975801</v>
      </c>
      <c r="DK57" s="52" t="n">
        <f aca="false">(1+In_Opex_Esc)^(DK$7-YEAR(In_COD))</f>
        <v>1.7646106825196</v>
      </c>
      <c r="DL57" s="52" t="n">
        <f aca="false">(1+In_Opex_Esc)^(DL$7-YEAR(In_COD))</f>
        <v>1.7646106825196</v>
      </c>
      <c r="DM57" s="52" t="n">
        <f aca="false">(1+In_Opex_Esc)^(DM$7-YEAR(In_COD))</f>
        <v>1.7646106825196</v>
      </c>
      <c r="DN57" s="52" t="n">
        <f aca="false">(1+In_Opex_Esc)^(DN$7-YEAR(In_COD))</f>
        <v>1.7646106825196</v>
      </c>
      <c r="DO57" s="52" t="n">
        <f aca="false">(1+In_Opex_Esc)^(DO$7-YEAR(In_COD))</f>
        <v>1.80872594958259</v>
      </c>
      <c r="DP57" s="52" t="n">
        <f aca="false">(1+In_Opex_Esc)^(DP$7-YEAR(In_COD))</f>
        <v>1.80872594958259</v>
      </c>
      <c r="DQ57" s="52" t="n">
        <f aca="false">(1+In_Opex_Esc)^(DQ$7-YEAR(In_COD))</f>
        <v>1.80872594958259</v>
      </c>
      <c r="DR57" s="52" t="n">
        <f aca="false">(1+In_Opex_Esc)^(DR$7-YEAR(In_COD))</f>
        <v>1.80872594958259</v>
      </c>
      <c r="DS57" s="52" t="n">
        <f aca="false">(1+In_Opex_Esc)^(DS$7-YEAR(In_COD))</f>
        <v>1.85394409832215</v>
      </c>
      <c r="DT57" s="52" t="n">
        <f aca="false">(1+In_Opex_Esc)^(DT$7-YEAR(In_COD))</f>
        <v>1.85394409832215</v>
      </c>
      <c r="DU57" s="52" t="n">
        <f aca="false">(1+In_Opex_Esc)^(DU$7-YEAR(In_COD))</f>
        <v>1.85394409832215</v>
      </c>
      <c r="DV57" s="52" t="n">
        <f aca="false">(1+In_Opex_Esc)^(DV$7-YEAR(In_COD))</f>
        <v>1.85394409832215</v>
      </c>
      <c r="DW57" s="52" t="n">
        <f aca="false">(1+In_Opex_Esc)^(DW$7-YEAR(In_COD))</f>
        <v>1.90029270078021</v>
      </c>
      <c r="DX57" s="52" t="n">
        <f aca="false">(1+In_Opex_Esc)^(DX$7-YEAR(In_COD))</f>
        <v>1.90029270078021</v>
      </c>
      <c r="DY57" s="52" t="n">
        <f aca="false">(1+In_Opex_Esc)^(DY$7-YEAR(In_COD))</f>
        <v>1.90029270078021</v>
      </c>
      <c r="DZ57" s="52" t="n">
        <f aca="false">(1+In_Opex_Esc)^(DZ$7-YEAR(In_COD))</f>
        <v>1.90029270078021</v>
      </c>
      <c r="EA57" s="52" t="n">
        <f aca="false">(1+In_Opex_Esc)^(EA$7-YEAR(In_COD))</f>
        <v>1.94780001829971</v>
      </c>
      <c r="EB57" s="52" t="n">
        <f aca="false">(1+In_Opex_Esc)^(EB$7-YEAR(In_COD))</f>
        <v>1.94780001829971</v>
      </c>
      <c r="EC57" s="52" t="n">
        <f aca="false">(1+In_Opex_Esc)^(EC$7-YEAR(In_COD))</f>
        <v>1.94780001829971</v>
      </c>
      <c r="ED57" s="52" t="n">
        <f aca="false">(1+In_Opex_Esc)^(ED$7-YEAR(In_COD))</f>
        <v>1.94780001829971</v>
      </c>
      <c r="EE57" s="52" t="n">
        <f aca="false">(1+In_Opex_Esc)^(EE$7-YEAR(In_COD))</f>
        <v>1.9964950187572</v>
      </c>
      <c r="EF57" s="52" t="n">
        <f aca="false">(1+In_Opex_Esc)^(EF$7-YEAR(In_COD))</f>
        <v>1.9964950187572</v>
      </c>
      <c r="EG57" s="52" t="n">
        <f aca="false">(1+In_Opex_Esc)^(EG$7-YEAR(In_COD))</f>
        <v>1.9964950187572</v>
      </c>
      <c r="EH57" s="52" t="n">
        <f aca="false">(1+In_Opex_Esc)^(EH$7-YEAR(In_COD))</f>
        <v>1.9964950187572</v>
      </c>
      <c r="EI57" s="52" t="n">
        <f aca="false">(1+In_Opex_Esc)^(EI$7-YEAR(In_COD))</f>
        <v>2.04640739422613</v>
      </c>
      <c r="EJ57" s="52" t="n">
        <f aca="false">(1+In_Opex_Esc)^(EJ$7-YEAR(In_COD))</f>
        <v>2.04640739422613</v>
      </c>
      <c r="EK57" s="52" t="n">
        <f aca="false">(1+In_Opex_Esc)^(EK$7-YEAR(In_COD))</f>
        <v>2.04640739422613</v>
      </c>
      <c r="EL57" s="52" t="n">
        <f aca="false">(1+In_Opex_Esc)^(EL$7-YEAR(In_COD))</f>
        <v>2.04640739422613</v>
      </c>
      <c r="EM57" s="52" t="n">
        <f aca="false">(1+In_Opex_Esc)^(EM$7-YEAR(In_COD))</f>
        <v>2.09756757908179</v>
      </c>
      <c r="EN57" s="52" t="n">
        <f aca="false">(1+In_Opex_Esc)^(EN$7-YEAR(In_COD))</f>
        <v>2.09756757908179</v>
      </c>
      <c r="EO57" s="52" t="n">
        <f aca="false">(1+In_Opex_Esc)^(EO$7-YEAR(In_COD))</f>
        <v>2.09756757908179</v>
      </c>
    </row>
    <row r="58" customFormat="false" ht="15" hidden="false" customHeight="false" outlineLevel="0" collapsed="false">
      <c r="C58" s="0" t="s">
        <v>368</v>
      </c>
      <c r="D58" s="11" t="s">
        <v>24</v>
      </c>
      <c r="J58" s="25" t="n">
        <f aca="false">In_PPA_Price*(1+In_PPA_Esc)^(J$7-YEAR(In_COD))</f>
        <v>86.4882310034535</v>
      </c>
      <c r="K58" s="25" t="n">
        <f aca="false">In_PPA_Price*(1+In_PPA_Esc)^(K$7-YEAR(In_COD))</f>
        <v>87.353113313488</v>
      </c>
      <c r="L58" s="25" t="n">
        <f aca="false">In_PPA_Price*(1+In_PPA_Esc)^(L$7-YEAR(In_COD))</f>
        <v>87.353113313488</v>
      </c>
      <c r="M58" s="25" t="n">
        <f aca="false">In_PPA_Price*(1+In_PPA_Esc)^(M$7-YEAR(In_COD))</f>
        <v>87.353113313488</v>
      </c>
      <c r="N58" s="25" t="n">
        <f aca="false">In_PPA_Price*(1+In_PPA_Esc)^(N$7-YEAR(In_COD))</f>
        <v>87.353113313488</v>
      </c>
      <c r="O58" s="25" t="n">
        <f aca="false">In_PPA_Price*(1+In_PPA_Esc)^(O$7-YEAR(In_COD))</f>
        <v>88.2266444466229</v>
      </c>
      <c r="P58" s="25" t="n">
        <f aca="false">In_PPA_Price*(1+In_PPA_Esc)^(P$7-YEAR(In_COD))</f>
        <v>88.2266444466229</v>
      </c>
      <c r="Q58" s="25" t="n">
        <f aca="false">In_PPA_Price*(1+In_PPA_Esc)^(Q$7-YEAR(In_COD))</f>
        <v>88.2266444466229</v>
      </c>
      <c r="R58" s="25" t="n">
        <f aca="false">In_PPA_Price*(1+In_PPA_Esc)^(R$7-YEAR(In_COD))</f>
        <v>88.2266444466229</v>
      </c>
      <c r="S58" s="25" t="n">
        <f aca="false">In_PPA_Price*(1+In_PPA_Esc)^(S$7-YEAR(In_COD))</f>
        <v>89.1089108910891</v>
      </c>
      <c r="T58" s="25" t="n">
        <f aca="false">In_PPA_Price*(1+In_PPA_Esc)^(T$7-YEAR(In_COD))</f>
        <v>89.1089108910891</v>
      </c>
      <c r="U58" s="25" t="n">
        <f aca="false">In_PPA_Price*(1+In_PPA_Esc)^(U$7-YEAR(In_COD))</f>
        <v>89.1089108910891</v>
      </c>
      <c r="V58" s="25" t="n">
        <f aca="false">In_PPA_Price*(1+In_PPA_Esc)^(V$7-YEAR(In_COD))</f>
        <v>89.1089108910891</v>
      </c>
      <c r="W58" s="25" t="n">
        <f aca="false">In_PPA_Price*(1+In_PPA_Esc)^(W$7-YEAR(In_COD))</f>
        <v>90</v>
      </c>
      <c r="X58" s="25" t="n">
        <f aca="false">In_PPA_Price*(1+In_PPA_Esc)^(X$7-YEAR(In_COD))</f>
        <v>90</v>
      </c>
      <c r="Y58" s="25" t="n">
        <f aca="false">In_PPA_Price*(1+In_PPA_Esc)^(Y$7-YEAR(In_COD))</f>
        <v>90</v>
      </c>
      <c r="Z58" s="25" t="n">
        <f aca="false">In_PPA_Price*(1+In_PPA_Esc)^(Z$7-YEAR(In_COD))</f>
        <v>90</v>
      </c>
      <c r="AA58" s="25" t="n">
        <f aca="false">In_PPA_Price*(1+In_PPA_Esc)^(AA$7-YEAR(In_COD))</f>
        <v>90.9</v>
      </c>
      <c r="AB58" s="25" t="n">
        <f aca="false">In_PPA_Price*(1+In_PPA_Esc)^(AB$7-YEAR(In_COD))</f>
        <v>90.9</v>
      </c>
      <c r="AC58" s="25" t="n">
        <f aca="false">In_PPA_Price*(1+In_PPA_Esc)^(AC$7-YEAR(In_COD))</f>
        <v>90.9</v>
      </c>
      <c r="AD58" s="25" t="n">
        <f aca="false">In_PPA_Price*(1+In_PPA_Esc)^(AD$7-YEAR(In_COD))</f>
        <v>90.9</v>
      </c>
      <c r="AE58" s="25" t="n">
        <f aca="false">In_PPA_Price*(1+In_PPA_Esc)^(AE$7-YEAR(In_COD))</f>
        <v>91.809</v>
      </c>
      <c r="AF58" s="25" t="n">
        <f aca="false">In_PPA_Price*(1+In_PPA_Esc)^(AF$7-YEAR(In_COD))</f>
        <v>91.809</v>
      </c>
      <c r="AG58" s="25" t="n">
        <f aca="false">In_PPA_Price*(1+In_PPA_Esc)^(AG$7-YEAR(In_COD))</f>
        <v>91.809</v>
      </c>
      <c r="AH58" s="25" t="n">
        <f aca="false">In_PPA_Price*(1+In_PPA_Esc)^(AH$7-YEAR(In_COD))</f>
        <v>91.809</v>
      </c>
      <c r="AI58" s="25" t="n">
        <f aca="false">In_PPA_Price*(1+In_PPA_Esc)^(AI$7-YEAR(In_COD))</f>
        <v>92.72709</v>
      </c>
      <c r="AJ58" s="25" t="n">
        <f aca="false">In_PPA_Price*(1+In_PPA_Esc)^(AJ$7-YEAR(In_COD))</f>
        <v>92.72709</v>
      </c>
      <c r="AK58" s="25" t="n">
        <f aca="false">In_PPA_Price*(1+In_PPA_Esc)^(AK$7-YEAR(In_COD))</f>
        <v>92.72709</v>
      </c>
      <c r="AL58" s="25" t="n">
        <f aca="false">In_PPA_Price*(1+In_PPA_Esc)^(AL$7-YEAR(In_COD))</f>
        <v>92.72709</v>
      </c>
      <c r="AM58" s="25" t="n">
        <f aca="false">In_PPA_Price*(1+In_PPA_Esc)^(AM$7-YEAR(In_COD))</f>
        <v>93.6543609</v>
      </c>
      <c r="AN58" s="25" t="n">
        <f aca="false">In_PPA_Price*(1+In_PPA_Esc)^(AN$7-YEAR(In_COD))</f>
        <v>93.6543609</v>
      </c>
      <c r="AO58" s="25" t="n">
        <f aca="false">In_PPA_Price*(1+In_PPA_Esc)^(AO$7-YEAR(In_COD))</f>
        <v>93.6543609</v>
      </c>
      <c r="AP58" s="25" t="n">
        <f aca="false">In_PPA_Price*(1+In_PPA_Esc)^(AP$7-YEAR(In_COD))</f>
        <v>93.6543609</v>
      </c>
      <c r="AQ58" s="25" t="n">
        <f aca="false">In_PPA_Price*(1+In_PPA_Esc)^(AQ$7-YEAR(In_COD))</f>
        <v>94.590904509</v>
      </c>
      <c r="AR58" s="25" t="n">
        <f aca="false">In_PPA_Price*(1+In_PPA_Esc)^(AR$7-YEAR(In_COD))</f>
        <v>94.590904509</v>
      </c>
      <c r="AS58" s="25" t="n">
        <f aca="false">In_PPA_Price*(1+In_PPA_Esc)^(AS$7-YEAR(In_COD))</f>
        <v>94.590904509</v>
      </c>
      <c r="AT58" s="25" t="n">
        <f aca="false">In_PPA_Price*(1+In_PPA_Esc)^(AT$7-YEAR(In_COD))</f>
        <v>94.590904509</v>
      </c>
      <c r="AU58" s="25" t="n">
        <f aca="false">In_PPA_Price*(1+In_PPA_Esc)^(AU$7-YEAR(In_COD))</f>
        <v>95.53681355409</v>
      </c>
      <c r="AV58" s="25" t="n">
        <f aca="false">In_PPA_Price*(1+In_PPA_Esc)^(AV$7-YEAR(In_COD))</f>
        <v>95.53681355409</v>
      </c>
      <c r="AW58" s="25" t="n">
        <f aca="false">In_PPA_Price*(1+In_PPA_Esc)^(AW$7-YEAR(In_COD))</f>
        <v>95.53681355409</v>
      </c>
      <c r="AX58" s="25" t="n">
        <f aca="false">In_PPA_Price*(1+In_PPA_Esc)^(AX$7-YEAR(In_COD))</f>
        <v>95.53681355409</v>
      </c>
      <c r="AY58" s="25" t="n">
        <f aca="false">In_PPA_Price*(1+In_PPA_Esc)^(AY$7-YEAR(In_COD))</f>
        <v>96.4921816896309</v>
      </c>
      <c r="AZ58" s="25" t="n">
        <f aca="false">In_PPA_Price*(1+In_PPA_Esc)^(AZ$7-YEAR(In_COD))</f>
        <v>96.4921816896309</v>
      </c>
      <c r="BA58" s="25" t="n">
        <f aca="false">In_PPA_Price*(1+In_PPA_Esc)^(BA$7-YEAR(In_COD))</f>
        <v>96.4921816896309</v>
      </c>
      <c r="BB58" s="25" t="n">
        <f aca="false">In_PPA_Price*(1+In_PPA_Esc)^(BB$7-YEAR(In_COD))</f>
        <v>96.4921816896309</v>
      </c>
      <c r="BC58" s="25" t="n">
        <f aca="false">In_PPA_Price*(1+In_PPA_Esc)^(BC$7-YEAR(In_COD))</f>
        <v>97.4571035065272</v>
      </c>
      <c r="BD58" s="25" t="n">
        <f aca="false">In_PPA_Price*(1+In_PPA_Esc)^(BD$7-YEAR(In_COD))</f>
        <v>97.4571035065272</v>
      </c>
      <c r="BE58" s="25" t="n">
        <f aca="false">In_PPA_Price*(1+In_PPA_Esc)^(BE$7-YEAR(In_COD))</f>
        <v>97.4571035065272</v>
      </c>
      <c r="BF58" s="25" t="n">
        <f aca="false">In_PPA_Price*(1+In_PPA_Esc)^(BF$7-YEAR(In_COD))</f>
        <v>97.4571035065272</v>
      </c>
      <c r="BG58" s="25" t="n">
        <f aca="false">In_PPA_Price*(1+In_PPA_Esc)^(BG$7-YEAR(In_COD))</f>
        <v>98.4316745415925</v>
      </c>
      <c r="BH58" s="25" t="n">
        <f aca="false">In_PPA_Price*(1+In_PPA_Esc)^(BH$7-YEAR(In_COD))</f>
        <v>98.4316745415925</v>
      </c>
      <c r="BI58" s="25" t="n">
        <f aca="false">In_PPA_Price*(1+In_PPA_Esc)^(BI$7-YEAR(In_COD))</f>
        <v>98.4316745415925</v>
      </c>
      <c r="BJ58" s="25" t="n">
        <f aca="false">In_PPA_Price*(1+In_PPA_Esc)^(BJ$7-YEAR(In_COD))</f>
        <v>98.4316745415925</v>
      </c>
      <c r="BK58" s="25" t="n">
        <f aca="false">In_PPA_Price*(1+In_PPA_Esc)^(BK$7-YEAR(In_COD))</f>
        <v>99.4159912870084</v>
      </c>
      <c r="BL58" s="25" t="n">
        <f aca="false">In_PPA_Price*(1+In_PPA_Esc)^(BL$7-YEAR(In_COD))</f>
        <v>99.4159912870084</v>
      </c>
      <c r="BM58" s="25" t="n">
        <f aca="false">In_PPA_Price*(1+In_PPA_Esc)^(BM$7-YEAR(In_COD))</f>
        <v>99.4159912870084</v>
      </c>
      <c r="BN58" s="25" t="n">
        <f aca="false">In_PPA_Price*(1+In_PPA_Esc)^(BN$7-YEAR(In_COD))</f>
        <v>99.4159912870084</v>
      </c>
      <c r="BO58" s="25" t="n">
        <f aca="false">In_PPA_Price*(1+In_PPA_Esc)^(BO$7-YEAR(In_COD))</f>
        <v>100.410151199878</v>
      </c>
      <c r="BP58" s="25" t="n">
        <f aca="false">In_PPA_Price*(1+In_PPA_Esc)^(BP$7-YEAR(In_COD))</f>
        <v>100.410151199878</v>
      </c>
      <c r="BQ58" s="25" t="n">
        <f aca="false">In_PPA_Price*(1+In_PPA_Esc)^(BQ$7-YEAR(In_COD))</f>
        <v>100.410151199878</v>
      </c>
      <c r="BR58" s="25" t="n">
        <f aca="false">In_PPA_Price*(1+In_PPA_Esc)^(BR$7-YEAR(In_COD))</f>
        <v>100.410151199878</v>
      </c>
      <c r="BS58" s="25" t="n">
        <f aca="false">In_PPA_Price*(1+In_PPA_Esc)^(BS$7-YEAR(In_COD))</f>
        <v>101.414252711877</v>
      </c>
      <c r="BT58" s="25" t="n">
        <f aca="false">In_PPA_Price*(1+In_PPA_Esc)^(BT$7-YEAR(In_COD))</f>
        <v>101.414252711877</v>
      </c>
      <c r="BU58" s="25" t="n">
        <f aca="false">In_PPA_Price*(1+In_PPA_Esc)^(BU$7-YEAR(In_COD))</f>
        <v>101.414252711877</v>
      </c>
      <c r="BV58" s="25" t="n">
        <f aca="false">In_PPA_Price*(1+In_PPA_Esc)^(BV$7-YEAR(In_COD))</f>
        <v>101.414252711877</v>
      </c>
      <c r="BW58" s="25" t="n">
        <f aca="false">In_PPA_Price*(1+In_PPA_Esc)^(BW$7-YEAR(In_COD))</f>
        <v>102.428395238996</v>
      </c>
      <c r="BX58" s="25" t="n">
        <f aca="false">In_PPA_Price*(1+In_PPA_Esc)^(BX$7-YEAR(In_COD))</f>
        <v>102.428395238996</v>
      </c>
      <c r="BY58" s="25" t="n">
        <f aca="false">In_PPA_Price*(1+In_PPA_Esc)^(BY$7-YEAR(In_COD))</f>
        <v>102.428395238996</v>
      </c>
      <c r="BZ58" s="25" t="n">
        <f aca="false">In_PPA_Price*(1+In_PPA_Esc)^(BZ$7-YEAR(In_COD))</f>
        <v>102.428395238996</v>
      </c>
      <c r="CA58" s="25" t="n">
        <f aca="false">In_PPA_Price*(1+In_PPA_Esc)^(CA$7-YEAR(In_COD))</f>
        <v>103.452679191386</v>
      </c>
      <c r="CB58" s="25" t="n">
        <f aca="false">In_PPA_Price*(1+In_PPA_Esc)^(CB$7-YEAR(In_COD))</f>
        <v>103.452679191386</v>
      </c>
      <c r="CC58" s="25" t="n">
        <f aca="false">In_PPA_Price*(1+In_PPA_Esc)^(CC$7-YEAR(In_COD))</f>
        <v>103.452679191386</v>
      </c>
      <c r="CD58" s="25" t="n">
        <f aca="false">In_PPA_Price*(1+In_PPA_Esc)^(CD$7-YEAR(In_COD))</f>
        <v>103.452679191386</v>
      </c>
      <c r="CE58" s="25" t="n">
        <f aca="false">In_PPA_Price*(1+In_PPA_Esc)^(CE$7-YEAR(In_COD))</f>
        <v>104.4872059833</v>
      </c>
      <c r="CF58" s="25" t="n">
        <f aca="false">In_PPA_Price*(1+In_PPA_Esc)^(CF$7-YEAR(In_COD))</f>
        <v>104.4872059833</v>
      </c>
      <c r="CG58" s="25" t="n">
        <f aca="false">In_PPA_Price*(1+In_PPA_Esc)^(CG$7-YEAR(In_COD))</f>
        <v>104.4872059833</v>
      </c>
      <c r="CH58" s="25" t="n">
        <f aca="false">In_PPA_Price*(1+In_PPA_Esc)^(CH$7-YEAR(In_COD))</f>
        <v>104.4872059833</v>
      </c>
      <c r="CI58" s="25" t="n">
        <f aca="false">In_PPA_Price*(1+In_PPA_Esc)^(CI$7-YEAR(In_COD))</f>
        <v>105.532078043133</v>
      </c>
      <c r="CJ58" s="25" t="n">
        <f aca="false">In_PPA_Price*(1+In_PPA_Esc)^(CJ$7-YEAR(In_COD))</f>
        <v>105.532078043133</v>
      </c>
      <c r="CK58" s="25" t="n">
        <f aca="false">In_PPA_Price*(1+In_PPA_Esc)^(CK$7-YEAR(In_COD))</f>
        <v>105.532078043133</v>
      </c>
      <c r="CL58" s="25" t="n">
        <f aca="false">In_PPA_Price*(1+In_PPA_Esc)^(CL$7-YEAR(In_COD))</f>
        <v>105.532078043133</v>
      </c>
      <c r="CM58" s="25" t="n">
        <f aca="false">In_PPA_Price*(1+In_PPA_Esc)^(CM$7-YEAR(In_COD))</f>
        <v>106.587398823564</v>
      </c>
      <c r="CN58" s="25" t="n">
        <f aca="false">In_PPA_Price*(1+In_PPA_Esc)^(CN$7-YEAR(In_COD))</f>
        <v>106.587398823564</v>
      </c>
      <c r="CO58" s="25" t="n">
        <f aca="false">In_PPA_Price*(1+In_PPA_Esc)^(CO$7-YEAR(In_COD))</f>
        <v>106.587398823564</v>
      </c>
      <c r="CP58" s="25" t="n">
        <f aca="false">In_PPA_Price*(1+In_PPA_Esc)^(CP$7-YEAR(In_COD))</f>
        <v>106.587398823564</v>
      </c>
      <c r="CQ58" s="25" t="n">
        <f aca="false">In_PPA_Price*(1+In_PPA_Esc)^(CQ$7-YEAR(In_COD))</f>
        <v>107.6532728118</v>
      </c>
      <c r="CR58" s="25" t="n">
        <f aca="false">In_PPA_Price*(1+In_PPA_Esc)^(CR$7-YEAR(In_COD))</f>
        <v>107.6532728118</v>
      </c>
      <c r="CS58" s="25" t="n">
        <f aca="false">In_PPA_Price*(1+In_PPA_Esc)^(CS$7-YEAR(In_COD))</f>
        <v>107.6532728118</v>
      </c>
      <c r="CT58" s="25" t="n">
        <f aca="false">In_PPA_Price*(1+In_PPA_Esc)^(CT$7-YEAR(In_COD))</f>
        <v>107.6532728118</v>
      </c>
      <c r="CU58" s="25" t="n">
        <f aca="false">In_PPA_Price*(1+In_PPA_Esc)^(CU$7-YEAR(In_COD))</f>
        <v>108.729805539918</v>
      </c>
      <c r="CV58" s="25" t="n">
        <f aca="false">In_PPA_Price*(1+In_PPA_Esc)^(CV$7-YEAR(In_COD))</f>
        <v>108.729805539918</v>
      </c>
      <c r="CW58" s="25" t="n">
        <f aca="false">In_PPA_Price*(1+In_PPA_Esc)^(CW$7-YEAR(In_COD))</f>
        <v>108.729805539918</v>
      </c>
      <c r="CX58" s="25" t="n">
        <f aca="false">In_PPA_Price*(1+In_PPA_Esc)^(CX$7-YEAR(In_COD))</f>
        <v>108.729805539918</v>
      </c>
      <c r="CY58" s="25" t="n">
        <f aca="false">In_PPA_Price*(1+In_PPA_Esc)^(CY$7-YEAR(In_COD))</f>
        <v>109.817103595317</v>
      </c>
      <c r="CZ58" s="25" t="n">
        <f aca="false">In_PPA_Price*(1+In_PPA_Esc)^(CZ$7-YEAR(In_COD))</f>
        <v>109.817103595317</v>
      </c>
      <c r="DA58" s="25" t="n">
        <f aca="false">In_PPA_Price*(1+In_PPA_Esc)^(DA$7-YEAR(In_COD))</f>
        <v>109.817103595317</v>
      </c>
      <c r="DB58" s="25" t="n">
        <f aca="false">In_PPA_Price*(1+In_PPA_Esc)^(DB$7-YEAR(In_COD))</f>
        <v>109.817103595317</v>
      </c>
      <c r="DC58" s="25" t="n">
        <f aca="false">In_PPA_Price*(1+In_PPA_Esc)^(DC$7-YEAR(In_COD))</f>
        <v>110.91527463127</v>
      </c>
      <c r="DD58" s="25" t="n">
        <f aca="false">In_PPA_Price*(1+In_PPA_Esc)^(DD$7-YEAR(In_COD))</f>
        <v>110.91527463127</v>
      </c>
      <c r="DE58" s="25" t="n">
        <f aca="false">In_PPA_Price*(1+In_PPA_Esc)^(DE$7-YEAR(In_COD))</f>
        <v>110.91527463127</v>
      </c>
      <c r="DF58" s="25" t="n">
        <f aca="false">In_PPA_Price*(1+In_PPA_Esc)^(DF$7-YEAR(In_COD))</f>
        <v>110.91527463127</v>
      </c>
      <c r="DG58" s="25" t="n">
        <f aca="false">In_PPA_Price*(1+In_PPA_Esc)^(DG$7-YEAR(In_COD))</f>
        <v>112.024427377583</v>
      </c>
      <c r="DH58" s="25" t="n">
        <f aca="false">In_PPA_Price*(1+In_PPA_Esc)^(DH$7-YEAR(In_COD))</f>
        <v>112.024427377583</v>
      </c>
      <c r="DI58" s="25" t="n">
        <f aca="false">In_PPA_Price*(1+In_PPA_Esc)^(DI$7-YEAR(In_COD))</f>
        <v>112.024427377583</v>
      </c>
      <c r="DJ58" s="25" t="n">
        <f aca="false">In_PPA_Price*(1+In_PPA_Esc)^(DJ$7-YEAR(In_COD))</f>
        <v>112.024427377583</v>
      </c>
      <c r="DK58" s="25" t="n">
        <f aca="false">In_PPA_Price*(1+In_PPA_Esc)^(DK$7-YEAR(In_COD))</f>
        <v>113.144671651359</v>
      </c>
      <c r="DL58" s="25" t="n">
        <f aca="false">In_PPA_Price*(1+In_PPA_Esc)^(DL$7-YEAR(In_COD))</f>
        <v>113.144671651359</v>
      </c>
      <c r="DM58" s="25" t="n">
        <f aca="false">In_PPA_Price*(1+In_PPA_Esc)^(DM$7-YEAR(In_COD))</f>
        <v>113.144671651359</v>
      </c>
      <c r="DN58" s="25" t="n">
        <f aca="false">In_PPA_Price*(1+In_PPA_Esc)^(DN$7-YEAR(In_COD))</f>
        <v>113.144671651359</v>
      </c>
      <c r="DO58" s="25" t="n">
        <f aca="false">In_PPA_Price*(1+In_PPA_Esc)^(DO$7-YEAR(In_COD))</f>
        <v>114.276118367872</v>
      </c>
      <c r="DP58" s="25" t="n">
        <f aca="false">In_PPA_Price*(1+In_PPA_Esc)^(DP$7-YEAR(In_COD))</f>
        <v>114.276118367872</v>
      </c>
      <c r="DQ58" s="25" t="n">
        <f aca="false">In_PPA_Price*(1+In_PPA_Esc)^(DQ$7-YEAR(In_COD))</f>
        <v>114.276118367872</v>
      </c>
      <c r="DR58" s="25" t="n">
        <f aca="false">In_PPA_Price*(1+In_PPA_Esc)^(DR$7-YEAR(In_COD))</f>
        <v>114.276118367872</v>
      </c>
      <c r="DS58" s="25" t="n">
        <f aca="false">In_PPA_Price*(1+In_PPA_Esc)^(DS$7-YEAR(In_COD))</f>
        <v>115.418879551551</v>
      </c>
      <c r="DT58" s="25" t="n">
        <f aca="false">In_PPA_Price*(1+In_PPA_Esc)^(DT$7-YEAR(In_COD))</f>
        <v>115.418879551551</v>
      </c>
      <c r="DU58" s="25" t="n">
        <f aca="false">In_PPA_Price*(1+In_PPA_Esc)^(DU$7-YEAR(In_COD))</f>
        <v>115.418879551551</v>
      </c>
      <c r="DV58" s="25" t="n">
        <f aca="false">In_PPA_Price*(1+In_PPA_Esc)^(DV$7-YEAR(In_COD))</f>
        <v>115.418879551551</v>
      </c>
      <c r="DW58" s="25" t="n">
        <f aca="false">In_PPA_Price*(1+In_PPA_Esc)^(DW$7-YEAR(In_COD))</f>
        <v>116.573068347067</v>
      </c>
      <c r="DX58" s="25" t="n">
        <f aca="false">In_PPA_Price*(1+In_PPA_Esc)^(DX$7-YEAR(In_COD))</f>
        <v>116.573068347067</v>
      </c>
      <c r="DY58" s="25" t="n">
        <f aca="false">In_PPA_Price*(1+In_PPA_Esc)^(DY$7-YEAR(In_COD))</f>
        <v>116.573068347067</v>
      </c>
      <c r="DZ58" s="25" t="n">
        <f aca="false">In_PPA_Price*(1+In_PPA_Esc)^(DZ$7-YEAR(In_COD))</f>
        <v>116.573068347067</v>
      </c>
      <c r="EA58" s="25" t="n">
        <f aca="false">In_PPA_Price*(1+In_PPA_Esc)^(EA$7-YEAR(In_COD))</f>
        <v>117.738799030537</v>
      </c>
      <c r="EB58" s="25" t="n">
        <f aca="false">In_PPA_Price*(1+In_PPA_Esc)^(EB$7-YEAR(In_COD))</f>
        <v>117.738799030537</v>
      </c>
      <c r="EC58" s="25" t="n">
        <f aca="false">In_PPA_Price*(1+In_PPA_Esc)^(EC$7-YEAR(In_COD))</f>
        <v>117.738799030537</v>
      </c>
      <c r="ED58" s="25" t="n">
        <f aca="false">In_PPA_Price*(1+In_PPA_Esc)^(ED$7-YEAR(In_COD))</f>
        <v>117.738799030537</v>
      </c>
      <c r="EE58" s="25" t="n">
        <f aca="false">In_PPA_Price*(1+In_PPA_Esc)^(EE$7-YEAR(In_COD))</f>
        <v>118.916187020843</v>
      </c>
      <c r="EF58" s="25" t="n">
        <f aca="false">In_PPA_Price*(1+In_PPA_Esc)^(EF$7-YEAR(In_COD))</f>
        <v>118.916187020843</v>
      </c>
      <c r="EG58" s="25" t="n">
        <f aca="false">In_PPA_Price*(1+In_PPA_Esc)^(EG$7-YEAR(In_COD))</f>
        <v>118.916187020843</v>
      </c>
      <c r="EH58" s="25" t="n">
        <f aca="false">In_PPA_Price*(1+In_PPA_Esc)^(EH$7-YEAR(In_COD))</f>
        <v>118.916187020843</v>
      </c>
      <c r="EI58" s="25" t="n">
        <f aca="false">In_PPA_Price*(1+In_PPA_Esc)^(EI$7-YEAR(In_COD))</f>
        <v>120.105348891051</v>
      </c>
      <c r="EJ58" s="25" t="n">
        <f aca="false">In_PPA_Price*(1+In_PPA_Esc)^(EJ$7-YEAR(In_COD))</f>
        <v>120.105348891051</v>
      </c>
      <c r="EK58" s="25" t="n">
        <f aca="false">In_PPA_Price*(1+In_PPA_Esc)^(EK$7-YEAR(In_COD))</f>
        <v>120.105348891051</v>
      </c>
      <c r="EL58" s="25" t="n">
        <f aca="false">In_PPA_Price*(1+In_PPA_Esc)^(EL$7-YEAR(In_COD))</f>
        <v>120.105348891051</v>
      </c>
      <c r="EM58" s="25" t="n">
        <f aca="false">In_PPA_Price*(1+In_PPA_Esc)^(EM$7-YEAR(In_COD))</f>
        <v>121.306402379962</v>
      </c>
      <c r="EN58" s="25" t="n">
        <f aca="false">In_PPA_Price*(1+In_PPA_Esc)^(EN$7-YEAR(In_COD))</f>
        <v>121.306402379962</v>
      </c>
      <c r="EO58" s="25" t="n">
        <f aca="false">In_PPA_Price*(1+In_PPA_Esc)^(EO$7-YEAR(In_COD))</f>
        <v>121.306402379962</v>
      </c>
    </row>
    <row r="59" customFormat="false" ht="15" hidden="false" customHeight="false" outlineLevel="0" collapsed="false">
      <c r="C59" s="0" t="s">
        <v>369</v>
      </c>
      <c r="D59" s="11" t="s">
        <v>370</v>
      </c>
      <c r="E59" s="43" t="n">
        <f aca="false">SUMIF($J$7:$EO$7,YEAR(In_COD)+1,$J59:$EO59)</f>
        <v>120448.851945205</v>
      </c>
      <c r="I59" s="43" t="n">
        <f aca="false">SUM(J59:EO59)</f>
        <v>3465738.51998063</v>
      </c>
      <c r="J59" s="43" t="n">
        <f aca="false">In_Wind_MW*In_P50_Hours*(1-In_Curtailment)*(1-In_Degradation)^(J20-1)*J15*J$6</f>
        <v>0</v>
      </c>
      <c r="K59" s="43" t="n">
        <f aca="false">In_Wind_MW*In_P50_Hours*(1-In_Curtailment)*(1-In_Degradation)^(K20-1)*K15*K$6</f>
        <v>0</v>
      </c>
      <c r="L59" s="43" t="n">
        <f aca="false">In_Wind_MW*In_P50_Hours*(1-In_Curtailment)*(1-In_Degradation)^(L20-1)*L15*L$6</f>
        <v>0</v>
      </c>
      <c r="M59" s="43" t="n">
        <f aca="false">In_Wind_MW*In_P50_Hours*(1-In_Curtailment)*(1-In_Degradation)^(M20-1)*M15*M$6</f>
        <v>0</v>
      </c>
      <c r="N59" s="43" t="n">
        <f aca="false">In_Wind_MW*In_P50_Hours*(1-In_Curtailment)*(1-In_Degradation)^(N20-1)*N15*N$6</f>
        <v>0</v>
      </c>
      <c r="O59" s="43" t="n">
        <f aca="false">In_Wind_MW*In_P50_Hours*(1-In_Curtailment)*(1-In_Degradation)^(O20-1)*O15*O$6</f>
        <v>0</v>
      </c>
      <c r="P59" s="43" t="n">
        <f aca="false">In_Wind_MW*In_P50_Hours*(1-In_Curtailment)*(1-In_Degradation)^(P20-1)*P15*P$6</f>
        <v>0</v>
      </c>
      <c r="Q59" s="43" t="n">
        <f aca="false">In_Wind_MW*In_P50_Hours*(1-In_Curtailment)*(1-In_Degradation)^(Q20-1)*Q15*Q$6</f>
        <v>0</v>
      </c>
      <c r="R59" s="43" t="n">
        <f aca="false">In_Wind_MW*In_P50_Hours*(1-In_Curtailment)*(1-In_Degradation)^(R20-1)*R15*R$6</f>
        <v>0</v>
      </c>
      <c r="S59" s="43" t="n">
        <f aca="false">In_Wind_MW*In_P50_Hours*(1-In_Curtailment)*(1-In_Degradation)^(S20-1)*S15*S$6</f>
        <v>0</v>
      </c>
      <c r="T59" s="43" t="n">
        <f aca="false">In_Wind_MW*In_P50_Hours*(1-In_Curtailment)*(1-In_Degradation)^(T20-1)*T15*T$6</f>
        <v>0</v>
      </c>
      <c r="U59" s="43" t="n">
        <f aca="false">In_Wind_MW*In_P50_Hours*(1-In_Curtailment)*(1-In_Degradation)^(U20-1)*U15*U$6</f>
        <v>0</v>
      </c>
      <c r="V59" s="43" t="n">
        <f aca="false">In_Wind_MW*In_P50_Hours*(1-In_Curtailment)*(1-In_Degradation)^(V20-1)*V15*V$6</f>
        <v>0</v>
      </c>
      <c r="W59" s="43" t="n">
        <f aca="false">In_Wind_MW*In_P50_Hours*(1-In_Curtailment)*(1-In_Degradation)^(W20-1)*W15*W$6</f>
        <v>0</v>
      </c>
      <c r="X59" s="43" t="n">
        <f aca="false">In_Wind_MW*In_P50_Hours*(1-In_Curtailment)*(1-In_Degradation)^(X20-1)*X15*X$6</f>
        <v>0</v>
      </c>
      <c r="Y59" s="43" t="n">
        <f aca="false">In_Wind_MW*In_P50_Hours*(1-In_Curtailment)*(1-In_Degradation)^(Y20-1)*Y15*Y$6</f>
        <v>0</v>
      </c>
      <c r="Z59" s="43" t="n">
        <f aca="false">In_Wind_MW*In_P50_Hours*(1-In_Curtailment)*(1-In_Degradation)^(Z20-1)*Z15*Z$6</f>
        <v>30382.6849315069</v>
      </c>
      <c r="AA59" s="43" t="n">
        <f aca="false">In_Wind_MW*In_P50_Hours*(1-In_Curtailment)*(1-In_Degradation)^(AA20-1)*AA15*AA$6</f>
        <v>29722.1917808219</v>
      </c>
      <c r="AB59" s="43" t="n">
        <f aca="false">In_Wind_MW*In_P50_Hours*(1-In_Curtailment)*(1-In_Degradation)^(AB20-1)*AB15*AB$6</f>
        <v>30052.4383561644</v>
      </c>
      <c r="AC59" s="43" t="n">
        <f aca="false">In_Wind_MW*In_P50_Hours*(1-In_Curtailment)*(1-In_Degradation)^(AC20-1)*AC15*AC$6</f>
        <v>30382.6849315069</v>
      </c>
      <c r="AD59" s="43" t="n">
        <f aca="false">In_Wind_MW*In_P50_Hours*(1-In_Curtailment)*(1-In_Degradation)^(AD20-1)*AD15*AD$6</f>
        <v>30291.5368767123</v>
      </c>
      <c r="AE59" s="43" t="n">
        <f aca="false">In_Wind_MW*In_P50_Hours*(1-In_Curtailment)*(1-In_Degradation)^(AE20-1)*AE15*AE$6</f>
        <v>29962.2810410959</v>
      </c>
      <c r="AF59" s="43" t="n">
        <f aca="false">In_Wind_MW*In_P50_Hours*(1-In_Curtailment)*(1-In_Degradation)^(AF20-1)*AF15*AF$6</f>
        <v>29962.2810410959</v>
      </c>
      <c r="AG59" s="43" t="n">
        <f aca="false">In_Wind_MW*In_P50_Hours*(1-In_Curtailment)*(1-In_Degradation)^(AG20-1)*AG15*AG$6</f>
        <v>30291.5368767123</v>
      </c>
      <c r="AH59" s="43" t="n">
        <f aca="false">In_Wind_MW*In_P50_Hours*(1-In_Curtailment)*(1-In_Degradation)^(AH20-1)*AH15*AH$6</f>
        <v>30200.6622660822</v>
      </c>
      <c r="AI59" s="43" t="n">
        <f aca="false">In_Wind_MW*In_P50_Hours*(1-In_Curtailment)*(1-In_Degradation)^(AI20-1)*AI15*AI$6</f>
        <v>29544.126129863</v>
      </c>
      <c r="AJ59" s="43" t="n">
        <f aca="false">In_Wind_MW*In_P50_Hours*(1-In_Curtailment)*(1-In_Degradation)^(AJ20-1)*AJ15*AJ$6</f>
        <v>29872.3941979726</v>
      </c>
      <c r="AK59" s="43" t="n">
        <f aca="false">In_Wind_MW*In_P50_Hours*(1-In_Curtailment)*(1-In_Degradation)^(AK20-1)*AK15*AK$6</f>
        <v>30200.6622660822</v>
      </c>
      <c r="AL59" s="43" t="n">
        <f aca="false">In_Wind_MW*In_P50_Hours*(1-In_Curtailment)*(1-In_Degradation)^(AL20-1)*AL15*AL$6</f>
        <v>30110.060279284</v>
      </c>
      <c r="AM59" s="43" t="n">
        <f aca="false">In_Wind_MW*In_P50_Hours*(1-In_Curtailment)*(1-In_Degradation)^(AM20-1)*AM15*AM$6</f>
        <v>29455.4937514734</v>
      </c>
      <c r="AN59" s="43" t="n">
        <f aca="false">In_Wind_MW*In_P50_Hours*(1-In_Curtailment)*(1-In_Degradation)^(AN20-1)*AN15*AN$6</f>
        <v>29782.7770153787</v>
      </c>
      <c r="AO59" s="43" t="n">
        <f aca="false">In_Wind_MW*In_P50_Hours*(1-In_Curtailment)*(1-In_Degradation)^(AO20-1)*AO15*AO$6</f>
        <v>30110.060279284</v>
      </c>
      <c r="AP59" s="43" t="n">
        <f aca="false">In_Wind_MW*In_P50_Hours*(1-In_Curtailment)*(1-In_Degradation)^(AP20-1)*AP15*AP$6</f>
        <v>30019.7300984461</v>
      </c>
      <c r="AQ59" s="43" t="n">
        <f aca="false">In_Wind_MW*In_P50_Hours*(1-In_Curtailment)*(1-In_Degradation)^(AQ20-1)*AQ15*AQ$6</f>
        <v>29367.127270219</v>
      </c>
      <c r="AR59" s="43" t="n">
        <f aca="false">In_Wind_MW*In_P50_Hours*(1-In_Curtailment)*(1-In_Degradation)^(AR20-1)*AR15*AR$6</f>
        <v>29693.4286843326</v>
      </c>
      <c r="AS59" s="43" t="n">
        <f aca="false">In_Wind_MW*In_P50_Hours*(1-In_Curtailment)*(1-In_Degradation)^(AS20-1)*AS15*AS$6</f>
        <v>30019.7300984461</v>
      </c>
      <c r="AT59" s="43" t="n">
        <f aca="false">In_Wind_MW*In_P50_Hours*(1-In_Curtailment)*(1-In_Degradation)^(AT20-1)*AT15*AT$6</f>
        <v>29929.6709081508</v>
      </c>
      <c r="AU59" s="43" t="n">
        <f aca="false">In_Wind_MW*In_P50_Hours*(1-In_Curtailment)*(1-In_Degradation)^(AU20-1)*AU15*AU$6</f>
        <v>29604.3483982796</v>
      </c>
      <c r="AV59" s="43" t="n">
        <f aca="false">In_Wind_MW*In_P50_Hours*(1-In_Curtailment)*(1-In_Degradation)^(AV20-1)*AV15*AV$6</f>
        <v>29604.3483982796</v>
      </c>
      <c r="AW59" s="43" t="n">
        <f aca="false">In_Wind_MW*In_P50_Hours*(1-In_Curtailment)*(1-In_Degradation)^(AW20-1)*AW15*AW$6</f>
        <v>29929.6709081508</v>
      </c>
      <c r="AX59" s="43" t="n">
        <f aca="false">In_Wind_MW*In_P50_Hours*(1-In_Curtailment)*(1-In_Degradation)^(AX20-1)*AX15*AX$6</f>
        <v>29839.8818954263</v>
      </c>
      <c r="AY59" s="43" t="n">
        <f aca="false">In_Wind_MW*In_P50_Hours*(1-In_Curtailment)*(1-In_Degradation)^(AY20-1)*AY15*AY$6</f>
        <v>29191.1888107431</v>
      </c>
      <c r="AZ59" s="43" t="n">
        <f aca="false">In_Wind_MW*In_P50_Hours*(1-In_Curtailment)*(1-In_Degradation)^(AZ20-1)*AZ15*AZ$6</f>
        <v>29515.5353530847</v>
      </c>
      <c r="BA59" s="43" t="n">
        <f aca="false">In_Wind_MW*In_P50_Hours*(1-In_Curtailment)*(1-In_Degradation)^(BA20-1)*BA15*BA$6</f>
        <v>29839.8818954263</v>
      </c>
      <c r="BB59" s="43" t="n">
        <f aca="false">In_Wind_MW*In_P50_Hours*(1-In_Curtailment)*(1-In_Degradation)^(BB20-1)*BB15*BB$6</f>
        <v>29750.36224974</v>
      </c>
      <c r="BC59" s="43" t="n">
        <f aca="false">In_Wind_MW*In_P50_Hours*(1-In_Curtailment)*(1-In_Degradation)^(BC20-1)*BC15*BC$6</f>
        <v>29103.6152443109</v>
      </c>
      <c r="BD59" s="43" t="n">
        <f aca="false">In_Wind_MW*In_P50_Hours*(1-In_Curtailment)*(1-In_Degradation)^(BD20-1)*BD15*BD$6</f>
        <v>29426.9887470255</v>
      </c>
      <c r="BE59" s="43" t="n">
        <f aca="false">In_Wind_MW*In_P50_Hours*(1-In_Curtailment)*(1-In_Degradation)^(BE20-1)*BE15*BE$6</f>
        <v>29750.36224974</v>
      </c>
      <c r="BF59" s="43" t="n">
        <f aca="false">In_Wind_MW*In_P50_Hours*(1-In_Curtailment)*(1-In_Degradation)^(BF20-1)*BF15*BF$6</f>
        <v>29661.1111629908</v>
      </c>
      <c r="BG59" s="43" t="n">
        <f aca="false">In_Wind_MW*In_P50_Hours*(1-In_Curtailment)*(1-In_Degradation)^(BG20-1)*BG15*BG$6</f>
        <v>29016.304398578</v>
      </c>
      <c r="BH59" s="43" t="n">
        <f aca="false">In_Wind_MW*In_P50_Hours*(1-In_Curtailment)*(1-In_Degradation)^(BH20-1)*BH15*BH$6</f>
        <v>29338.7077807844</v>
      </c>
      <c r="BI59" s="43" t="n">
        <f aca="false">In_Wind_MW*In_P50_Hours*(1-In_Curtailment)*(1-In_Degradation)^(BI20-1)*BI15*BI$6</f>
        <v>29661.1111629908</v>
      </c>
      <c r="BJ59" s="43" t="n">
        <f aca="false">In_Wind_MW*In_P50_Hours*(1-In_Curtailment)*(1-In_Degradation)^(BJ20-1)*BJ15*BJ$6</f>
        <v>29572.1278295018</v>
      </c>
      <c r="BK59" s="43" t="n">
        <f aca="false">In_Wind_MW*In_P50_Hours*(1-In_Curtailment)*(1-In_Degradation)^(BK20-1)*BK15*BK$6</f>
        <v>29250.691657442</v>
      </c>
      <c r="BL59" s="43" t="n">
        <f aca="false">In_Wind_MW*In_P50_Hours*(1-In_Curtailment)*(1-In_Degradation)^(BL20-1)*BL15*BL$6</f>
        <v>29250.691657442</v>
      </c>
      <c r="BM59" s="43" t="n">
        <f aca="false">In_Wind_MW*In_P50_Hours*(1-In_Curtailment)*(1-In_Degradation)^(BM20-1)*BM15*BM$6</f>
        <v>29572.1278295018</v>
      </c>
      <c r="BN59" s="43" t="n">
        <f aca="false">In_Wind_MW*In_P50_Hours*(1-In_Curtailment)*(1-In_Degradation)^(BN20-1)*BN15*BN$6</f>
        <v>29483.4114460133</v>
      </c>
      <c r="BO59" s="43" t="n">
        <f aca="false">In_Wind_MW*In_P50_Hours*(1-In_Curtailment)*(1-In_Degradation)^(BO20-1)*BO15*BO$6</f>
        <v>28842.4677189261</v>
      </c>
      <c r="BP59" s="43" t="n">
        <f aca="false">In_Wind_MW*In_P50_Hours*(1-In_Curtailment)*(1-In_Degradation)^(BP20-1)*BP15*BP$6</f>
        <v>29162.9395824697</v>
      </c>
      <c r="BQ59" s="43" t="n">
        <f aca="false">In_Wind_MW*In_P50_Hours*(1-In_Curtailment)*(1-In_Degradation)^(BQ20-1)*BQ15*BQ$6</f>
        <v>29483.4114460133</v>
      </c>
      <c r="BR59" s="43" t="n">
        <f aca="false">In_Wind_MW*In_P50_Hours*(1-In_Curtailment)*(1-In_Degradation)^(BR20-1)*BR15*BR$6</f>
        <v>29394.9612116753</v>
      </c>
      <c r="BS59" s="43" t="n">
        <f aca="false">In_Wind_MW*In_P50_Hours*(1-In_Curtailment)*(1-In_Degradation)^(BS20-1)*BS15*BS$6</f>
        <v>28755.9403157693</v>
      </c>
      <c r="BT59" s="43" t="n">
        <f aca="false">In_Wind_MW*In_P50_Hours*(1-In_Curtailment)*(1-In_Degradation)^(BT20-1)*BT15*BT$6</f>
        <v>29075.4507637223</v>
      </c>
      <c r="BU59" s="43" t="n">
        <f aca="false">In_Wind_MW*In_P50_Hours*(1-In_Curtailment)*(1-In_Degradation)^(BU20-1)*BU15*BU$6</f>
        <v>29394.9612116753</v>
      </c>
      <c r="BV59" s="43" t="n">
        <f aca="false">In_Wind_MW*In_P50_Hours*(1-In_Curtailment)*(1-In_Degradation)^(BV20-1)*BV15*BV$6</f>
        <v>29306.7763280403</v>
      </c>
      <c r="BW59" s="43" t="n">
        <f aca="false">In_Wind_MW*In_P50_Hours*(1-In_Curtailment)*(1-In_Degradation)^(BW20-1)*BW15*BW$6</f>
        <v>28669.672494822</v>
      </c>
      <c r="BX59" s="43" t="n">
        <f aca="false">In_Wind_MW*In_P50_Hours*(1-In_Curtailment)*(1-In_Degradation)^(BX20-1)*BX15*BX$6</f>
        <v>28988.2244114311</v>
      </c>
      <c r="BY59" s="43" t="n">
        <f aca="false">In_Wind_MW*In_P50_Hours*(1-In_Curtailment)*(1-In_Degradation)^(BY20-1)*BY15*BY$6</f>
        <v>29306.7763280403</v>
      </c>
      <c r="BZ59" s="43" t="n">
        <f aca="false">In_Wind_MW*In_P50_Hours*(1-In_Curtailment)*(1-In_Degradation)^(BZ20-1)*BZ15*BZ$6</f>
        <v>29218.8559990561</v>
      </c>
      <c r="CA59" s="43" t="n">
        <f aca="false">In_Wind_MW*In_P50_Hours*(1-In_Curtailment)*(1-In_Degradation)^(CA20-1)*CA15*CA$6</f>
        <v>28901.2597381968</v>
      </c>
      <c r="CB59" s="43" t="n">
        <f aca="false">In_Wind_MW*In_P50_Hours*(1-In_Curtailment)*(1-In_Degradation)^(CB20-1)*CB15*CB$6</f>
        <v>28901.2597381968</v>
      </c>
      <c r="CC59" s="43" t="n">
        <f aca="false">In_Wind_MW*In_P50_Hours*(1-In_Curtailment)*(1-In_Degradation)^(CC20-1)*CC15*CC$6</f>
        <v>29218.8559990561</v>
      </c>
      <c r="CD59" s="43" t="n">
        <f aca="false">In_Wind_MW*In_P50_Hours*(1-In_Curtailment)*(1-In_Degradation)^(CD20-1)*CD15*CD$6</f>
        <v>29131.199431059</v>
      </c>
      <c r="CE59" s="43" t="n">
        <f aca="false">In_Wind_MW*In_P50_Hours*(1-In_Curtailment)*(1-In_Degradation)^(CE20-1)*CE15*CE$6</f>
        <v>28497.9124869055</v>
      </c>
      <c r="CF59" s="43" t="n">
        <f aca="false">In_Wind_MW*In_P50_Hours*(1-In_Curtailment)*(1-In_Degradation)^(CF20-1)*CF15*CF$6</f>
        <v>28814.5559589822</v>
      </c>
      <c r="CG59" s="43" t="n">
        <f aca="false">In_Wind_MW*In_P50_Hours*(1-In_Curtailment)*(1-In_Degradation)^(CG20-1)*CG15*CG$6</f>
        <v>29131.199431059</v>
      </c>
      <c r="CH59" s="43" t="n">
        <f aca="false">In_Wind_MW*In_P50_Hours*(1-In_Curtailment)*(1-In_Degradation)^(CH20-1)*CH15*CH$6</f>
        <v>29043.8058327658</v>
      </c>
      <c r="CI59" s="43" t="n">
        <f aca="false">In_Wind_MW*In_P50_Hours*(1-In_Curtailment)*(1-In_Degradation)^(CI20-1)*CI15*CI$6</f>
        <v>28412.4187494448</v>
      </c>
      <c r="CJ59" s="43" t="n">
        <f aca="false">In_Wind_MW*In_P50_Hours*(1-In_Curtailment)*(1-In_Degradation)^(CJ20-1)*CJ15*CJ$6</f>
        <v>28728.1122911053</v>
      </c>
      <c r="CK59" s="43" t="n">
        <f aca="false">In_Wind_MW*In_P50_Hours*(1-In_Curtailment)*(1-In_Degradation)^(CK20-1)*CK15*CK$6</f>
        <v>29043.8058327658</v>
      </c>
      <c r="CL59" s="43" t="n">
        <f aca="false">In_Wind_MW*In_P50_Hours*(1-In_Curtailment)*(1-In_Degradation)^(CL20-1)*CL15*CL$6</f>
        <v>28956.6744152675</v>
      </c>
      <c r="CM59" s="43" t="n">
        <f aca="false">In_Wind_MW*In_P50_Hours*(1-In_Curtailment)*(1-In_Degradation)^(CM20-1)*CM15*CM$6</f>
        <v>28327.1814931965</v>
      </c>
      <c r="CN59" s="43" t="n">
        <f aca="false">In_Wind_MW*In_P50_Hours*(1-In_Curtailment)*(1-In_Degradation)^(CN20-1)*CN15*CN$6</f>
        <v>28641.927954232</v>
      </c>
      <c r="CO59" s="43" t="n">
        <f aca="false">In_Wind_MW*In_P50_Hours*(1-In_Curtailment)*(1-In_Degradation)^(CO20-1)*CO15*CO$6</f>
        <v>28956.6744152675</v>
      </c>
      <c r="CP59" s="43" t="n">
        <f aca="false">In_Wind_MW*In_P50_Hours*(1-In_Curtailment)*(1-In_Degradation)^(CP20-1)*CP15*CP$6</f>
        <v>28869.8043920217</v>
      </c>
      <c r="CQ59" s="43" t="n">
        <f aca="false">In_Wind_MW*In_P50_Hours*(1-In_Curtailment)*(1-In_Degradation)^(CQ20-1)*CQ15*CQ$6</f>
        <v>28556.0021703693</v>
      </c>
      <c r="CR59" s="43" t="n">
        <f aca="false">In_Wind_MW*In_P50_Hours*(1-In_Curtailment)*(1-In_Degradation)^(CR20-1)*CR15*CR$6</f>
        <v>28556.0021703693</v>
      </c>
      <c r="CS59" s="43" t="n">
        <f aca="false">In_Wind_MW*In_P50_Hours*(1-In_Curtailment)*(1-In_Degradation)^(CS20-1)*CS15*CS$6</f>
        <v>28869.8043920217</v>
      </c>
      <c r="CT59" s="43" t="n">
        <f aca="false">In_Wind_MW*In_P50_Hours*(1-In_Curtailment)*(1-In_Degradation)^(CT20-1)*CT15*CT$6</f>
        <v>28783.1949788456</v>
      </c>
      <c r="CU59" s="43" t="n">
        <f aca="false">In_Wind_MW*In_P50_Hours*(1-In_Curtailment)*(1-In_Degradation)^(CU20-1)*CU15*CU$6</f>
        <v>28157.4733488707</v>
      </c>
      <c r="CV59" s="43" t="n">
        <f aca="false">In_Wind_MW*In_P50_Hours*(1-In_Curtailment)*(1-In_Degradation)^(CV20-1)*CV15*CV$6</f>
        <v>28470.3341638582</v>
      </c>
      <c r="CW59" s="43" t="n">
        <f aca="false">In_Wind_MW*In_P50_Hours*(1-In_Curtailment)*(1-In_Degradation)^(CW20-1)*CW15*CW$6</f>
        <v>28783.1949788456</v>
      </c>
      <c r="CX59" s="43" t="n">
        <f aca="false">In_Wind_MW*In_P50_Hours*(1-In_Curtailment)*(1-In_Degradation)^(CX20-1)*CX15*CX$6</f>
        <v>28696.8453939091</v>
      </c>
      <c r="CY59" s="43" t="n">
        <f aca="false">In_Wind_MW*In_P50_Hours*(1-In_Curtailment)*(1-In_Degradation)^(CY20-1)*CY15*CY$6</f>
        <v>28073.0009288241</v>
      </c>
      <c r="CZ59" s="43" t="n">
        <f aca="false">In_Wind_MW*In_P50_Hours*(1-In_Curtailment)*(1-In_Degradation)^(CZ20-1)*CZ15*CZ$6</f>
        <v>28384.9231613666</v>
      </c>
      <c r="DA59" s="43" t="n">
        <f aca="false">In_Wind_MW*In_P50_Hours*(1-In_Curtailment)*(1-In_Degradation)^(DA20-1)*DA15*DA$6</f>
        <v>28696.8453939091</v>
      </c>
      <c r="DB59" s="43" t="n">
        <f aca="false">In_Wind_MW*In_P50_Hours*(1-In_Curtailment)*(1-In_Degradation)^(DB20-1)*DB15*DB$6</f>
        <v>28610.7548577274</v>
      </c>
      <c r="DC59" s="43" t="n">
        <f aca="false">In_Wind_MW*In_P50_Hours*(1-In_Curtailment)*(1-In_Degradation)^(DC20-1)*DC15*DC$6</f>
        <v>27988.7819260376</v>
      </c>
      <c r="DD59" s="43" t="n">
        <f aca="false">In_Wind_MW*In_P50_Hours*(1-In_Curtailment)*(1-In_Degradation)^(DD20-1)*DD15*DD$6</f>
        <v>28299.7683918825</v>
      </c>
      <c r="DE59" s="43" t="n">
        <f aca="false">In_Wind_MW*In_P50_Hours*(1-In_Curtailment)*(1-In_Degradation)^(DE20-1)*DE15*DE$6</f>
        <v>28610.7548577274</v>
      </c>
      <c r="DF59" s="43" t="n">
        <f aca="false">In_Wind_MW*In_P50_Hours*(1-In_Curtailment)*(1-In_Degradation)^(DF20-1)*DF15*DF$6</f>
        <v>28524.9225931542</v>
      </c>
      <c r="DG59" s="43" t="n">
        <f aca="false">In_Wind_MW*In_P50_Hours*(1-In_Curtailment)*(1-In_Degradation)^(DG20-1)*DG15*DG$6</f>
        <v>28214.8690867069</v>
      </c>
      <c r="DH59" s="43" t="n">
        <f aca="false">In_Wind_MW*In_P50_Hours*(1-In_Curtailment)*(1-In_Degradation)^(DH20-1)*DH15*DH$6</f>
        <v>28214.8690867069</v>
      </c>
      <c r="DI59" s="43" t="n">
        <f aca="false">In_Wind_MW*In_P50_Hours*(1-In_Curtailment)*(1-In_Degradation)^(DI20-1)*DI15*DI$6</f>
        <v>28524.9225931542</v>
      </c>
      <c r="DJ59" s="43" t="n">
        <f aca="false">In_Wind_MW*In_P50_Hours*(1-In_Curtailment)*(1-In_Degradation)^(DJ20-1)*DJ15*DJ$6</f>
        <v>28439.3478253747</v>
      </c>
      <c r="DK59" s="43" t="n">
        <f aca="false">In_Wind_MW*In_P50_Hours*(1-In_Curtailment)*(1-In_Degradation)^(DK20-1)*DK15*DK$6</f>
        <v>27821.1011335187</v>
      </c>
      <c r="DL59" s="43" t="n">
        <f aca="false">In_Wind_MW*In_P50_Hours*(1-In_Curtailment)*(1-In_Degradation)^(DL20-1)*DL15*DL$6</f>
        <v>28130.2244794467</v>
      </c>
      <c r="DM59" s="43" t="n">
        <f aca="false">In_Wind_MW*In_P50_Hours*(1-In_Curtailment)*(1-In_Degradation)^(DM20-1)*DM15*DM$6</f>
        <v>28439.3478253747</v>
      </c>
      <c r="DN59" s="43" t="n">
        <f aca="false">In_Wind_MW*In_P50_Hours*(1-In_Curtailment)*(1-In_Degradation)^(DN20-1)*DN15*DN$6</f>
        <v>28354.0297818986</v>
      </c>
      <c r="DO59" s="43" t="n">
        <f aca="false">In_Wind_MW*In_P50_Hours*(1-In_Curtailment)*(1-In_Degradation)^(DO20-1)*DO15*DO$6</f>
        <v>27737.6378301182</v>
      </c>
      <c r="DP59" s="43" t="n">
        <f aca="false">In_Wind_MW*In_P50_Hours*(1-In_Curtailment)*(1-In_Degradation)^(DP20-1)*DP15*DP$6</f>
        <v>28045.8338060084</v>
      </c>
      <c r="DQ59" s="43" t="n">
        <f aca="false">In_Wind_MW*In_P50_Hours*(1-In_Curtailment)*(1-In_Degradation)^(DQ20-1)*DQ15*DQ$6</f>
        <v>28354.0297818986</v>
      </c>
      <c r="DR59" s="43" t="n">
        <f aca="false">In_Wind_MW*In_P50_Hours*(1-In_Curtailment)*(1-In_Degradation)^(DR20-1)*DR15*DR$6</f>
        <v>28268.9676925529</v>
      </c>
      <c r="DS59" s="43" t="n">
        <f aca="false">In_Wind_MW*In_P50_Hours*(1-In_Curtailment)*(1-In_Degradation)^(DS20-1)*DS15*DS$6</f>
        <v>27654.4249166278</v>
      </c>
      <c r="DT59" s="43" t="n">
        <f aca="false">In_Wind_MW*In_P50_Hours*(1-In_Curtailment)*(1-In_Degradation)^(DT20-1)*DT15*DT$6</f>
        <v>27961.6963045904</v>
      </c>
      <c r="DU59" s="43" t="n">
        <f aca="false">In_Wind_MW*In_P50_Hours*(1-In_Curtailment)*(1-In_Degradation)^(DU20-1)*DU15*DU$6</f>
        <v>28268.9676925529</v>
      </c>
      <c r="DV59" s="43" t="n">
        <f aca="false">In_Wind_MW*In_P50_Hours*(1-In_Curtailment)*(1-In_Degradation)^(DV20-1)*DV15*DV$6</f>
        <v>28184.1607894752</v>
      </c>
      <c r="DW59" s="43" t="n">
        <f aca="false">In_Wind_MW*In_P50_Hours*(1-In_Curtailment)*(1-In_Degradation)^(DW20-1)*DW15*DW$6</f>
        <v>27877.8112156766</v>
      </c>
      <c r="DX59" s="43" t="n">
        <f aca="false">In_Wind_MW*In_P50_Hours*(1-In_Curtailment)*(1-In_Degradation)^(DX20-1)*DX15*DX$6</f>
        <v>27877.8112156766</v>
      </c>
      <c r="DY59" s="43" t="n">
        <f aca="false">In_Wind_MW*In_P50_Hours*(1-In_Curtailment)*(1-In_Degradation)^(DY20-1)*DY15*DY$6</f>
        <v>28184.1607894752</v>
      </c>
      <c r="DZ59" s="43" t="n">
        <f aca="false">In_Wind_MW*In_P50_Hours*(1-In_Curtailment)*(1-In_Degradation)^(DZ20-1)*DZ15*DZ$6</f>
        <v>28099.6083071068</v>
      </c>
      <c r="EA59" s="43" t="n">
        <f aca="false">In_Wind_MW*In_P50_Hours*(1-In_Curtailment)*(1-In_Degradation)^(EA20-1)*EA15*EA$6</f>
        <v>27488.7472569523</v>
      </c>
      <c r="EB59" s="43" t="n">
        <f aca="false">In_Wind_MW*In_P50_Hours*(1-In_Curtailment)*(1-In_Degradation)^(EB20-1)*EB15*EB$6</f>
        <v>27794.1777820296</v>
      </c>
      <c r="EC59" s="43" t="n">
        <f aca="false">In_Wind_MW*In_P50_Hours*(1-In_Curtailment)*(1-In_Degradation)^(EC20-1)*EC15*EC$6</f>
        <v>28099.6083071068</v>
      </c>
      <c r="ED59" s="43" t="n">
        <f aca="false">In_Wind_MW*In_P50_Hours*(1-In_Curtailment)*(1-In_Degradation)^(ED20-1)*ED15*ED$6</f>
        <v>28015.3094821855</v>
      </c>
      <c r="EE59" s="43" t="n">
        <f aca="false">In_Wind_MW*In_P50_Hours*(1-In_Curtailment)*(1-In_Degradation)^(EE20-1)*EE15*EE$6</f>
        <v>27406.2810151815</v>
      </c>
      <c r="EF59" s="43" t="n">
        <f aca="false">In_Wind_MW*In_P50_Hours*(1-In_Curtailment)*(1-In_Degradation)^(EF20-1)*EF15*EF$6</f>
        <v>27710.7952486835</v>
      </c>
      <c r="EG59" s="43" t="n">
        <f aca="false">In_Wind_MW*In_P50_Hours*(1-In_Curtailment)*(1-In_Degradation)^(EG20-1)*EG15*EG$6</f>
        <v>28015.3094821855</v>
      </c>
      <c r="EH59" s="43" t="n">
        <f aca="false">In_Wind_MW*In_P50_Hours*(1-In_Curtailment)*(1-In_Degradation)^(EH20-1)*EH15*EH$6</f>
        <v>27931.2635537389</v>
      </c>
      <c r="EI59" s="43" t="n">
        <f aca="false">In_Wind_MW*In_P50_Hours*(1-In_Curtailment)*(1-In_Degradation)^(EI20-1)*EI15*EI$6</f>
        <v>27324.0621721359</v>
      </c>
      <c r="EJ59" s="43" t="n">
        <f aca="false">In_Wind_MW*In_P50_Hours*(1-In_Curtailment)*(1-In_Degradation)^(EJ20-1)*EJ15*EJ$6</f>
        <v>27627.6628629374</v>
      </c>
      <c r="EK59" s="43" t="n">
        <f aca="false">In_Wind_MW*In_P50_Hours*(1-In_Curtailment)*(1-In_Degradation)^(EK20-1)*EK15*EK$6</f>
        <v>27931.2635537389</v>
      </c>
      <c r="EL59" s="43" t="n">
        <f aca="false">In_Wind_MW*In_P50_Hours*(1-In_Curtailment)*(1-In_Degradation)^(EL20-1)*EL15*EL$6</f>
        <v>27847.4697630777</v>
      </c>
      <c r="EM59" s="43" t="n">
        <f aca="false">In_Wind_MW*In_P50_Hours*(1-In_Curtailment)*(1-In_Degradation)^(EM20-1)*EM15*EM$6</f>
        <v>27544.7798743486</v>
      </c>
      <c r="EN59" s="43" t="n">
        <f aca="false">In_Wind_MW*In_P50_Hours*(1-In_Curtailment)*(1-In_Degradation)^(EN20-1)*EN15*EN$6</f>
        <v>27544.7798743486</v>
      </c>
      <c r="EO59" s="43" t="n">
        <f aca="false">In_Wind_MW*In_P50_Hours*(1-In_Curtailment)*(1-In_Degradation)^(EO20-1)*EO15*EO$6</f>
        <v>27847.4697630777</v>
      </c>
    </row>
    <row r="60" customFormat="false" ht="15" hidden="false" customHeight="false" outlineLevel="0" collapsed="false">
      <c r="C60" s="0" t="s">
        <v>371</v>
      </c>
      <c r="D60" s="11" t="s">
        <v>33</v>
      </c>
      <c r="E60" s="43" t="n">
        <f aca="false">SUMIF($J$7:$EO$7,YEAR(In_COD)+1,$J60:$EO60)</f>
        <v>10948.8006418192</v>
      </c>
      <c r="I60" s="43" t="n">
        <f aca="false">SUM(J60:EO60)</f>
        <v>363558.718290489</v>
      </c>
      <c r="J60" s="43" t="n">
        <f aca="false">J59*J58/Thousand</f>
        <v>0</v>
      </c>
      <c r="K60" s="43" t="n">
        <f aca="false">K59*K58/Thousand</f>
        <v>0</v>
      </c>
      <c r="L60" s="43" t="n">
        <f aca="false">L59*L58/Thousand</f>
        <v>0</v>
      </c>
      <c r="M60" s="43" t="n">
        <f aca="false">M59*M58/Thousand</f>
        <v>0</v>
      </c>
      <c r="N60" s="43" t="n">
        <f aca="false">N59*N58/Thousand</f>
        <v>0</v>
      </c>
      <c r="O60" s="43" t="n">
        <f aca="false">O59*O58/Thousand</f>
        <v>0</v>
      </c>
      <c r="P60" s="43" t="n">
        <f aca="false">P59*P58/Thousand</f>
        <v>0</v>
      </c>
      <c r="Q60" s="43" t="n">
        <f aca="false">Q59*Q58/Thousand</f>
        <v>0</v>
      </c>
      <c r="R60" s="43" t="n">
        <f aca="false">R59*R58/Thousand</f>
        <v>0</v>
      </c>
      <c r="S60" s="43" t="n">
        <f aca="false">S59*S58/Thousand</f>
        <v>0</v>
      </c>
      <c r="T60" s="43" t="n">
        <f aca="false">T59*T58/Thousand</f>
        <v>0</v>
      </c>
      <c r="U60" s="43" t="n">
        <f aca="false">U59*U58/Thousand</f>
        <v>0</v>
      </c>
      <c r="V60" s="43" t="n">
        <f aca="false">V59*V58/Thousand</f>
        <v>0</v>
      </c>
      <c r="W60" s="43" t="n">
        <f aca="false">W59*W58/Thousand</f>
        <v>0</v>
      </c>
      <c r="X60" s="43" t="n">
        <f aca="false">X59*X58/Thousand</f>
        <v>0</v>
      </c>
      <c r="Y60" s="43" t="n">
        <f aca="false">Y59*Y58/Thousand</f>
        <v>0</v>
      </c>
      <c r="Z60" s="43" t="n">
        <f aca="false">Z59*Z58/Thousand</f>
        <v>2734.44164383562</v>
      </c>
      <c r="AA60" s="43" t="n">
        <f aca="false">AA59*AA58/Thousand</f>
        <v>2701.74723287671</v>
      </c>
      <c r="AB60" s="43" t="n">
        <f aca="false">AB59*AB58/Thousand</f>
        <v>2731.76664657534</v>
      </c>
      <c r="AC60" s="43" t="n">
        <f aca="false">AC59*AC58/Thousand</f>
        <v>2761.78606027397</v>
      </c>
      <c r="AD60" s="43" t="n">
        <f aca="false">AD59*AD58/Thousand</f>
        <v>2753.50070209315</v>
      </c>
      <c r="AE60" s="43" t="n">
        <f aca="false">AE59*AE58/Thousand</f>
        <v>2750.80706010197</v>
      </c>
      <c r="AF60" s="43" t="n">
        <f aca="false">AF59*AF58/Thousand</f>
        <v>2750.80706010197</v>
      </c>
      <c r="AG60" s="43" t="n">
        <f aca="false">AG59*AG58/Thousand</f>
        <v>2781.03570911408</v>
      </c>
      <c r="AH60" s="43" t="n">
        <f aca="false">AH59*AH58/Thousand</f>
        <v>2772.69260198674</v>
      </c>
      <c r="AI60" s="43" t="n">
        <f aca="false">AI59*AI58/Thousand</f>
        <v>2739.54084261516</v>
      </c>
      <c r="AJ60" s="43" t="n">
        <f aca="false">AJ59*AJ58/Thousand</f>
        <v>2769.98018531088</v>
      </c>
      <c r="AK60" s="43" t="n">
        <f aca="false">AK59*AK58/Thousand</f>
        <v>2800.41952800661</v>
      </c>
      <c r="AL60" s="43" t="n">
        <f aca="false">AL59*AL58/Thousand</f>
        <v>2792.01826942259</v>
      </c>
      <c r="AM60" s="43" t="n">
        <f aca="false">AM59*AM58/Thousand</f>
        <v>2758.63544228819</v>
      </c>
      <c r="AN60" s="43" t="n">
        <f aca="false">AN59*AN58/Thousand</f>
        <v>2789.2869472025</v>
      </c>
      <c r="AO60" s="43" t="n">
        <f aca="false">AO59*AO58/Thousand</f>
        <v>2819.93845211681</v>
      </c>
      <c r="AP60" s="43" t="n">
        <f aca="false">AP59*AP58/Thousand</f>
        <v>2811.47863676046</v>
      </c>
      <c r="AQ60" s="43" t="n">
        <f aca="false">AQ59*AQ58/Thousand</f>
        <v>2777.86313132094</v>
      </c>
      <c r="AR60" s="43" t="n">
        <f aca="false">AR59*AR58/Thousand</f>
        <v>2808.7282772245</v>
      </c>
      <c r="AS60" s="43" t="n">
        <f aca="false">AS59*AS58/Thousand</f>
        <v>2839.59342312807</v>
      </c>
      <c r="AT60" s="43" t="n">
        <f aca="false">AT59*AT58/Thousand</f>
        <v>2831.07464285868</v>
      </c>
      <c r="AU60" s="43" t="n">
        <f aca="false">AU59*AU58/Thousand</f>
        <v>2828.30511331676</v>
      </c>
      <c r="AV60" s="43" t="n">
        <f aca="false">AV59*AV58/Thousand</f>
        <v>2828.30511331676</v>
      </c>
      <c r="AW60" s="43" t="n">
        <f aca="false">AW59*AW58/Thousand</f>
        <v>2859.38538928727</v>
      </c>
      <c r="AX60" s="43" t="n">
        <f aca="false">AX59*AX58/Thousand</f>
        <v>2850.80723311941</v>
      </c>
      <c r="AY60" s="43" t="n">
        <f aca="false">AY59*AY58/Thousand</f>
        <v>2816.72149446255</v>
      </c>
      <c r="AZ60" s="43" t="n">
        <f aca="false">AZ59*AZ58/Thousand</f>
        <v>2848.01839995657</v>
      </c>
      <c r="BA60" s="43" t="n">
        <f aca="false">BA59*BA58/Thousand</f>
        <v>2879.3153054506</v>
      </c>
      <c r="BB60" s="43" t="n">
        <f aca="false">BB59*BB58/Thousand</f>
        <v>2870.67735953425</v>
      </c>
      <c r="BC60" s="43" t="n">
        <f aca="false">BC59*BC58/Thousand</f>
        <v>2836.35404327895</v>
      </c>
      <c r="BD60" s="43" t="n">
        <f aca="false">BD59*BD58/Thousand</f>
        <v>2867.86908820427</v>
      </c>
      <c r="BE60" s="43" t="n">
        <f aca="false">BE59*BE58/Thousand</f>
        <v>2899.38413312959</v>
      </c>
      <c r="BF60" s="43" t="n">
        <f aca="false">BF59*BF58/Thousand</f>
        <v>2890.68598073021</v>
      </c>
      <c r="BG60" s="43" t="n">
        <f aca="false">BG59*BG58/Thousand</f>
        <v>2856.1234309606</v>
      </c>
      <c r="BH60" s="43" t="n">
        <f aca="false">BH59*BH58/Thousand</f>
        <v>2887.85813574906</v>
      </c>
      <c r="BI60" s="43" t="n">
        <f aca="false">BI59*BI58/Thousand</f>
        <v>2919.59284053751</v>
      </c>
      <c r="BJ60" s="43" t="n">
        <f aca="false">BJ59*BJ58/Thousand</f>
        <v>2910.83406201589</v>
      </c>
      <c r="BK60" s="43" t="n">
        <f aca="false">BK59*BK58/Thousand</f>
        <v>2907.98650695523</v>
      </c>
      <c r="BL60" s="43" t="n">
        <f aca="false">BL59*BL58/Thousand</f>
        <v>2907.98650695523</v>
      </c>
      <c r="BM60" s="43" t="n">
        <f aca="false">BM59*BM58/Thousand</f>
        <v>2939.94240263605</v>
      </c>
      <c r="BN60" s="43" t="n">
        <f aca="false">BN59*BN58/Thousand</f>
        <v>2931.12257542815</v>
      </c>
      <c r="BO60" s="43" t="n">
        <f aca="false">BO59*BO58/Thousand</f>
        <v>2896.07654463498</v>
      </c>
      <c r="BP60" s="43" t="n">
        <f aca="false">BP59*BP58/Thousand</f>
        <v>2928.2551729087</v>
      </c>
      <c r="BQ60" s="43" t="n">
        <f aca="false">BQ59*BQ58/Thousand</f>
        <v>2960.43380118243</v>
      </c>
      <c r="BR60" s="43" t="n">
        <f aca="false">BR59*BR58/Thousand</f>
        <v>2951.55249977888</v>
      </c>
      <c r="BS60" s="43" t="n">
        <f aca="false">BS59*BS58/Thousand</f>
        <v>2916.26219815109</v>
      </c>
      <c r="BT60" s="43" t="n">
        <f aca="false">BT59*BT58/Thousand</f>
        <v>2948.66511146388</v>
      </c>
      <c r="BU60" s="43" t="n">
        <f aca="false">BU59*BU58/Thousand</f>
        <v>2981.06802477667</v>
      </c>
      <c r="BV60" s="43" t="n">
        <f aca="false">BV59*BV58/Thousand</f>
        <v>2972.12482070234</v>
      </c>
      <c r="BW60" s="43" t="n">
        <f aca="false">BW59*BW58/Thousand</f>
        <v>2936.5885456722</v>
      </c>
      <c r="BX60" s="43" t="n">
        <f aca="false">BX59*BX58/Thousand</f>
        <v>2969.21730729078</v>
      </c>
      <c r="BY60" s="43" t="n">
        <f aca="false">BY59*BY58/Thousand</f>
        <v>3001.84606890936</v>
      </c>
      <c r="BZ60" s="43" t="n">
        <f aca="false">BZ59*BZ58/Thousand</f>
        <v>2992.84053070263</v>
      </c>
      <c r="CA60" s="43" t="n">
        <f aca="false">CA59*CA58/Thousand</f>
        <v>2989.9127519226</v>
      </c>
      <c r="CB60" s="43" t="n">
        <f aca="false">CB59*CB58/Thousand</f>
        <v>2989.9127519226</v>
      </c>
      <c r="CC60" s="43" t="n">
        <f aca="false">CC59*CC58/Thousand</f>
        <v>3022.76893600966</v>
      </c>
      <c r="CD60" s="43" t="n">
        <f aca="false">CD59*CD58/Thousand</f>
        <v>3013.70062920163</v>
      </c>
      <c r="CE60" s="43" t="n">
        <f aca="false">CE59*CE58/Thousand</f>
        <v>2977.66725211335</v>
      </c>
      <c r="CF60" s="43" t="n">
        <f aca="false">CF59*CF58/Thousand</f>
        <v>3010.7524438035</v>
      </c>
      <c r="CG60" s="43" t="n">
        <f aca="false">CG59*CG58/Thousand</f>
        <v>3043.83763549365</v>
      </c>
      <c r="CH60" s="43" t="n">
        <f aca="false">CH59*CH58/Thousand</f>
        <v>3034.70612258717</v>
      </c>
      <c r="CI60" s="43" t="n">
        <f aca="false">CI59*CI58/Thousand</f>
        <v>2998.42159286058</v>
      </c>
      <c r="CJ60" s="43" t="n">
        <f aca="false">CJ59*CJ58/Thousand</f>
        <v>3031.73738833681</v>
      </c>
      <c r="CK60" s="43" t="n">
        <f aca="false">CK59*CK58/Thousand</f>
        <v>3065.05318381304</v>
      </c>
      <c r="CL60" s="43" t="n">
        <f aca="false">CL59*CL58/Thousand</f>
        <v>3055.8580242616</v>
      </c>
      <c r="CM60" s="43" t="n">
        <f aca="false">CM59*CM58/Thousand</f>
        <v>3019.32059136282</v>
      </c>
      <c r="CN60" s="43" t="n">
        <f aca="false">CN59*CN58/Thousand</f>
        <v>3052.86859793352</v>
      </c>
      <c r="CO60" s="43" t="n">
        <f aca="false">CO59*CO58/Thousand</f>
        <v>3086.41660450422</v>
      </c>
      <c r="CP60" s="43" t="n">
        <f aca="false">CP59*CP58/Thousand</f>
        <v>3077.1573546907</v>
      </c>
      <c r="CQ60" s="43" t="n">
        <f aca="false">CQ59*CQ58/Thousand</f>
        <v>3074.14709206111</v>
      </c>
      <c r="CR60" s="43" t="n">
        <f aca="false">CR59*CR58/Thousand</f>
        <v>3074.14709206111</v>
      </c>
      <c r="CS60" s="43" t="n">
        <f aca="false">CS59*CS58/Thousand</f>
        <v>3107.92892823761</v>
      </c>
      <c r="CT60" s="43" t="n">
        <f aca="false">CT59*CT58/Thousand</f>
        <v>3098.6051414529</v>
      </c>
      <c r="CU60" s="43" t="n">
        <f aca="false">CU59*CU58/Thousand</f>
        <v>3061.55660171813</v>
      </c>
      <c r="CV60" s="43" t="n">
        <f aca="false">CV59*CV58/Thousand</f>
        <v>3095.57389729278</v>
      </c>
      <c r="CW60" s="43" t="n">
        <f aca="false">CW59*CW58/Thousand</f>
        <v>3129.59119286743</v>
      </c>
      <c r="CX60" s="43" t="n">
        <f aca="false">CX59*CX58/Thousand</f>
        <v>3120.20241928882</v>
      </c>
      <c r="CY60" s="43" t="n">
        <f aca="false">CY59*CY58/Thousand</f>
        <v>3082.89565123211</v>
      </c>
      <c r="CZ60" s="43" t="n">
        <f aca="false">CZ59*CZ58/Thousand</f>
        <v>3117.15004735691</v>
      </c>
      <c r="DA60" s="43" t="n">
        <f aca="false">DA59*DA58/Thousand</f>
        <v>3151.40444348171</v>
      </c>
      <c r="DB60" s="43" t="n">
        <f aca="false">DB59*DB58/Thousand</f>
        <v>3141.95023015127</v>
      </c>
      <c r="DC60" s="43" t="n">
        <f aca="false">DC59*DC58/Thousand</f>
        <v>3104.3834339212</v>
      </c>
      <c r="DD60" s="43" t="n">
        <f aca="false">DD59*DD58/Thousand</f>
        <v>3138.87658318699</v>
      </c>
      <c r="DE60" s="43" t="n">
        <f aca="false">DE59*DE58/Thousand</f>
        <v>3173.36973245278</v>
      </c>
      <c r="DF60" s="43" t="n">
        <f aca="false">DF59*DF58/Thousand</f>
        <v>3163.84962325542</v>
      </c>
      <c r="DG60" s="43" t="n">
        <f aca="false">DG59*DG58/Thousand</f>
        <v>3160.7545529718</v>
      </c>
      <c r="DH60" s="43" t="n">
        <f aca="false">DH59*DH58/Thousand</f>
        <v>3160.7545529718</v>
      </c>
      <c r="DI60" s="43" t="n">
        <f aca="false">DI59*DI58/Thousand</f>
        <v>3195.48811948797</v>
      </c>
      <c r="DJ60" s="43" t="n">
        <f aca="false">DJ59*DJ58/Thousand</f>
        <v>3185.90165512951</v>
      </c>
      <c r="DK60" s="43" t="n">
        <f aca="false">DK59*DK58/Thousand</f>
        <v>3147.80935273122</v>
      </c>
      <c r="DL60" s="43" t="n">
        <f aca="false">DL59*DL58/Thousand</f>
        <v>3182.78501220601</v>
      </c>
      <c r="DM60" s="43" t="n">
        <f aca="false">DM59*DM58/Thousand</f>
        <v>3217.76067168081</v>
      </c>
      <c r="DN60" s="43" t="n">
        <f aca="false">DN59*DN58/Thousand</f>
        <v>3208.10738966576</v>
      </c>
      <c r="DO60" s="43" t="n">
        <f aca="false">DO59*DO58/Thousand</f>
        <v>3169.74958391976</v>
      </c>
      <c r="DP60" s="43" t="n">
        <f aca="false">DP59*DP58/Thousand</f>
        <v>3204.96902374109</v>
      </c>
      <c r="DQ60" s="43" t="n">
        <f aca="false">DQ59*DQ58/Thousand</f>
        <v>3240.18846356242</v>
      </c>
      <c r="DR60" s="43" t="n">
        <f aca="false">DR59*DR58/Thousand</f>
        <v>3230.46789817173</v>
      </c>
      <c r="DS60" s="43" t="n">
        <f aca="false">DS59*DS58/Thousand</f>
        <v>3191.84273851968</v>
      </c>
      <c r="DT60" s="43" t="n">
        <f aca="false">DT59*DT58/Thousand</f>
        <v>3227.30765783657</v>
      </c>
      <c r="DU60" s="43" t="n">
        <f aca="false">DU59*DU58/Thousand</f>
        <v>3262.77257715345</v>
      </c>
      <c r="DV60" s="43" t="n">
        <f aca="false">DV59*DV58/Thousand</f>
        <v>3252.98425942199</v>
      </c>
      <c r="DW60" s="43" t="n">
        <f aca="false">DW59*DW58/Thousand</f>
        <v>3249.80199221169</v>
      </c>
      <c r="DX60" s="43" t="n">
        <f aca="false">DX59*DX58/Thousand</f>
        <v>3249.80199221169</v>
      </c>
      <c r="DY60" s="43" t="n">
        <f aca="false">DY59*DY58/Thousand</f>
        <v>3285.51410201621</v>
      </c>
      <c r="DZ60" s="43" t="n">
        <f aca="false">DZ59*DZ58/Thousand</f>
        <v>3275.65755971016</v>
      </c>
      <c r="EA60" s="43" t="n">
        <f aca="false">EA59*EA58/Thousand</f>
        <v>3236.49208888754</v>
      </c>
      <c r="EB60" s="43" t="n">
        <f aca="false">EB59*EB58/Thousand</f>
        <v>3272.4531120974</v>
      </c>
      <c r="EC60" s="43" t="n">
        <f aca="false">EC59*EC58/Thousand</f>
        <v>3308.41413530726</v>
      </c>
      <c r="ED60" s="43" t="n">
        <f aca="false">ED59*ED58/Thousand</f>
        <v>3298.48889290134</v>
      </c>
      <c r="EE60" s="43" t="n">
        <f aca="false">EE59*EE58/Thousand</f>
        <v>3259.05043874709</v>
      </c>
      <c r="EF60" s="43" t="n">
        <f aca="false">EF59*EF58/Thousand</f>
        <v>3295.26211028872</v>
      </c>
      <c r="EG60" s="43" t="n">
        <f aca="false">EG59*EG58/Thousand</f>
        <v>3331.47378183036</v>
      </c>
      <c r="EH60" s="43" t="n">
        <f aca="false">EH59*EH58/Thousand</f>
        <v>3321.47936048486</v>
      </c>
      <c r="EI60" s="43" t="n">
        <f aca="false">EI59*EI58/Thousand</f>
        <v>3281.76602030515</v>
      </c>
      <c r="EJ60" s="43" t="n">
        <f aca="false">EJ59*EJ58/Thousand</f>
        <v>3318.23008719743</v>
      </c>
      <c r="EK60" s="43" t="n">
        <f aca="false">EK59*EK58/Thousand</f>
        <v>3354.69415408971</v>
      </c>
      <c r="EL60" s="43" t="n">
        <f aca="false">EL59*EL58/Thousand</f>
        <v>3344.63007162744</v>
      </c>
      <c r="EM60" s="43" t="n">
        <f aca="false">EM59*EM58/Thousand</f>
        <v>3341.3581509052</v>
      </c>
      <c r="EN60" s="43" t="n">
        <f aca="false">EN59*EN58/Thousand</f>
        <v>3341.3581509052</v>
      </c>
      <c r="EO60" s="43" t="n">
        <f aca="false">EO59*EO58/Thousand</f>
        <v>3378.07637234372</v>
      </c>
    </row>
    <row r="61" customFormat="false" ht="15" hidden="false" customHeight="false" outlineLevel="0" collapsed="false">
      <c r="C61" s="0" t="s">
        <v>372</v>
      </c>
      <c r="D61" s="11" t="s">
        <v>33</v>
      </c>
      <c r="I61" s="43" t="n">
        <f aca="false">SUM(J61:EO61)</f>
        <v>-25691.6788451423</v>
      </c>
      <c r="J61" s="43" t="n">
        <f aca="false">-In_Var_Opex*J59*J57/Thousand</f>
        <v>-0</v>
      </c>
      <c r="K61" s="43" t="n">
        <f aca="false">-In_Var_Opex*K59*K57/Thousand</f>
        <v>-0</v>
      </c>
      <c r="L61" s="43" t="n">
        <f aca="false">-In_Var_Opex*L59*L57/Thousand</f>
        <v>-0</v>
      </c>
      <c r="M61" s="43" t="n">
        <f aca="false">-In_Var_Opex*M59*M57/Thousand</f>
        <v>-0</v>
      </c>
      <c r="N61" s="43" t="n">
        <f aca="false">-In_Var_Opex*N59*N57/Thousand</f>
        <v>-0</v>
      </c>
      <c r="O61" s="43" t="n">
        <f aca="false">-In_Var_Opex*O59*O57/Thousand</f>
        <v>-0</v>
      </c>
      <c r="P61" s="43" t="n">
        <f aca="false">-In_Var_Opex*P59*P57/Thousand</f>
        <v>-0</v>
      </c>
      <c r="Q61" s="43" t="n">
        <f aca="false">-In_Var_Opex*Q59*Q57/Thousand</f>
        <v>-0</v>
      </c>
      <c r="R61" s="43" t="n">
        <f aca="false">-In_Var_Opex*R59*R57/Thousand</f>
        <v>-0</v>
      </c>
      <c r="S61" s="43" t="n">
        <f aca="false">-In_Var_Opex*S59*S57/Thousand</f>
        <v>-0</v>
      </c>
      <c r="T61" s="43" t="n">
        <f aca="false">-In_Var_Opex*T59*T57/Thousand</f>
        <v>-0</v>
      </c>
      <c r="U61" s="43" t="n">
        <f aca="false">-In_Var_Opex*U59*U57/Thousand</f>
        <v>-0</v>
      </c>
      <c r="V61" s="43" t="n">
        <f aca="false">-In_Var_Opex*V59*V57/Thousand</f>
        <v>-0</v>
      </c>
      <c r="W61" s="43" t="n">
        <f aca="false">-In_Var_Opex*W59*W57/Thousand</f>
        <v>-0</v>
      </c>
      <c r="X61" s="43" t="n">
        <f aca="false">-In_Var_Opex*X59*X57/Thousand</f>
        <v>-0</v>
      </c>
      <c r="Y61" s="43" t="n">
        <f aca="false">-In_Var_Opex*Y59*Y57/Thousand</f>
        <v>-0</v>
      </c>
      <c r="Z61" s="43" t="n">
        <f aca="false">-In_Var_Opex*Z59*Z57/Thousand</f>
        <v>-151.913424657534</v>
      </c>
      <c r="AA61" s="43" t="n">
        <f aca="false">-In_Var_Opex*AA59*AA57/Thousand</f>
        <v>-152.326232876712</v>
      </c>
      <c r="AB61" s="43" t="n">
        <f aca="false">-In_Var_Opex*AB59*AB57/Thousand</f>
        <v>-154.018746575342</v>
      </c>
      <c r="AC61" s="43" t="n">
        <f aca="false">-In_Var_Opex*AC59*AC57/Thousand</f>
        <v>-155.711260273973</v>
      </c>
      <c r="AD61" s="43" t="n">
        <f aca="false">-In_Var_Opex*AD59*AD57/Thousand</f>
        <v>-155.244126493151</v>
      </c>
      <c r="AE61" s="43" t="n">
        <f aca="false">-In_Var_Opex*AE59*AE57/Thousand</f>
        <v>-157.395607594007</v>
      </c>
      <c r="AF61" s="43" t="n">
        <f aca="false">-In_Var_Opex*AF59*AF57/Thousand</f>
        <v>-157.395607594007</v>
      </c>
      <c r="AG61" s="43" t="n">
        <f aca="false">-In_Var_Opex*AG59*AG57/Thousand</f>
        <v>-159.125229655479</v>
      </c>
      <c r="AH61" s="43" t="n">
        <f aca="false">-In_Var_Opex*AH59*AH57/Thousand</f>
        <v>-158.647853966513</v>
      </c>
      <c r="AI61" s="43" t="n">
        <f aca="false">-In_Var_Opex*AI59*AI57/Thousand</f>
        <v>-159.078962265335</v>
      </c>
      <c r="AJ61" s="43" t="n">
        <f aca="false">-In_Var_Opex*AJ59*AJ57/Thousand</f>
        <v>-160.846506290505</v>
      </c>
      <c r="AK61" s="43" t="n">
        <f aca="false">-In_Var_Opex*AK59*AK57/Thousand</f>
        <v>-162.614050315676</v>
      </c>
      <c r="AL61" s="43" t="n">
        <f aca="false">-In_Var_Opex*AL59*AL57/Thousand</f>
        <v>-162.126208164729</v>
      </c>
      <c r="AM61" s="43" t="n">
        <f aca="false">-In_Var_Opex*AM59*AM57/Thousand</f>
        <v>-162.566768513002</v>
      </c>
      <c r="AN61" s="43" t="n">
        <f aca="false">-In_Var_Opex*AN59*AN57/Thousand</f>
        <v>-164.373065940925</v>
      </c>
      <c r="AO61" s="43" t="n">
        <f aca="false">-In_Var_Opex*AO59*AO57/Thousand</f>
        <v>-166.179363368847</v>
      </c>
      <c r="AP61" s="43" t="n">
        <f aca="false">-In_Var_Opex*AP59*AP57/Thousand</f>
        <v>-165.68082527874</v>
      </c>
      <c r="AQ61" s="43" t="n">
        <f aca="false">-In_Var_Opex*AQ59*AQ57/Thousand</f>
        <v>-166.13104491265</v>
      </c>
      <c r="AR61" s="43" t="n">
        <f aca="false">-In_Var_Opex*AR59*AR57/Thousand</f>
        <v>-167.976945411679</v>
      </c>
      <c r="AS61" s="43" t="n">
        <f aca="false">-In_Var_Opex*AS59*AS57/Thousand</f>
        <v>-169.822845910709</v>
      </c>
      <c r="AT61" s="43" t="n">
        <f aca="false">-In_Var_Opex*AT59*AT57/Thousand</f>
        <v>-169.313377372977</v>
      </c>
      <c r="AU61" s="43" t="n">
        <f aca="false">-In_Var_Opex*AU59*AU57/Thousand</f>
        <v>-171.659839939831</v>
      </c>
      <c r="AV61" s="43" t="n">
        <f aca="false">-In_Var_Opex*AV59*AV57/Thousand</f>
        <v>-171.659839939831</v>
      </c>
      <c r="AW61" s="43" t="n">
        <f aca="false">-In_Var_Opex*AW59*AW57/Thousand</f>
        <v>-173.546211807301</v>
      </c>
      <c r="AX61" s="43" t="n">
        <f aca="false">-In_Var_Opex*AX59*AX57/Thousand</f>
        <v>-173.025573171879</v>
      </c>
      <c r="AY61" s="43" t="n">
        <f aca="false">-In_Var_Opex*AY59*AY57/Thousand</f>
        <v>-173.495751359846</v>
      </c>
      <c r="AZ61" s="43" t="n">
        <f aca="false">-In_Var_Opex*AZ59*AZ57/Thousand</f>
        <v>-175.423481930511</v>
      </c>
      <c r="BA61" s="43" t="n">
        <f aca="false">-In_Var_Opex*BA59*BA57/Thousand</f>
        <v>-177.351212501176</v>
      </c>
      <c r="BB61" s="43" t="n">
        <f aca="false">-In_Var_Opex*BB59*BB57/Thousand</f>
        <v>-176.819158863673</v>
      </c>
      <c r="BC61" s="43" t="n">
        <f aca="false">-In_Var_Opex*BC59*BC57/Thousand</f>
        <v>-177.299645708411</v>
      </c>
      <c r="BD61" s="43" t="n">
        <f aca="false">-In_Var_Opex*BD59*BD57/Thousand</f>
        <v>-179.269641771838</v>
      </c>
      <c r="BE61" s="43" t="n">
        <f aca="false">-In_Var_Opex*BE59*BE57/Thousand</f>
        <v>-181.239637835265</v>
      </c>
      <c r="BF61" s="43" t="n">
        <f aca="false">-In_Var_Opex*BF59*BF57/Thousand</f>
        <v>-180.695918921759</v>
      </c>
      <c r="BG61" s="43" t="n">
        <f aca="false">-In_Var_Opex*BG59*BG57/Thousand</f>
        <v>-181.186940440568</v>
      </c>
      <c r="BH61" s="43" t="n">
        <f aca="false">-In_Var_Opex*BH59*BH57/Thousand</f>
        <v>-183.200128667685</v>
      </c>
      <c r="BI61" s="43" t="n">
        <f aca="false">-In_Var_Opex*BI59*BI57/Thousand</f>
        <v>-185.213316894803</v>
      </c>
      <c r="BJ61" s="43" t="n">
        <f aca="false">-In_Var_Opex*BJ59*BJ57/Thousand</f>
        <v>-184.657676944118</v>
      </c>
      <c r="BK61" s="43" t="n">
        <f aca="false">-In_Var_Opex*BK59*BK57/Thousand</f>
        <v>-187.216791488724</v>
      </c>
      <c r="BL61" s="43" t="n">
        <f aca="false">-In_Var_Opex*BL59*BL57/Thousand</f>
        <v>-187.216791488724</v>
      </c>
      <c r="BM61" s="43" t="n">
        <f aca="false">-In_Var_Opex*BM59*BM57/Thousand</f>
        <v>-189.274118867721</v>
      </c>
      <c r="BN61" s="43" t="n">
        <f aca="false">-In_Var_Opex*BN59*BN57/Thousand</f>
        <v>-188.706296511118</v>
      </c>
      <c r="BO61" s="43" t="n">
        <f aca="false">-In_Var_Opex*BO59*BO57/Thousand</f>
        <v>-189.219085360333</v>
      </c>
      <c r="BP61" s="43" t="n">
        <f aca="false">-In_Var_Opex*BP59*BP57/Thousand</f>
        <v>-191.321519642115</v>
      </c>
      <c r="BQ61" s="43" t="n">
        <f aca="false">-In_Var_Opex*BQ59*BQ57/Thousand</f>
        <v>-193.423953923896</v>
      </c>
      <c r="BR61" s="43" t="n">
        <f aca="false">-In_Var_Opex*BR59*BR57/Thousand</f>
        <v>-192.843682062124</v>
      </c>
      <c r="BS61" s="43" t="n">
        <f aca="false">-In_Var_Opex*BS59*BS57/Thousand</f>
        <v>-193.367713806858</v>
      </c>
      <c r="BT61" s="43" t="n">
        <f aca="false">-In_Var_Opex*BT59*BT57/Thousand</f>
        <v>-195.516243960268</v>
      </c>
      <c r="BU61" s="43" t="n">
        <f aca="false">-In_Var_Opex*BU59*BU57/Thousand</f>
        <v>-197.664774113677</v>
      </c>
      <c r="BV61" s="43" t="n">
        <f aca="false">-In_Var_Opex*BV59*BV57/Thousand</f>
        <v>-197.071779791336</v>
      </c>
      <c r="BW61" s="43" t="n">
        <f aca="false">-In_Var_Opex*BW59*BW57/Thousand</f>
        <v>-197.607300932074</v>
      </c>
      <c r="BX61" s="43" t="n">
        <f aca="false">-In_Var_Opex*BX59*BX57/Thousand</f>
        <v>-199.802937609097</v>
      </c>
      <c r="BY61" s="43" t="n">
        <f aca="false">-In_Var_Opex*BY59*BY57/Thousand</f>
        <v>-201.99857428612</v>
      </c>
      <c r="BZ61" s="43" t="n">
        <f aca="false">-In_Var_Opex*BZ59*BZ57/Thousand</f>
        <v>-201.392578563261</v>
      </c>
      <c r="CA61" s="43" t="n">
        <f aca="false">-In_Var_Opex*CA59*CA57/Thousand</f>
        <v>-204.183617016176</v>
      </c>
      <c r="CB61" s="43" t="n">
        <f aca="false">-In_Var_Opex*CB59*CB57/Thousand</f>
        <v>-204.183617016176</v>
      </c>
      <c r="CC61" s="43" t="n">
        <f aca="false">-In_Var_Opex*CC59*CC57/Thousand</f>
        <v>-206.427393027343</v>
      </c>
      <c r="CD61" s="43" t="n">
        <f aca="false">-In_Var_Opex*CD59*CD57/Thousand</f>
        <v>-205.808110848261</v>
      </c>
      <c r="CE61" s="43" t="n">
        <f aca="false">-In_Var_Opex*CE59*CE57/Thousand</f>
        <v>-206.367372019044</v>
      </c>
      <c r="CF61" s="43" t="n">
        <f aca="false">-In_Var_Opex*CF59*CF57/Thousand</f>
        <v>-208.660342819256</v>
      </c>
      <c r="CG61" s="43" t="n">
        <f aca="false">-In_Var_Opex*CG59*CG57/Thousand</f>
        <v>-210.953313619467</v>
      </c>
      <c r="CH61" s="43" t="n">
        <f aca="false">-In_Var_Opex*CH59*CH57/Thousand</f>
        <v>-210.320453678609</v>
      </c>
      <c r="CI61" s="43" t="n">
        <f aca="false">-In_Var_Opex*CI59*CI57/Thousand</f>
        <v>-210.891976650562</v>
      </c>
      <c r="CJ61" s="43" t="n">
        <f aca="false">-In_Var_Opex*CJ59*CJ57/Thousand</f>
        <v>-213.235220835568</v>
      </c>
      <c r="CK61" s="43" t="n">
        <f aca="false">-In_Var_Opex*CK59*CK57/Thousand</f>
        <v>-215.578465020574</v>
      </c>
      <c r="CL61" s="43" t="n">
        <f aca="false">-In_Var_Opex*CL59*CL57/Thousand</f>
        <v>-214.931729625513</v>
      </c>
      <c r="CM61" s="43" t="n">
        <f aca="false">-In_Var_Opex*CM59*CM57/Thousand</f>
        <v>-215.515783238625</v>
      </c>
      <c r="CN61" s="43" t="n">
        <f aca="false">-In_Var_Opex*CN59*CN57/Thousand</f>
        <v>-217.910403052388</v>
      </c>
      <c r="CO61" s="43" t="n">
        <f aca="false">-In_Var_Opex*CO59*CO57/Thousand</f>
        <v>-220.30502286615</v>
      </c>
      <c r="CP61" s="43" t="n">
        <f aca="false">-In_Var_Opex*CP59*CP57/Thousand</f>
        <v>-219.644107797552</v>
      </c>
      <c r="CQ61" s="43" t="n">
        <f aca="false">-In_Var_Opex*CQ59*CQ57/Thousand</f>
        <v>-222.688088639311</v>
      </c>
      <c r="CR61" s="43" t="n">
        <f aca="false">-In_Var_Opex*CR59*CR57/Thousand</f>
        <v>-222.688088639311</v>
      </c>
      <c r="CS61" s="43" t="n">
        <f aca="false">-In_Var_Opex*CS59*CS57/Thousand</f>
        <v>-225.135210492491</v>
      </c>
      <c r="CT61" s="43" t="n">
        <f aca="false">-In_Var_Opex*CT59*CT57/Thousand</f>
        <v>-224.459804861013</v>
      </c>
      <c r="CU61" s="43" t="n">
        <f aca="false">-In_Var_Opex*CU59*CU57/Thousand</f>
        <v>-225.069749982918</v>
      </c>
      <c r="CV61" s="43" t="n">
        <f aca="false">-In_Var_Opex*CV59*CV57/Thousand</f>
        <v>-227.570524982728</v>
      </c>
      <c r="CW61" s="43" t="n">
        <f aca="false">-In_Var_Opex*CW59*CW57/Thousand</f>
        <v>-230.071299982538</v>
      </c>
      <c r="CX61" s="43" t="n">
        <f aca="false">-In_Var_Opex*CX59*CX57/Thousand</f>
        <v>-229.381086082591</v>
      </c>
      <c r="CY61" s="43" t="n">
        <f aca="false">-In_Var_Opex*CY59*CY57/Thousand</f>
        <v>-230.004404251293</v>
      </c>
      <c r="CZ61" s="43" t="n">
        <f aca="false">-In_Var_Opex*CZ59*CZ57/Thousand</f>
        <v>-232.560008742975</v>
      </c>
      <c r="DA61" s="43" t="n">
        <f aca="false">-In_Var_Opex*DA59*DA57/Thousand</f>
        <v>-235.115613234656</v>
      </c>
      <c r="DB61" s="43" t="n">
        <f aca="false">-In_Var_Opex*DB59*DB57/Thousand</f>
        <v>-234.410266394952</v>
      </c>
      <c r="DC61" s="43" t="n">
        <f aca="false">-In_Var_Opex*DC59*DC57/Thousand</f>
        <v>-235.047250814503</v>
      </c>
      <c r="DD61" s="43" t="n">
        <f aca="false">-In_Var_Opex*DD59*DD57/Thousand</f>
        <v>-237.658886934664</v>
      </c>
      <c r="DE61" s="43" t="n">
        <f aca="false">-In_Var_Opex*DE59*DE57/Thousand</f>
        <v>-240.270523054825</v>
      </c>
      <c r="DF61" s="43" t="n">
        <f aca="false">-In_Var_Opex*DF59*DF57/Thousand</f>
        <v>-239.549711485661</v>
      </c>
      <c r="DG61" s="43" t="n">
        <f aca="false">-In_Var_Opex*DG59*DG57/Thousand</f>
        <v>-242.869558030707</v>
      </c>
      <c r="DH61" s="43" t="n">
        <f aca="false">-In_Var_Opex*DH59*DH57/Thousand</f>
        <v>-242.869558030707</v>
      </c>
      <c r="DI61" s="43" t="n">
        <f aca="false">-In_Var_Opex*DI59*DI57/Thousand</f>
        <v>-245.538454272802</v>
      </c>
      <c r="DJ61" s="43" t="n">
        <f aca="false">-In_Var_Opex*DJ59*DJ57/Thousand</f>
        <v>-244.801838909984</v>
      </c>
      <c r="DK61" s="43" t="n">
        <f aca="false">-In_Var_Opex*DK59*DK57/Thousand</f>
        <v>-245.467061298326</v>
      </c>
      <c r="DL61" s="43" t="n">
        <f aca="false">-In_Var_Opex*DL59*DL57/Thousand</f>
        <v>-248.19447309053</v>
      </c>
      <c r="DM61" s="43" t="n">
        <f aca="false">-In_Var_Opex*DM59*DM57/Thousand</f>
        <v>-250.921884882734</v>
      </c>
      <c r="DN61" s="43" t="n">
        <f aca="false">-In_Var_Opex*DN59*DN57/Thousand</f>
        <v>-250.169119228085</v>
      </c>
      <c r="DO61" s="43" t="n">
        <f aca="false">-In_Var_Opex*DO59*DO57/Thousand</f>
        <v>-250.848926617292</v>
      </c>
      <c r="DP61" s="43" t="n">
        <f aca="false">-In_Var_Opex*DP59*DP57/Thousand</f>
        <v>-253.63613691304</v>
      </c>
      <c r="DQ61" s="43" t="n">
        <f aca="false">-In_Var_Opex*DQ59*DQ57/Thousand</f>
        <v>-256.423347208787</v>
      </c>
      <c r="DR61" s="43" t="n">
        <f aca="false">-In_Var_Opex*DR59*DR57/Thousand</f>
        <v>-255.654077167161</v>
      </c>
      <c r="DS61" s="43" t="n">
        <f aca="false">-In_Var_Opex*DS59*DS57/Thousand</f>
        <v>-256.348789333376</v>
      </c>
      <c r="DT61" s="43" t="n">
        <f aca="false">-In_Var_Opex*DT59*DT57/Thousand</f>
        <v>-259.197109214858</v>
      </c>
      <c r="DU61" s="43" t="n">
        <f aca="false">-In_Var_Opex*DU59*DU57/Thousand</f>
        <v>-262.04542909634</v>
      </c>
      <c r="DV61" s="43" t="n">
        <f aca="false">-In_Var_Opex*DV59*DV57/Thousand</f>
        <v>-261.259292809051</v>
      </c>
      <c r="DW61" s="43" t="n">
        <f aca="false">-In_Var_Opex*DW59*DW57/Thousand</f>
        <v>-264.880005834394</v>
      </c>
      <c r="DX61" s="43" t="n">
        <f aca="false">-In_Var_Opex*DX59*DX57/Thousand</f>
        <v>-264.880005834394</v>
      </c>
      <c r="DY61" s="43" t="n">
        <f aca="false">-In_Var_Opex*DY59*DY57/Thousand</f>
        <v>-267.790775129277</v>
      </c>
      <c r="DZ61" s="43" t="n">
        <f aca="false">-In_Var_Opex*DZ59*DZ57/Thousand</f>
        <v>-266.98740280389</v>
      </c>
      <c r="EA61" s="43" t="n">
        <f aca="false">-In_Var_Opex*EA59*EA57/Thousand</f>
        <v>-267.712912050639</v>
      </c>
      <c r="EB61" s="43" t="n">
        <f aca="false">-In_Var_Opex*EB59*EB57/Thousand</f>
        <v>-270.687499962313</v>
      </c>
      <c r="EC61" s="43" t="n">
        <f aca="false">-In_Var_Opex*EC59*EC57/Thousand</f>
        <v>-273.662087873987</v>
      </c>
      <c r="ED61" s="43" t="n">
        <f aca="false">-In_Var_Opex*ED59*ED57/Thousand</f>
        <v>-272.841101610365</v>
      </c>
      <c r="EE61" s="43" t="n">
        <f aca="false">-In_Var_Opex*EE59*EE57/Thousand</f>
        <v>-273.582517647349</v>
      </c>
      <c r="EF61" s="43" t="n">
        <f aca="false">-In_Var_Opex*EF59*EF57/Thousand</f>
        <v>-276.622323398987</v>
      </c>
      <c r="EG61" s="43" t="n">
        <f aca="false">-In_Var_Opex*EG59*EG57/Thousand</f>
        <v>-279.662129150624</v>
      </c>
      <c r="EH61" s="43" t="n">
        <f aca="false">-In_Var_Opex*EH59*EH57/Thousand</f>
        <v>-278.823142763172</v>
      </c>
      <c r="EI61" s="43" t="n">
        <f aca="false">-In_Var_Opex*EI59*EI57/Thousand</f>
        <v>-279.580814346768</v>
      </c>
      <c r="EJ61" s="43" t="n">
        <f aca="false">-In_Var_Opex*EJ59*EJ57/Thousand</f>
        <v>-282.687267839509</v>
      </c>
      <c r="EK61" s="43" t="n">
        <f aca="false">-In_Var_Opex*EK59*EK57/Thousand</f>
        <v>-285.793721332251</v>
      </c>
      <c r="EL61" s="43" t="n">
        <f aca="false">-In_Var_Opex*EL59*EL57/Thousand</f>
        <v>-284.936340168255</v>
      </c>
      <c r="EM61" s="43" t="n">
        <f aca="false">-In_Var_Opex*EM59*EM57/Thousand</f>
        <v>-288.885186186891</v>
      </c>
      <c r="EN61" s="43" t="n">
        <f aca="false">-In_Var_Opex*EN59*EN57/Thousand</f>
        <v>-288.885186186891</v>
      </c>
      <c r="EO61" s="43" t="n">
        <f aca="false">-In_Var_Opex*EO59*EO57/Thousand</f>
        <v>-292.059748672461</v>
      </c>
    </row>
    <row r="62" customFormat="false" ht="15" hidden="false" customHeight="false" outlineLevel="0" collapsed="false">
      <c r="C62" s="0" t="s">
        <v>373</v>
      </c>
      <c r="D62" s="11" t="s">
        <v>33</v>
      </c>
      <c r="I62" s="43" t="n">
        <f aca="false">SUM(J62:EO62)</f>
        <v>-55946.2502426781</v>
      </c>
      <c r="J62" s="43" t="n">
        <f aca="false">-(In_Fixed_Opex*In_Wind_MW+In_Admin)*J57*J15*J$6</f>
        <v>-0</v>
      </c>
      <c r="K62" s="43" t="n">
        <f aca="false">-(In_Fixed_Opex*In_Wind_MW+In_Admin)*K57*K15*K$6</f>
        <v>-0</v>
      </c>
      <c r="L62" s="43" t="n">
        <f aca="false">-(In_Fixed_Opex*In_Wind_MW+In_Admin)*L57*L15*L$6</f>
        <v>-0</v>
      </c>
      <c r="M62" s="43" t="n">
        <f aca="false">-(In_Fixed_Opex*In_Wind_MW+In_Admin)*M57*M15*M$6</f>
        <v>-0</v>
      </c>
      <c r="N62" s="43" t="n">
        <f aca="false">-(In_Fixed_Opex*In_Wind_MW+In_Admin)*N57*N15*N$6</f>
        <v>-0</v>
      </c>
      <c r="O62" s="43" t="n">
        <f aca="false">-(In_Fixed_Opex*In_Wind_MW+In_Admin)*O57*O15*O$6</f>
        <v>-0</v>
      </c>
      <c r="P62" s="43" t="n">
        <f aca="false">-(In_Fixed_Opex*In_Wind_MW+In_Admin)*P57*P15*P$6</f>
        <v>-0</v>
      </c>
      <c r="Q62" s="43" t="n">
        <f aca="false">-(In_Fixed_Opex*In_Wind_MW+In_Admin)*Q57*Q15*Q$6</f>
        <v>-0</v>
      </c>
      <c r="R62" s="43" t="n">
        <f aca="false">-(In_Fixed_Opex*In_Wind_MW+In_Admin)*R57*R15*R$6</f>
        <v>-0</v>
      </c>
      <c r="S62" s="43" t="n">
        <f aca="false">-(In_Fixed_Opex*In_Wind_MW+In_Admin)*S57*S15*S$6</f>
        <v>-0</v>
      </c>
      <c r="T62" s="43" t="n">
        <f aca="false">-(In_Fixed_Opex*In_Wind_MW+In_Admin)*T57*T15*T$6</f>
        <v>-0</v>
      </c>
      <c r="U62" s="43" t="n">
        <f aca="false">-(In_Fixed_Opex*In_Wind_MW+In_Admin)*U57*U15*U$6</f>
        <v>-0</v>
      </c>
      <c r="V62" s="43" t="n">
        <f aca="false">-(In_Fixed_Opex*In_Wind_MW+In_Admin)*V57*V15*V$6</f>
        <v>-0</v>
      </c>
      <c r="W62" s="43" t="n">
        <f aca="false">-(In_Fixed_Opex*In_Wind_MW+In_Admin)*W57*W15*W$6</f>
        <v>-0</v>
      </c>
      <c r="X62" s="43" t="n">
        <f aca="false">-(In_Fixed_Opex*In_Wind_MW+In_Admin)*X57*X15*X$6</f>
        <v>-0</v>
      </c>
      <c r="Y62" s="43" t="n">
        <f aca="false">-(In_Fixed_Opex*In_Wind_MW+In_Admin)*Y57*Y15*Y$6</f>
        <v>-0</v>
      </c>
      <c r="Z62" s="43" t="n">
        <f aca="false">-(In_Fixed_Opex*In_Wind_MW+In_Admin)*Z57*Z15*Z$6</f>
        <v>-315.068493150685</v>
      </c>
      <c r="AA62" s="43" t="n">
        <f aca="false">-(In_Fixed_Opex*In_Wind_MW+In_Admin)*AA57*AA15*AA$6</f>
        <v>-315.924657534247</v>
      </c>
      <c r="AB62" s="43" t="n">
        <f aca="false">-(In_Fixed_Opex*In_Wind_MW+In_Admin)*AB57*AB15*AB$6</f>
        <v>-319.434931506849</v>
      </c>
      <c r="AC62" s="43" t="n">
        <f aca="false">-(In_Fixed_Opex*In_Wind_MW+In_Admin)*AC57*AC15*AC$6</f>
        <v>-322.945205479452</v>
      </c>
      <c r="AD62" s="43" t="n">
        <f aca="false">-(In_Fixed_Opex*In_Wind_MW+In_Admin)*AD57*AD15*AD$6</f>
        <v>-322.945205479452</v>
      </c>
      <c r="AE62" s="43" t="n">
        <f aca="false">-(In_Fixed_Opex*In_Wind_MW+In_Admin)*AE57*AE15*AE$6</f>
        <v>-327.420804794521</v>
      </c>
      <c r="AF62" s="43" t="n">
        <f aca="false">-(In_Fixed_Opex*In_Wind_MW+In_Admin)*AF57*AF15*AF$6</f>
        <v>-327.420804794521</v>
      </c>
      <c r="AG62" s="43" t="n">
        <f aca="false">-(In_Fixed_Opex*In_Wind_MW+In_Admin)*AG57*AG15*AG$6</f>
        <v>-331.018835616438</v>
      </c>
      <c r="AH62" s="43" t="n">
        <f aca="false">-(In_Fixed_Opex*In_Wind_MW+In_Admin)*AH57*AH15*AH$6</f>
        <v>-331.018835616438</v>
      </c>
      <c r="AI62" s="43" t="n">
        <f aca="false">-(In_Fixed_Opex*In_Wind_MW+In_Admin)*AI57*AI15*AI$6</f>
        <v>-331.918343321918</v>
      </c>
      <c r="AJ62" s="43" t="n">
        <f aca="false">-(In_Fixed_Opex*In_Wind_MW+In_Admin)*AJ57*AJ15*AJ$6</f>
        <v>-335.606324914383</v>
      </c>
      <c r="AK62" s="43" t="n">
        <f aca="false">-(In_Fixed_Opex*In_Wind_MW+In_Admin)*AK57*AK15*AK$6</f>
        <v>-339.294306506849</v>
      </c>
      <c r="AL62" s="43" t="n">
        <f aca="false">-(In_Fixed_Opex*In_Wind_MW+In_Admin)*AL57*AL15*AL$6</f>
        <v>-339.294306506849</v>
      </c>
      <c r="AM62" s="43" t="n">
        <f aca="false">-(In_Fixed_Opex*In_Wind_MW+In_Admin)*AM57*AM15*AM$6</f>
        <v>-340.216301904966</v>
      </c>
      <c r="AN62" s="43" t="n">
        <f aca="false">-(In_Fixed_Opex*In_Wind_MW+In_Admin)*AN57*AN15*AN$6</f>
        <v>-343.996483037243</v>
      </c>
      <c r="AO62" s="43" t="n">
        <f aca="false">-(In_Fixed_Opex*In_Wind_MW+In_Admin)*AO57*AO15*AO$6</f>
        <v>-347.77666416952</v>
      </c>
      <c r="AP62" s="43" t="n">
        <f aca="false">-(In_Fixed_Opex*In_Wind_MW+In_Admin)*AP57*AP15*AP$6</f>
        <v>-347.77666416952</v>
      </c>
      <c r="AQ62" s="43" t="n">
        <f aca="false">-(In_Fixed_Opex*In_Wind_MW+In_Admin)*AQ57*AQ15*AQ$6</f>
        <v>-348.72170945259</v>
      </c>
      <c r="AR62" s="43" t="n">
        <f aca="false">-(In_Fixed_Opex*In_Wind_MW+In_Admin)*AR57*AR15*AR$6</f>
        <v>-352.596395113174</v>
      </c>
      <c r="AS62" s="43" t="n">
        <f aca="false">-(In_Fixed_Opex*In_Wind_MW+In_Admin)*AS57*AS15*AS$6</f>
        <v>-356.471080773758</v>
      </c>
      <c r="AT62" s="43" t="n">
        <f aca="false">-(In_Fixed_Opex*In_Wind_MW+In_Admin)*AT57*AT15*AT$6</f>
        <v>-356.471080773758</v>
      </c>
      <c r="AU62" s="43" t="n">
        <f aca="false">-(In_Fixed_Opex*In_Wind_MW+In_Admin)*AU57*AU15*AU$6</f>
        <v>-361.411304991003</v>
      </c>
      <c r="AV62" s="43" t="n">
        <f aca="false">-(In_Fixed_Opex*In_Wind_MW+In_Admin)*AV57*AV15*AV$6</f>
        <v>-361.411304991003</v>
      </c>
      <c r="AW62" s="43" t="n">
        <f aca="false">-(In_Fixed_Opex*In_Wind_MW+In_Admin)*AW57*AW15*AW$6</f>
        <v>-365.382857793102</v>
      </c>
      <c r="AX62" s="43" t="n">
        <f aca="false">-(In_Fixed_Opex*In_Wind_MW+In_Admin)*AX57*AX15*AX$6</f>
        <v>-365.382857793102</v>
      </c>
      <c r="AY62" s="43" t="n">
        <f aca="false">-(In_Fixed_Opex*In_Wind_MW+In_Admin)*AY57*AY15*AY$6</f>
        <v>-366.375745993627</v>
      </c>
      <c r="AZ62" s="43" t="n">
        <f aca="false">-(In_Fixed_Opex*In_Wind_MW+In_Admin)*AZ57*AZ15*AZ$6</f>
        <v>-370.446587615778</v>
      </c>
      <c r="BA62" s="43" t="n">
        <f aca="false">-(In_Fixed_Opex*In_Wind_MW+In_Admin)*BA57*BA15*BA$6</f>
        <v>-374.51742923793</v>
      </c>
      <c r="BB62" s="43" t="n">
        <f aca="false">-(In_Fixed_Opex*In_Wind_MW+In_Admin)*BB57*BB15*BB$6</f>
        <v>-374.51742923793</v>
      </c>
      <c r="BC62" s="43" t="n">
        <f aca="false">-(In_Fixed_Opex*In_Wind_MW+In_Admin)*BC57*BC15*BC$6</f>
        <v>-375.535139643468</v>
      </c>
      <c r="BD62" s="43" t="n">
        <f aca="false">-(In_Fixed_Opex*In_Wind_MW+In_Admin)*BD57*BD15*BD$6</f>
        <v>-379.707752306173</v>
      </c>
      <c r="BE62" s="43" t="n">
        <f aca="false">-(In_Fixed_Opex*In_Wind_MW+In_Admin)*BE57*BE15*BE$6</f>
        <v>-383.880364968878</v>
      </c>
      <c r="BF62" s="43" t="n">
        <f aca="false">-(In_Fixed_Opex*In_Wind_MW+In_Admin)*BF57*BF15*BF$6</f>
        <v>-383.880364968878</v>
      </c>
      <c r="BG62" s="43" t="n">
        <f aca="false">-(In_Fixed_Opex*In_Wind_MW+In_Admin)*BG57*BG15*BG$6</f>
        <v>-384.923518134554</v>
      </c>
      <c r="BH62" s="43" t="n">
        <f aca="false">-(In_Fixed_Opex*In_Wind_MW+In_Admin)*BH57*BH15*BH$6</f>
        <v>-389.200446113827</v>
      </c>
      <c r="BI62" s="43" t="n">
        <f aca="false">-(In_Fixed_Opex*In_Wind_MW+In_Admin)*BI57*BI15*BI$6</f>
        <v>-393.4773740931</v>
      </c>
      <c r="BJ62" s="43" t="n">
        <f aca="false">-(In_Fixed_Opex*In_Wind_MW+In_Admin)*BJ57*BJ15*BJ$6</f>
        <v>-393.4773740931</v>
      </c>
      <c r="BK62" s="43" t="n">
        <f aca="false">-(In_Fixed_Opex*In_Wind_MW+In_Admin)*BK57*BK15*BK$6</f>
        <v>-398.930457266673</v>
      </c>
      <c r="BL62" s="43" t="n">
        <f aca="false">-(In_Fixed_Opex*In_Wind_MW+In_Admin)*BL57*BL15*BL$6</f>
        <v>-398.930457266673</v>
      </c>
      <c r="BM62" s="43" t="n">
        <f aca="false">-(In_Fixed_Opex*In_Wind_MW+In_Admin)*BM57*BM15*BM$6</f>
        <v>-403.314308445428</v>
      </c>
      <c r="BN62" s="43" t="n">
        <f aca="false">-(In_Fixed_Opex*In_Wind_MW+In_Admin)*BN57*BN15*BN$6</f>
        <v>-403.314308445428</v>
      </c>
      <c r="BO62" s="43" t="n">
        <f aca="false">-(In_Fixed_Opex*In_Wind_MW+In_Admin)*BO57*BO15*BO$6</f>
        <v>-404.410271240116</v>
      </c>
      <c r="BP62" s="43" t="n">
        <f aca="false">-(In_Fixed_Opex*In_Wind_MW+In_Admin)*BP57*BP15*BP$6</f>
        <v>-408.90371869834</v>
      </c>
      <c r="BQ62" s="43" t="n">
        <f aca="false">-(In_Fixed_Opex*In_Wind_MW+In_Admin)*BQ57*BQ15*BQ$6</f>
        <v>-413.397166156563</v>
      </c>
      <c r="BR62" s="43" t="n">
        <f aca="false">-(In_Fixed_Opex*In_Wind_MW+In_Admin)*BR57*BR15*BR$6</f>
        <v>-413.397166156563</v>
      </c>
      <c r="BS62" s="43" t="n">
        <f aca="false">-(In_Fixed_Opex*In_Wind_MW+In_Admin)*BS57*BS15*BS$6</f>
        <v>-414.520528021119</v>
      </c>
      <c r="BT62" s="43" t="n">
        <f aca="false">-(In_Fixed_Opex*In_Wind_MW+In_Admin)*BT57*BT15*BT$6</f>
        <v>-419.126311665798</v>
      </c>
      <c r="BU62" s="43" t="n">
        <f aca="false">-(In_Fixed_Opex*In_Wind_MW+In_Admin)*BU57*BU15*BU$6</f>
        <v>-423.732095310477</v>
      </c>
      <c r="BV62" s="43" t="n">
        <f aca="false">-(In_Fixed_Opex*In_Wind_MW+In_Admin)*BV57*BV15*BV$6</f>
        <v>-423.732095310477</v>
      </c>
      <c r="BW62" s="43" t="n">
        <f aca="false">-(In_Fixed_Opex*In_Wind_MW+In_Admin)*BW57*BW15*BW$6</f>
        <v>-424.883541221647</v>
      </c>
      <c r="BX62" s="43" t="n">
        <f aca="false">-(In_Fixed_Opex*In_Wind_MW+In_Admin)*BX57*BX15*BX$6</f>
        <v>-429.604469457443</v>
      </c>
      <c r="BY62" s="43" t="n">
        <f aca="false">-(In_Fixed_Opex*In_Wind_MW+In_Admin)*BY57*BY15*BY$6</f>
        <v>-434.325397693239</v>
      </c>
      <c r="BZ62" s="43" t="n">
        <f aca="false">-(In_Fixed_Opex*In_Wind_MW+In_Admin)*BZ57*BZ15*BZ$6</f>
        <v>-434.325397693239</v>
      </c>
      <c r="CA62" s="43" t="n">
        <f aca="false">-(In_Fixed_Opex*In_Wind_MW+In_Admin)*CA57*CA15*CA$6</f>
        <v>-440.344581193879</v>
      </c>
      <c r="CB62" s="43" t="n">
        <f aca="false">-(In_Fixed_Opex*In_Wind_MW+In_Admin)*CB57*CB15*CB$6</f>
        <v>-440.344581193879</v>
      </c>
      <c r="CC62" s="43" t="n">
        <f aca="false">-(In_Fixed_Opex*In_Wind_MW+In_Admin)*CC57*CC15*CC$6</f>
        <v>-445.18353263557</v>
      </c>
      <c r="CD62" s="43" t="n">
        <f aca="false">-(In_Fixed_Opex*In_Wind_MW+In_Admin)*CD57*CD15*CD$6</f>
        <v>-445.18353263557</v>
      </c>
      <c r="CE62" s="43" t="n">
        <f aca="false">-(In_Fixed_Opex*In_Wind_MW+In_Admin)*CE57*CE15*CE$6</f>
        <v>-446.393270495993</v>
      </c>
      <c r="CF62" s="43" t="n">
        <f aca="false">-(In_Fixed_Opex*In_Wind_MW+In_Admin)*CF57*CF15*CF$6</f>
        <v>-451.353195723726</v>
      </c>
      <c r="CG62" s="43" t="n">
        <f aca="false">-(In_Fixed_Opex*In_Wind_MW+In_Admin)*CG57*CG15*CG$6</f>
        <v>-456.313120951459</v>
      </c>
      <c r="CH62" s="43" t="n">
        <f aca="false">-(In_Fixed_Opex*In_Wind_MW+In_Admin)*CH57*CH15*CH$6</f>
        <v>-456.313120951459</v>
      </c>
      <c r="CI62" s="43" t="n">
        <f aca="false">-(In_Fixed_Opex*In_Wind_MW+In_Admin)*CI57*CI15*CI$6</f>
        <v>-457.553102258392</v>
      </c>
      <c r="CJ62" s="43" t="n">
        <f aca="false">-(In_Fixed_Opex*In_Wind_MW+In_Admin)*CJ57*CJ15*CJ$6</f>
        <v>-462.637025616819</v>
      </c>
      <c r="CK62" s="43" t="n">
        <f aca="false">-(In_Fixed_Opex*In_Wind_MW+In_Admin)*CK57*CK15*CK$6</f>
        <v>-467.720948975246</v>
      </c>
      <c r="CL62" s="43" t="n">
        <f aca="false">-(In_Fixed_Opex*In_Wind_MW+In_Admin)*CL57*CL15*CL$6</f>
        <v>-467.720948975246</v>
      </c>
      <c r="CM62" s="43" t="n">
        <f aca="false">-(In_Fixed_Opex*In_Wind_MW+In_Admin)*CM57*CM15*CM$6</f>
        <v>-468.991929814852</v>
      </c>
      <c r="CN62" s="43" t="n">
        <f aca="false">-(In_Fixed_Opex*In_Wind_MW+In_Admin)*CN57*CN15*CN$6</f>
        <v>-474.20295125724</v>
      </c>
      <c r="CO62" s="43" t="n">
        <f aca="false">-(In_Fixed_Opex*In_Wind_MW+In_Admin)*CO57*CO15*CO$6</f>
        <v>-479.413972699627</v>
      </c>
      <c r="CP62" s="43" t="n">
        <f aca="false">-(In_Fixed_Opex*In_Wind_MW+In_Admin)*CP57*CP15*CP$6</f>
        <v>-479.413972699627</v>
      </c>
      <c r="CQ62" s="43" t="n">
        <f aca="false">-(In_Fixed_Opex*In_Wind_MW+In_Admin)*CQ57*CQ15*CQ$6</f>
        <v>-486.05802503867</v>
      </c>
      <c r="CR62" s="43" t="n">
        <f aca="false">-(In_Fixed_Opex*In_Wind_MW+In_Admin)*CR57*CR15*CR$6</f>
        <v>-486.05802503867</v>
      </c>
      <c r="CS62" s="43" t="n">
        <f aca="false">-(In_Fixed_Opex*In_Wind_MW+In_Admin)*CS57*CS15*CS$6</f>
        <v>-491.399322017117</v>
      </c>
      <c r="CT62" s="43" t="n">
        <f aca="false">-(In_Fixed_Opex*In_Wind_MW+In_Admin)*CT57*CT15*CT$6</f>
        <v>-491.399322017117</v>
      </c>
      <c r="CU62" s="43" t="n">
        <f aca="false">-(In_Fixed_Opex*In_Wind_MW+In_Admin)*CU57*CU15*CU$6</f>
        <v>-492.734646261729</v>
      </c>
      <c r="CV62" s="43" t="n">
        <f aca="false">-(In_Fixed_Opex*In_Wind_MW+In_Admin)*CV57*CV15*CV$6</f>
        <v>-498.209475664637</v>
      </c>
      <c r="CW62" s="43" t="n">
        <f aca="false">-(In_Fixed_Opex*In_Wind_MW+In_Admin)*CW57*CW15*CW$6</f>
        <v>-503.684305067545</v>
      </c>
      <c r="CX62" s="43" t="n">
        <f aca="false">-(In_Fixed_Opex*In_Wind_MW+In_Admin)*CX57*CX15*CX$6</f>
        <v>-503.684305067545</v>
      </c>
      <c r="CY62" s="43" t="n">
        <f aca="false">-(In_Fixed_Opex*In_Wind_MW+In_Admin)*CY57*CY15*CY$6</f>
        <v>-505.053012418272</v>
      </c>
      <c r="CZ62" s="43" t="n">
        <f aca="false">-(In_Fixed_Opex*In_Wind_MW+In_Admin)*CZ57*CZ15*CZ$6</f>
        <v>-510.664712556253</v>
      </c>
      <c r="DA62" s="43" t="n">
        <f aca="false">-(In_Fixed_Opex*In_Wind_MW+In_Admin)*DA57*DA15*DA$6</f>
        <v>-516.276412694234</v>
      </c>
      <c r="DB62" s="43" t="n">
        <f aca="false">-(In_Fixed_Opex*In_Wind_MW+In_Admin)*DB57*DB15*DB$6</f>
        <v>-516.276412694234</v>
      </c>
      <c r="DC62" s="43" t="n">
        <f aca="false">-(In_Fixed_Opex*In_Wind_MW+In_Admin)*DC57*DC15*DC$6</f>
        <v>-517.679337728729</v>
      </c>
      <c r="DD62" s="43" t="n">
        <f aca="false">-(In_Fixed_Opex*In_Wind_MW+In_Admin)*DD57*DD15*DD$6</f>
        <v>-523.431330370159</v>
      </c>
      <c r="DE62" s="43" t="n">
        <f aca="false">-(In_Fixed_Opex*In_Wind_MW+In_Admin)*DE57*DE15*DE$6</f>
        <v>-529.18332301159</v>
      </c>
      <c r="DF62" s="43" t="n">
        <f aca="false">-(In_Fixed_Opex*In_Wind_MW+In_Admin)*DF57*DF15*DF$6</f>
        <v>-529.18332301159</v>
      </c>
      <c r="DG62" s="43" t="n">
        <f aca="false">-(In_Fixed_Opex*In_Wind_MW+In_Admin)*DG57*DG15*DG$6</f>
        <v>-536.517113629413</v>
      </c>
      <c r="DH62" s="43" t="n">
        <f aca="false">-(In_Fixed_Opex*In_Wind_MW+In_Admin)*DH57*DH15*DH$6</f>
        <v>-536.517113629413</v>
      </c>
      <c r="DI62" s="43" t="n">
        <f aca="false">-(In_Fixed_Opex*In_Wind_MW+In_Admin)*DI57*DI15*DI$6</f>
        <v>-542.412906086879</v>
      </c>
      <c r="DJ62" s="43" t="n">
        <f aca="false">-(In_Fixed_Opex*In_Wind_MW+In_Admin)*DJ57*DJ15*DJ$6</f>
        <v>-542.412906086879</v>
      </c>
      <c r="DK62" s="43" t="n">
        <f aca="false">-(In_Fixed_Opex*In_Wind_MW+In_Admin)*DK57*DK15*DK$6</f>
        <v>-543.886854201246</v>
      </c>
      <c r="DL62" s="43" t="n">
        <f aca="false">-(In_Fixed_Opex*In_Wind_MW+In_Admin)*DL57*DL15*DL$6</f>
        <v>-549.930041470149</v>
      </c>
      <c r="DM62" s="43" t="n">
        <f aca="false">-(In_Fixed_Opex*In_Wind_MW+In_Admin)*DM57*DM15*DM$6</f>
        <v>-555.973228739051</v>
      </c>
      <c r="DN62" s="43" t="n">
        <f aca="false">-(In_Fixed_Opex*In_Wind_MW+In_Admin)*DN57*DN15*DN$6</f>
        <v>-555.973228739051</v>
      </c>
      <c r="DO62" s="43" t="n">
        <f aca="false">-(In_Fixed_Opex*In_Wind_MW+In_Admin)*DO57*DO15*DO$6</f>
        <v>-557.484025556277</v>
      </c>
      <c r="DP62" s="43" t="n">
        <f aca="false">-(In_Fixed_Opex*In_Wind_MW+In_Admin)*DP57*DP15*DP$6</f>
        <v>-563.678292506902</v>
      </c>
      <c r="DQ62" s="43" t="n">
        <f aca="false">-(In_Fixed_Opex*In_Wind_MW+In_Admin)*DQ57*DQ15*DQ$6</f>
        <v>-569.872559457528</v>
      </c>
      <c r="DR62" s="43" t="n">
        <f aca="false">-(In_Fixed_Opex*In_Wind_MW+In_Admin)*DR57*DR15*DR$6</f>
        <v>-569.872559457528</v>
      </c>
      <c r="DS62" s="43" t="n">
        <f aca="false">-(In_Fixed_Opex*In_Wind_MW+In_Admin)*DS57*DS15*DS$6</f>
        <v>-571.421126195184</v>
      </c>
      <c r="DT62" s="43" t="n">
        <f aca="false">-(In_Fixed_Opex*In_Wind_MW+In_Admin)*DT57*DT15*DT$6</f>
        <v>-577.770249819575</v>
      </c>
      <c r="DU62" s="43" t="n">
        <f aca="false">-(In_Fixed_Opex*In_Wind_MW+In_Admin)*DU57*DU15*DU$6</f>
        <v>-584.119373443966</v>
      </c>
      <c r="DV62" s="43" t="n">
        <f aca="false">-(In_Fixed_Opex*In_Wind_MW+In_Admin)*DV57*DV15*DV$6</f>
        <v>-584.119373443966</v>
      </c>
      <c r="DW62" s="43" t="n">
        <f aca="false">-(In_Fixed_Opex*In_Wind_MW+In_Admin)*DW57*DW15*DW$6</f>
        <v>-592.214506065064</v>
      </c>
      <c r="DX62" s="43" t="n">
        <f aca="false">-(In_Fixed_Opex*In_Wind_MW+In_Admin)*DX57*DX15*DX$6</f>
        <v>-592.214506065064</v>
      </c>
      <c r="DY62" s="43" t="n">
        <f aca="false">-(In_Fixed_Opex*In_Wind_MW+In_Admin)*DY57*DY15*DY$6</f>
        <v>-598.722357780065</v>
      </c>
      <c r="DZ62" s="43" t="n">
        <f aca="false">-(In_Fixed_Opex*In_Wind_MW+In_Admin)*DZ57*DZ15*DZ$6</f>
        <v>-598.722357780065</v>
      </c>
      <c r="EA62" s="43" t="n">
        <f aca="false">-(In_Fixed_Opex*In_Wind_MW+In_Admin)*EA57*EA15*EA$6</f>
        <v>-600.349320708815</v>
      </c>
      <c r="EB62" s="43" t="n">
        <f aca="false">-(In_Fixed_Opex*In_Wind_MW+In_Admin)*EB57*EB15*EB$6</f>
        <v>-607.019868716691</v>
      </c>
      <c r="EC62" s="43" t="n">
        <f aca="false">-(In_Fixed_Opex*In_Wind_MW+In_Admin)*EC57*EC15*EC$6</f>
        <v>-613.690416724566</v>
      </c>
      <c r="ED62" s="43" t="n">
        <f aca="false">-(In_Fixed_Opex*In_Wind_MW+In_Admin)*ED57*ED15*ED$6</f>
        <v>-613.690416724566</v>
      </c>
      <c r="EE62" s="43" t="n">
        <f aca="false">-(In_Fixed_Opex*In_Wind_MW+In_Admin)*EE57*EE15*EE$6</f>
        <v>-615.358053726535</v>
      </c>
      <c r="EF62" s="43" t="n">
        <f aca="false">-(In_Fixed_Opex*In_Wind_MW+In_Admin)*EF57*EF15*EF$6</f>
        <v>-622.195365434608</v>
      </c>
      <c r="EG62" s="43" t="n">
        <f aca="false">-(In_Fixed_Opex*In_Wind_MW+In_Admin)*EG57*EG15*EG$6</f>
        <v>-629.03267714268</v>
      </c>
      <c r="EH62" s="43" t="n">
        <f aca="false">-(In_Fixed_Opex*In_Wind_MW+In_Admin)*EH57*EH15*EH$6</f>
        <v>-629.03267714268</v>
      </c>
      <c r="EI62" s="43" t="n">
        <f aca="false">-(In_Fixed_Opex*In_Wind_MW+In_Admin)*EI57*EI15*EI$6</f>
        <v>-630.742005069699</v>
      </c>
      <c r="EJ62" s="43" t="n">
        <f aca="false">-(In_Fixed_Opex*In_Wind_MW+In_Admin)*EJ57*EJ15*EJ$6</f>
        <v>-637.750249570473</v>
      </c>
      <c r="EK62" s="43" t="n">
        <f aca="false">-(In_Fixed_Opex*In_Wind_MW+In_Admin)*EK57*EK15*EK$6</f>
        <v>-644.758494071248</v>
      </c>
      <c r="EL62" s="43" t="n">
        <f aca="false">-(In_Fixed_Opex*In_Wind_MW+In_Admin)*EL57*EL15*EL$6</f>
        <v>-644.758494071248</v>
      </c>
      <c r="EM62" s="43" t="n">
        <f aca="false">-(In_Fixed_Opex*In_Wind_MW+In_Admin)*EM57*EM15*EM$6</f>
        <v>-653.694005809735</v>
      </c>
      <c r="EN62" s="43" t="n">
        <f aca="false">-(In_Fixed_Opex*In_Wind_MW+In_Admin)*EN57*EN15*EN$6</f>
        <v>-653.694005809735</v>
      </c>
      <c r="EO62" s="43" t="n">
        <f aca="false">-(In_Fixed_Opex*In_Wind_MW+In_Admin)*EO57*EO15*EO$6</f>
        <v>-660.877456423028</v>
      </c>
    </row>
    <row r="63" customFormat="false" ht="15" hidden="false" customHeight="false" outlineLevel="0" collapsed="false">
      <c r="C63" s="0" t="s">
        <v>374</v>
      </c>
      <c r="D63" s="11" t="s">
        <v>33</v>
      </c>
      <c r="I63" s="43" t="n">
        <f aca="false">SUM(J63:EO63)</f>
        <v>-7008.06968066603</v>
      </c>
      <c r="J63" s="43" t="n">
        <f aca="false">-In_Lease*In_Wind_MW*J57*J16*J$6</f>
        <v>-0</v>
      </c>
      <c r="K63" s="43" t="n">
        <f aca="false">-In_Lease*In_Wind_MW*K57*K16*K$6</f>
        <v>-0</v>
      </c>
      <c r="L63" s="43" t="n">
        <f aca="false">-In_Lease*In_Wind_MW*L57*L16*L$6</f>
        <v>-0</v>
      </c>
      <c r="M63" s="43" t="n">
        <f aca="false">-In_Lease*In_Wind_MW*M57*M16*M$6</f>
        <v>-0</v>
      </c>
      <c r="N63" s="43" t="n">
        <f aca="false">-In_Lease*In_Wind_MW*N57*N16*N$6</f>
        <v>-0</v>
      </c>
      <c r="O63" s="43" t="n">
        <f aca="false">-In_Lease*In_Wind_MW*O57*O16*O$6</f>
        <v>-0</v>
      </c>
      <c r="P63" s="43" t="n">
        <f aca="false">-In_Lease*In_Wind_MW*P57*P16*P$6</f>
        <v>-0</v>
      </c>
      <c r="Q63" s="43" t="n">
        <f aca="false">-In_Lease*In_Wind_MW*Q57*Q16*Q$6</f>
        <v>-0</v>
      </c>
      <c r="R63" s="43" t="n">
        <f aca="false">-In_Lease*In_Wind_MW*R57*R16*R$6</f>
        <v>-35.9864073081092</v>
      </c>
      <c r="S63" s="43" t="n">
        <f aca="false">-In_Lease*In_Wind_MW*S57*S16*S$6</f>
        <v>-36.0841964584029</v>
      </c>
      <c r="T63" s="43" t="n">
        <f aca="false">-In_Lease*In_Wind_MW*T57*T16*T$6</f>
        <v>-36.4851319746074</v>
      </c>
      <c r="U63" s="43" t="n">
        <f aca="false">-In_Lease*In_Wind_MW*U57*U16*U$6</f>
        <v>-36.8860674908119</v>
      </c>
      <c r="V63" s="43" t="n">
        <f aca="false">-In_Lease*In_Wind_MW*V57*V16*V$6</f>
        <v>-36.8860674908119</v>
      </c>
      <c r="W63" s="43" t="n">
        <f aca="false">-In_Lease*In_Wind_MW*W57*W16*W$6</f>
        <v>-36.986301369863</v>
      </c>
      <c r="X63" s="43" t="n">
        <f aca="false">-In_Lease*In_Wind_MW*X57*X16*X$6</f>
        <v>-37.3972602739726</v>
      </c>
      <c r="Y63" s="43" t="n">
        <f aca="false">-In_Lease*In_Wind_MW*Y57*Y16*Y$6</f>
        <v>-37.8082191780822</v>
      </c>
      <c r="Z63" s="43" t="n">
        <f aca="false">-In_Lease*In_Wind_MW*Z57*Z16*Z$6</f>
        <v>-37.8082191780822</v>
      </c>
      <c r="AA63" s="43" t="n">
        <f aca="false">-In_Lease*In_Wind_MW*AA57*AA16*AA$6</f>
        <v>-37.9109589041096</v>
      </c>
      <c r="AB63" s="43" t="n">
        <f aca="false">-In_Lease*In_Wind_MW*AB57*AB16*AB$6</f>
        <v>-38.3321917808219</v>
      </c>
      <c r="AC63" s="43" t="n">
        <f aca="false">-In_Lease*In_Wind_MW*AC57*AC16*AC$6</f>
        <v>-38.7534246575343</v>
      </c>
      <c r="AD63" s="43" t="n">
        <f aca="false">-In_Lease*In_Wind_MW*AD57*AD16*AD$6</f>
        <v>-38.7534246575343</v>
      </c>
      <c r="AE63" s="43" t="n">
        <f aca="false">-In_Lease*In_Wind_MW*AE57*AE16*AE$6</f>
        <v>-39.2904965753425</v>
      </c>
      <c r="AF63" s="43" t="n">
        <f aca="false">-In_Lease*In_Wind_MW*AF57*AF16*AF$6</f>
        <v>-39.2904965753425</v>
      </c>
      <c r="AG63" s="43" t="n">
        <f aca="false">-In_Lease*In_Wind_MW*AG57*AG16*AG$6</f>
        <v>-39.7222602739726</v>
      </c>
      <c r="AH63" s="43" t="n">
        <f aca="false">-In_Lease*In_Wind_MW*AH57*AH16*AH$6</f>
        <v>-39.7222602739726</v>
      </c>
      <c r="AI63" s="43" t="n">
        <f aca="false">-In_Lease*In_Wind_MW*AI57*AI16*AI$6</f>
        <v>-39.8302011986301</v>
      </c>
      <c r="AJ63" s="43" t="n">
        <f aca="false">-In_Lease*In_Wind_MW*AJ57*AJ16*AJ$6</f>
        <v>-40.272758989726</v>
      </c>
      <c r="AK63" s="43" t="n">
        <f aca="false">-In_Lease*In_Wind_MW*AK57*AK16*AK$6</f>
        <v>-40.7153167808219</v>
      </c>
      <c r="AL63" s="43" t="n">
        <f aca="false">-In_Lease*In_Wind_MW*AL57*AL16*AL$6</f>
        <v>-40.7153167808219</v>
      </c>
      <c r="AM63" s="43" t="n">
        <f aca="false">-In_Lease*In_Wind_MW*AM57*AM16*AM$6</f>
        <v>-40.8259562285959</v>
      </c>
      <c r="AN63" s="43" t="n">
        <f aca="false">-In_Lease*In_Wind_MW*AN57*AN16*AN$6</f>
        <v>-41.2795779644692</v>
      </c>
      <c r="AO63" s="43" t="n">
        <f aca="false">-In_Lease*In_Wind_MW*AO57*AO16*AO$6</f>
        <v>-41.7331997003424</v>
      </c>
      <c r="AP63" s="43" t="n">
        <f aca="false">-In_Lease*In_Wind_MW*AP57*AP16*AP$6</f>
        <v>-41.7331997003424</v>
      </c>
      <c r="AQ63" s="43" t="n">
        <f aca="false">-In_Lease*In_Wind_MW*AQ57*AQ16*AQ$6</f>
        <v>-41.8466051343108</v>
      </c>
      <c r="AR63" s="43" t="n">
        <f aca="false">-In_Lease*In_Wind_MW*AR57*AR16*AR$6</f>
        <v>-42.3115674135809</v>
      </c>
      <c r="AS63" s="43" t="n">
        <f aca="false">-In_Lease*In_Wind_MW*AS57*AS16*AS$6</f>
        <v>-42.776529692851</v>
      </c>
      <c r="AT63" s="43" t="n">
        <f aca="false">-In_Lease*In_Wind_MW*AT57*AT16*AT$6</f>
        <v>-42.776529692851</v>
      </c>
      <c r="AU63" s="43" t="n">
        <f aca="false">-In_Lease*In_Wind_MW*AU57*AU16*AU$6</f>
        <v>-43.3693565989204</v>
      </c>
      <c r="AV63" s="43" t="n">
        <f aca="false">-In_Lease*In_Wind_MW*AV57*AV16*AV$6</f>
        <v>-43.3693565989204</v>
      </c>
      <c r="AW63" s="43" t="n">
        <f aca="false">-In_Lease*In_Wind_MW*AW57*AW16*AW$6</f>
        <v>-43.8459429351723</v>
      </c>
      <c r="AX63" s="43" t="n">
        <f aca="false">-In_Lease*In_Wind_MW*AX57*AX16*AX$6</f>
        <v>-43.8459429351723</v>
      </c>
      <c r="AY63" s="43" t="n">
        <f aca="false">-In_Lease*In_Wind_MW*AY57*AY16*AY$6</f>
        <v>-43.9650895192353</v>
      </c>
      <c r="AZ63" s="43" t="n">
        <f aca="false">-In_Lease*In_Wind_MW*AZ57*AZ16*AZ$6</f>
        <v>-44.4535905138934</v>
      </c>
      <c r="BA63" s="43" t="n">
        <f aca="false">-In_Lease*In_Wind_MW*BA57*BA16*BA$6</f>
        <v>-44.9420915085516</v>
      </c>
      <c r="BB63" s="43" t="n">
        <f aca="false">-In_Lease*In_Wind_MW*BB57*BB16*BB$6</f>
        <v>-44.9420915085516</v>
      </c>
      <c r="BC63" s="43" t="n">
        <f aca="false">-In_Lease*In_Wind_MW*BC57*BC16*BC$6</f>
        <v>-45.0642167572161</v>
      </c>
      <c r="BD63" s="43" t="n">
        <f aca="false">-In_Lease*In_Wind_MW*BD57*BD16*BD$6</f>
        <v>-45.5649302767407</v>
      </c>
      <c r="BE63" s="43" t="n">
        <f aca="false">-In_Lease*In_Wind_MW*BE57*BE16*BE$6</f>
        <v>-46.0656437962654</v>
      </c>
      <c r="BF63" s="43" t="n">
        <f aca="false">-In_Lease*In_Wind_MW*BF57*BF16*BF$6</f>
        <v>-46.0656437962654</v>
      </c>
      <c r="BG63" s="43" t="n">
        <f aca="false">-In_Lease*In_Wind_MW*BG57*BG16*BG$6</f>
        <v>-46.1908221761465</v>
      </c>
      <c r="BH63" s="43" t="n">
        <f aca="false">-In_Lease*In_Wind_MW*BH57*BH16*BH$6</f>
        <v>-46.7040535336593</v>
      </c>
      <c r="BI63" s="43" t="n">
        <f aca="false">-In_Lease*In_Wind_MW*BI57*BI16*BI$6</f>
        <v>-47.217284891172</v>
      </c>
      <c r="BJ63" s="43" t="n">
        <f aca="false">-In_Lease*In_Wind_MW*BJ57*BJ16*BJ$6</f>
        <v>-47.217284891172</v>
      </c>
      <c r="BK63" s="43" t="n">
        <f aca="false">-In_Lease*In_Wind_MW*BK57*BK16*BK$6</f>
        <v>-47.8716548720007</v>
      </c>
      <c r="BL63" s="43" t="n">
        <f aca="false">-In_Lease*In_Wind_MW*BL57*BL16*BL$6</f>
        <v>-47.8716548720007</v>
      </c>
      <c r="BM63" s="43" t="n">
        <f aca="false">-In_Lease*In_Wind_MW*BM57*BM16*BM$6</f>
        <v>-48.3977170134513</v>
      </c>
      <c r="BN63" s="43" t="n">
        <f aca="false">-In_Lease*In_Wind_MW*BN57*BN16*BN$6</f>
        <v>-48.3977170134513</v>
      </c>
      <c r="BO63" s="43" t="n">
        <f aca="false">-In_Lease*In_Wind_MW*BO57*BO16*BO$6</f>
        <v>-48.5292325488139</v>
      </c>
      <c r="BP63" s="43" t="n">
        <f aca="false">-In_Lease*In_Wind_MW*BP57*BP16*BP$6</f>
        <v>-49.0684462438008</v>
      </c>
      <c r="BQ63" s="43" t="n">
        <f aca="false">-In_Lease*In_Wind_MW*BQ57*BQ16*BQ$6</f>
        <v>-49.6076599387876</v>
      </c>
      <c r="BR63" s="43" t="n">
        <f aca="false">-In_Lease*In_Wind_MW*BR57*BR16*BR$6</f>
        <v>-49.6076599387876</v>
      </c>
      <c r="BS63" s="43" t="n">
        <f aca="false">-In_Lease*In_Wind_MW*BS57*BS16*BS$6</f>
        <v>-49.7424633625343</v>
      </c>
      <c r="BT63" s="43" t="n">
        <f aca="false">-In_Lease*In_Wind_MW*BT57*BT16*BT$6</f>
        <v>-50.2951573998958</v>
      </c>
      <c r="BU63" s="43" t="n">
        <f aca="false">-In_Lease*In_Wind_MW*BU57*BU16*BU$6</f>
        <v>-50.8478514372573</v>
      </c>
      <c r="BV63" s="43" t="n">
        <f aca="false">-In_Lease*In_Wind_MW*BV57*BV16*BV$6</f>
        <v>-50.8478514372573</v>
      </c>
      <c r="BW63" s="43" t="n">
        <f aca="false">-In_Lease*In_Wind_MW*BW57*BW16*BW$6</f>
        <v>-50.9860249465976</v>
      </c>
      <c r="BX63" s="43" t="n">
        <f aca="false">-In_Lease*In_Wind_MW*BX57*BX16*BX$6</f>
        <v>-51.5525363348932</v>
      </c>
      <c r="BY63" s="43" t="n">
        <f aca="false">-In_Lease*In_Wind_MW*BY57*BY16*BY$6</f>
        <v>-52.1190477231887</v>
      </c>
      <c r="BZ63" s="43" t="n">
        <f aca="false">-In_Lease*In_Wind_MW*BZ57*BZ16*BZ$6</f>
        <v>-52.1190477231887</v>
      </c>
      <c r="CA63" s="43" t="n">
        <f aca="false">-In_Lease*In_Wind_MW*CA57*CA16*CA$6</f>
        <v>-52.8413497432655</v>
      </c>
      <c r="CB63" s="43" t="n">
        <f aca="false">-In_Lease*In_Wind_MW*CB57*CB16*CB$6</f>
        <v>-52.8413497432655</v>
      </c>
      <c r="CC63" s="43" t="n">
        <f aca="false">-In_Lease*In_Wind_MW*CC57*CC16*CC$6</f>
        <v>-53.4220239162684</v>
      </c>
      <c r="CD63" s="43" t="n">
        <f aca="false">-In_Lease*In_Wind_MW*CD57*CD16*CD$6</f>
        <v>-53.4220239162684</v>
      </c>
      <c r="CE63" s="43" t="n">
        <f aca="false">-In_Lease*In_Wind_MW*CE57*CE16*CE$6</f>
        <v>-53.5671924595191</v>
      </c>
      <c r="CF63" s="43" t="n">
        <f aca="false">-In_Lease*In_Wind_MW*CF57*CF16*CF$6</f>
        <v>-54.1623834868471</v>
      </c>
      <c r="CG63" s="43" t="n">
        <f aca="false">-In_Lease*In_Wind_MW*CG57*CG16*CG$6</f>
        <v>-54.7575745141751</v>
      </c>
      <c r="CH63" s="43" t="n">
        <f aca="false">-In_Lease*In_Wind_MW*CH57*CH16*CH$6</f>
        <v>-54.7575745141751</v>
      </c>
      <c r="CI63" s="43" t="n">
        <f aca="false">-In_Lease*In_Wind_MW*CI57*CI16*CI$6</f>
        <v>-54.9063722710071</v>
      </c>
      <c r="CJ63" s="43" t="n">
        <f aca="false">-In_Lease*In_Wind_MW*CJ57*CJ16*CJ$6</f>
        <v>-55.5164430740183</v>
      </c>
      <c r="CK63" s="43" t="n">
        <f aca="false">-In_Lease*In_Wind_MW*CK57*CK16*CK$6</f>
        <v>-56.1265138770295</v>
      </c>
      <c r="CL63" s="43" t="n">
        <f aca="false">-In_Lease*In_Wind_MW*CL57*CL16*CL$6</f>
        <v>-56.1265138770295</v>
      </c>
      <c r="CM63" s="43" t="n">
        <f aca="false">-In_Lease*In_Wind_MW*CM57*CM16*CM$6</f>
        <v>-56.2790315777823</v>
      </c>
      <c r="CN63" s="43" t="n">
        <f aca="false">-In_Lease*In_Wind_MW*CN57*CN16*CN$6</f>
        <v>-56.9043541508687</v>
      </c>
      <c r="CO63" s="43" t="n">
        <f aca="false">-In_Lease*In_Wind_MW*CO57*CO16*CO$6</f>
        <v>-57.5296767239552</v>
      </c>
      <c r="CP63" s="43" t="n">
        <f aca="false">-In_Lease*In_Wind_MW*CP57*CP16*CP$6</f>
        <v>-57.5296767239552</v>
      </c>
      <c r="CQ63" s="43" t="n">
        <f aca="false">-In_Lease*In_Wind_MW*CQ57*CQ16*CQ$6</f>
        <v>-58.3269630046405</v>
      </c>
      <c r="CR63" s="43" t="n">
        <f aca="false">-In_Lease*In_Wind_MW*CR57*CR16*CR$6</f>
        <v>-58.3269630046405</v>
      </c>
      <c r="CS63" s="43" t="n">
        <f aca="false">-In_Lease*In_Wind_MW*CS57*CS16*CS$6</f>
        <v>-58.9679186420541</v>
      </c>
      <c r="CT63" s="43" t="n">
        <f aca="false">-In_Lease*In_Wind_MW*CT57*CT16*CT$6</f>
        <v>-58.9679186420541</v>
      </c>
      <c r="CU63" s="43" t="n">
        <f aca="false">-In_Lease*In_Wind_MW*CU57*CU16*CU$6</f>
        <v>-59.1281575514075</v>
      </c>
      <c r="CV63" s="43" t="n">
        <f aca="false">-In_Lease*In_Wind_MW*CV57*CV16*CV$6</f>
        <v>-59.7851370797565</v>
      </c>
      <c r="CW63" s="43" t="n">
        <f aca="false">-In_Lease*In_Wind_MW*CW57*CW16*CW$6</f>
        <v>-60.4421166081054</v>
      </c>
      <c r="CX63" s="43" t="n">
        <f aca="false">-In_Lease*In_Wind_MW*CX57*CX16*CX$6</f>
        <v>-60.4421166081054</v>
      </c>
      <c r="CY63" s="43" t="n">
        <f aca="false">-In_Lease*In_Wind_MW*CY57*CY16*CY$6</f>
        <v>-60.6063614901927</v>
      </c>
      <c r="CZ63" s="43" t="n">
        <f aca="false">-In_Lease*In_Wind_MW*CZ57*CZ16*CZ$6</f>
        <v>-61.2797655067504</v>
      </c>
      <c r="DA63" s="43" t="n">
        <f aca="false">-In_Lease*In_Wind_MW*DA57*DA16*DA$6</f>
        <v>-61.9531695233081</v>
      </c>
      <c r="DB63" s="43" t="n">
        <f aca="false">-In_Lease*In_Wind_MW*DB57*DB16*DB$6</f>
        <v>-61.9531695233081</v>
      </c>
      <c r="DC63" s="43" t="n">
        <f aca="false">-In_Lease*In_Wind_MW*DC57*DC16*DC$6</f>
        <v>-62.1215205274475</v>
      </c>
      <c r="DD63" s="43" t="n">
        <f aca="false">-In_Lease*In_Wind_MW*DD57*DD16*DD$6</f>
        <v>-62.8117596444191</v>
      </c>
      <c r="DE63" s="43" t="n">
        <f aca="false">-In_Lease*In_Wind_MW*DE57*DE16*DE$6</f>
        <v>-63.5019987613908</v>
      </c>
      <c r="DF63" s="43" t="n">
        <f aca="false">-In_Lease*In_Wind_MW*DF57*DF16*DF$6</f>
        <v>-63.5019987613908</v>
      </c>
      <c r="DG63" s="43" t="n">
        <f aca="false">-In_Lease*In_Wind_MW*DG57*DG16*DG$6</f>
        <v>-64.3820536355296</v>
      </c>
      <c r="DH63" s="43" t="n">
        <f aca="false">-In_Lease*In_Wind_MW*DH57*DH16*DH$6</f>
        <v>-64.3820536355296</v>
      </c>
      <c r="DI63" s="43" t="n">
        <f aca="false">-In_Lease*In_Wind_MW*DI57*DI16*DI$6</f>
        <v>-65.0895487304255</v>
      </c>
      <c r="DJ63" s="43" t="n">
        <f aca="false">-In_Lease*In_Wind_MW*DJ57*DJ16*DJ$6</f>
        <v>-65.0895487304255</v>
      </c>
      <c r="DK63" s="43" t="n">
        <f aca="false">-In_Lease*In_Wind_MW*DK57*DK16*DK$6</f>
        <v>-65.2664225041495</v>
      </c>
      <c r="DL63" s="43" t="n">
        <f aca="false">-In_Lease*In_Wind_MW*DL57*DL16*DL$6</f>
        <v>-65.9916049764178</v>
      </c>
      <c r="DM63" s="43" t="n">
        <f aca="false">-In_Lease*In_Wind_MW*DM57*DM16*DM$6</f>
        <v>-66.7167874486862</v>
      </c>
      <c r="DN63" s="43" t="n">
        <f aca="false">-In_Lease*In_Wind_MW*DN57*DN16*DN$6</f>
        <v>-66.7167874486862</v>
      </c>
      <c r="DO63" s="43" t="n">
        <f aca="false">-In_Lease*In_Wind_MW*DO57*DO16*DO$6</f>
        <v>-66.8980830667532</v>
      </c>
      <c r="DP63" s="43" t="n">
        <f aca="false">-In_Lease*In_Wind_MW*DP57*DP16*DP$6</f>
        <v>-67.6413951008283</v>
      </c>
      <c r="DQ63" s="43" t="n">
        <f aca="false">-In_Lease*In_Wind_MW*DQ57*DQ16*DQ$6</f>
        <v>-68.3847071349033</v>
      </c>
      <c r="DR63" s="43" t="n">
        <f aca="false">-In_Lease*In_Wind_MW*DR57*DR16*DR$6</f>
        <v>-68.3847071349033</v>
      </c>
      <c r="DS63" s="43" t="n">
        <f aca="false">-In_Lease*In_Wind_MW*DS57*DS16*DS$6</f>
        <v>-68.570535143422</v>
      </c>
      <c r="DT63" s="43" t="n">
        <f aca="false">-In_Lease*In_Wind_MW*DT57*DT16*DT$6</f>
        <v>-69.332429978349</v>
      </c>
      <c r="DU63" s="43" t="n">
        <f aca="false">-In_Lease*In_Wind_MW*DU57*DU16*DU$6</f>
        <v>-70.0943248132759</v>
      </c>
      <c r="DV63" s="43" t="n">
        <f aca="false">-In_Lease*In_Wind_MW*DV57*DV16*DV$6</f>
        <v>-70.0943248132759</v>
      </c>
      <c r="DW63" s="43" t="n">
        <f aca="false">-In_Lease*In_Wind_MW*DW57*DW16*DW$6</f>
        <v>-71.0657407278077</v>
      </c>
      <c r="DX63" s="43" t="n">
        <f aca="false">-In_Lease*In_Wind_MW*DX57*DX16*DX$6</f>
        <v>-71.0657407278077</v>
      </c>
      <c r="DY63" s="43" t="n">
        <f aca="false">-In_Lease*In_Wind_MW*DY57*DY16*DY$6</f>
        <v>-71.8466829336078</v>
      </c>
      <c r="DZ63" s="43" t="n">
        <f aca="false">-In_Lease*In_Wind_MW*DZ57*DZ16*DZ$6</f>
        <v>-71.8466829336078</v>
      </c>
      <c r="EA63" s="43" t="n">
        <f aca="false">-In_Lease*In_Wind_MW*EA57*EA16*EA$6</f>
        <v>-72.0419184850578</v>
      </c>
      <c r="EB63" s="43" t="n">
        <f aca="false">-In_Lease*In_Wind_MW*EB57*EB16*EB$6</f>
        <v>-72.8423842460029</v>
      </c>
      <c r="EC63" s="43" t="n">
        <f aca="false">-In_Lease*In_Wind_MW*EC57*EC16*EC$6</f>
        <v>-73.642850006948</v>
      </c>
      <c r="ED63" s="43" t="n">
        <f aca="false">-In_Lease*In_Wind_MW*ED57*ED16*ED$6</f>
        <v>-73.642850006948</v>
      </c>
      <c r="EE63" s="43" t="n">
        <f aca="false">-In_Lease*In_Wind_MW*EE57*EE16*EE$6</f>
        <v>-73.8429664471842</v>
      </c>
      <c r="EF63" s="43" t="n">
        <f aca="false">-In_Lease*In_Wind_MW*EF57*EF16*EF$6</f>
        <v>-74.6634438521529</v>
      </c>
      <c r="EG63" s="43" t="n">
        <f aca="false">-In_Lease*In_Wind_MW*EG57*EG16*EG$6</f>
        <v>-75.4839212571217</v>
      </c>
      <c r="EH63" s="43" t="n">
        <f aca="false">-In_Lease*In_Wind_MW*EH57*EH16*EH$6</f>
        <v>-75.4839212571217</v>
      </c>
      <c r="EI63" s="43" t="n">
        <f aca="false">-In_Lease*In_Wind_MW*EI57*EI16*EI$6</f>
        <v>-75.6890406083638</v>
      </c>
      <c r="EJ63" s="43" t="n">
        <f aca="false">-In_Lease*In_Wind_MW*EJ57*EJ16*EJ$6</f>
        <v>-76.5300299484568</v>
      </c>
      <c r="EK63" s="43" t="n">
        <f aca="false">-In_Lease*In_Wind_MW*EK57*EK16*EK$6</f>
        <v>-77.3710192885497</v>
      </c>
      <c r="EL63" s="43" t="n">
        <f aca="false">-In_Lease*In_Wind_MW*EL57*EL16*EL$6</f>
        <v>-77.3710192885497</v>
      </c>
      <c r="EM63" s="43" t="n">
        <f aca="false">-In_Lease*In_Wind_MW*EM57*EM16*EM$6</f>
        <v>-78.4432806971682</v>
      </c>
      <c r="EN63" s="43" t="n">
        <f aca="false">-In_Lease*In_Wind_MW*EN57*EN16*EN$6</f>
        <v>-78.4432806971682</v>
      </c>
      <c r="EO63" s="43" t="n">
        <f aca="false">-In_Lease*In_Wind_MW*EO57*EO16*EO$6</f>
        <v>-79.3052947707634</v>
      </c>
    </row>
    <row r="64" customFormat="false" ht="15" hidden="false" customHeight="false" outlineLevel="0" collapsed="false">
      <c r="C64" s="0" t="s">
        <v>375</v>
      </c>
      <c r="D64" s="11" t="s">
        <v>33</v>
      </c>
      <c r="I64" s="43" t="n">
        <f aca="false">SUM(J64:EO64)</f>
        <v>-8725.40923897174</v>
      </c>
      <c r="J64" s="43" t="n">
        <f aca="false">-J60*(In_MEKH+In_HIPA+In_Innovation)</f>
        <v>-0</v>
      </c>
      <c r="K64" s="43" t="n">
        <f aca="false">-K60*(In_MEKH+In_HIPA+In_Innovation)</f>
        <v>-0</v>
      </c>
      <c r="L64" s="43" t="n">
        <f aca="false">-L60*(In_MEKH+In_HIPA+In_Innovation)</f>
        <v>-0</v>
      </c>
      <c r="M64" s="43" t="n">
        <f aca="false">-M60*(In_MEKH+In_HIPA+In_Innovation)</f>
        <v>-0</v>
      </c>
      <c r="N64" s="43" t="n">
        <f aca="false">-N60*(In_MEKH+In_HIPA+In_Innovation)</f>
        <v>-0</v>
      </c>
      <c r="O64" s="43" t="n">
        <f aca="false">-O60*(In_MEKH+In_HIPA+In_Innovation)</f>
        <v>-0</v>
      </c>
      <c r="P64" s="43" t="n">
        <f aca="false">-P60*(In_MEKH+In_HIPA+In_Innovation)</f>
        <v>-0</v>
      </c>
      <c r="Q64" s="43" t="n">
        <f aca="false">-Q60*(In_MEKH+In_HIPA+In_Innovation)</f>
        <v>-0</v>
      </c>
      <c r="R64" s="43" t="n">
        <f aca="false">-R60*(In_MEKH+In_HIPA+In_Innovation)</f>
        <v>-0</v>
      </c>
      <c r="S64" s="43" t="n">
        <f aca="false">-S60*(In_MEKH+In_HIPA+In_Innovation)</f>
        <v>-0</v>
      </c>
      <c r="T64" s="43" t="n">
        <f aca="false">-T60*(In_MEKH+In_HIPA+In_Innovation)</f>
        <v>-0</v>
      </c>
      <c r="U64" s="43" t="n">
        <f aca="false">-U60*(In_MEKH+In_HIPA+In_Innovation)</f>
        <v>-0</v>
      </c>
      <c r="V64" s="43" t="n">
        <f aca="false">-V60*(In_MEKH+In_HIPA+In_Innovation)</f>
        <v>-0</v>
      </c>
      <c r="W64" s="43" t="n">
        <f aca="false">-W60*(In_MEKH+In_HIPA+In_Innovation)</f>
        <v>-0</v>
      </c>
      <c r="X64" s="43" t="n">
        <f aca="false">-X60*(In_MEKH+In_HIPA+In_Innovation)</f>
        <v>-0</v>
      </c>
      <c r="Y64" s="43" t="n">
        <f aca="false">-Y60*(In_MEKH+In_HIPA+In_Innovation)</f>
        <v>-0</v>
      </c>
      <c r="Z64" s="43" t="n">
        <f aca="false">-Z60*(In_MEKH+In_HIPA+In_Innovation)</f>
        <v>-65.6265994520548</v>
      </c>
      <c r="AA64" s="43" t="n">
        <f aca="false">-AA60*(In_MEKH+In_HIPA+In_Innovation)</f>
        <v>-64.8419335890411</v>
      </c>
      <c r="AB64" s="43" t="n">
        <f aca="false">-AB60*(In_MEKH+In_HIPA+In_Innovation)</f>
        <v>-65.5623995178082</v>
      </c>
      <c r="AC64" s="43" t="n">
        <f aca="false">-AC60*(In_MEKH+In_HIPA+In_Innovation)</f>
        <v>-66.2828654465754</v>
      </c>
      <c r="AD64" s="43" t="n">
        <f aca="false">-AD60*(In_MEKH+In_HIPA+In_Innovation)</f>
        <v>-66.0840168502356</v>
      </c>
      <c r="AE64" s="43" t="n">
        <f aca="false">-AE60*(In_MEKH+In_HIPA+In_Innovation)</f>
        <v>-66.0193694424473</v>
      </c>
      <c r="AF64" s="43" t="n">
        <f aca="false">-AF60*(In_MEKH+In_HIPA+In_Innovation)</f>
        <v>-66.0193694424473</v>
      </c>
      <c r="AG64" s="43" t="n">
        <f aca="false">-AG60*(In_MEKH+In_HIPA+In_Innovation)</f>
        <v>-66.744857018738</v>
      </c>
      <c r="AH64" s="43" t="n">
        <f aca="false">-AH60*(In_MEKH+In_HIPA+In_Innovation)</f>
        <v>-66.5446224476818</v>
      </c>
      <c r="AI64" s="43" t="n">
        <f aca="false">-AI60*(In_MEKH+In_HIPA+In_Innovation)</f>
        <v>-65.7489802227638</v>
      </c>
      <c r="AJ64" s="43" t="n">
        <f aca="false">-AJ60*(In_MEKH+In_HIPA+In_Innovation)</f>
        <v>-66.4795244474612</v>
      </c>
      <c r="AK64" s="43" t="n">
        <f aca="false">-AK60*(In_MEKH+In_HIPA+In_Innovation)</f>
        <v>-67.2100686721586</v>
      </c>
      <c r="AL64" s="43" t="n">
        <f aca="false">-AL60*(In_MEKH+In_HIPA+In_Innovation)</f>
        <v>-67.0084384661421</v>
      </c>
      <c r="AM64" s="43" t="n">
        <f aca="false">-AM60*(In_MEKH+In_HIPA+In_Innovation)</f>
        <v>-66.2072506149165</v>
      </c>
      <c r="AN64" s="43" t="n">
        <f aca="false">-AN60*(In_MEKH+In_HIPA+In_Innovation)</f>
        <v>-66.94288673286</v>
      </c>
      <c r="AO64" s="43" t="n">
        <f aca="false">-AO60*(In_MEKH+In_HIPA+In_Innovation)</f>
        <v>-67.6785228508035</v>
      </c>
      <c r="AP64" s="43" t="n">
        <f aca="false">-AP60*(In_MEKH+In_HIPA+In_Innovation)</f>
        <v>-67.4754872822511</v>
      </c>
      <c r="AQ64" s="43" t="n">
        <f aca="false">-AQ60*(In_MEKH+In_HIPA+In_Innovation)</f>
        <v>-66.6687151517025</v>
      </c>
      <c r="AR64" s="43" t="n">
        <f aca="false">-AR60*(In_MEKH+In_HIPA+In_Innovation)</f>
        <v>-67.4094786533881</v>
      </c>
      <c r="AS64" s="43" t="n">
        <f aca="false">-AS60*(In_MEKH+In_HIPA+In_Innovation)</f>
        <v>-68.1502421550736</v>
      </c>
      <c r="AT64" s="43" t="n">
        <f aca="false">-AT60*(In_MEKH+In_HIPA+In_Innovation)</f>
        <v>-67.9457914286084</v>
      </c>
      <c r="AU64" s="43" t="n">
        <f aca="false">-AU60*(In_MEKH+In_HIPA+In_Innovation)</f>
        <v>-67.8793227196022</v>
      </c>
      <c r="AV64" s="43" t="n">
        <f aca="false">-AV60*(In_MEKH+In_HIPA+In_Innovation)</f>
        <v>-67.8793227196022</v>
      </c>
      <c r="AW64" s="43" t="n">
        <f aca="false">-AW60*(In_MEKH+In_HIPA+In_Innovation)</f>
        <v>-68.6252493428945</v>
      </c>
      <c r="AX64" s="43" t="n">
        <f aca="false">-AX60*(In_MEKH+In_HIPA+In_Innovation)</f>
        <v>-68.4193735948658</v>
      </c>
      <c r="AY64" s="43" t="n">
        <f aca="false">-AY60*(In_MEKH+In_HIPA+In_Innovation)</f>
        <v>-67.6013158671011</v>
      </c>
      <c r="AZ64" s="43" t="n">
        <f aca="false">-AZ60*(In_MEKH+In_HIPA+In_Innovation)</f>
        <v>-68.3524415989578</v>
      </c>
      <c r="BA64" s="43" t="n">
        <f aca="false">-BA60*(In_MEKH+In_HIPA+In_Innovation)</f>
        <v>-69.1035673308145</v>
      </c>
      <c r="BB64" s="43" t="n">
        <f aca="false">-BB60*(In_MEKH+In_HIPA+In_Innovation)</f>
        <v>-68.896256628822</v>
      </c>
      <c r="BC64" s="43" t="n">
        <f aca="false">-BC60*(In_MEKH+In_HIPA+In_Innovation)</f>
        <v>-68.0724970386948</v>
      </c>
      <c r="BD64" s="43" t="n">
        <f aca="false">-BD60*(In_MEKH+In_HIPA+In_Innovation)</f>
        <v>-68.8288581169025</v>
      </c>
      <c r="BE64" s="43" t="n">
        <f aca="false">-BE60*(In_MEKH+In_HIPA+In_Innovation)</f>
        <v>-69.5852191951102</v>
      </c>
      <c r="BF64" s="43" t="n">
        <f aca="false">-BF60*(In_MEKH+In_HIPA+In_Innovation)</f>
        <v>-69.3764635375249</v>
      </c>
      <c r="BG64" s="43" t="n">
        <f aca="false">-BG60*(In_MEKH+In_HIPA+In_Innovation)</f>
        <v>-68.5469623430545</v>
      </c>
      <c r="BH64" s="43" t="n">
        <f aca="false">-BH60*(In_MEKH+In_HIPA+In_Innovation)</f>
        <v>-69.3085952579773</v>
      </c>
      <c r="BI64" s="43" t="n">
        <f aca="false">-BI60*(In_MEKH+In_HIPA+In_Innovation)</f>
        <v>-70.0702281729002</v>
      </c>
      <c r="BJ64" s="43" t="n">
        <f aca="false">-BJ60*(In_MEKH+In_HIPA+In_Innovation)</f>
        <v>-69.8600174883815</v>
      </c>
      <c r="BK64" s="43" t="n">
        <f aca="false">-BK60*(In_MEKH+In_HIPA+In_Innovation)</f>
        <v>-69.7916761669254</v>
      </c>
      <c r="BL64" s="43" t="n">
        <f aca="false">-BL60*(In_MEKH+In_HIPA+In_Innovation)</f>
        <v>-69.7916761669254</v>
      </c>
      <c r="BM64" s="43" t="n">
        <f aca="false">-BM60*(In_MEKH+In_HIPA+In_Innovation)</f>
        <v>-70.5586176632653</v>
      </c>
      <c r="BN64" s="43" t="n">
        <f aca="false">-BN60*(In_MEKH+In_HIPA+In_Innovation)</f>
        <v>-70.3469418102755</v>
      </c>
      <c r="BO64" s="43" t="n">
        <f aca="false">-BO60*(In_MEKH+In_HIPA+In_Innovation)</f>
        <v>-69.5058370712396</v>
      </c>
      <c r="BP64" s="43" t="n">
        <f aca="false">-BP60*(In_MEKH+In_HIPA+In_Innovation)</f>
        <v>-70.2781241498089</v>
      </c>
      <c r="BQ64" s="43" t="n">
        <f aca="false">-BQ60*(In_MEKH+In_HIPA+In_Innovation)</f>
        <v>-71.0504112283782</v>
      </c>
      <c r="BR64" s="43" t="n">
        <f aca="false">-BR60*(In_MEKH+In_HIPA+In_Innovation)</f>
        <v>-70.8372599946931</v>
      </c>
      <c r="BS64" s="43" t="n">
        <f aca="false">-BS60*(In_MEKH+In_HIPA+In_Innovation)</f>
        <v>-69.9902927556261</v>
      </c>
      <c r="BT64" s="43" t="n">
        <f aca="false">-BT60*(In_MEKH+In_HIPA+In_Innovation)</f>
        <v>-70.7679626751331</v>
      </c>
      <c r="BU64" s="43" t="n">
        <f aca="false">-BU60*(In_MEKH+In_HIPA+In_Innovation)</f>
        <v>-71.54563259464</v>
      </c>
      <c r="BV64" s="43" t="n">
        <f aca="false">-BV60*(In_MEKH+In_HIPA+In_Innovation)</f>
        <v>-71.3309956968561</v>
      </c>
      <c r="BW64" s="43" t="n">
        <f aca="false">-BW60*(In_MEKH+In_HIPA+In_Innovation)</f>
        <v>-70.4781250961328</v>
      </c>
      <c r="BX64" s="43" t="n">
        <f aca="false">-BX60*(In_MEKH+In_HIPA+In_Innovation)</f>
        <v>-71.2612153749788</v>
      </c>
      <c r="BY64" s="43" t="n">
        <f aca="false">-BY60*(In_MEKH+In_HIPA+In_Innovation)</f>
        <v>-72.0443056538247</v>
      </c>
      <c r="BZ64" s="43" t="n">
        <f aca="false">-BZ60*(In_MEKH+In_HIPA+In_Innovation)</f>
        <v>-71.8281727368632</v>
      </c>
      <c r="CA64" s="43" t="n">
        <f aca="false">-CA60*(In_MEKH+In_HIPA+In_Innovation)</f>
        <v>-71.7579060461424</v>
      </c>
      <c r="CB64" s="43" t="n">
        <f aca="false">-CB60*(In_MEKH+In_HIPA+In_Innovation)</f>
        <v>-71.7579060461424</v>
      </c>
      <c r="CC64" s="43" t="n">
        <f aca="false">-CC60*(In_MEKH+In_HIPA+In_Innovation)</f>
        <v>-72.5464544642318</v>
      </c>
      <c r="CD64" s="43" t="n">
        <f aca="false">-CD60*(In_MEKH+In_HIPA+In_Innovation)</f>
        <v>-72.3288151008392</v>
      </c>
      <c r="CE64" s="43" t="n">
        <f aca="false">-CE60*(In_MEKH+In_HIPA+In_Innovation)</f>
        <v>-71.4640140507204</v>
      </c>
      <c r="CF64" s="43" t="n">
        <f aca="false">-CF60*(In_MEKH+In_HIPA+In_Innovation)</f>
        <v>-72.258058651284</v>
      </c>
      <c r="CG64" s="43" t="n">
        <f aca="false">-CG60*(In_MEKH+In_HIPA+In_Innovation)</f>
        <v>-73.0521032518475</v>
      </c>
      <c r="CH64" s="43" t="n">
        <f aca="false">-CH60*(In_MEKH+In_HIPA+In_Innovation)</f>
        <v>-72.832946942092</v>
      </c>
      <c r="CI64" s="43" t="n">
        <f aca="false">-CI60*(In_MEKH+In_HIPA+In_Innovation)</f>
        <v>-71.9621182286539</v>
      </c>
      <c r="CJ64" s="43" t="n">
        <f aca="false">-CJ60*(In_MEKH+In_HIPA+In_Innovation)</f>
        <v>-72.7616973200834</v>
      </c>
      <c r="CK64" s="43" t="n">
        <f aca="false">-CK60*(In_MEKH+In_HIPA+In_Innovation)</f>
        <v>-73.5612764115129</v>
      </c>
      <c r="CL64" s="43" t="n">
        <f aca="false">-CL60*(In_MEKH+In_HIPA+In_Innovation)</f>
        <v>-73.3405925822784</v>
      </c>
      <c r="CM64" s="43" t="n">
        <f aca="false">-CM60*(In_MEKH+In_HIPA+In_Innovation)</f>
        <v>-72.4636941927076</v>
      </c>
      <c r="CN64" s="43" t="n">
        <f aca="false">-CN60*(In_MEKH+In_HIPA+In_Innovation)</f>
        <v>-73.2688463504044</v>
      </c>
      <c r="CO64" s="43" t="n">
        <f aca="false">-CO60*(In_MEKH+In_HIPA+In_Innovation)</f>
        <v>-74.0739985081012</v>
      </c>
      <c r="CP64" s="43" t="n">
        <f aca="false">-CP60*(In_MEKH+In_HIPA+In_Innovation)</f>
        <v>-73.8517765125768</v>
      </c>
      <c r="CQ64" s="43" t="n">
        <f aca="false">-CQ60*(In_MEKH+In_HIPA+In_Innovation)</f>
        <v>-73.7795302094667</v>
      </c>
      <c r="CR64" s="43" t="n">
        <f aca="false">-CR60*(In_MEKH+In_HIPA+In_Innovation)</f>
        <v>-73.7795302094667</v>
      </c>
      <c r="CS64" s="43" t="n">
        <f aca="false">-CS60*(In_MEKH+In_HIPA+In_Innovation)</f>
        <v>-74.5902942777026</v>
      </c>
      <c r="CT64" s="43" t="n">
        <f aca="false">-CT60*(In_MEKH+In_HIPA+In_Innovation)</f>
        <v>-74.3665233948695</v>
      </c>
      <c r="CU64" s="43" t="n">
        <f aca="false">-CU60*(In_MEKH+In_HIPA+In_Innovation)</f>
        <v>-73.4773584412352</v>
      </c>
      <c r="CV64" s="43" t="n">
        <f aca="false">-CV60*(In_MEKH+In_HIPA+In_Innovation)</f>
        <v>-74.2937735350267</v>
      </c>
      <c r="CW64" s="43" t="n">
        <f aca="false">-CW60*(In_MEKH+In_HIPA+In_Innovation)</f>
        <v>-75.1101886288182</v>
      </c>
      <c r="CX64" s="43" t="n">
        <f aca="false">-CX60*(In_MEKH+In_HIPA+In_Innovation)</f>
        <v>-74.8848580629318</v>
      </c>
      <c r="CY64" s="43" t="n">
        <f aca="false">-CY60*(In_MEKH+In_HIPA+In_Innovation)</f>
        <v>-73.9894956295706</v>
      </c>
      <c r="CZ64" s="43" t="n">
        <f aca="false">-CZ60*(In_MEKH+In_HIPA+In_Innovation)</f>
        <v>-74.8116011365658</v>
      </c>
      <c r="DA64" s="43" t="n">
        <f aca="false">-DA60*(In_MEKH+In_HIPA+In_Innovation)</f>
        <v>-75.6337066435611</v>
      </c>
      <c r="DB64" s="43" t="n">
        <f aca="false">-DB60*(In_MEKH+In_HIPA+In_Innovation)</f>
        <v>-75.4068055236304</v>
      </c>
      <c r="DC64" s="43" t="n">
        <f aca="false">-DC60*(In_MEKH+In_HIPA+In_Innovation)</f>
        <v>-74.5052024141087</v>
      </c>
      <c r="DD64" s="43" t="n">
        <f aca="false">-DD60*(In_MEKH+In_HIPA+In_Innovation)</f>
        <v>-75.3330379964877</v>
      </c>
      <c r="DE64" s="43" t="n">
        <f aca="false">-DE60*(In_MEKH+In_HIPA+In_Innovation)</f>
        <v>-76.1608735788667</v>
      </c>
      <c r="DF64" s="43" t="n">
        <f aca="false">-DF60*(In_MEKH+In_HIPA+In_Innovation)</f>
        <v>-75.9323909581301</v>
      </c>
      <c r="DG64" s="43" t="n">
        <f aca="false">-DG60*(In_MEKH+In_HIPA+In_Innovation)</f>
        <v>-75.8581092713232</v>
      </c>
      <c r="DH64" s="43" t="n">
        <f aca="false">-DH60*(In_MEKH+In_HIPA+In_Innovation)</f>
        <v>-75.8581092713232</v>
      </c>
      <c r="DI64" s="43" t="n">
        <f aca="false">-DI60*(In_MEKH+In_HIPA+In_Innovation)</f>
        <v>-76.6917148677114</v>
      </c>
      <c r="DJ64" s="43" t="n">
        <f aca="false">-DJ60*(In_MEKH+In_HIPA+In_Innovation)</f>
        <v>-76.4616397231083</v>
      </c>
      <c r="DK64" s="43" t="n">
        <f aca="false">-DK60*(In_MEKH+In_HIPA+In_Innovation)</f>
        <v>-75.5474244655493</v>
      </c>
      <c r="DL64" s="43" t="n">
        <f aca="false">-DL60*(In_MEKH+In_HIPA+In_Innovation)</f>
        <v>-76.3868402929443</v>
      </c>
      <c r="DM64" s="43" t="n">
        <f aca="false">-DM60*(In_MEKH+In_HIPA+In_Innovation)</f>
        <v>-77.2262561203393</v>
      </c>
      <c r="DN64" s="43" t="n">
        <f aca="false">-DN60*(In_MEKH+In_HIPA+In_Innovation)</f>
        <v>-76.9945773519783</v>
      </c>
      <c r="DO64" s="43" t="n">
        <f aca="false">-DO60*(In_MEKH+In_HIPA+In_Innovation)</f>
        <v>-76.0739900140742</v>
      </c>
      <c r="DP64" s="43" t="n">
        <f aca="false">-DP60*(In_MEKH+In_HIPA+In_Innovation)</f>
        <v>-76.9192565697862</v>
      </c>
      <c r="DQ64" s="43" t="n">
        <f aca="false">-DQ60*(In_MEKH+In_HIPA+In_Innovation)</f>
        <v>-77.7645231254981</v>
      </c>
      <c r="DR64" s="43" t="n">
        <f aca="false">-DR60*(In_MEKH+In_HIPA+In_Innovation)</f>
        <v>-77.5312295561216</v>
      </c>
      <c r="DS64" s="43" t="n">
        <f aca="false">-DS60*(In_MEKH+In_HIPA+In_Innovation)</f>
        <v>-76.6042257244723</v>
      </c>
      <c r="DT64" s="43" t="n">
        <f aca="false">-DT60*(In_MEKH+In_HIPA+In_Innovation)</f>
        <v>-77.4553837880776</v>
      </c>
      <c r="DU64" s="43" t="n">
        <f aca="false">-DU60*(In_MEKH+In_HIPA+In_Innovation)</f>
        <v>-78.3065418516828</v>
      </c>
      <c r="DV64" s="43" t="n">
        <f aca="false">-DV60*(In_MEKH+In_HIPA+In_Innovation)</f>
        <v>-78.0716222261278</v>
      </c>
      <c r="DW64" s="43" t="n">
        <f aca="false">-DW60*(In_MEKH+In_HIPA+In_Innovation)</f>
        <v>-77.9952478130805</v>
      </c>
      <c r="DX64" s="43" t="n">
        <f aca="false">-DX60*(In_MEKH+In_HIPA+In_Innovation)</f>
        <v>-77.9952478130805</v>
      </c>
      <c r="DY64" s="43" t="n">
        <f aca="false">-DY60*(In_MEKH+In_HIPA+In_Innovation)</f>
        <v>-78.8523384483891</v>
      </c>
      <c r="DZ64" s="43" t="n">
        <f aca="false">-DZ60*(In_MEKH+In_HIPA+In_Innovation)</f>
        <v>-78.6157814330439</v>
      </c>
      <c r="EA64" s="43" t="n">
        <f aca="false">-EA60*(In_MEKH+In_HIPA+In_Innovation)</f>
        <v>-77.675810133301</v>
      </c>
      <c r="EB64" s="43" t="n">
        <f aca="false">-EB60*(In_MEKH+In_HIPA+In_Innovation)</f>
        <v>-78.5388746903377</v>
      </c>
      <c r="EC64" s="43" t="n">
        <f aca="false">-EC60*(In_MEKH+In_HIPA+In_Innovation)</f>
        <v>-79.4019392473743</v>
      </c>
      <c r="ED64" s="43" t="n">
        <f aca="false">-ED60*(In_MEKH+In_HIPA+In_Innovation)</f>
        <v>-79.1637334296322</v>
      </c>
      <c r="EE64" s="43" t="n">
        <f aca="false">-EE60*(In_MEKH+In_HIPA+In_Innovation)</f>
        <v>-78.2172105299301</v>
      </c>
      <c r="EF64" s="43" t="n">
        <f aca="false">-EF60*(In_MEKH+In_HIPA+In_Innovation)</f>
        <v>-79.0862906469293</v>
      </c>
      <c r="EG64" s="43" t="n">
        <f aca="false">-EG60*(In_MEKH+In_HIPA+In_Innovation)</f>
        <v>-79.9553707639285</v>
      </c>
      <c r="EH64" s="43" t="n">
        <f aca="false">-EH60*(In_MEKH+In_HIPA+In_Innovation)</f>
        <v>-79.7155046516367</v>
      </c>
      <c r="EI64" s="43" t="n">
        <f aca="false">-EI60*(In_MEKH+In_HIPA+In_Innovation)</f>
        <v>-78.7623844873237</v>
      </c>
      <c r="EJ64" s="43" t="n">
        <f aca="false">-EJ60*(In_MEKH+In_HIPA+In_Innovation)</f>
        <v>-79.6375220927384</v>
      </c>
      <c r="EK64" s="43" t="n">
        <f aca="false">-EK60*(In_MEKH+In_HIPA+In_Innovation)</f>
        <v>-80.5126596981531</v>
      </c>
      <c r="EL64" s="43" t="n">
        <f aca="false">-EL60*(In_MEKH+In_HIPA+In_Innovation)</f>
        <v>-80.2711217190587</v>
      </c>
      <c r="EM64" s="43" t="n">
        <f aca="false">-EM60*(In_MEKH+In_HIPA+In_Innovation)</f>
        <v>-80.1925956217248</v>
      </c>
      <c r="EN64" s="43" t="n">
        <f aca="false">-EN60*(In_MEKH+In_HIPA+In_Innovation)</f>
        <v>-80.1925956217248</v>
      </c>
      <c r="EO64" s="43" t="n">
        <f aca="false">-EO60*(In_MEKH+In_HIPA+In_Innovation)</f>
        <v>-81.0738329362492</v>
      </c>
    </row>
    <row r="65" customFormat="false" ht="15" hidden="false" customHeight="false" outlineLevel="0" collapsed="false">
      <c r="C65" s="0" t="s">
        <v>272</v>
      </c>
      <c r="D65" s="11" t="s">
        <v>33</v>
      </c>
      <c r="I65" s="43" t="n">
        <f aca="false">SUM(J65:EO65)</f>
        <v>-4450.47787433885</v>
      </c>
      <c r="J65" s="43" t="n">
        <f aca="false">In_Opex_Contingency*(J61+J62+J63-J60*In_MEKH)</f>
        <v>-0</v>
      </c>
      <c r="K65" s="43" t="n">
        <f aca="false">In_Opex_Contingency*(K61+K62+K63-K60*In_MEKH)</f>
        <v>-0</v>
      </c>
      <c r="L65" s="43" t="n">
        <f aca="false">In_Opex_Contingency*(L61+L62+L63-L60*In_MEKH)</f>
        <v>-0</v>
      </c>
      <c r="M65" s="43" t="n">
        <f aca="false">In_Opex_Contingency*(M61+M62+M63-M60*In_MEKH)</f>
        <v>-0</v>
      </c>
      <c r="N65" s="43" t="n">
        <f aca="false">In_Opex_Contingency*(N61+N62+N63-N60*In_MEKH)</f>
        <v>-0</v>
      </c>
      <c r="O65" s="43" t="n">
        <f aca="false">In_Opex_Contingency*(O61+O62+O63-O60*In_MEKH)</f>
        <v>-0</v>
      </c>
      <c r="P65" s="43" t="n">
        <f aca="false">In_Opex_Contingency*(P61+P62+P63-P60*In_MEKH)</f>
        <v>-0</v>
      </c>
      <c r="Q65" s="43" t="n">
        <f aca="false">In_Opex_Contingency*(Q61+Q62+Q63-Q60*In_MEKH)</f>
        <v>-0</v>
      </c>
      <c r="R65" s="43" t="n">
        <f aca="false">In_Opex_Contingency*(R61+R62+R63-R60*In_MEKH)</f>
        <v>-1.79932036540546</v>
      </c>
      <c r="S65" s="43" t="n">
        <f aca="false">In_Opex_Contingency*(S61+S62+S63-S60*In_MEKH)</f>
        <v>-1.80420982292015</v>
      </c>
      <c r="T65" s="43" t="n">
        <f aca="false">In_Opex_Contingency*(T61+T62+T63-T60*In_MEKH)</f>
        <v>-1.82425659873037</v>
      </c>
      <c r="U65" s="43" t="n">
        <f aca="false">In_Opex_Contingency*(U61+U62+U63-U60*In_MEKH)</f>
        <v>-1.8443033745406</v>
      </c>
      <c r="V65" s="43" t="n">
        <f aca="false">In_Opex_Contingency*(V61+V62+V63-V60*In_MEKH)</f>
        <v>-1.8443033745406</v>
      </c>
      <c r="W65" s="43" t="n">
        <f aca="false">In_Opex_Contingency*(W61+W62+W63-W60*In_MEKH)</f>
        <v>-1.84931506849315</v>
      </c>
      <c r="X65" s="43" t="n">
        <f aca="false">In_Opex_Contingency*(X61+X62+X63-X60*In_MEKH)</f>
        <v>-1.86986301369863</v>
      </c>
      <c r="Y65" s="43" t="n">
        <f aca="false">In_Opex_Contingency*(Y61+Y62+Y63-Y60*In_MEKH)</f>
        <v>-1.89041095890411</v>
      </c>
      <c r="Z65" s="43" t="n">
        <f aca="false">In_Opex_Contingency*(Z61+Z62+Z63-Z60*In_MEKH)</f>
        <v>-25.3762289315069</v>
      </c>
      <c r="AA65" s="43" t="n">
        <f aca="false">In_Opex_Contingency*(AA61+AA62+AA63-AA60*In_MEKH)</f>
        <v>-25.4431798273973</v>
      </c>
      <c r="AB65" s="43" t="n">
        <f aca="false">In_Opex_Contingency*(AB61+AB62+AB63-AB60*In_MEKH)</f>
        <v>-25.7258818254795</v>
      </c>
      <c r="AC65" s="43" t="n">
        <f aca="false">In_Opex_Contingency*(AC61+AC62+AC63-AC60*In_MEKH)</f>
        <v>-26.0085838235616</v>
      </c>
      <c r="AD65" s="43" t="n">
        <f aca="false">In_Opex_Contingency*(AD61+AD62+AD63-AD60*In_MEKH)</f>
        <v>-25.9848128666115</v>
      </c>
      <c r="AE65" s="43" t="n">
        <f aca="false">In_Opex_Contingency*(AE61+AE62+AE63-AE60*In_MEKH)</f>
        <v>-26.3428858011986</v>
      </c>
      <c r="AF65" s="43" t="n">
        <f aca="false">In_Opex_Contingency*(AF61+AF62+AF63-AF60*In_MEKH)</f>
        <v>-26.3428858011986</v>
      </c>
      <c r="AG65" s="43" t="n">
        <f aca="false">In_Opex_Contingency*(AG61+AG62+AG63-AG60*In_MEKH)</f>
        <v>-26.6323680627502</v>
      </c>
      <c r="AH65" s="43" t="n">
        <f aca="false">In_Opex_Contingency*(AH61+AH62+AH63-AH60*In_MEKH)</f>
        <v>-26.6080821229455</v>
      </c>
      <c r="AI65" s="43" t="n">
        <f aca="false">In_Opex_Contingency*(AI61+AI62+AI63-AI60*In_MEKH)</f>
        <v>-26.6783523814249</v>
      </c>
      <c r="AJ65" s="43" t="n">
        <f aca="false">In_Opex_Contingency*(AJ61+AJ62+AJ63-AJ60*In_MEKH)</f>
        <v>-26.9747785189963</v>
      </c>
      <c r="AK65" s="43" t="n">
        <f aca="false">In_Opex_Contingency*(AK61+AK62+AK63-AK60*In_MEKH)</f>
        <v>-27.2712046565677</v>
      </c>
      <c r="AL65" s="43" t="n">
        <f aca="false">In_Opex_Contingency*(AL61+AL62+AL63-AL60*In_MEKH)</f>
        <v>-27.2463924860911</v>
      </c>
      <c r="AM65" s="43" t="n">
        <f aca="false">In_Opex_Contingency*(AM61+AM62+AM63-AM60*In_MEKH)</f>
        <v>-27.3183831044426</v>
      </c>
      <c r="AN65" s="43" t="n">
        <f aca="false">In_Opex_Contingency*(AN61+AN62+AN63-AN60*In_MEKH)</f>
        <v>-27.621920694492</v>
      </c>
      <c r="AO65" s="43" t="n">
        <f aca="false">In_Opex_Contingency*(AO61+AO62+AO63-AO60*In_MEKH)</f>
        <v>-27.9254582845413</v>
      </c>
      <c r="AP65" s="43" t="n">
        <f aca="false">In_Opex_Contingency*(AP61+AP62+AP63-AP60*In_MEKH)</f>
        <v>-27.9001083892682</v>
      </c>
      <c r="AQ65" s="43" t="n">
        <f aca="false">In_Opex_Contingency*(AQ61+AQ62+AQ63-AQ60*In_MEKH)</f>
        <v>-27.9738611315436</v>
      </c>
      <c r="AR65" s="43" t="n">
        <f aca="false">In_Opex_Contingency*(AR61+AR62+AR63-AR60*In_MEKH)</f>
        <v>-28.2846818107829</v>
      </c>
      <c r="AS65" s="43" t="n">
        <f aca="false">In_Opex_Contingency*(AS61+AS62+AS63-AS60*In_MEKH)</f>
        <v>-28.5955024900223</v>
      </c>
      <c r="AT65" s="43" t="n">
        <f aca="false">In_Opex_Contingency*(AT61+AT62+AT63-AT60*In_MEKH)</f>
        <v>-28.5696031241222</v>
      </c>
      <c r="AU65" s="43" t="n">
        <f aca="false">In_Opex_Contingency*(AU61+AU62+AU63-AU60*In_MEKH)</f>
        <v>-28.9634403321536</v>
      </c>
      <c r="AV65" s="43" t="n">
        <f aca="false">In_Opex_Contingency*(AV61+AV62+AV63-AV60*In_MEKH)</f>
        <v>-28.9634403321536</v>
      </c>
      <c r="AW65" s="43" t="n">
        <f aca="false">In_Opex_Contingency*(AW61+AW62+AW63-AW60*In_MEKH)</f>
        <v>-29.2817198962432</v>
      </c>
      <c r="AX65" s="43" t="n">
        <f aca="false">In_Opex_Contingency*(AX61+AX62+AX63-AX60*In_MEKH)</f>
        <v>-29.2552590566637</v>
      </c>
      <c r="AY65" s="43" t="n">
        <f aca="false">In_Opex_Contingency*(AY61+AY62+AY63-AY60*In_MEKH)</f>
        <v>-29.3326654183586</v>
      </c>
      <c r="AZ65" s="43" t="n">
        <f aca="false">In_Opex_Contingency*(AZ61+AZ62+AZ63-AZ60*In_MEKH)</f>
        <v>-29.658583923007</v>
      </c>
      <c r="BA65" s="43" t="n">
        <f aca="false">In_Opex_Contingency*(BA61+BA62+BA63-BA60*In_MEKH)</f>
        <v>-29.9845024276554</v>
      </c>
      <c r="BB65" s="43" t="n">
        <f aca="false">In_Opex_Contingency*(BB61+BB62+BB63-BB60*In_MEKH)</f>
        <v>-29.9574678484844</v>
      </c>
      <c r="BC65" s="43" t="n">
        <f aca="false">In_Opex_Contingency*(BC61+BC62+BC63-BC60*In_MEKH)</f>
        <v>-30.0367678076187</v>
      </c>
      <c r="BD65" s="43" t="n">
        <f aca="false">In_Opex_Contingency*(BD61+BD62+BD63-BD60*In_MEKH)</f>
        <v>-30.3705096721478</v>
      </c>
      <c r="BE65" s="43" t="n">
        <f aca="false">In_Opex_Contingency*(BE61+BE62+BE63-BE60*In_MEKH)</f>
        <v>-30.7042515366769</v>
      </c>
      <c r="BF65" s="43" t="n">
        <f aca="false">In_Opex_Contingency*(BF61+BF62+BF63-BF60*In_MEKH)</f>
        <v>-30.6766306833816</v>
      </c>
      <c r="BG65" s="43" t="n">
        <f aca="false">In_Opex_Contingency*(BG61+BG62+BG63-BG60*In_MEKH)</f>
        <v>-30.7578702091115</v>
      </c>
      <c r="BH65" s="43" t="n">
        <f aca="false">In_Opex_Contingency*(BH61+BH62+BH63-BH60*In_MEKH)</f>
        <v>-31.099624322546</v>
      </c>
      <c r="BI65" s="43" t="n">
        <f aca="false">In_Opex_Contingency*(BI61+BI62+BI63-BI60*In_MEKH)</f>
        <v>-31.4413784359806</v>
      </c>
      <c r="BJ65" s="43" t="n">
        <f aca="false">In_Opex_Contingency*(BJ61+BJ62+BJ63-BJ60*In_MEKH)</f>
        <v>-31.4131584995203</v>
      </c>
      <c r="BK65" s="43" t="n">
        <f aca="false">In_Opex_Contingency*(BK61+BK62+BK63-BK60*In_MEKH)</f>
        <v>-31.8463445067177</v>
      </c>
      <c r="BL65" s="43" t="n">
        <f aca="false">In_Opex_Contingency*(BL61+BL62+BL63-BL60*In_MEKH)</f>
        <v>-31.8463445067177</v>
      </c>
      <c r="BM65" s="43" t="n">
        <f aca="false">In_Opex_Contingency*(BM61+BM62+BM63-BM60*In_MEKH)</f>
        <v>-32.1963043364618</v>
      </c>
      <c r="BN65" s="43" t="n">
        <f aca="false">In_Opex_Contingency*(BN61+BN62+BN63-BN60*In_MEKH)</f>
        <v>-32.1674722272713</v>
      </c>
      <c r="BO65" s="43" t="n">
        <f aca="false">In_Opex_Contingency*(BO61+BO62+BO63-BO60*In_MEKH)</f>
        <v>-32.2527332846949</v>
      </c>
      <c r="BP65" s="43" t="n">
        <f aca="false">In_Opex_Contingency*(BP61+BP62+BP63-BP60*In_MEKH)</f>
        <v>-32.6110969878582</v>
      </c>
      <c r="BQ65" s="43" t="n">
        <f aca="false">In_Opex_Contingency*(BQ61+BQ62+BQ63-BQ60*In_MEKH)</f>
        <v>-32.9694606910215</v>
      </c>
      <c r="BR65" s="43" t="n">
        <f aca="false">In_Opex_Contingency*(BR61+BR62+BR63-BR60*In_MEKH)</f>
        <v>-32.9400030328627</v>
      </c>
      <c r="BS65" s="43" t="n">
        <f aca="false">In_Opex_Contingency*(BS61+BS62+BS63-BS60*In_MEKH)</f>
        <v>-33.0273483694331</v>
      </c>
      <c r="BT65" s="43" t="n">
        <f aca="false">In_Opex_Contingency*(BT61+BT62+BT63-BT60*In_MEKH)</f>
        <v>-33.3943189068713</v>
      </c>
      <c r="BU65" s="43" t="n">
        <f aca="false">In_Opex_Contingency*(BU61+BU62+BU63-BU60*In_MEKH)</f>
        <v>-33.7612894443094</v>
      </c>
      <c r="BV65" s="43" t="n">
        <f aca="false">In_Opex_Contingency*(BV61+BV62+BV63-BV60*In_MEKH)</f>
        <v>-33.7311925679887</v>
      </c>
      <c r="BW65" s="43" t="n">
        <f aca="false">In_Opex_Contingency*(BW61+BW62+BW63-BW60*In_MEKH)</f>
        <v>-33.8206727822995</v>
      </c>
      <c r="BX65" s="43" t="n">
        <f aca="false">In_Opex_Contingency*(BX61+BX62+BX63-BX60*In_MEKH)</f>
        <v>-34.1964580354362</v>
      </c>
      <c r="BY65" s="43" t="n">
        <f aca="false">In_Opex_Contingency*(BY61+BY62+BY63-BY60*In_MEKH)</f>
        <v>-34.5722432885728</v>
      </c>
      <c r="BZ65" s="43" t="n">
        <f aca="false">In_Opex_Contingency*(BZ61+BZ62+BZ63-BZ60*In_MEKH)</f>
        <v>-34.5414932255196</v>
      </c>
      <c r="CA65" s="43" t="n">
        <f aca="false">In_Opex_Contingency*(CA61+CA62+CA63-CA60*In_MEKH)</f>
        <v>-35.0179730352622</v>
      </c>
      <c r="CB65" s="43" t="n">
        <f aca="false">In_Opex_Contingency*(CB61+CB62+CB63-CB60*In_MEKH)</f>
        <v>-35.0179730352622</v>
      </c>
      <c r="CC65" s="43" t="n">
        <f aca="false">In_Opex_Contingency*(CC61+CC62+CC63-CC60*In_MEKH)</f>
        <v>-35.4027859257596</v>
      </c>
      <c r="CD65" s="43" t="n">
        <f aca="false">In_Opex_Contingency*(CD61+CD62+CD63-CD60*In_MEKH)</f>
        <v>-35.3713684014651</v>
      </c>
      <c r="CE65" s="43" t="n">
        <f aca="false">In_Opex_Contingency*(CE61+CE62+CE63-CE60*In_MEKH)</f>
        <v>-35.4652751113335</v>
      </c>
      <c r="CF65" s="43" t="n">
        <f aca="false">In_Opex_Contingency*(CF61+CF62+CF63-CF60*In_MEKH)</f>
        <v>-35.8593337236816</v>
      </c>
      <c r="CG65" s="43" t="n">
        <f aca="false">In_Opex_Contingency*(CG61+CG62+CG63-CG60*In_MEKH)</f>
        <v>-36.2533923360298</v>
      </c>
      <c r="CH65" s="43" t="n">
        <f aca="false">In_Opex_Contingency*(CH61+CH62+CH63-CH60*In_MEKH)</f>
        <v>-36.2212927633415</v>
      </c>
      <c r="CI65" s="43" t="n">
        <f aca="false">In_Opex_Contingency*(CI61+CI62+CI63-CI60*In_MEKH)</f>
        <v>-36.3174936386411</v>
      </c>
      <c r="CJ65" s="43" t="n">
        <f aca="false">In_Opex_Contingency*(CJ61+CJ62+CJ63-CJ60*In_MEKH)</f>
        <v>-36.7210213457371</v>
      </c>
      <c r="CK65" s="43" t="n">
        <f aca="false">In_Opex_Contingency*(CK61+CK62+CK63-CK60*In_MEKH)</f>
        <v>-37.1245490528331</v>
      </c>
      <c r="CL65" s="43" t="n">
        <f aca="false">In_Opex_Contingency*(CL61+CL62+CL63-CL60*In_MEKH)</f>
        <v>-37.0917525251025</v>
      </c>
      <c r="CM65" s="43" t="n">
        <f aca="false">In_Opex_Contingency*(CM61+CM62+CM63-CM60*In_MEKH)</f>
        <v>-37.1903032611311</v>
      </c>
      <c r="CN65" s="43" t="n">
        <f aca="false">In_Opex_Contingency*(CN61+CN62+CN63-CN60*In_MEKH)</f>
        <v>-37.6035288529215</v>
      </c>
      <c r="CO65" s="43" t="n">
        <f aca="false">In_Opex_Contingency*(CO61+CO62+CO63-CO60*In_MEKH)</f>
        <v>-38.0167544447118</v>
      </c>
      <c r="CP65" s="43" t="n">
        <f aca="false">In_Opex_Contingency*(CP61+CP62+CP63-CP60*In_MEKH)</f>
        <v>-37.9832457287912</v>
      </c>
      <c r="CQ65" s="43" t="n">
        <f aca="false">In_Opex_Contingency*(CQ61+CQ62+CQ63-CQ60*In_MEKH)</f>
        <v>-38.5073611887342</v>
      </c>
      <c r="CR65" s="43" t="n">
        <f aca="false">In_Opex_Contingency*(CR61+CR62+CR63-CR60*In_MEKH)</f>
        <v>-38.5073611887342</v>
      </c>
      <c r="CS65" s="43" t="n">
        <f aca="false">In_Opex_Contingency*(CS61+CS62+CS63-CS60*In_MEKH)</f>
        <v>-38.930519003995</v>
      </c>
      <c r="CT65" s="43" t="n">
        <f aca="false">In_Opex_Contingency*(CT61+CT62+CT63-CT60*In_MEKH)</f>
        <v>-38.8962825330819</v>
      </c>
      <c r="CU65" s="43" t="n">
        <f aca="false">In_Opex_Contingency*(CU61+CU62+CU63-CU60*In_MEKH)</f>
        <v>-38.9997055198886</v>
      </c>
      <c r="CV65" s="43" t="n">
        <f aca="false">In_Opex_Contingency*(CV61+CV62+CV63-CV60*In_MEKH)</f>
        <v>-39.4330355812207</v>
      </c>
      <c r="CW65" s="43" t="n">
        <f aca="false">In_Opex_Contingency*(CW61+CW62+CW63-CW60*In_MEKH)</f>
        <v>-39.8663656425528</v>
      </c>
      <c r="CX65" s="43" t="n">
        <f aca="false">In_Opex_Contingency*(CX61+CX62+CX63-CX60*In_MEKH)</f>
        <v>-39.8313855088765</v>
      </c>
      <c r="CY65" s="43" t="n">
        <f aca="false">In_Opex_Contingency*(CY61+CY62+CY63-CY60*In_MEKH)</f>
        <v>-39.9373336905495</v>
      </c>
      <c r="CZ65" s="43" t="n">
        <f aca="false">In_Opex_Contingency*(CZ61+CZ62+CZ63-CZ60*In_MEKH)</f>
        <v>-40.3810818426667</v>
      </c>
      <c r="DA65" s="43" t="n">
        <f aca="false">In_Opex_Contingency*(DA61+DA62+DA63-DA60*In_MEKH)</f>
        <v>-40.824829994784</v>
      </c>
      <c r="DB65" s="43" t="n">
        <f aca="false">In_Opex_Contingency*(DB61+DB62+DB63-DB60*In_MEKH)</f>
        <v>-40.7890899421322</v>
      </c>
      <c r="DC65" s="43" t="n">
        <f aca="false">In_Opex_Contingency*(DC61+DC62+DC63-DC60*In_MEKH)</f>
        <v>-40.89762462523</v>
      </c>
      <c r="DD65" s="43" t="n">
        <f aca="false">In_Opex_Contingency*(DD61+DD62+DD63-DD60*In_MEKH)</f>
        <v>-41.3520426766215</v>
      </c>
      <c r="DE65" s="43" t="n">
        <f aca="false">In_Opex_Contingency*(DE61+DE62+DE63-DE60*In_MEKH)</f>
        <v>-41.8064607280129</v>
      </c>
      <c r="DF65" s="43" t="n">
        <f aca="false">In_Opex_Contingency*(DF61+DF62+DF63-DF60*In_MEKH)</f>
        <v>-41.7699441440948</v>
      </c>
      <c r="DG65" s="43" t="n">
        <f aca="false">In_Opex_Contingency*(DG61+DG62+DG63-DG60*In_MEKH)</f>
        <v>-42.3464739924311</v>
      </c>
      <c r="DH65" s="43" t="n">
        <f aca="false">In_Opex_Contingency*(DH61+DH62+DH63-DH60*In_MEKH)</f>
        <v>-42.3464739924311</v>
      </c>
      <c r="DI65" s="43" t="n">
        <f aca="false">In_Opex_Contingency*(DI61+DI62+DI63-DI60*In_MEKH)</f>
        <v>-42.8118198604798</v>
      </c>
      <c r="DJ65" s="43" t="n">
        <f aca="false">In_Opex_Contingency*(DJ61+DJ62+DJ63-DJ60*In_MEKH)</f>
        <v>-42.7745097691209</v>
      </c>
      <c r="DK65" s="43" t="n">
        <f aca="false">In_Opex_Contingency*(DK61+DK62+DK63-DK60*In_MEKH)</f>
        <v>-42.8884073678226</v>
      </c>
      <c r="DL65" s="43" t="n">
        <f aca="false">In_Opex_Contingency*(DL61+DL62+DL63-DL60*In_MEKH)</f>
        <v>-43.3649452274651</v>
      </c>
      <c r="DM65" s="43" t="n">
        <f aca="false">In_Opex_Contingency*(DM61+DM62+DM63-DM60*In_MEKH)</f>
        <v>-43.8414830871076</v>
      </c>
      <c r="DN65" s="43" t="n">
        <f aca="false">In_Opex_Contingency*(DN61+DN62+DN63-DN60*In_MEKH)</f>
        <v>-43.8033621402744</v>
      </c>
      <c r="DO65" s="43" t="n">
        <f aca="false">In_Opex_Contingency*(DO61+DO62+DO63-DO60*In_MEKH)</f>
        <v>-43.9200392412121</v>
      </c>
      <c r="DP65" s="43" t="n">
        <f aca="false">In_Opex_Contingency*(DP61+DP62+DP63-DP60*In_MEKH)</f>
        <v>-44.4080396772256</v>
      </c>
      <c r="DQ65" s="43" t="n">
        <f aca="false">In_Opex_Contingency*(DQ61+DQ62+DQ63-DQ60*In_MEKH)</f>
        <v>-44.896040113239</v>
      </c>
      <c r="DR65" s="43" t="n">
        <f aca="false">In_Opex_Contingency*(DR61+DR62+DR63-DR60*In_MEKH)</f>
        <v>-44.8570905828882</v>
      </c>
      <c r="DS65" s="43" t="n">
        <f aca="false">In_Opex_Contingency*(DS61+DS62+DS63-DS60*In_MEKH)</f>
        <v>-44.9766146705251</v>
      </c>
      <c r="DT65" s="43" t="n">
        <f aca="false">In_Opex_Contingency*(DT61+DT62+DT63-DT60*In_MEKH)</f>
        <v>-45.4763548335309</v>
      </c>
      <c r="DU65" s="43" t="n">
        <f aca="false">In_Opex_Contingency*(DU61+DU62+DU63-DU60*In_MEKH)</f>
        <v>-45.9760949965368</v>
      </c>
      <c r="DV65" s="43" t="n">
        <f aca="false">In_Opex_Contingency*(DV61+DV62+DV63-DV60*In_MEKH)</f>
        <v>-45.9362987662857</v>
      </c>
      <c r="DW65" s="43" t="n">
        <f aca="false">In_Opex_Contingency*(DW61+DW62+DW63-DW60*In_MEKH)</f>
        <v>-46.5705027309739</v>
      </c>
      <c r="DX65" s="43" t="n">
        <f aca="false">In_Opex_Contingency*(DX61+DX62+DX63-DX60*In_MEKH)</f>
        <v>-46.5705027309739</v>
      </c>
      <c r="DY65" s="43" t="n">
        <f aca="false">In_Opex_Contingency*(DY61+DY62+DY63-DY60*In_MEKH)</f>
        <v>-47.0822664972483</v>
      </c>
      <c r="DZ65" s="43" t="n">
        <f aca="false">In_Opex_Contingency*(DZ61+DZ62+DZ63-DZ60*In_MEKH)</f>
        <v>-47.0416050538636</v>
      </c>
      <c r="EA65" s="43" t="n">
        <f aca="false">In_Opex_Contingency*(EA61+EA62+EA63-EA60*In_MEKH)</f>
        <v>-47.16703216667</v>
      </c>
      <c r="EB65" s="43" t="n">
        <f aca="false">In_Opex_Contingency*(EB61+EB62+EB63-EB60*In_MEKH)</f>
        <v>-47.6911103018552</v>
      </c>
      <c r="EC65" s="43" t="n">
        <f aca="false">In_Opex_Contingency*(EC61+EC62+EC63-EC60*In_MEKH)</f>
        <v>-48.2151884370404</v>
      </c>
      <c r="ED65" s="43" t="n">
        <f aca="false">In_Opex_Contingency*(ED61+ED62+ED63-ED60*In_MEKH)</f>
        <v>-48.173642861739</v>
      </c>
      <c r="EE65" s="43" t="n">
        <f aca="false">In_Opex_Contingency*(EE61+EE62+EE63-EE60*In_MEKH)</f>
        <v>-48.3021294129908</v>
      </c>
      <c r="EF65" s="43" t="n">
        <f aca="false">In_Opex_Contingency*(EF61+EF62+EF63-EF60*In_MEKH)</f>
        <v>-48.8388197398018</v>
      </c>
      <c r="EG65" s="43" t="n">
        <f aca="false">In_Opex_Contingency*(EG61+EG62+EG63-EG60*In_MEKH)</f>
        <v>-49.3755100666128</v>
      </c>
      <c r="EH65" s="43" t="n">
        <f aca="false">In_Opex_Contingency*(EH61+EH62+EH63-EH60*In_MEKH)</f>
        <v>-49.333061026173</v>
      </c>
      <c r="EI65" s="43" t="n">
        <f aca="false">In_Opex_Contingency*(EI61+EI62+EI63-EI60*In_MEKH)</f>
        <v>-49.4646813022568</v>
      </c>
      <c r="EJ65" s="43" t="n">
        <f aca="false">In_Opex_Contingency*(EJ61+EJ62+EJ63-EJ60*In_MEKH)</f>
        <v>-50.0142888722818</v>
      </c>
      <c r="EK65" s="43" t="n">
        <f aca="false">In_Opex_Contingency*(EK61+EK62+EK63-EK60*In_MEKH)</f>
        <v>-50.5638964423069</v>
      </c>
      <c r="EL65" s="43" t="n">
        <f aca="false">In_Opex_Contingency*(EL61+EL62+EL63-EL60*In_MEKH)</f>
        <v>-50.520524179984</v>
      </c>
      <c r="EM65" s="43" t="n">
        <f aca="false">In_Opex_Contingency*(EM61+EM62+EM63-EM60*In_MEKH)</f>
        <v>-51.2181915422349</v>
      </c>
      <c r="EN65" s="43" t="n">
        <f aca="false">In_Opex_Contingency*(EN61+EN62+EN63-EN60*In_MEKH)</f>
        <v>-51.2181915422349</v>
      </c>
      <c r="EO65" s="43" t="n">
        <f aca="false">In_Opex_Contingency*(EO61+EO62+EO63-EO60*In_MEKH)</f>
        <v>-51.7810288119298</v>
      </c>
    </row>
    <row r="66" customFormat="false" ht="15" hidden="false" customHeight="false" outlineLevel="0" collapsed="false">
      <c r="C66" s="0" t="s">
        <v>23</v>
      </c>
      <c r="D66" s="11" t="s">
        <v>33</v>
      </c>
      <c r="I66" s="43" t="n">
        <f aca="false">SUM(J66:EO66)</f>
        <v>-8664.34629995159</v>
      </c>
      <c r="J66" s="43" t="n">
        <f aca="false">-$E25*J59/Thousand</f>
        <v>-0</v>
      </c>
      <c r="K66" s="43" t="n">
        <f aca="false">-$E25*K59/Thousand</f>
        <v>-0</v>
      </c>
      <c r="L66" s="43" t="n">
        <f aca="false">-$E25*L59/Thousand</f>
        <v>-0</v>
      </c>
      <c r="M66" s="43" t="n">
        <f aca="false">-$E25*M59/Thousand</f>
        <v>-0</v>
      </c>
      <c r="N66" s="43" t="n">
        <f aca="false">-$E25*N59/Thousand</f>
        <v>-0</v>
      </c>
      <c r="O66" s="43" t="n">
        <f aca="false">-$E25*O59/Thousand</f>
        <v>-0</v>
      </c>
      <c r="P66" s="43" t="n">
        <f aca="false">-$E25*P59/Thousand</f>
        <v>-0</v>
      </c>
      <c r="Q66" s="43" t="n">
        <f aca="false">-$E25*Q59/Thousand</f>
        <v>-0</v>
      </c>
      <c r="R66" s="43" t="n">
        <f aca="false">-$E25*R59/Thousand</f>
        <v>-0</v>
      </c>
      <c r="S66" s="43" t="n">
        <f aca="false">-$E25*S59/Thousand</f>
        <v>-0</v>
      </c>
      <c r="T66" s="43" t="n">
        <f aca="false">-$E25*T59/Thousand</f>
        <v>-0</v>
      </c>
      <c r="U66" s="43" t="n">
        <f aca="false">-$E25*U59/Thousand</f>
        <v>-0</v>
      </c>
      <c r="V66" s="43" t="n">
        <f aca="false">-$E25*V59/Thousand</f>
        <v>-0</v>
      </c>
      <c r="W66" s="43" t="n">
        <f aca="false">-$E25*W59/Thousand</f>
        <v>-0</v>
      </c>
      <c r="X66" s="43" t="n">
        <f aca="false">-$E25*X59/Thousand</f>
        <v>-0</v>
      </c>
      <c r="Y66" s="43" t="n">
        <f aca="false">-$E25*Y59/Thousand</f>
        <v>-0</v>
      </c>
      <c r="Z66" s="43" t="n">
        <f aca="false">-$E25*Z59/Thousand</f>
        <v>-75.9567123287671</v>
      </c>
      <c r="AA66" s="43" t="n">
        <f aca="false">-$E25*AA59/Thousand</f>
        <v>-74.3054794520548</v>
      </c>
      <c r="AB66" s="43" t="n">
        <f aca="false">-$E25*AB59/Thousand</f>
        <v>-75.131095890411</v>
      </c>
      <c r="AC66" s="43" t="n">
        <f aca="false">-$E25*AC59/Thousand</f>
        <v>-75.9567123287671</v>
      </c>
      <c r="AD66" s="43" t="n">
        <f aca="false">-$E25*AD59/Thousand</f>
        <v>-75.7288421917808</v>
      </c>
      <c r="AE66" s="43" t="n">
        <f aca="false">-$E25*AE59/Thousand</f>
        <v>-74.9057026027397</v>
      </c>
      <c r="AF66" s="43" t="n">
        <f aca="false">-$E25*AF59/Thousand</f>
        <v>-74.9057026027397</v>
      </c>
      <c r="AG66" s="43" t="n">
        <f aca="false">-$E25*AG59/Thousand</f>
        <v>-75.7288421917808</v>
      </c>
      <c r="AH66" s="43" t="n">
        <f aca="false">-$E25*AH59/Thousand</f>
        <v>-75.5016556652055</v>
      </c>
      <c r="AI66" s="43" t="n">
        <f aca="false">-$E25*AI59/Thousand</f>
        <v>-73.8603153246575</v>
      </c>
      <c r="AJ66" s="43" t="n">
        <f aca="false">-$E25*AJ59/Thousand</f>
        <v>-74.6809854949315</v>
      </c>
      <c r="AK66" s="43" t="n">
        <f aca="false">-$E25*AK59/Thousand</f>
        <v>-75.5016556652055</v>
      </c>
      <c r="AL66" s="43" t="n">
        <f aca="false">-$E25*AL59/Thousand</f>
        <v>-75.2751506982099</v>
      </c>
      <c r="AM66" s="43" t="n">
        <f aca="false">-$E25*AM59/Thousand</f>
        <v>-73.6387343786836</v>
      </c>
      <c r="AN66" s="43" t="n">
        <f aca="false">-$E25*AN59/Thousand</f>
        <v>-74.4569425384467</v>
      </c>
      <c r="AO66" s="43" t="n">
        <f aca="false">-$E25*AO59/Thousand</f>
        <v>-75.2751506982099</v>
      </c>
      <c r="AP66" s="43" t="n">
        <f aca="false">-$E25*AP59/Thousand</f>
        <v>-75.0493252461153</v>
      </c>
      <c r="AQ66" s="43" t="n">
        <f aca="false">-$E25*AQ59/Thousand</f>
        <v>-73.4178181755475</v>
      </c>
      <c r="AR66" s="43" t="n">
        <f aca="false">-$E25*AR59/Thousand</f>
        <v>-74.2335717108314</v>
      </c>
      <c r="AS66" s="43" t="n">
        <f aca="false">-$E25*AS59/Thousand</f>
        <v>-75.0493252461153</v>
      </c>
      <c r="AT66" s="43" t="n">
        <f aca="false">-$E25*AT59/Thousand</f>
        <v>-74.8241772703769</v>
      </c>
      <c r="AU66" s="43" t="n">
        <f aca="false">-$E25*AU59/Thousand</f>
        <v>-74.0108709956989</v>
      </c>
      <c r="AV66" s="43" t="n">
        <f aca="false">-$E25*AV59/Thousand</f>
        <v>-74.0108709956989</v>
      </c>
      <c r="AW66" s="43" t="n">
        <f aca="false">-$E25*AW59/Thousand</f>
        <v>-74.8241772703769</v>
      </c>
      <c r="AX66" s="43" t="n">
        <f aca="false">-$E25*AX59/Thousand</f>
        <v>-74.5997047385658</v>
      </c>
      <c r="AY66" s="43" t="n">
        <f aca="false">-$E25*AY59/Thousand</f>
        <v>-72.9779720268578</v>
      </c>
      <c r="AZ66" s="43" t="n">
        <f aca="false">-$E25*AZ59/Thousand</f>
        <v>-73.7888383827118</v>
      </c>
      <c r="BA66" s="43" t="n">
        <f aca="false">-$E25*BA59/Thousand</f>
        <v>-74.5997047385658</v>
      </c>
      <c r="BB66" s="43" t="n">
        <f aca="false">-$E25*BB59/Thousand</f>
        <v>-74.3759056243501</v>
      </c>
      <c r="BC66" s="43" t="n">
        <f aca="false">-$E25*BC59/Thousand</f>
        <v>-72.7590381107772</v>
      </c>
      <c r="BD66" s="43" t="n">
        <f aca="false">-$E25*BD59/Thousand</f>
        <v>-73.5674718675636</v>
      </c>
      <c r="BE66" s="43" t="n">
        <f aca="false">-$E25*BE59/Thousand</f>
        <v>-74.3759056243501</v>
      </c>
      <c r="BF66" s="43" t="n">
        <f aca="false">-$E25*BF59/Thousand</f>
        <v>-74.152777907477</v>
      </c>
      <c r="BG66" s="43" t="n">
        <f aca="false">-$E25*BG59/Thousand</f>
        <v>-72.5407609964449</v>
      </c>
      <c r="BH66" s="43" t="n">
        <f aca="false">-$E25*BH59/Thousand</f>
        <v>-73.346769451961</v>
      </c>
      <c r="BI66" s="43" t="n">
        <f aca="false">-$E25*BI59/Thousand</f>
        <v>-74.152777907477</v>
      </c>
      <c r="BJ66" s="43" t="n">
        <f aca="false">-$E25*BJ59/Thousand</f>
        <v>-73.9303195737546</v>
      </c>
      <c r="BK66" s="43" t="n">
        <f aca="false">-$E25*BK59/Thousand</f>
        <v>-73.1267291436051</v>
      </c>
      <c r="BL66" s="43" t="n">
        <f aca="false">-$E25*BL59/Thousand</f>
        <v>-73.1267291436051</v>
      </c>
      <c r="BM66" s="43" t="n">
        <f aca="false">-$E25*BM59/Thousand</f>
        <v>-73.9303195737546</v>
      </c>
      <c r="BN66" s="43" t="n">
        <f aca="false">-$E25*BN59/Thousand</f>
        <v>-73.7085286150333</v>
      </c>
      <c r="BO66" s="43" t="n">
        <f aca="false">-$E25*BO59/Thousand</f>
        <v>-72.1061692973152</v>
      </c>
      <c r="BP66" s="43" t="n">
        <f aca="false">-$E25*BP59/Thousand</f>
        <v>-72.9073489561743</v>
      </c>
      <c r="BQ66" s="43" t="n">
        <f aca="false">-$E25*BQ59/Thousand</f>
        <v>-73.7085286150333</v>
      </c>
      <c r="BR66" s="43" t="n">
        <f aca="false">-$E25*BR59/Thousand</f>
        <v>-73.4874030291882</v>
      </c>
      <c r="BS66" s="43" t="n">
        <f aca="false">-$E25*BS59/Thousand</f>
        <v>-71.8898507894233</v>
      </c>
      <c r="BT66" s="43" t="n">
        <f aca="false">-$E25*BT59/Thousand</f>
        <v>-72.6886269093057</v>
      </c>
      <c r="BU66" s="43" t="n">
        <f aca="false">-$E25*BU59/Thousand</f>
        <v>-73.4874030291882</v>
      </c>
      <c r="BV66" s="43" t="n">
        <f aca="false">-$E25*BV59/Thousand</f>
        <v>-73.2669408201007</v>
      </c>
      <c r="BW66" s="43" t="n">
        <f aca="false">-$E25*BW59/Thousand</f>
        <v>-71.674181237055</v>
      </c>
      <c r="BX66" s="43" t="n">
        <f aca="false">-$E25*BX59/Thousand</f>
        <v>-72.4705610285778</v>
      </c>
      <c r="BY66" s="43" t="n">
        <f aca="false">-$E25*BY59/Thousand</f>
        <v>-73.2669408201007</v>
      </c>
      <c r="BZ66" s="43" t="n">
        <f aca="false">-$E25*BZ59/Thousand</f>
        <v>-73.0471399976403</v>
      </c>
      <c r="CA66" s="43" t="n">
        <f aca="false">-$E25*CA59/Thousand</f>
        <v>-72.2531493454921</v>
      </c>
      <c r="CB66" s="43" t="n">
        <f aca="false">-$E25*CB59/Thousand</f>
        <v>-72.2531493454921</v>
      </c>
      <c r="CC66" s="43" t="n">
        <f aca="false">-$E25*CC59/Thousand</f>
        <v>-73.0471399976403</v>
      </c>
      <c r="CD66" s="43" t="n">
        <f aca="false">-$E25*CD59/Thousand</f>
        <v>-72.8279985776474</v>
      </c>
      <c r="CE66" s="43" t="n">
        <f aca="false">-$E25*CE59/Thousand</f>
        <v>-71.2447812172638</v>
      </c>
      <c r="CF66" s="43" t="n">
        <f aca="false">-$E25*CF59/Thousand</f>
        <v>-72.0363898974556</v>
      </c>
      <c r="CG66" s="43" t="n">
        <f aca="false">-$E25*CG59/Thousand</f>
        <v>-72.8279985776474</v>
      </c>
      <c r="CH66" s="43" t="n">
        <f aca="false">-$E25*CH59/Thousand</f>
        <v>-72.6095145819145</v>
      </c>
      <c r="CI66" s="43" t="n">
        <f aca="false">-$E25*CI59/Thousand</f>
        <v>-71.031046873612</v>
      </c>
      <c r="CJ66" s="43" t="n">
        <f aca="false">-$E25*CJ59/Thousand</f>
        <v>-71.8202807277632</v>
      </c>
      <c r="CK66" s="43" t="n">
        <f aca="false">-$E25*CK59/Thousand</f>
        <v>-72.6095145819145</v>
      </c>
      <c r="CL66" s="43" t="n">
        <f aca="false">-$E25*CL59/Thousand</f>
        <v>-72.3916860381687</v>
      </c>
      <c r="CM66" s="43" t="n">
        <f aca="false">-$E25*CM59/Thousand</f>
        <v>-70.8179537329912</v>
      </c>
      <c r="CN66" s="43" t="n">
        <f aca="false">-$E25*CN59/Thousand</f>
        <v>-71.60481988558</v>
      </c>
      <c r="CO66" s="43" t="n">
        <f aca="false">-$E25*CO59/Thousand</f>
        <v>-72.3916860381687</v>
      </c>
      <c r="CP66" s="43" t="n">
        <f aca="false">-$E25*CP59/Thousand</f>
        <v>-72.1745109800542</v>
      </c>
      <c r="CQ66" s="43" t="n">
        <f aca="false">-$E25*CQ59/Thousand</f>
        <v>-71.3900054259232</v>
      </c>
      <c r="CR66" s="43" t="n">
        <f aca="false">-$E25*CR59/Thousand</f>
        <v>-71.3900054259232</v>
      </c>
      <c r="CS66" s="43" t="n">
        <f aca="false">-$E25*CS59/Thousand</f>
        <v>-72.1745109800542</v>
      </c>
      <c r="CT66" s="43" t="n">
        <f aca="false">-$E25*CT59/Thousand</f>
        <v>-71.9579874471141</v>
      </c>
      <c r="CU66" s="43" t="n">
        <f aca="false">-$E25*CU59/Thousand</f>
        <v>-70.3936833721768</v>
      </c>
      <c r="CV66" s="43" t="n">
        <f aca="false">-$E25*CV59/Thousand</f>
        <v>-71.1758354096454</v>
      </c>
      <c r="CW66" s="43" t="n">
        <f aca="false">-$E25*CW59/Thousand</f>
        <v>-71.9579874471141</v>
      </c>
      <c r="CX66" s="43" t="n">
        <f aca="false">-$E25*CX59/Thousand</f>
        <v>-71.7421134847727</v>
      </c>
      <c r="CY66" s="43" t="n">
        <f aca="false">-$E25*CY59/Thousand</f>
        <v>-70.1825023220603</v>
      </c>
      <c r="CZ66" s="43" t="n">
        <f aca="false">-$E25*CZ59/Thousand</f>
        <v>-70.9623079034165</v>
      </c>
      <c r="DA66" s="43" t="n">
        <f aca="false">-$E25*DA59/Thousand</f>
        <v>-71.7421134847727</v>
      </c>
      <c r="DB66" s="43" t="n">
        <f aca="false">-$E25*DB59/Thousand</f>
        <v>-71.5268871443184</v>
      </c>
      <c r="DC66" s="43" t="n">
        <f aca="false">-$E25*DC59/Thousand</f>
        <v>-69.9719548150941</v>
      </c>
      <c r="DD66" s="43" t="n">
        <f aca="false">-$E25*DD59/Thousand</f>
        <v>-70.7494209797062</v>
      </c>
      <c r="DE66" s="43" t="n">
        <f aca="false">-$E25*DE59/Thousand</f>
        <v>-71.5268871443184</v>
      </c>
      <c r="DF66" s="43" t="n">
        <f aca="false">-$E25*DF59/Thousand</f>
        <v>-71.3123064828855</v>
      </c>
      <c r="DG66" s="43" t="n">
        <f aca="false">-$E25*DG59/Thousand</f>
        <v>-70.5371727167671</v>
      </c>
      <c r="DH66" s="43" t="n">
        <f aca="false">-$E25*DH59/Thousand</f>
        <v>-70.5371727167671</v>
      </c>
      <c r="DI66" s="43" t="n">
        <f aca="false">-$E25*DI59/Thousand</f>
        <v>-71.3123064828855</v>
      </c>
      <c r="DJ66" s="43" t="n">
        <f aca="false">-$E25*DJ59/Thousand</f>
        <v>-71.0983695634368</v>
      </c>
      <c r="DK66" s="43" t="n">
        <f aca="false">-$E25*DK59/Thousand</f>
        <v>-69.5527528337969</v>
      </c>
      <c r="DL66" s="43" t="n">
        <f aca="false">-$E25*DL59/Thousand</f>
        <v>-70.3255611986168</v>
      </c>
      <c r="DM66" s="43" t="n">
        <f aca="false">-$E25*DM59/Thousand</f>
        <v>-71.0983695634368</v>
      </c>
      <c r="DN66" s="43" t="n">
        <f aca="false">-$E25*DN59/Thousand</f>
        <v>-70.8850744547465</v>
      </c>
      <c r="DO66" s="43" t="n">
        <f aca="false">-$E25*DO59/Thousand</f>
        <v>-69.3440945752955</v>
      </c>
      <c r="DP66" s="43" t="n">
        <f aca="false">-$E25*DP59/Thousand</f>
        <v>-70.114584515021</v>
      </c>
      <c r="DQ66" s="43" t="n">
        <f aca="false">-$E25*DQ59/Thousand</f>
        <v>-70.8850744547465</v>
      </c>
      <c r="DR66" s="43" t="n">
        <f aca="false">-$E25*DR59/Thousand</f>
        <v>-70.6724192313822</v>
      </c>
      <c r="DS66" s="43" t="n">
        <f aca="false">-$E25*DS59/Thousand</f>
        <v>-69.1360622915696</v>
      </c>
      <c r="DT66" s="43" t="n">
        <f aca="false">-$E25*DT59/Thousand</f>
        <v>-69.9042407614759</v>
      </c>
      <c r="DU66" s="43" t="n">
        <f aca="false">-$E25*DU59/Thousand</f>
        <v>-70.6724192313822</v>
      </c>
      <c r="DV66" s="43" t="n">
        <f aca="false">-$E25*DV59/Thousand</f>
        <v>-70.4604019736881</v>
      </c>
      <c r="DW66" s="43" t="n">
        <f aca="false">-$E25*DW59/Thousand</f>
        <v>-69.6945280391915</v>
      </c>
      <c r="DX66" s="43" t="n">
        <f aca="false">-$E25*DX59/Thousand</f>
        <v>-69.6945280391915</v>
      </c>
      <c r="DY66" s="43" t="n">
        <f aca="false">-$E25*DY59/Thousand</f>
        <v>-70.4604019736881</v>
      </c>
      <c r="DZ66" s="43" t="n">
        <f aca="false">-$E25*DZ59/Thousand</f>
        <v>-70.249020767767</v>
      </c>
      <c r="EA66" s="43" t="n">
        <f aca="false">-$E25*EA59/Thousand</f>
        <v>-68.7218681423808</v>
      </c>
      <c r="EB66" s="43" t="n">
        <f aca="false">-$E25*EB59/Thousand</f>
        <v>-69.4854444550739</v>
      </c>
      <c r="EC66" s="43" t="n">
        <f aca="false">-$E25*EC59/Thousand</f>
        <v>-70.249020767767</v>
      </c>
      <c r="ED66" s="43" t="n">
        <f aca="false">-$E25*ED59/Thousand</f>
        <v>-70.0382737054637</v>
      </c>
      <c r="EE66" s="43" t="n">
        <f aca="false">-$E25*EE59/Thousand</f>
        <v>-68.5157025379536</v>
      </c>
      <c r="EF66" s="43" t="n">
        <f aca="false">-$E25*EF59/Thousand</f>
        <v>-69.2769881217087</v>
      </c>
      <c r="EG66" s="43" t="n">
        <f aca="false">-$E25*EG59/Thousand</f>
        <v>-70.0382737054637</v>
      </c>
      <c r="EH66" s="43" t="n">
        <f aca="false">-$E25*EH59/Thousand</f>
        <v>-69.8281588843474</v>
      </c>
      <c r="EI66" s="43" t="n">
        <f aca="false">-$E25*EI59/Thousand</f>
        <v>-68.3101554303398</v>
      </c>
      <c r="EJ66" s="43" t="n">
        <f aca="false">-$E25*EJ59/Thousand</f>
        <v>-69.0691571573436</v>
      </c>
      <c r="EK66" s="43" t="n">
        <f aca="false">-$E25*EK59/Thousand</f>
        <v>-69.8281588843474</v>
      </c>
      <c r="EL66" s="43" t="n">
        <f aca="false">-$E25*EL59/Thousand</f>
        <v>-69.6186744076943</v>
      </c>
      <c r="EM66" s="43" t="n">
        <f aca="false">-$E25*EM59/Thousand</f>
        <v>-68.8619496858715</v>
      </c>
      <c r="EN66" s="43" t="n">
        <f aca="false">-$E25*EN59/Thousand</f>
        <v>-68.8619496858715</v>
      </c>
      <c r="EO66" s="43" t="n">
        <f aca="false">-$E25*EO59/Thousand</f>
        <v>-69.6186744076943</v>
      </c>
    </row>
    <row r="67" customFormat="false" ht="15" hidden="false" customHeight="false" outlineLevel="0" collapsed="false">
      <c r="C67" s="21" t="s">
        <v>376</v>
      </c>
      <c r="D67" s="11" t="s">
        <v>33</v>
      </c>
      <c r="E67" s="54" t="n">
        <f aca="false">SUMIF($J$7:$EO$7,YEAR(In_COD)+1,$J67:$EO67)</f>
        <v>8229.44447199028</v>
      </c>
      <c r="I67" s="54" t="n">
        <f aca="false">SUM(J67:EO67)</f>
        <v>253072.486108741</v>
      </c>
      <c r="J67" s="54" t="n">
        <f aca="false">SUM(J60:J66)</f>
        <v>0</v>
      </c>
      <c r="K67" s="54" t="n">
        <f aca="false">SUM(K60:K66)</f>
        <v>0</v>
      </c>
      <c r="L67" s="54" t="n">
        <f aca="false">SUM(L60:L66)</f>
        <v>0</v>
      </c>
      <c r="M67" s="54" t="n">
        <f aca="false">SUM(M60:M66)</f>
        <v>0</v>
      </c>
      <c r="N67" s="54" t="n">
        <f aca="false">SUM(N60:N66)</f>
        <v>0</v>
      </c>
      <c r="O67" s="54" t="n">
        <f aca="false">SUM(O60:O66)</f>
        <v>0</v>
      </c>
      <c r="P67" s="54" t="n">
        <f aca="false">SUM(P60:P66)</f>
        <v>0</v>
      </c>
      <c r="Q67" s="54" t="n">
        <f aca="false">SUM(Q60:Q66)</f>
        <v>0</v>
      </c>
      <c r="R67" s="54" t="n">
        <f aca="false">SUM(R60:R66)</f>
        <v>-37.7857276735146</v>
      </c>
      <c r="S67" s="54" t="n">
        <f aca="false">SUM(S60:S66)</f>
        <v>-37.8884062813231</v>
      </c>
      <c r="T67" s="54" t="n">
        <f aca="false">SUM(T60:T66)</f>
        <v>-38.3093885733378</v>
      </c>
      <c r="U67" s="54" t="n">
        <f aca="false">SUM(U60:U66)</f>
        <v>-38.7303708653525</v>
      </c>
      <c r="V67" s="54" t="n">
        <f aca="false">SUM(V60:V66)</f>
        <v>-38.7303708653525</v>
      </c>
      <c r="W67" s="54" t="n">
        <f aca="false">SUM(W60:W66)</f>
        <v>-38.8356164383562</v>
      </c>
      <c r="X67" s="54" t="n">
        <f aca="false">SUM(X60:X66)</f>
        <v>-39.2671232876712</v>
      </c>
      <c r="Y67" s="54" t="n">
        <f aca="false">SUM(Y60:Y66)</f>
        <v>-39.6986301369863</v>
      </c>
      <c r="Z67" s="54" t="n">
        <f aca="false">SUM(Z60:Z66)</f>
        <v>2062.69196613699</v>
      </c>
      <c r="AA67" s="54" t="n">
        <f aca="false">SUM(AA60:AA66)</f>
        <v>2030.99479069315</v>
      </c>
      <c r="AB67" s="54" t="n">
        <f aca="false">SUM(AB60:AB66)</f>
        <v>2053.56139947863</v>
      </c>
      <c r="AC67" s="54" t="n">
        <f aca="false">SUM(AC60:AC66)</f>
        <v>2076.12800826411</v>
      </c>
      <c r="AD67" s="54" t="n">
        <f aca="false">SUM(AD60:AD66)</f>
        <v>2068.76027355439</v>
      </c>
      <c r="AE67" s="54" t="n">
        <f aca="false">SUM(AE60:AE66)</f>
        <v>2059.43219329172</v>
      </c>
      <c r="AF67" s="54" t="n">
        <f aca="false">SUM(AF60:AF66)</f>
        <v>2059.43219329172</v>
      </c>
      <c r="AG67" s="54" t="n">
        <f aca="false">SUM(AG60:AG66)</f>
        <v>2082.06331629492</v>
      </c>
      <c r="AH67" s="54" t="n">
        <f aca="false">SUM(AH60:AH66)</f>
        <v>2074.64929189398</v>
      </c>
      <c r="AI67" s="54" t="n">
        <f aca="false">SUM(AI60:AI66)</f>
        <v>2042.42568790043</v>
      </c>
      <c r="AJ67" s="54" t="n">
        <f aca="false">SUM(AJ60:AJ66)</f>
        <v>2065.11930665488</v>
      </c>
      <c r="AK67" s="54" t="n">
        <f aca="false">SUM(AK60:AK66)</f>
        <v>2087.81292540933</v>
      </c>
      <c r="AL67" s="54" t="n">
        <f aca="false">SUM(AL60:AL66)</f>
        <v>2080.35245631975</v>
      </c>
      <c r="AM67" s="54" t="n">
        <f aca="false">SUM(AM60:AM66)</f>
        <v>2047.86204754358</v>
      </c>
      <c r="AN67" s="54" t="n">
        <f aca="false">SUM(AN60:AN66)</f>
        <v>2070.61607029406</v>
      </c>
      <c r="AO67" s="54" t="n">
        <f aca="false">SUM(AO60:AO66)</f>
        <v>2093.37009304455</v>
      </c>
      <c r="AP67" s="54" t="n">
        <f aca="false">SUM(AP60:AP66)</f>
        <v>2085.86302669423</v>
      </c>
      <c r="AQ67" s="54" t="n">
        <f aca="false">SUM(AQ60:AQ66)</f>
        <v>2053.10337736259</v>
      </c>
      <c r="AR67" s="54" t="n">
        <f aca="false">SUM(AR60:AR66)</f>
        <v>2075.91563711107</v>
      </c>
      <c r="AS67" s="54" t="n">
        <f aca="false">SUM(AS60:AS66)</f>
        <v>2098.72789685954</v>
      </c>
      <c r="AT67" s="54" t="n">
        <f aca="false">SUM(AT60:AT66)</f>
        <v>2091.17408319599</v>
      </c>
      <c r="AU67" s="54" t="n">
        <f aca="false">SUM(AU60:AU66)</f>
        <v>2081.01097773955</v>
      </c>
      <c r="AV67" s="54" t="n">
        <f aca="false">SUM(AV60:AV66)</f>
        <v>2081.01097773955</v>
      </c>
      <c r="AW67" s="54" t="n">
        <f aca="false">SUM(AW60:AW66)</f>
        <v>2103.87923024218</v>
      </c>
      <c r="AX67" s="54" t="n">
        <f aca="false">SUM(AX60:AX66)</f>
        <v>2096.27852182916</v>
      </c>
      <c r="AY67" s="54" t="n">
        <f aca="false">SUM(AY60:AY66)</f>
        <v>2062.97295427752</v>
      </c>
      <c r="AZ67" s="54" t="n">
        <f aca="false">SUM(AZ60:AZ66)</f>
        <v>2085.89487599172</v>
      </c>
      <c r="BA67" s="54" t="n">
        <f aca="false">SUM(BA60:BA66)</f>
        <v>2108.81679770591</v>
      </c>
      <c r="BB67" s="54" t="n">
        <f aca="false">SUM(BB60:BB66)</f>
        <v>2101.16904982244</v>
      </c>
      <c r="BC67" s="54" t="n">
        <f aca="false">SUM(BC60:BC66)</f>
        <v>2067.58673821276</v>
      </c>
      <c r="BD67" s="54" t="n">
        <f aca="false">SUM(BD60:BD66)</f>
        <v>2090.55992419291</v>
      </c>
      <c r="BE67" s="54" t="n">
        <f aca="false">SUM(BE60:BE66)</f>
        <v>2113.53311017305</v>
      </c>
      <c r="BF67" s="54" t="n">
        <f aca="false">SUM(BF60:BF66)</f>
        <v>2105.83818091492</v>
      </c>
      <c r="BG67" s="54" t="n">
        <f aca="false">SUM(BG60:BG66)</f>
        <v>2071.97655666072</v>
      </c>
      <c r="BH67" s="54" t="n">
        <f aca="false">SUM(BH60:BH66)</f>
        <v>2094.9985184014</v>
      </c>
      <c r="BI67" s="54" t="n">
        <f aca="false">SUM(BI60:BI66)</f>
        <v>2118.02048014207</v>
      </c>
      <c r="BJ67" s="54" t="n">
        <f aca="false">SUM(BJ60:BJ66)</f>
        <v>2110.27823052585</v>
      </c>
      <c r="BK67" s="54" t="n">
        <f aca="false">SUM(BK60:BK66)</f>
        <v>2099.20285351058</v>
      </c>
      <c r="BL67" s="54" t="n">
        <f aca="false">SUM(BL60:BL66)</f>
        <v>2099.20285351058</v>
      </c>
      <c r="BM67" s="54" t="n">
        <f aca="false">SUM(BM60:BM66)</f>
        <v>2122.27101673597</v>
      </c>
      <c r="BN67" s="54" t="n">
        <f aca="false">SUM(BN60:BN66)</f>
        <v>2114.48131080557</v>
      </c>
      <c r="BO67" s="54" t="n">
        <f aca="false">SUM(BO60:BO66)</f>
        <v>2080.05321583247</v>
      </c>
      <c r="BP67" s="54" t="n">
        <f aca="false">SUM(BP60:BP66)</f>
        <v>2103.16491823061</v>
      </c>
      <c r="BQ67" s="54" t="n">
        <f aca="false">SUM(BQ60:BQ66)</f>
        <v>2126.27662062875</v>
      </c>
      <c r="BR67" s="54" t="n">
        <f aca="false">SUM(BR60:BR66)</f>
        <v>2118.43932556466</v>
      </c>
      <c r="BS67" s="54" t="n">
        <f aca="false">SUM(BS60:BS66)</f>
        <v>2083.72400104609</v>
      </c>
      <c r="BT67" s="54" t="n">
        <f aca="false">SUM(BT60:BT66)</f>
        <v>2106.87648994661</v>
      </c>
      <c r="BU67" s="54" t="n">
        <f aca="false">SUM(BU60:BU66)</f>
        <v>2130.02897884712</v>
      </c>
      <c r="BV67" s="54" t="n">
        <f aca="false">SUM(BV60:BV66)</f>
        <v>2122.14396507832</v>
      </c>
      <c r="BW67" s="54" t="n">
        <f aca="false">SUM(BW60:BW66)</f>
        <v>2087.1386994564</v>
      </c>
      <c r="BX67" s="54" t="n">
        <f aca="false">SUM(BX60:BX66)</f>
        <v>2110.32912945036</v>
      </c>
      <c r="BY67" s="54" t="n">
        <f aca="false">SUM(BY60:BY66)</f>
        <v>2133.51955944432</v>
      </c>
      <c r="BZ67" s="54" t="n">
        <f aca="false">SUM(BZ60:BZ66)</f>
        <v>2125.58670076292</v>
      </c>
      <c r="CA67" s="54" t="n">
        <f aca="false">SUM(CA60:CA66)</f>
        <v>2113.51417554238</v>
      </c>
      <c r="CB67" s="54" t="n">
        <f aca="false">SUM(CB60:CB66)</f>
        <v>2113.51417554238</v>
      </c>
      <c r="CC67" s="54" t="n">
        <f aca="false">SUM(CC60:CC66)</f>
        <v>2136.73960604285</v>
      </c>
      <c r="CD67" s="54" t="n">
        <f aca="false">SUM(CD60:CD66)</f>
        <v>2128.75877972158</v>
      </c>
      <c r="CE67" s="54" t="n">
        <f aca="false">SUM(CE60:CE66)</f>
        <v>2093.16534675948</v>
      </c>
      <c r="CF67" s="54" t="n">
        <f aca="false">SUM(CF60:CF66)</f>
        <v>2116.42273950125</v>
      </c>
      <c r="CG67" s="54" t="n">
        <f aca="false">SUM(CG60:CG66)</f>
        <v>2139.68013224302</v>
      </c>
      <c r="CH67" s="54" t="n">
        <f aca="false">SUM(CH60:CH66)</f>
        <v>2131.65121915558</v>
      </c>
      <c r="CI67" s="54" t="n">
        <f aca="false">SUM(CI60:CI66)</f>
        <v>2095.75948293971</v>
      </c>
      <c r="CJ67" s="54" t="n">
        <f aca="false">SUM(CJ60:CJ66)</f>
        <v>2119.04569941682</v>
      </c>
      <c r="CK67" s="54" t="n">
        <f aca="false">SUM(CK60:CK66)</f>
        <v>2142.33191589393</v>
      </c>
      <c r="CL67" s="54" t="n">
        <f aca="false">SUM(CL60:CL66)</f>
        <v>2134.25480063826</v>
      </c>
      <c r="CM67" s="54" t="n">
        <f aca="false">SUM(CM60:CM66)</f>
        <v>2098.06189554473</v>
      </c>
      <c r="CN67" s="54" t="n">
        <f aca="false">SUM(CN60:CN66)</f>
        <v>2121.37369438411</v>
      </c>
      <c r="CO67" s="54" t="n">
        <f aca="false">SUM(CO60:CO66)</f>
        <v>2144.6854932235</v>
      </c>
      <c r="CP67" s="54" t="n">
        <f aca="false">SUM(CP60:CP66)</f>
        <v>2136.56006424815</v>
      </c>
      <c r="CQ67" s="54" t="n">
        <f aca="false">SUM(CQ60:CQ66)</f>
        <v>2123.39711855437</v>
      </c>
      <c r="CR67" s="54" t="n">
        <f aca="false">SUM(CR60:CR66)</f>
        <v>2123.39711855437</v>
      </c>
      <c r="CS67" s="54" t="n">
        <f aca="false">SUM(CS60:CS66)</f>
        <v>2146.7311528242</v>
      </c>
      <c r="CT67" s="54" t="n">
        <f aca="false">SUM(CT60:CT66)</f>
        <v>2138.55730255765</v>
      </c>
      <c r="CU67" s="54" t="n">
        <f aca="false">SUM(CU60:CU66)</f>
        <v>2101.75330058878</v>
      </c>
      <c r="CV67" s="54" t="n">
        <f aca="false">SUM(CV60:CV66)</f>
        <v>2125.10611503976</v>
      </c>
      <c r="CW67" s="54" t="n">
        <f aca="false">SUM(CW60:CW66)</f>
        <v>2148.45892949075</v>
      </c>
      <c r="CX67" s="54" t="n">
        <f aca="false">SUM(CX60:CX66)</f>
        <v>2140.236554474</v>
      </c>
      <c r="CY67" s="54" t="n">
        <f aca="false">SUM(CY60:CY66)</f>
        <v>2103.12254143017</v>
      </c>
      <c r="CZ67" s="54" t="n">
        <f aca="false">SUM(CZ60:CZ66)</f>
        <v>2126.49056966828</v>
      </c>
      <c r="DA67" s="54" t="n">
        <f aca="false">SUM(DA60:DA66)</f>
        <v>2149.8585979064</v>
      </c>
      <c r="DB67" s="54" t="n">
        <f aca="false">SUM(DB60:DB66)</f>
        <v>2141.58759892869</v>
      </c>
      <c r="DC67" s="54" t="n">
        <f aca="false">SUM(DC60:DC66)</f>
        <v>2104.16054299608</v>
      </c>
      <c r="DD67" s="54" t="n">
        <f aca="false">SUM(DD60:DD66)</f>
        <v>2127.54010458493</v>
      </c>
      <c r="DE67" s="54" t="n">
        <f aca="false">SUM(DE60:DE66)</f>
        <v>2150.91966617377</v>
      </c>
      <c r="DF67" s="54" t="n">
        <f aca="false">SUM(DF60:DF66)</f>
        <v>2142.59994841167</v>
      </c>
      <c r="DG67" s="54" t="n">
        <f aca="false">SUM(DG60:DG66)</f>
        <v>2128.24407169563</v>
      </c>
      <c r="DH67" s="54" t="n">
        <f aca="false">SUM(DH60:DH66)</f>
        <v>2128.24407169563</v>
      </c>
      <c r="DI67" s="54" t="n">
        <f aca="false">SUM(DI60:DI66)</f>
        <v>2151.63136918679</v>
      </c>
      <c r="DJ67" s="54" t="n">
        <f aca="false">SUM(DJ60:DJ66)</f>
        <v>2143.26284234656</v>
      </c>
      <c r="DK67" s="54" t="n">
        <f aca="false">SUM(DK60:DK66)</f>
        <v>2105.20043006033</v>
      </c>
      <c r="DL67" s="54" t="n">
        <f aca="false">SUM(DL60:DL66)</f>
        <v>2128.59154594989</v>
      </c>
      <c r="DM67" s="54" t="n">
        <f aca="false">SUM(DM60:DM66)</f>
        <v>2151.98266183945</v>
      </c>
      <c r="DN67" s="54" t="n">
        <f aca="false">SUM(DN60:DN66)</f>
        <v>2143.56524030294</v>
      </c>
      <c r="DO67" s="54" t="n">
        <f aca="false">SUM(DO60:DO66)</f>
        <v>2105.18042484886</v>
      </c>
      <c r="DP67" s="54" t="n">
        <f aca="false">SUM(DP60:DP66)</f>
        <v>2128.57131845829</v>
      </c>
      <c r="DQ67" s="54" t="n">
        <f aca="false">SUM(DQ60:DQ66)</f>
        <v>2151.96221206772</v>
      </c>
      <c r="DR67" s="54" t="n">
        <f aca="false">SUM(DR60:DR66)</f>
        <v>2143.49581504175</v>
      </c>
      <c r="DS67" s="54" t="n">
        <f aca="false">SUM(DS60:DS66)</f>
        <v>2104.78538516113</v>
      </c>
      <c r="DT67" s="54" t="n">
        <f aca="false">SUM(DT60:DT66)</f>
        <v>2128.1718894407</v>
      </c>
      <c r="DU67" s="54" t="n">
        <f aca="false">SUM(DU60:DU66)</f>
        <v>2151.55839372027</v>
      </c>
      <c r="DV67" s="54" t="n">
        <f aca="false">SUM(DV60:DV66)</f>
        <v>2143.0429453896</v>
      </c>
      <c r="DW67" s="54" t="n">
        <f aca="false">SUM(DW60:DW66)</f>
        <v>2127.38146100118</v>
      </c>
      <c r="DX67" s="54" t="n">
        <f aca="false">SUM(DX60:DX66)</f>
        <v>2127.38146100118</v>
      </c>
      <c r="DY67" s="54" t="n">
        <f aca="false">SUM(DY60:DY66)</f>
        <v>2150.75927925394</v>
      </c>
      <c r="DZ67" s="54" t="n">
        <f aca="false">SUM(DZ60:DZ66)</f>
        <v>2142.19470893793</v>
      </c>
      <c r="EA67" s="54" t="n">
        <f aca="false">SUM(EA60:EA66)</f>
        <v>2102.82322720068</v>
      </c>
      <c r="EB67" s="54" t="n">
        <f aca="false">SUM(EB60:EB66)</f>
        <v>2126.18792972513</v>
      </c>
      <c r="EC67" s="54" t="n">
        <f aca="false">SUM(EC60:EC66)</f>
        <v>2149.55263224958</v>
      </c>
      <c r="ED67" s="54" t="n">
        <f aca="false">SUM(ED60:ED66)</f>
        <v>2140.93887456263</v>
      </c>
      <c r="EE67" s="54" t="n">
        <f aca="false">SUM(EE60:EE66)</f>
        <v>2101.23185844514</v>
      </c>
      <c r="EF67" s="54" t="n">
        <f aca="false">SUM(EF60:EF66)</f>
        <v>2124.57887909453</v>
      </c>
      <c r="EG67" s="54" t="n">
        <f aca="false">SUM(EG60:EG66)</f>
        <v>2147.92589974392</v>
      </c>
      <c r="EH67" s="54" t="n">
        <f aca="false">SUM(EH60:EH66)</f>
        <v>2139.26289475973</v>
      </c>
      <c r="EI67" s="54" t="n">
        <f aca="false">SUM(EI60:EI66)</f>
        <v>2099.2169390604</v>
      </c>
      <c r="EJ67" s="54" t="n">
        <f aca="false">SUM(EJ60:EJ66)</f>
        <v>2122.54157171663</v>
      </c>
      <c r="EK67" s="54" t="n">
        <f aca="false">SUM(EK60:EK66)</f>
        <v>2145.86620437286</v>
      </c>
      <c r="EL67" s="54" t="n">
        <f aca="false">SUM(EL60:EL66)</f>
        <v>2137.15389779266</v>
      </c>
      <c r="EM67" s="54" t="n">
        <f aca="false">SUM(EM60:EM66)</f>
        <v>2120.06294136157</v>
      </c>
      <c r="EN67" s="54" t="n">
        <f aca="false">SUM(EN60:EN66)</f>
        <v>2120.06294136157</v>
      </c>
      <c r="EO67" s="54" t="n">
        <f aca="false">SUM(EO60:EO66)</f>
        <v>2143.36033632159</v>
      </c>
    </row>
    <row r="69" customFormat="false" ht="15" hidden="false" customHeight="false" outlineLevel="0" collapsed="false">
      <c r="A69" s="9" t="s">
        <v>13</v>
      </c>
      <c r="B69" s="9"/>
      <c r="C69" s="9" t="s">
        <v>377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</row>
    <row r="70" customFormat="false" ht="15" hidden="false" customHeight="false" outlineLevel="0" collapsed="false">
      <c r="C70" s="0" t="s">
        <v>378</v>
      </c>
      <c r="D70" s="11" t="s">
        <v>33</v>
      </c>
      <c r="J70" s="55" t="n">
        <v>0</v>
      </c>
      <c r="K70" s="55" t="n">
        <v>0</v>
      </c>
      <c r="L70" s="55" t="n">
        <v>0</v>
      </c>
      <c r="M70" s="55" t="n">
        <v>0</v>
      </c>
      <c r="N70" s="55" t="n">
        <v>0</v>
      </c>
      <c r="O70" s="55" t="n">
        <v>0</v>
      </c>
      <c r="P70" s="55" t="n">
        <v>0</v>
      </c>
      <c r="Q70" s="55" t="n">
        <v>0</v>
      </c>
      <c r="R70" s="55" t="n">
        <v>0</v>
      </c>
      <c r="S70" s="55" t="n">
        <v>0</v>
      </c>
      <c r="T70" s="55" t="n">
        <v>0</v>
      </c>
      <c r="U70" s="55" t="n">
        <v>0</v>
      </c>
      <c r="V70" s="55" t="n">
        <v>0</v>
      </c>
      <c r="W70" s="55" t="n">
        <v>0</v>
      </c>
      <c r="X70" s="55" t="n">
        <v>0</v>
      </c>
      <c r="Y70" s="55" t="n">
        <v>0</v>
      </c>
      <c r="Z70" s="55" t="n">
        <v>-11.6371873165938</v>
      </c>
      <c r="AA70" s="55" t="n">
        <v>-11.523935860746</v>
      </c>
      <c r="AB70" s="55" t="n">
        <v>-12.314351126747</v>
      </c>
      <c r="AC70" s="55" t="n">
        <v>-13.1159796872313</v>
      </c>
      <c r="AD70" s="55" t="n">
        <v>-13.0921830069947</v>
      </c>
      <c r="AE70" s="55" t="n">
        <v>-13.4916816387956</v>
      </c>
      <c r="AF70" s="55" t="n">
        <v>-13.8011638175171</v>
      </c>
      <c r="AG70" s="55" t="n">
        <v>-14.6225344703028</v>
      </c>
      <c r="AH70" s="55" t="n">
        <v>-14.6137200854548</v>
      </c>
      <c r="AI70" s="55" t="n">
        <v>-14.5104477848261</v>
      </c>
      <c r="AJ70" s="55" t="n">
        <v>-16.2764334836893</v>
      </c>
      <c r="AK70" s="55" t="n">
        <v>-17.1354668696314</v>
      </c>
      <c r="AL70" s="55" t="n">
        <v>-34.2990493492682</v>
      </c>
      <c r="AM70" s="55" t="n">
        <v>-34.065676024442</v>
      </c>
      <c r="AN70" s="55" t="n">
        <v>-35.7901241962048</v>
      </c>
      <c r="AO70" s="55" t="n">
        <v>-37.5379584313523</v>
      </c>
      <c r="AP70" s="55" t="n">
        <v>-37.5859274433336</v>
      </c>
      <c r="AQ70" s="55" t="n">
        <v>-37.3647876737608</v>
      </c>
      <c r="AR70" s="55" t="n">
        <v>-39.131198374448</v>
      </c>
      <c r="AS70" s="55" t="n">
        <v>-40.9214657069112</v>
      </c>
      <c r="AT70" s="55" t="n">
        <v>-41.0028953446342</v>
      </c>
      <c r="AU70" s="55" t="n">
        <v>-41.8535553071908</v>
      </c>
      <c r="AV70" s="55" t="n">
        <v>-42.6206720786306</v>
      </c>
      <c r="AW70" s="55" t="n">
        <v>-44.4550049425783</v>
      </c>
      <c r="AX70" s="55" t="n">
        <v>-44.5717365310045</v>
      </c>
      <c r="AY70" s="55" t="n">
        <v>-44.3795040706129</v>
      </c>
      <c r="AZ70" s="55" t="n">
        <v>-46.2343917223319</v>
      </c>
      <c r="BA70" s="55" t="n">
        <v>-48.1141336374497</v>
      </c>
      <c r="BB70" s="55" t="n">
        <v>-48.2677235949094</v>
      </c>
      <c r="BC70" s="55" t="n">
        <v>-48.0921301797941</v>
      </c>
      <c r="BD70" s="55" t="n">
        <v>-49.9934886755647</v>
      </c>
      <c r="BE70" s="55" t="n">
        <v>-51.9202280508822</v>
      </c>
      <c r="BF70" s="55" t="n">
        <v>-52.1124881858871</v>
      </c>
      <c r="BG70" s="55" t="n">
        <v>-51.9551486434449</v>
      </c>
      <c r="BH70" s="55" t="n">
        <v>-53.9046201231166</v>
      </c>
      <c r="BI70" s="55" t="n">
        <v>-55.8800194924152</v>
      </c>
      <c r="BJ70" s="55" t="n">
        <v>-56.1128444301027</v>
      </c>
      <c r="BK70" s="55" t="n">
        <v>-57.05161767026</v>
      </c>
      <c r="BL70" s="55" t="n">
        <v>-57.9903696981576</v>
      </c>
      <c r="BM70" s="55" t="n">
        <v>-60.016353378782</v>
      </c>
      <c r="BN70" s="55" t="n">
        <v>-60.2919106417059</v>
      </c>
      <c r="BO70" s="55" t="n">
        <v>-60.1764371845225</v>
      </c>
      <c r="BP70" s="55" t="n">
        <v>-62.2275625147468</v>
      </c>
      <c r="BQ70" s="55" t="n">
        <v>-64.3057769922004</v>
      </c>
      <c r="BR70" s="55" t="n">
        <v>-64.6259612374984</v>
      </c>
      <c r="BS70" s="55" t="n">
        <v>-64.5340930355685</v>
      </c>
      <c r="BT70" s="55" t="n">
        <v>-66.6387425996386</v>
      </c>
      <c r="BU70" s="55" t="n">
        <v>-68.7710954364078</v>
      </c>
      <c r="BV70" s="55" t="n">
        <v>-69.1380739384485</v>
      </c>
      <c r="BW70" s="55" t="n">
        <v>-69.0717714934667</v>
      </c>
      <c r="BX70" s="55" t="n">
        <v>-71.231917986518</v>
      </c>
      <c r="BY70" s="55" t="n">
        <v>-73.4204063170935</v>
      </c>
      <c r="BZ70" s="55" t="n">
        <v>-73.8364456659584</v>
      </c>
      <c r="CA70" s="55" t="n">
        <v>-74.8880840291097</v>
      </c>
      <c r="CB70" s="55" t="n">
        <v>-76.0311891150069</v>
      </c>
      <c r="CC70" s="55" t="n">
        <v>-78.2780892493966</v>
      </c>
      <c r="CD70" s="55" t="n">
        <v>-78.7457474209733</v>
      </c>
      <c r="CE70" s="55" t="n">
        <v>-78.73703950789</v>
      </c>
      <c r="CF70" s="55" t="n">
        <v>-81.0146654280428</v>
      </c>
      <c r="CG70" s="55" t="n">
        <v>-83.3219904831881</v>
      </c>
      <c r="CH70" s="55" t="n">
        <v>-83.8435683129029</v>
      </c>
      <c r="CI70" s="55" t="n">
        <v>-83.8669162520635</v>
      </c>
      <c r="CJ70" s="55" t="n">
        <v>-86.2065412176553</v>
      </c>
      <c r="CK70" s="55" t="n">
        <v>-88.5765843281309</v>
      </c>
      <c r="CL70" s="55" t="n">
        <v>-89.1546753689386</v>
      </c>
      <c r="CM70" s="55" t="n">
        <v>-89.2124558194553</v>
      </c>
      <c r="CN70" s="55" t="n">
        <v>-91.6164518826925</v>
      </c>
      <c r="CO70" s="55" t="n">
        <v>-94.0516144128767</v>
      </c>
      <c r="CP70" s="55" t="n">
        <v>-94.6889313708637</v>
      </c>
      <c r="CQ70" s="55" t="n">
        <v>-95.8837296440529</v>
      </c>
      <c r="CR70" s="55" t="n">
        <v>-97.2702729737946</v>
      </c>
      <c r="CS70" s="55" t="n">
        <v>-99.7732558501468</v>
      </c>
      <c r="CT70" s="55" t="n">
        <v>-100.472824427648</v>
      </c>
      <c r="CU70" s="55" t="n">
        <v>-99.1604062678959</v>
      </c>
      <c r="CV70" s="55" t="n">
        <v>-100.262188559761</v>
      </c>
      <c r="CW70" s="55" t="n">
        <v>-101.363970851627</v>
      </c>
      <c r="CX70" s="55" t="n">
        <v>-100.623957100119</v>
      </c>
      <c r="CY70" s="55" t="n">
        <v>-99.2836379436211</v>
      </c>
      <c r="CZ70" s="55" t="n">
        <v>-100.386789476328</v>
      </c>
      <c r="DA70" s="55" t="n">
        <v>-101.489941009035</v>
      </c>
      <c r="DB70" s="55" t="n">
        <v>-192.742883903582</v>
      </c>
      <c r="DC70" s="55" t="n">
        <v>-189.374448869647</v>
      </c>
      <c r="DD70" s="55" t="n">
        <v>-191.478609412643</v>
      </c>
      <c r="DE70" s="55" t="n">
        <v>-193.582769955639</v>
      </c>
      <c r="DF70" s="55" t="n">
        <v>-192.83399535705</v>
      </c>
      <c r="DG70" s="55" t="n">
        <v>-191.541966452606</v>
      </c>
      <c r="DH70" s="55" t="n">
        <v>-191.541966452606</v>
      </c>
      <c r="DI70" s="55" t="n">
        <v>-193.646823226811</v>
      </c>
      <c r="DJ70" s="55" t="n">
        <v>-192.89365581119</v>
      </c>
      <c r="DK70" s="55" t="n">
        <v>-189.46803870543</v>
      </c>
      <c r="DL70" s="55" t="n">
        <v>-191.57323913549</v>
      </c>
      <c r="DM70" s="55" t="n">
        <v>-193.67843956555</v>
      </c>
      <c r="DN70" s="55" t="n">
        <v>-192.920871627264</v>
      </c>
      <c r="DO70" s="55" t="n">
        <v>-189.466238236397</v>
      </c>
      <c r="DP70" s="55" t="n">
        <v>-191.571418661246</v>
      </c>
      <c r="DQ70" s="55" t="n">
        <v>-193.676599086094</v>
      </c>
      <c r="DR70" s="55" t="n">
        <v>-192.914623353757</v>
      </c>
      <c r="DS70" s="55" t="n">
        <v>-189.430684664501</v>
      </c>
      <c r="DT70" s="55" t="n">
        <v>-191.535470049663</v>
      </c>
      <c r="DU70" s="55" t="n">
        <v>-193.640255434824</v>
      </c>
      <c r="DV70" s="55" t="n">
        <v>-192.873865085063</v>
      </c>
      <c r="DW70" s="55" t="n">
        <v>-191.464331490105</v>
      </c>
      <c r="DX70" s="55" t="n">
        <v>-191.464331490105</v>
      </c>
      <c r="DY70" s="55" t="n">
        <v>-193.568335132854</v>
      </c>
      <c r="DZ70" s="55" t="n">
        <v>-192.797523804413</v>
      </c>
      <c r="EA70" s="55" t="n">
        <v>-189.254090448061</v>
      </c>
      <c r="EB70" s="55" t="n">
        <v>-191.356913675261</v>
      </c>
      <c r="EC70" s="55" t="n">
        <v>-193.459736902462</v>
      </c>
      <c r="ED70" s="55" t="n">
        <v>-192.684498710636</v>
      </c>
      <c r="EE70" s="55" t="n">
        <v>-189.110867260062</v>
      </c>
      <c r="EF70" s="55" t="n">
        <v>-191.212099118508</v>
      </c>
      <c r="EG70" s="55" t="n">
        <v>-193.313330976953</v>
      </c>
      <c r="EH70" s="55" t="n">
        <v>-192.533660528376</v>
      </c>
      <c r="EI70" s="55" t="n">
        <v>-188.929524515436</v>
      </c>
      <c r="EJ70" s="55" t="n">
        <v>-191.028741454496</v>
      </c>
      <c r="EK70" s="55" t="n">
        <v>-193.127958393557</v>
      </c>
      <c r="EL70" s="55" t="n">
        <v>-192.343850801338</v>
      </c>
      <c r="EM70" s="55" t="n">
        <v>-190.805664722541</v>
      </c>
      <c r="EN70" s="55" t="n">
        <v>-190.805664722541</v>
      </c>
      <c r="EO70" s="55" t="n">
        <v>-192.902430268943</v>
      </c>
    </row>
    <row r="71" customFormat="false" ht="15" hidden="false" customHeight="false" outlineLevel="0" collapsed="false">
      <c r="C71" s="0" t="s">
        <v>379</v>
      </c>
      <c r="D71" s="11" t="s">
        <v>33</v>
      </c>
      <c r="I71" s="43" t="n">
        <f aca="false">SUM(J71:EO71)</f>
        <v>240722.669489757</v>
      </c>
      <c r="J71" s="43" t="n">
        <f aca="false">(J67+J46+J70)*(J$4&gt;In_COD)</f>
        <v>-0</v>
      </c>
      <c r="K71" s="43" t="n">
        <f aca="false">(K67+K46+K70)*(K$4&gt;In_COD)</f>
        <v>-0</v>
      </c>
      <c r="L71" s="43" t="n">
        <f aca="false">(L67+L46+L70)*(L$4&gt;In_COD)</f>
        <v>-0</v>
      </c>
      <c r="M71" s="43" t="n">
        <f aca="false">(M67+M46+M70)*(M$4&gt;In_COD)</f>
        <v>-0</v>
      </c>
      <c r="N71" s="43" t="n">
        <f aca="false">(N67+N46+N70)*(N$4&gt;In_COD)</f>
        <v>-0</v>
      </c>
      <c r="O71" s="43" t="n">
        <f aca="false">(O67+O46+O70)*(O$4&gt;In_COD)</f>
        <v>-0</v>
      </c>
      <c r="P71" s="43" t="n">
        <f aca="false">(P67+P46+P70)*(P$4&gt;In_COD)</f>
        <v>-0</v>
      </c>
      <c r="Q71" s="43" t="n">
        <f aca="false">(Q67+Q46+Q70)*(Q$4&gt;In_COD)</f>
        <v>-0</v>
      </c>
      <c r="R71" s="43" t="n">
        <f aca="false">(R67+R46+R70)*(R$4&gt;In_COD)</f>
        <v>-0</v>
      </c>
      <c r="S71" s="43" t="n">
        <f aca="false">(S67+S46+S70)*(S$4&gt;In_COD)</f>
        <v>-0</v>
      </c>
      <c r="T71" s="43" t="n">
        <f aca="false">(T67+T46+T70)*(T$4&gt;In_COD)</f>
        <v>-0</v>
      </c>
      <c r="U71" s="43" t="n">
        <f aca="false">(U67+U46+U70)*(U$4&gt;In_COD)</f>
        <v>-0</v>
      </c>
      <c r="V71" s="43" t="n">
        <f aca="false">(V67+V46+V70)*(V$4&gt;In_COD)</f>
        <v>-0</v>
      </c>
      <c r="W71" s="43" t="n">
        <f aca="false">(W67+W46+W70)*(W$4&gt;In_COD)</f>
        <v>-0</v>
      </c>
      <c r="X71" s="43" t="n">
        <f aca="false">(X67+X46+X70)*(X$4&gt;In_COD)</f>
        <v>-0</v>
      </c>
      <c r="Y71" s="43" t="n">
        <f aca="false">(Y67+Y46+Y70)*(Y$4&gt;In_COD)</f>
        <v>-0</v>
      </c>
      <c r="Z71" s="43" t="n">
        <f aca="false">(Z67+Z46+Z70)*(Z$4&gt;In_COD)</f>
        <v>2030.02719390765</v>
      </c>
      <c r="AA71" s="43" t="n">
        <f aca="false">(AA67+AA46+AA70)*(AA$4&gt;In_COD)</f>
        <v>1998.90039133081</v>
      </c>
      <c r="AB71" s="43" t="n">
        <f aca="false">(AB67+AB46+AB70)*(AB$4&gt;In_COD)</f>
        <v>2020.44802414472</v>
      </c>
      <c r="AC71" s="43" t="n">
        <f aca="false">(AC67+AC46+AC70)*(AC$4&gt;In_COD)</f>
        <v>2041.98444366414</v>
      </c>
      <c r="AD71" s="43" t="n">
        <f aca="false">(AD67+AD46+AD70)*(AD$4&gt;In_COD)</f>
        <v>2034.64050563465</v>
      </c>
      <c r="AE71" s="43" t="n">
        <f aca="false">(AE67+AE46+AE70)*(AE$4&gt;In_COD)</f>
        <v>2025.14148744575</v>
      </c>
      <c r="AF71" s="43" t="n">
        <f aca="false">(AF67+AF46+AF70)*(AF$4&gt;In_COD)</f>
        <v>2024.83200526703</v>
      </c>
      <c r="AG71" s="43" t="n">
        <f aca="false">(AG67+AG46+AG70)*(AG$4&gt;In_COD)</f>
        <v>2046.41319691188</v>
      </c>
      <c r="AH71" s="43" t="n">
        <f aca="false">(AH67+AH46+AH70)*(AH$4&gt;In_COD)</f>
        <v>2039.00798689579</v>
      </c>
      <c r="AI71" s="43" t="n">
        <f aca="false">(AI67+AI46+AI70)*(AI$4&gt;In_COD)</f>
        <v>2007.34477661401</v>
      </c>
      <c r="AJ71" s="43" t="n">
        <f aca="false">(AJ67+AJ46+AJ70)*(AJ$4&gt;In_COD)</f>
        <v>2048.84287317119</v>
      </c>
      <c r="AK71" s="43" t="n">
        <f aca="false">(AK67+AK46+AK70)*(AK$4&gt;In_COD)</f>
        <v>2070.6774585397</v>
      </c>
      <c r="AL71" s="43" t="n">
        <f aca="false">(AL67+AL46+AL70)*(AL$4&gt;In_COD)</f>
        <v>2046.05340697048</v>
      </c>
      <c r="AM71" s="43" t="n">
        <f aca="false">(AM67+AM46+AM70)*(AM$4&gt;In_COD)</f>
        <v>2013.79637151914</v>
      </c>
      <c r="AN71" s="43" t="n">
        <f aca="false">(AN67+AN46+AN70)*(AN$4&gt;In_COD)</f>
        <v>2034.82594609786</v>
      </c>
      <c r="AO71" s="43" t="n">
        <f aca="false">(AO67+AO46+AO70)*(AO$4&gt;In_COD)</f>
        <v>2055.8321346132</v>
      </c>
      <c r="AP71" s="43" t="n">
        <f aca="false">(AP67+AP46+AP70)*(AP$4&gt;In_COD)</f>
        <v>2048.27709925089</v>
      </c>
      <c r="AQ71" s="43" t="n">
        <f aca="false">(AQ67+AQ46+AQ70)*(AQ$4&gt;In_COD)</f>
        <v>2015.73858968883</v>
      </c>
      <c r="AR71" s="43" t="n">
        <f aca="false">(AR67+AR46+AR70)*(AR$4&gt;In_COD)</f>
        <v>2036.78443873662</v>
      </c>
      <c r="AS71" s="43" t="n">
        <f aca="false">(AS67+AS46+AS70)*(AS$4&gt;In_COD)</f>
        <v>2057.80643115263</v>
      </c>
      <c r="AT71" s="43" t="n">
        <f aca="false">(AT67+AT46+AT70)*(AT$4&gt;In_COD)</f>
        <v>2050.17118785136</v>
      </c>
      <c r="AU71" s="43" t="n">
        <f aca="false">(AU67+AU46+AU70)*(AU$4&gt;In_COD)</f>
        <v>2039.15742243236</v>
      </c>
      <c r="AV71" s="43" t="n">
        <f aca="false">(AV67+AV46+AV70)*(AV$4&gt;In_COD)</f>
        <v>2038.39030566092</v>
      </c>
      <c r="AW71" s="43" t="n">
        <f aca="false">(AW67+AW46+AW70)*(AW$4&gt;In_COD)</f>
        <v>2059.4242252996</v>
      </c>
      <c r="AX71" s="43" t="n">
        <f aca="false">(AX67+AX46+AX70)*(AX$4&gt;In_COD)</f>
        <v>2051.70678529816</v>
      </c>
      <c r="AY71" s="43" t="n">
        <f aca="false">(AY67+AY46+AY70)*(AY$4&gt;In_COD)</f>
        <v>2018.59345020691</v>
      </c>
      <c r="AZ71" s="43" t="n">
        <f aca="false">(AZ67+AZ46+AZ70)*(AZ$4&gt;In_COD)</f>
        <v>2039.66048426938</v>
      </c>
      <c r="BA71" s="43" t="n">
        <f aca="false">(BA67+BA46+BA70)*(BA$4&gt;In_COD)</f>
        <v>2060.70266406846</v>
      </c>
      <c r="BB71" s="43" t="n">
        <f aca="false">(BB67+BB46+BB70)*(BB$4&gt;In_COD)</f>
        <v>2052.90132622753</v>
      </c>
      <c r="BC71" s="43" t="n">
        <f aca="false">(BC67+BC46+BC70)*(BC$4&gt;In_COD)</f>
        <v>2019.49460803297</v>
      </c>
      <c r="BD71" s="43" t="n">
        <f aca="false">(BD67+BD46+BD70)*(BD$4&gt;In_COD)</f>
        <v>2040.56643551734</v>
      </c>
      <c r="BE71" s="43" t="n">
        <f aca="false">(BE67+BE46+BE70)*(BE$4&gt;In_COD)</f>
        <v>2061.61288212217</v>
      </c>
      <c r="BF71" s="43" t="n">
        <f aca="false">(BF67+BF46+BF70)*(BF$4&gt;In_COD)</f>
        <v>2053.72569272903</v>
      </c>
      <c r="BG71" s="43" t="n">
        <f aca="false">(BG67+BG46+BG70)*(BG$4&gt;In_COD)</f>
        <v>2020.02140801728</v>
      </c>
      <c r="BH71" s="43" t="n">
        <f aca="false">(BH67+BH46+BH70)*(BH$4&gt;In_COD)</f>
        <v>2041.09389827828</v>
      </c>
      <c r="BI71" s="43" t="n">
        <f aca="false">(BI67+BI46+BI70)*(BI$4&gt;In_COD)</f>
        <v>2062.14046064966</v>
      </c>
      <c r="BJ71" s="43" t="n">
        <f aca="false">(BJ67+BJ46+BJ70)*(BJ$4&gt;In_COD)</f>
        <v>2054.16538609574</v>
      </c>
      <c r="BK71" s="43" t="n">
        <f aca="false">(BK67+BK46+BK70)*(BK$4&gt;In_COD)</f>
        <v>2042.15123584032</v>
      </c>
      <c r="BL71" s="43" t="n">
        <f aca="false">(BL67+BL46+BL70)*(BL$4&gt;In_COD)</f>
        <v>2041.21248381242</v>
      </c>
      <c r="BM71" s="43" t="n">
        <f aca="false">(BM67+BM46+BM70)*(BM$4&gt;In_COD)</f>
        <v>2062.25466335719</v>
      </c>
      <c r="BN71" s="43" t="n">
        <f aca="false">(BN67+BN46+BN70)*(BN$4&gt;In_COD)</f>
        <v>2054.18940016386</v>
      </c>
      <c r="BO71" s="43" t="n">
        <f aca="false">(BO67+BO46+BO70)*(BO$4&gt;In_COD)</f>
        <v>2019.87677864795</v>
      </c>
      <c r="BP71" s="43" t="n">
        <f aca="false">(BP67+BP46+BP70)*(BP$4&gt;In_COD)</f>
        <v>2040.93735571586</v>
      </c>
      <c r="BQ71" s="43" t="n">
        <f aca="false">(BQ67+BQ46+BQ70)*(BQ$4&gt;In_COD)</f>
        <v>2061.97084363655</v>
      </c>
      <c r="BR71" s="43" t="n">
        <f aca="false">(BR67+BR46+BR70)*(BR$4&gt;In_COD)</f>
        <v>2053.81336432716</v>
      </c>
      <c r="BS71" s="43" t="n">
        <f aca="false">(BS67+BS46+BS70)*(BS$4&gt;In_COD)</f>
        <v>2019.18990801053</v>
      </c>
      <c r="BT71" s="43" t="n">
        <f aca="false">(BT67+BT46+BT70)*(BT$4&gt;In_COD)</f>
        <v>2040.23774734697</v>
      </c>
      <c r="BU71" s="43" t="n">
        <f aca="false">(BU67+BU46+BU70)*(BU$4&gt;In_COD)</f>
        <v>2061.25788341071</v>
      </c>
      <c r="BV71" s="43" t="n">
        <f aca="false">(BV67+BV46+BV70)*(BV$4&gt;In_COD)</f>
        <v>2053.00589113987</v>
      </c>
      <c r="BW71" s="43" t="n">
        <f aca="false">(BW67+BW46+BW70)*(BW$4&gt;In_COD)</f>
        <v>2018.06692796293</v>
      </c>
      <c r="BX71" s="43" t="n">
        <f aca="false">(BX67+BX46+BX70)*(BX$4&gt;In_COD)</f>
        <v>2039.09721146384</v>
      </c>
      <c r="BY71" s="43" t="n">
        <f aca="false">(BY67+BY46+BY70)*(BY$4&gt;In_COD)</f>
        <v>2060.09915312722</v>
      </c>
      <c r="BZ71" s="43" t="n">
        <f aca="false">(BZ67+BZ46+BZ70)*(BZ$4&gt;In_COD)</f>
        <v>2051.75025509696</v>
      </c>
      <c r="CA71" s="43" t="n">
        <f aca="false">(CA67+CA46+CA70)*(CA$4&gt;In_COD)</f>
        <v>2038.62609151327</v>
      </c>
      <c r="CB71" s="43" t="n">
        <f aca="false">(CB67+CB46+CB70)*(CB$4&gt;In_COD)</f>
        <v>2037.48298642737</v>
      </c>
      <c r="CC71" s="43" t="n">
        <f aca="false">(CC67+CC46+CC70)*(CC$4&gt;In_COD)</f>
        <v>2058.46151679345</v>
      </c>
      <c r="CD71" s="43" t="n">
        <f aca="false">(CD67+CD46+CD70)*(CD$4&gt;In_COD)</f>
        <v>2050.01303230061</v>
      </c>
      <c r="CE71" s="43" t="n">
        <f aca="false">(CE67+CE46+CE70)*(CE$4&gt;In_COD)</f>
        <v>2014.42830725159</v>
      </c>
      <c r="CF71" s="43" t="n">
        <f aca="false">(CF67+CF46+CF70)*(CF$4&gt;In_COD)</f>
        <v>2035.40807407321</v>
      </c>
      <c r="CG71" s="43" t="n">
        <f aca="false">(CG67+CG46+CG70)*(CG$4&gt;In_COD)</f>
        <v>2056.35814175983</v>
      </c>
      <c r="CH71" s="43" t="n">
        <f aca="false">(CH67+CH46+CH70)*(CH$4&gt;In_COD)</f>
        <v>2047.80765084267</v>
      </c>
      <c r="CI71" s="43" t="n">
        <f aca="false">(CI67+CI46+CI70)*(CI$4&gt;In_COD)</f>
        <v>2011.89256668765</v>
      </c>
      <c r="CJ71" s="43" t="n">
        <f aca="false">(CJ67+CJ46+CJ70)*(CJ$4&gt;In_COD)</f>
        <v>2032.83915819917</v>
      </c>
      <c r="CK71" s="43" t="n">
        <f aca="false">(CK67+CK46+CK70)*(CK$4&gt;In_COD)</f>
        <v>2053.7553315658</v>
      </c>
      <c r="CL71" s="43" t="n">
        <f aca="false">(CL67+CL46+CL70)*(CL$4&gt;In_COD)</f>
        <v>2045.10012526932</v>
      </c>
      <c r="CM71" s="43" t="n">
        <f aca="false">(CM67+CM46+CM70)*(CM$4&gt;In_COD)</f>
        <v>2008.84943972527</v>
      </c>
      <c r="CN71" s="43" t="n">
        <f aca="false">(CN67+CN46+CN70)*(CN$4&gt;In_COD)</f>
        <v>2029.75724250142</v>
      </c>
      <c r="CO71" s="43" t="n">
        <f aca="false">(CO67+CO46+CO70)*(CO$4&gt;In_COD)</f>
        <v>2050.63387881062</v>
      </c>
      <c r="CP71" s="43" t="n">
        <f aca="false">(CP67+CP46+CP70)*(CP$4&gt;In_COD)</f>
        <v>2041.87113287728</v>
      </c>
      <c r="CQ71" s="43" t="n">
        <f aca="false">(CQ67+CQ46+CQ70)*(CQ$4&gt;In_COD)</f>
        <v>2027.51338891031</v>
      </c>
      <c r="CR71" s="43" t="n">
        <f aca="false">(CR67+CR46+CR70)*(CR$4&gt;In_COD)</f>
        <v>2026.12684558057</v>
      </c>
      <c r="CS71" s="43" t="n">
        <f aca="false">(CS67+CS46+CS70)*(CS$4&gt;In_COD)</f>
        <v>2046.95789697405</v>
      </c>
      <c r="CT71" s="43" t="n">
        <f aca="false">(CT67+CT46+CT70)*(CT$4&gt;In_COD)</f>
        <v>2038.08447813</v>
      </c>
      <c r="CU71" s="43" t="n">
        <f aca="false">(CU67+CU46+CU70)*(CU$4&gt;In_COD)</f>
        <v>2002.59289432088</v>
      </c>
      <c r="CV71" s="43" t="n">
        <f aca="false">(CV67+CV46+CV70)*(CV$4&gt;In_COD)</f>
        <v>2024.84392648</v>
      </c>
      <c r="CW71" s="43" t="n">
        <f aca="false">(CW67+CW46+CW70)*(CW$4&gt;In_COD)</f>
        <v>2047.09495863912</v>
      </c>
      <c r="CX71" s="43" t="n">
        <f aca="false">(CX67+CX46+CX70)*(CX$4&gt;In_COD)</f>
        <v>2039.61259737388</v>
      </c>
      <c r="CY71" s="43" t="n">
        <f aca="false">(CY67+CY46+CY70)*(CY$4&gt;In_COD)</f>
        <v>2003.83890348655</v>
      </c>
      <c r="CZ71" s="43" t="n">
        <f aca="false">(CZ67+CZ46+CZ70)*(CZ$4&gt;In_COD)</f>
        <v>2026.10378019196</v>
      </c>
      <c r="DA71" s="43" t="n">
        <f aca="false">(DA67+DA46+DA70)*(DA$4&gt;In_COD)</f>
        <v>2048.36865689736</v>
      </c>
      <c r="DB71" s="43" t="n">
        <f aca="false">(DB67+DB46+DB70)*(DB$4&gt;In_COD)</f>
        <v>1948.84471502511</v>
      </c>
      <c r="DC71" s="43" t="n">
        <f aca="false">(DC67+DC46+DC70)*(DC$4&gt;In_COD)</f>
        <v>1914.78609412644</v>
      </c>
      <c r="DD71" s="43" t="n">
        <f aca="false">(DD67+DD46+DD70)*(DD$4&gt;In_COD)</f>
        <v>1936.06149517229</v>
      </c>
      <c r="DE71" s="43" t="n">
        <f aca="false">(DE67+DE46+DE70)*(DE$4&gt;In_COD)</f>
        <v>1957.33689621814</v>
      </c>
      <c r="DF71" s="43" t="n">
        <f aca="false">(DF67+DF46+DF70)*(DF$4&gt;In_COD)</f>
        <v>1949.76595305462</v>
      </c>
      <c r="DG71" s="43" t="n">
        <f aca="false">(DG67+DG46+DG70)*(DG$4&gt;In_COD)</f>
        <v>1936.70210524302</v>
      </c>
      <c r="DH71" s="43" t="n">
        <f aca="false">(DH67+DH46+DH70)*(DH$4&gt;In_COD)</f>
        <v>1936.70210524302</v>
      </c>
      <c r="DI71" s="43" t="n">
        <f aca="false">(DI67+DI46+DI70)*(DI$4&gt;In_COD)</f>
        <v>1957.98454595998</v>
      </c>
      <c r="DJ71" s="43" t="n">
        <f aca="false">(DJ67+DJ46+DJ70)*(DJ$4&gt;In_COD)</f>
        <v>1950.36918653537</v>
      </c>
      <c r="DK71" s="43" t="n">
        <f aca="false">(DK67+DK46+DK70)*(DK$4&gt;In_COD)</f>
        <v>1915.7323913549</v>
      </c>
      <c r="DL71" s="43" t="n">
        <f aca="false">(DL67+DL46+DL70)*(DL$4&gt;In_COD)</f>
        <v>1937.0183068144</v>
      </c>
      <c r="DM71" s="43" t="n">
        <f aca="false">(DM67+DM46+DM70)*(DM$4&gt;In_COD)</f>
        <v>1958.3042222739</v>
      </c>
      <c r="DN71" s="43" t="n">
        <f aca="false">(DN67+DN46+DN70)*(DN$4&gt;In_COD)</f>
        <v>1950.64436867568</v>
      </c>
      <c r="DO71" s="43" t="n">
        <f aca="false">(DO67+DO46+DO70)*(DO$4&gt;In_COD)</f>
        <v>1915.71418661246</v>
      </c>
      <c r="DP71" s="43" t="n">
        <f aca="false">(DP67+DP46+DP70)*(DP$4&gt;In_COD)</f>
        <v>1936.99989979704</v>
      </c>
      <c r="DQ71" s="43" t="n">
        <f aca="false">(DQ67+DQ46+DQ70)*(DQ$4&gt;In_COD)</f>
        <v>1958.28561298162</v>
      </c>
      <c r="DR71" s="43" t="n">
        <f aca="false">(DR67+DR46+DR70)*(DR$4&gt;In_COD)</f>
        <v>1950.58119168799</v>
      </c>
      <c r="DS71" s="43" t="n">
        <f aca="false">(DS67+DS46+DS70)*(DS$4&gt;In_COD)</f>
        <v>1915.35470049663</v>
      </c>
      <c r="DT71" s="43" t="n">
        <f aca="false">(DT67+DT46+DT70)*(DT$4&gt;In_COD)</f>
        <v>1936.63641939104</v>
      </c>
      <c r="DU71" s="43" t="n">
        <f aca="false">(DU67+DU46+DU70)*(DU$4&gt;In_COD)</f>
        <v>1957.91813828544</v>
      </c>
      <c r="DV71" s="43" t="n">
        <f aca="false">(DV67+DV46+DV70)*(DV$4&gt;In_COD)</f>
        <v>1950.16908030453</v>
      </c>
      <c r="DW71" s="43" t="n">
        <f aca="false">(DW67+DW46+DW70)*(DW$4&gt;In_COD)</f>
        <v>1935.91712951107</v>
      </c>
      <c r="DX71" s="43" t="n">
        <f aca="false">(DX67+DX46+DX70)*(DX$4&gt;In_COD)</f>
        <v>1935.91712951107</v>
      </c>
      <c r="DY71" s="43" t="n">
        <f aca="false">(DY67+DY46+DY70)*(DY$4&gt;In_COD)</f>
        <v>1957.19094412108</v>
      </c>
      <c r="DZ71" s="43" t="n">
        <f aca="false">(DZ67+DZ46+DZ70)*(DZ$4&gt;In_COD)</f>
        <v>1949.39718513351</v>
      </c>
      <c r="EA71" s="43" t="n">
        <f aca="false">(EA67+EA46+EA70)*(EA$4&gt;In_COD)</f>
        <v>1913.56913675262</v>
      </c>
      <c r="EB71" s="43" t="n">
        <f aca="false">(EB67+EB46+EB70)*(EB$4&gt;In_COD)</f>
        <v>1934.83101604987</v>
      </c>
      <c r="EC71" s="43" t="n">
        <f aca="false">(EC67+EC46+EC70)*(EC$4&gt;In_COD)</f>
        <v>1956.09289534712</v>
      </c>
      <c r="ED71" s="43" t="n">
        <f aca="false">(ED67+ED46+ED70)*(ED$4&gt;In_COD)</f>
        <v>1948.25437585199</v>
      </c>
      <c r="EE71" s="43" t="n">
        <f aca="false">(EE67+EE46+EE70)*(EE$4&gt;In_COD)</f>
        <v>1912.12099118508</v>
      </c>
      <c r="EF71" s="43" t="n">
        <f aca="false">(EF67+EF46+EF70)*(EF$4&gt;In_COD)</f>
        <v>1933.36677997603</v>
      </c>
      <c r="EG71" s="43" t="n">
        <f aca="false">(EG67+EG46+EG70)*(EG$4&gt;In_COD)</f>
        <v>1954.61256876697</v>
      </c>
      <c r="EH71" s="43" t="n">
        <f aca="false">(EH67+EH46+EH70)*(EH$4&gt;In_COD)</f>
        <v>1946.72923423136</v>
      </c>
      <c r="EI71" s="43" t="n">
        <f aca="false">(EI67+EI46+EI70)*(EI$4&gt;In_COD)</f>
        <v>1910.28741454497</v>
      </c>
      <c r="EJ71" s="43" t="n">
        <f aca="false">(EJ67+EJ46+EJ70)*(EJ$4&gt;In_COD)</f>
        <v>1931.51283026213</v>
      </c>
      <c r="EK71" s="43" t="n">
        <f aca="false">(EK67+EK46+EK70)*(EK$4&gt;In_COD)</f>
        <v>1952.7382459793</v>
      </c>
      <c r="EL71" s="43" t="n">
        <f aca="false">(EL67+EL46+EL70)*(EL$4&gt;In_COD)</f>
        <v>1944.81004699132</v>
      </c>
      <c r="EM71" s="43" t="n">
        <f aca="false">(EM67+EM46+EM70)*(EM$4&gt;In_COD)</f>
        <v>1929.25727663903</v>
      </c>
      <c r="EN71" s="43" t="n">
        <f aca="false">(EN67+EN46+EN70)*(EN$4&gt;In_COD)</f>
        <v>1929.25727663903</v>
      </c>
      <c r="EO71" s="43" t="n">
        <f aca="false">(EO67+EO46+EO70)*(EO$4&gt;In_COD)</f>
        <v>1950.45790605265</v>
      </c>
    </row>
    <row r="72" customFormat="false" ht="15" hidden="false" customHeight="false" outlineLevel="0" collapsed="false">
      <c r="C72" s="0" t="s">
        <v>380</v>
      </c>
      <c r="D72" s="11" t="s">
        <v>33</v>
      </c>
      <c r="E72" s="43" t="n">
        <f aca="false">SUMPRODUCT($J72:$EO72/$J21:$EO21)*$E21</f>
        <v>80383.5635223005</v>
      </c>
      <c r="I72" s="43" t="n">
        <f aca="false">SUM(J72:EO72)</f>
        <v>122411.581079532</v>
      </c>
      <c r="J72" s="43" t="n">
        <f aca="false">J71/In_DSCR*J17</f>
        <v>-0</v>
      </c>
      <c r="K72" s="43" t="n">
        <f aca="false">K71/In_DSCR*K17</f>
        <v>-0</v>
      </c>
      <c r="L72" s="43" t="n">
        <f aca="false">L71/In_DSCR*L17</f>
        <v>-0</v>
      </c>
      <c r="M72" s="43" t="n">
        <f aca="false">M71/In_DSCR*M17</f>
        <v>-0</v>
      </c>
      <c r="N72" s="43" t="n">
        <f aca="false">N71/In_DSCR*N17</f>
        <v>-0</v>
      </c>
      <c r="O72" s="43" t="n">
        <f aca="false">O71/In_DSCR*O17</f>
        <v>-0</v>
      </c>
      <c r="P72" s="43" t="n">
        <f aca="false">P71/In_DSCR*P17</f>
        <v>-0</v>
      </c>
      <c r="Q72" s="43" t="n">
        <f aca="false">Q71/In_DSCR*Q17</f>
        <v>-0</v>
      </c>
      <c r="R72" s="43" t="n">
        <f aca="false">R71/In_DSCR*R17</f>
        <v>-0</v>
      </c>
      <c r="S72" s="43" t="n">
        <f aca="false">S71/In_DSCR*S17</f>
        <v>-0</v>
      </c>
      <c r="T72" s="43" t="n">
        <f aca="false">T71/In_DSCR*T17</f>
        <v>-0</v>
      </c>
      <c r="U72" s="43" t="n">
        <f aca="false">U71/In_DSCR*U17</f>
        <v>-0</v>
      </c>
      <c r="V72" s="43" t="n">
        <f aca="false">V71/In_DSCR*V17</f>
        <v>-0</v>
      </c>
      <c r="W72" s="43" t="n">
        <f aca="false">W71/In_DSCR*W17</f>
        <v>-0</v>
      </c>
      <c r="X72" s="43" t="n">
        <f aca="false">X71/In_DSCR*X17</f>
        <v>-0</v>
      </c>
      <c r="Y72" s="43" t="n">
        <f aca="false">Y71/In_DSCR*Y17</f>
        <v>-0</v>
      </c>
      <c r="Z72" s="43" t="n">
        <f aca="false">Z71/In_DSCR*Z17</f>
        <v>1691.68932825638</v>
      </c>
      <c r="AA72" s="43" t="n">
        <f aca="false">AA71/In_DSCR*AA17</f>
        <v>1665.75032610901</v>
      </c>
      <c r="AB72" s="43" t="n">
        <f aca="false">AB71/In_DSCR*AB17</f>
        <v>1683.70668678726</v>
      </c>
      <c r="AC72" s="43" t="n">
        <f aca="false">AC71/In_DSCR*AC17</f>
        <v>1701.65370305345</v>
      </c>
      <c r="AD72" s="43" t="n">
        <f aca="false">AD71/In_DSCR*AD17</f>
        <v>1695.53375469554</v>
      </c>
      <c r="AE72" s="43" t="n">
        <f aca="false">AE71/In_DSCR*AE17</f>
        <v>1687.61790620479</v>
      </c>
      <c r="AF72" s="43" t="n">
        <f aca="false">AF71/In_DSCR*AF17</f>
        <v>1687.36000438919</v>
      </c>
      <c r="AG72" s="43" t="n">
        <f aca="false">AG71/In_DSCR*AG17</f>
        <v>1705.3443307599</v>
      </c>
      <c r="AH72" s="43" t="n">
        <f aca="false">AH71/In_DSCR*AH17</f>
        <v>1699.17332241316</v>
      </c>
      <c r="AI72" s="43" t="n">
        <f aca="false">AI71/In_DSCR*AI17</f>
        <v>1672.78731384501</v>
      </c>
      <c r="AJ72" s="43" t="n">
        <f aca="false">AJ71/In_DSCR*AJ17</f>
        <v>1707.36906097599</v>
      </c>
      <c r="AK72" s="43" t="n">
        <f aca="false">AK71/In_DSCR*AK17</f>
        <v>1725.56454878308</v>
      </c>
      <c r="AL72" s="43" t="n">
        <f aca="false">AL71/In_DSCR*AL17</f>
        <v>1705.04450580873</v>
      </c>
      <c r="AM72" s="43" t="n">
        <f aca="false">AM71/In_DSCR*AM17</f>
        <v>1678.16364293262</v>
      </c>
      <c r="AN72" s="43" t="n">
        <f aca="false">AN71/In_DSCR*AN17</f>
        <v>1695.68828841488</v>
      </c>
      <c r="AO72" s="43" t="n">
        <f aca="false">AO71/In_DSCR*AO17</f>
        <v>1713.193445511</v>
      </c>
      <c r="AP72" s="43" t="n">
        <f aca="false">AP71/In_DSCR*AP17</f>
        <v>1706.89758270908</v>
      </c>
      <c r="AQ72" s="43" t="n">
        <f aca="false">AQ71/In_DSCR*AQ17</f>
        <v>1679.78215807403</v>
      </c>
      <c r="AR72" s="43" t="n">
        <f aca="false">AR71/In_DSCR*AR17</f>
        <v>1697.32036561385</v>
      </c>
      <c r="AS72" s="43" t="n">
        <f aca="false">AS71/In_DSCR*AS17</f>
        <v>1714.83869262719</v>
      </c>
      <c r="AT72" s="43" t="n">
        <f aca="false">AT71/In_DSCR*AT17</f>
        <v>1708.47598987613</v>
      </c>
      <c r="AU72" s="43" t="n">
        <f aca="false">AU71/In_DSCR*AU17</f>
        <v>1699.29785202696</v>
      </c>
      <c r="AV72" s="43" t="n">
        <f aca="false">AV71/In_DSCR*AV17</f>
        <v>1698.65858805076</v>
      </c>
      <c r="AW72" s="43" t="n">
        <f aca="false">AW71/In_DSCR*AW17</f>
        <v>1716.18685441634</v>
      </c>
      <c r="AX72" s="43" t="n">
        <f aca="false">AX71/In_DSCR*AX17</f>
        <v>1709.75565441513</v>
      </c>
      <c r="AY72" s="43" t="n">
        <f aca="false">AY71/In_DSCR*AY17</f>
        <v>1682.16120850576</v>
      </c>
      <c r="AZ72" s="43" t="n">
        <f aca="false">AZ71/In_DSCR*AZ17</f>
        <v>1699.71707022449</v>
      </c>
      <c r="BA72" s="43" t="n">
        <f aca="false">BA71/In_DSCR*BA17</f>
        <v>1717.25222005705</v>
      </c>
      <c r="BB72" s="43" t="n">
        <f aca="false">BB71/In_DSCR*BB17</f>
        <v>1710.75110518961</v>
      </c>
      <c r="BC72" s="43" t="n">
        <f aca="false">BC71/In_DSCR*BC17</f>
        <v>1682.91217336081</v>
      </c>
      <c r="BD72" s="43" t="n">
        <f aca="false">BD71/In_DSCR*BD17</f>
        <v>1700.47202959778</v>
      </c>
      <c r="BE72" s="43" t="n">
        <f aca="false">BE71/In_DSCR*BE17</f>
        <v>1718.01073510181</v>
      </c>
      <c r="BF72" s="43" t="n">
        <f aca="false">BF71/In_DSCR*BF17</f>
        <v>1711.43807727419</v>
      </c>
      <c r="BG72" s="43" t="n">
        <f aca="false">BG71/In_DSCR*BG17</f>
        <v>1683.35117334773</v>
      </c>
      <c r="BH72" s="43" t="n">
        <f aca="false">BH71/In_DSCR*BH17</f>
        <v>1700.91158189857</v>
      </c>
      <c r="BI72" s="43" t="n">
        <f aca="false">BI71/In_DSCR*BI17</f>
        <v>1718.45038387472</v>
      </c>
      <c r="BJ72" s="43" t="n">
        <f aca="false">BJ71/In_DSCR*BJ17</f>
        <v>1711.80448841312</v>
      </c>
      <c r="BK72" s="43" t="n">
        <f aca="false">BK71/In_DSCR*BK17</f>
        <v>1701.7926965336</v>
      </c>
      <c r="BL72" s="43" t="n">
        <f aca="false">BL71/In_DSCR*BL17</f>
        <v>1701.01040317702</v>
      </c>
      <c r="BM72" s="43" t="n">
        <f aca="false">BM71/In_DSCR*BM17</f>
        <v>1718.54555279766</v>
      </c>
      <c r="BN72" s="43" t="n">
        <f aca="false">BN71/In_DSCR*BN17</f>
        <v>1711.82450013655</v>
      </c>
      <c r="BO72" s="43" t="n">
        <f aca="false">BO71/In_DSCR*BO17</f>
        <v>1683.23064887329</v>
      </c>
      <c r="BP72" s="43" t="n">
        <f aca="false">BP71/In_DSCR*BP17</f>
        <v>1700.78112976322</v>
      </c>
      <c r="BQ72" s="43" t="n">
        <f aca="false">BQ71/In_DSCR*BQ17</f>
        <v>1718.30903636379</v>
      </c>
      <c r="BR72" s="43" t="n">
        <f aca="false">BR71/In_DSCR*BR17</f>
        <v>1711.5111369393</v>
      </c>
      <c r="BS72" s="43" t="n">
        <f aca="false">BS71/In_DSCR*BS17</f>
        <v>1682.65825667544</v>
      </c>
      <c r="BT72" s="43" t="n">
        <f aca="false">BT71/In_DSCR*BT17</f>
        <v>1700.19812278914</v>
      </c>
      <c r="BU72" s="43" t="n">
        <f aca="false">BU71/In_DSCR*BU17</f>
        <v>1717.71490284226</v>
      </c>
      <c r="BV72" s="43" t="n">
        <f aca="false">BV71/In_DSCR*BV17</f>
        <v>1710.83824261656</v>
      </c>
      <c r="BW72" s="43" t="n">
        <f aca="false">BW71/In_DSCR*BW17</f>
        <v>1681.72243996911</v>
      </c>
      <c r="BX72" s="43" t="n">
        <f aca="false">BX71/In_DSCR*BX17</f>
        <v>1699.24767621987</v>
      </c>
      <c r="BY72" s="43" t="n">
        <f aca="false">BY71/In_DSCR*BY17</f>
        <v>1716.74929427269</v>
      </c>
      <c r="BZ72" s="43" t="n">
        <f aca="false">BZ71/In_DSCR*BZ17</f>
        <v>1709.79187924747</v>
      </c>
      <c r="CA72" s="43" t="n">
        <f aca="false">CA71/In_DSCR*CA17</f>
        <v>1698.85507626106</v>
      </c>
      <c r="CB72" s="43" t="n">
        <f aca="false">CB71/In_DSCR*CB17</f>
        <v>1697.90248868948</v>
      </c>
      <c r="CC72" s="43" t="n">
        <f aca="false">CC71/In_DSCR*CC17</f>
        <v>1715.38459732787</v>
      </c>
      <c r="CD72" s="43" t="n">
        <f aca="false">CD71/In_DSCR*CD17</f>
        <v>1708.34419358384</v>
      </c>
      <c r="CE72" s="43" t="n">
        <f aca="false">CE71/In_DSCR*CE17</f>
        <v>1678.69025604299</v>
      </c>
      <c r="CF72" s="43" t="n">
        <f aca="false">CF71/In_DSCR*CF17</f>
        <v>1696.173395061</v>
      </c>
      <c r="CG72" s="43" t="n">
        <f aca="false">CG71/In_DSCR*CG17</f>
        <v>1713.63178479986</v>
      </c>
      <c r="CH72" s="43" t="n">
        <f aca="false">CH71/In_DSCR*CH17</f>
        <v>1706.50637570223</v>
      </c>
      <c r="CI72" s="43" t="n">
        <f aca="false">CI71/In_DSCR*CI17</f>
        <v>1676.57713890637</v>
      </c>
      <c r="CJ72" s="43" t="n">
        <f aca="false">CJ71/In_DSCR*CJ17</f>
        <v>1694.03263183264</v>
      </c>
      <c r="CK72" s="43" t="n">
        <f aca="false">CK71/In_DSCR*CK17</f>
        <v>1711.46277630483</v>
      </c>
      <c r="CL72" s="43" t="n">
        <f aca="false">CL71/In_DSCR*CL17</f>
        <v>1704.2501043911</v>
      </c>
      <c r="CM72" s="43" t="n">
        <f aca="false">CM71/In_DSCR*CM17</f>
        <v>1674.04119977106</v>
      </c>
      <c r="CN72" s="43" t="n">
        <f aca="false">CN71/In_DSCR*CN17</f>
        <v>1691.46436875119</v>
      </c>
      <c r="CO72" s="43" t="n">
        <f aca="false">CO71/In_DSCR*CO17</f>
        <v>1708.86156567552</v>
      </c>
      <c r="CP72" s="43" t="n">
        <f aca="false">CP71/In_DSCR*CP17</f>
        <v>1701.55927739774</v>
      </c>
      <c r="CQ72" s="43" t="n">
        <f aca="false">CQ71/In_DSCR*CQ17</f>
        <v>1689.5944907586</v>
      </c>
      <c r="CR72" s="43" t="n">
        <f aca="false">CR71/In_DSCR*CR17</f>
        <v>1688.43903798381</v>
      </c>
      <c r="CS72" s="43" t="n">
        <f aca="false">CS71/In_DSCR*CS17</f>
        <v>1705.79824747837</v>
      </c>
      <c r="CT72" s="43" t="n">
        <f aca="false">CT71/In_DSCR*CT17</f>
        <v>0</v>
      </c>
      <c r="CU72" s="43" t="n">
        <f aca="false">CU71/In_DSCR*CU17</f>
        <v>0</v>
      </c>
      <c r="CV72" s="43" t="n">
        <f aca="false">CV71/In_DSCR*CV17</f>
        <v>0</v>
      </c>
      <c r="CW72" s="43" t="n">
        <f aca="false">CW71/In_DSCR*CW17</f>
        <v>0</v>
      </c>
      <c r="CX72" s="43" t="n">
        <f aca="false">CX71/In_DSCR*CX17</f>
        <v>0</v>
      </c>
      <c r="CY72" s="43" t="n">
        <f aca="false">CY71/In_DSCR*CY17</f>
        <v>0</v>
      </c>
      <c r="CZ72" s="43" t="n">
        <f aca="false">CZ71/In_DSCR*CZ17</f>
        <v>0</v>
      </c>
      <c r="DA72" s="43" t="n">
        <f aca="false">DA71/In_DSCR*DA17</f>
        <v>0</v>
      </c>
      <c r="DB72" s="43" t="n">
        <f aca="false">DB71/In_DSCR*DB17</f>
        <v>0</v>
      </c>
      <c r="DC72" s="43" t="n">
        <f aca="false">DC71/In_DSCR*DC17</f>
        <v>0</v>
      </c>
      <c r="DD72" s="43" t="n">
        <f aca="false">DD71/In_DSCR*DD17</f>
        <v>0</v>
      </c>
      <c r="DE72" s="43" t="n">
        <f aca="false">DE71/In_DSCR*DE17</f>
        <v>0</v>
      </c>
      <c r="DF72" s="43" t="n">
        <f aca="false">DF71/In_DSCR*DF17</f>
        <v>0</v>
      </c>
      <c r="DG72" s="43" t="n">
        <f aca="false">DG71/In_DSCR*DG17</f>
        <v>0</v>
      </c>
      <c r="DH72" s="43" t="n">
        <f aca="false">DH71/In_DSCR*DH17</f>
        <v>0</v>
      </c>
      <c r="DI72" s="43" t="n">
        <f aca="false">DI71/In_DSCR*DI17</f>
        <v>0</v>
      </c>
      <c r="DJ72" s="43" t="n">
        <f aca="false">DJ71/In_DSCR*DJ17</f>
        <v>0</v>
      </c>
      <c r="DK72" s="43" t="n">
        <f aca="false">DK71/In_DSCR*DK17</f>
        <v>0</v>
      </c>
      <c r="DL72" s="43" t="n">
        <f aca="false">DL71/In_DSCR*DL17</f>
        <v>0</v>
      </c>
      <c r="DM72" s="43" t="n">
        <f aca="false">DM71/In_DSCR*DM17</f>
        <v>0</v>
      </c>
      <c r="DN72" s="43" t="n">
        <f aca="false">DN71/In_DSCR*DN17</f>
        <v>0</v>
      </c>
      <c r="DO72" s="43" t="n">
        <f aca="false">DO71/In_DSCR*DO17</f>
        <v>0</v>
      </c>
      <c r="DP72" s="43" t="n">
        <f aca="false">DP71/In_DSCR*DP17</f>
        <v>0</v>
      </c>
      <c r="DQ72" s="43" t="n">
        <f aca="false">DQ71/In_DSCR*DQ17</f>
        <v>0</v>
      </c>
      <c r="DR72" s="43" t="n">
        <f aca="false">DR71/In_DSCR*DR17</f>
        <v>0</v>
      </c>
      <c r="DS72" s="43" t="n">
        <f aca="false">DS71/In_DSCR*DS17</f>
        <v>0</v>
      </c>
      <c r="DT72" s="43" t="n">
        <f aca="false">DT71/In_DSCR*DT17</f>
        <v>0</v>
      </c>
      <c r="DU72" s="43" t="n">
        <f aca="false">DU71/In_DSCR*DU17</f>
        <v>0</v>
      </c>
      <c r="DV72" s="43" t="n">
        <f aca="false">DV71/In_DSCR*DV17</f>
        <v>0</v>
      </c>
      <c r="DW72" s="43" t="n">
        <f aca="false">DW71/In_DSCR*DW17</f>
        <v>0</v>
      </c>
      <c r="DX72" s="43" t="n">
        <f aca="false">DX71/In_DSCR*DX17</f>
        <v>0</v>
      </c>
      <c r="DY72" s="43" t="n">
        <f aca="false">DY71/In_DSCR*DY17</f>
        <v>0</v>
      </c>
      <c r="DZ72" s="43" t="n">
        <f aca="false">DZ71/In_DSCR*DZ17</f>
        <v>0</v>
      </c>
      <c r="EA72" s="43" t="n">
        <f aca="false">EA71/In_DSCR*EA17</f>
        <v>0</v>
      </c>
      <c r="EB72" s="43" t="n">
        <f aca="false">EB71/In_DSCR*EB17</f>
        <v>0</v>
      </c>
      <c r="EC72" s="43" t="n">
        <f aca="false">EC71/In_DSCR*EC17</f>
        <v>0</v>
      </c>
      <c r="ED72" s="43" t="n">
        <f aca="false">ED71/In_DSCR*ED17</f>
        <v>0</v>
      </c>
      <c r="EE72" s="43" t="n">
        <f aca="false">EE71/In_DSCR*EE17</f>
        <v>0</v>
      </c>
      <c r="EF72" s="43" t="n">
        <f aca="false">EF71/In_DSCR*EF17</f>
        <v>0</v>
      </c>
      <c r="EG72" s="43" t="n">
        <f aca="false">EG71/In_DSCR*EG17</f>
        <v>0</v>
      </c>
      <c r="EH72" s="43" t="n">
        <f aca="false">EH71/In_DSCR*EH17</f>
        <v>0</v>
      </c>
      <c r="EI72" s="43" t="n">
        <f aca="false">EI71/In_DSCR*EI17</f>
        <v>0</v>
      </c>
      <c r="EJ72" s="43" t="n">
        <f aca="false">EJ71/In_DSCR*EJ17</f>
        <v>0</v>
      </c>
      <c r="EK72" s="43" t="n">
        <f aca="false">EK71/In_DSCR*EK17</f>
        <v>0</v>
      </c>
      <c r="EL72" s="43" t="n">
        <f aca="false">EL71/In_DSCR*EL17</f>
        <v>0</v>
      </c>
      <c r="EM72" s="43" t="n">
        <f aca="false">EM71/In_DSCR*EM17</f>
        <v>0</v>
      </c>
      <c r="EN72" s="43" t="n">
        <f aca="false">EN71/In_DSCR*EN17</f>
        <v>0</v>
      </c>
      <c r="EO72" s="43" t="n">
        <f aca="false">EO71/In_DSCR*EO17</f>
        <v>0</v>
      </c>
    </row>
    <row r="73" customFormat="false" ht="15" hidden="false" customHeight="false" outlineLevel="0" collapsed="false">
      <c r="C73" s="0" t="s">
        <v>381</v>
      </c>
      <c r="D73" s="11" t="s">
        <v>53</v>
      </c>
      <c r="E73" s="44" t="n">
        <f aca="false">IF($E29=1,In_Gearing,In_Gearing_CN)</f>
        <v>0.8</v>
      </c>
    </row>
    <row r="74" customFormat="false" ht="15" hidden="false" customHeight="false" outlineLevel="0" collapsed="false">
      <c r="C74" s="21" t="s">
        <v>382</v>
      </c>
      <c r="D74" s="11" t="s">
        <v>53</v>
      </c>
      <c r="E74" s="27" t="n">
        <f aca="false">MIN($E73,$E72/-$E54)</f>
        <v>0.8</v>
      </c>
      <c r="F74" s="27" t="n">
        <f aca="false">$E74*-$E54/$E72</f>
        <v>0.757237025678558</v>
      </c>
    </row>
    <row r="76" customFormat="false" ht="15" hidden="false" customHeight="false" outlineLevel="0" collapsed="false">
      <c r="A76" s="9" t="s">
        <v>13</v>
      </c>
      <c r="B76" s="9"/>
      <c r="C76" s="9" t="s">
        <v>282</v>
      </c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</row>
    <row r="77" customFormat="false" ht="15" hidden="false" customHeight="false" outlineLevel="0" collapsed="false">
      <c r="C77" s="0" t="s">
        <v>383</v>
      </c>
      <c r="D77" s="11" t="s">
        <v>33</v>
      </c>
      <c r="I77" s="43" t="n">
        <f aca="false">SUM(J77:EO77)</f>
        <v>-31825.1710102043</v>
      </c>
      <c r="J77" s="43" t="n">
        <f aca="false">-I83*$F21*(J$4&gt;In_COD)</f>
        <v>-0</v>
      </c>
      <c r="K77" s="43" t="n">
        <f aca="false">-J83*$F21*(K$4&gt;In_COD)</f>
        <v>-0</v>
      </c>
      <c r="L77" s="43" t="n">
        <f aca="false">-K83*$F21*(L$4&gt;In_COD)</f>
        <v>-0</v>
      </c>
      <c r="M77" s="43" t="n">
        <f aca="false">-L83*$F21*(M$4&gt;In_COD)</f>
        <v>-0</v>
      </c>
      <c r="N77" s="43" t="n">
        <f aca="false">-M83*$F21*(N$4&gt;In_COD)</f>
        <v>-0</v>
      </c>
      <c r="O77" s="43" t="n">
        <f aca="false">-N83*$F21*(O$4&gt;In_COD)</f>
        <v>-0</v>
      </c>
      <c r="P77" s="43" t="n">
        <f aca="false">-O83*$F21*(P$4&gt;In_COD)</f>
        <v>-0</v>
      </c>
      <c r="Q77" s="43" t="n">
        <f aca="false">-P83*$F21*(Q$4&gt;In_COD)</f>
        <v>-0</v>
      </c>
      <c r="R77" s="43" t="n">
        <f aca="false">-Q83*$F21*(R$4&gt;In_COD)</f>
        <v>-0</v>
      </c>
      <c r="S77" s="43" t="n">
        <f aca="false">-R83*$F21*(S$4&gt;In_COD)</f>
        <v>-0</v>
      </c>
      <c r="T77" s="43" t="n">
        <f aca="false">-S83*$F21*(T$4&gt;In_COD)</f>
        <v>-0</v>
      </c>
      <c r="U77" s="43" t="n">
        <f aca="false">-T83*$F21*(U$4&gt;In_COD)</f>
        <v>-0</v>
      </c>
      <c r="V77" s="43" t="n">
        <f aca="false">-U83*$F21*(V$4&gt;In_COD)</f>
        <v>-0</v>
      </c>
      <c r="W77" s="43" t="n">
        <f aca="false">-V83*$F21*(W$4&gt;In_COD)</f>
        <v>-0</v>
      </c>
      <c r="X77" s="43" t="n">
        <f aca="false">-W83*$F21*(X$4&gt;In_COD)</f>
        <v>-0</v>
      </c>
      <c r="Y77" s="43" t="n">
        <f aca="false">-X83*$F21*(Y$4&gt;In_COD)</f>
        <v>-0</v>
      </c>
      <c r="Z77" s="43" t="n">
        <f aca="false">-Y83*$F21*(Z$4&gt;In_COD)</f>
        <v>-760.867631938379</v>
      </c>
      <c r="AA77" s="43" t="n">
        <f aca="false">-Z83*$F21*(AA$4&gt;In_COD)</f>
        <v>-754.365854896346</v>
      </c>
      <c r="AB77" s="43" t="n">
        <f aca="false">-AA83*$F21*(AB$4&gt;In_COD)</f>
        <v>-748.028330301727</v>
      </c>
      <c r="AC77" s="43" t="n">
        <f aca="false">-AB83*$F21*(AC$4&gt;In_COD)</f>
        <v>-741.441621385275</v>
      </c>
      <c r="AD77" s="43" t="n">
        <f aca="false">-AC83*$F21*(AD$4&gt;In_COD)</f>
        <v>-734.602701792152</v>
      </c>
      <c r="AE77" s="43" t="n">
        <f aca="false">-AD83*$F21*(AE$4&gt;In_COD)</f>
        <v>-727.736223847763</v>
      </c>
      <c r="AF77" s="43" t="n">
        <f aca="false">-AE83*$F21*(AF$4&gt;In_COD)</f>
        <v>-720.858842098655</v>
      </c>
      <c r="AG77" s="43" t="n">
        <f aca="false">-AF83*$F21*(AG$4&gt;In_COD)</f>
        <v>-713.897934237731</v>
      </c>
      <c r="AH77" s="43" t="n">
        <f aca="false">-AG83*$F21*(AH$4&gt;In_COD)</f>
        <v>-706.679785055922</v>
      </c>
      <c r="AI77" s="43" t="n">
        <f aca="false">-AH83*$F21*(AI$4&gt;In_COD)</f>
        <v>-699.429820459415</v>
      </c>
      <c r="AJ77" s="43" t="n">
        <f aca="false">-AI83*$F21*(AJ$4&gt;In_COD)</f>
        <v>-692.338987088548</v>
      </c>
      <c r="AK77" s="43" t="n">
        <f aca="false">-AJ83*$F21*(AK$4&gt;In_COD)</f>
        <v>-684.832186058791</v>
      </c>
      <c r="AL77" s="43" t="n">
        <f aca="false">-AK83*$F21*(AL$4&gt;In_COD)</f>
        <v>-677.059321302815</v>
      </c>
      <c r="AM77" s="43" t="n">
        <f aca="false">-AL83*$F21*(AM$4&gt;In_COD)</f>
        <v>-669.383527441248</v>
      </c>
      <c r="AN77" s="43" t="n">
        <f aca="false">-AM83*$F21*(AN$4&gt;In_COD)</f>
        <v>-661.866225964562</v>
      </c>
      <c r="AO77" s="43" t="n">
        <f aca="false">-AN83*$F21*(AO$4&gt;In_COD)</f>
        <v>-654.089079339153</v>
      </c>
      <c r="AP77" s="43" t="n">
        <f aca="false">-AO83*$F21*(AP$4&gt;In_COD)</f>
        <v>-646.049023967258</v>
      </c>
      <c r="AQ77" s="43" t="n">
        <f aca="false">-AP83*$F21*(AQ$4&gt;In_COD)</f>
        <v>-637.968061158492</v>
      </c>
      <c r="AR77" s="43" t="n">
        <f aca="false">-AQ83*$F21*(AR$4&gt;In_COD)</f>
        <v>-630.042746358375</v>
      </c>
      <c r="AS77" s="43" t="n">
        <f aca="false">-AR83*$F21*(AS$4&gt;In_COD)</f>
        <v>-621.852357871841</v>
      </c>
      <c r="AT77" s="43" t="n">
        <f aca="false">-AS83*$F21*(AT$4&gt;In_COD)</f>
        <v>-613.393770456195</v>
      </c>
      <c r="AU77" s="43" t="n">
        <f aca="false">-AT83*$F21*(AU$4&gt;In_COD)</f>
        <v>-604.889676624184</v>
      </c>
      <c r="AV77" s="43" t="n">
        <f aca="false">-AU83*$F21*(AV$4&gt;In_COD)</f>
        <v>-596.366156941851</v>
      </c>
      <c r="AW77" s="43" t="n">
        <f aca="false">-AV83*$F21*(AW$4&gt;In_COD)</f>
        <v>-587.742144192888</v>
      </c>
      <c r="AX77" s="43" t="n">
        <f aca="false">-AW83*$F21*(AX$4&gt;In_COD)</f>
        <v>-578.844418130963</v>
      </c>
      <c r="AY77" s="43" t="n">
        <f aca="false">-AX83*$F21*(AY$4&gt;In_COD)</f>
        <v>-569.89634477777</v>
      </c>
      <c r="AZ77" s="43" t="n">
        <f aca="false">-AY83*$F21*(AZ$4&gt;In_COD)</f>
        <v>-561.097614709483</v>
      </c>
      <c r="BA77" s="43" t="n">
        <f aca="false">-AZ83*$F21*(BA$4&gt;In_COD)</f>
        <v>-552.022726158953</v>
      </c>
      <c r="BB77" s="43" t="n">
        <f aca="false">-BA83*$F21*(BB$4&gt;In_COD)</f>
        <v>-542.668423192741</v>
      </c>
      <c r="BC77" s="43" t="n">
        <f aca="false">-BB83*$F21*(BC$4&gt;In_COD)</f>
        <v>-533.258727500525</v>
      </c>
      <c r="BD77" s="43" t="n">
        <f aca="false">-BC83*$F21*(BD$4&gt;In_COD)</f>
        <v>-523.994918986356</v>
      </c>
      <c r="BE77" s="43" t="n">
        <f aca="false">-BD83*$F21*(BE$4&gt;In_COD)</f>
        <v>-514.449100699408</v>
      </c>
      <c r="BF77" s="43" t="n">
        <f aca="false">-BE83*$F21*(BF$4&gt;In_COD)</f>
        <v>-504.617947718997</v>
      </c>
      <c r="BG77" s="43" t="n">
        <f aca="false">-BF83*$F21*(BG$4&gt;In_COD)</f>
        <v>-494.726118574632</v>
      </c>
      <c r="BH77" s="43" t="n">
        <f aca="false">-BG83*$F21*(BH$4&gt;In_COD)</f>
        <v>-484.976497110836</v>
      </c>
      <c r="BI77" s="43" t="n">
        <f aca="false">-BH83*$F21*(BI$4&gt;In_COD)</f>
        <v>-474.938787984483</v>
      </c>
      <c r="BJ77" s="43" t="n">
        <f aca="false">-BI83*$F21*(BJ$4&gt;In_COD)</f>
        <v>-464.609594616021</v>
      </c>
      <c r="BK77" s="43" t="n">
        <f aca="false">-BJ83*$F21*(BK$4&gt;In_COD)</f>
        <v>-454.214192806857</v>
      </c>
      <c r="BL77" s="43" t="n">
        <f aca="false">-BK83*$F21*(BL$4&gt;In_COD)</f>
        <v>-443.783614718885</v>
      </c>
      <c r="BM77" s="43" t="n">
        <f aca="false">-BL83*$F21*(BM$4&gt;In_COD)</f>
        <v>-433.230059173495</v>
      </c>
      <c r="BN77" s="43" t="n">
        <f aca="false">-BM83*$F21*(BN$4&gt;In_COD)</f>
        <v>-422.378605876994</v>
      </c>
      <c r="BO77" s="43" t="n">
        <f aca="false">-BN83*$F21*(BO$4&gt;In_COD)</f>
        <v>-411.455127288368</v>
      </c>
      <c r="BP77" s="43" t="n">
        <f aca="false">-BO83*$F21*(BP$4&gt;In_COD)</f>
        <v>-400.665759253425</v>
      </c>
      <c r="BQ77" s="43" t="n">
        <f aca="false">-BP83*$F21*(BQ$4&gt;In_COD)</f>
        <v>-389.575400693691</v>
      </c>
      <c r="BR77" s="43" t="n">
        <f aca="false">-BQ83*$F21*(BR$4&gt;In_COD)</f>
        <v>-378.180502903703</v>
      </c>
      <c r="BS77" s="43" t="n">
        <f aca="false">-BR83*$F21*(BS$4&gt;In_COD)</f>
        <v>-366.707514155604</v>
      </c>
      <c r="BT77" s="43" t="n">
        <f aca="false">-BS83*$F21*(BT$4&gt;In_COD)</f>
        <v>-355.364218913569</v>
      </c>
      <c r="BU77" s="43" t="n">
        <f aca="false">-BT83*$F21*(BU$4&gt;In_COD)</f>
        <v>-343.713109530425</v>
      </c>
      <c r="BV77" s="43" t="n">
        <f aca="false">-BU83*$F21*(BV$4&gt;In_COD)</f>
        <v>-331.750556849655</v>
      </c>
      <c r="BW77" s="43" t="n">
        <f aca="false">-BV83*$F21*(BW$4&gt;In_COD)</f>
        <v>-319.703563032075</v>
      </c>
      <c r="BX77" s="43" t="n">
        <f aca="false">-BW83*$F21*(BX$4&gt;In_COD)</f>
        <v>-307.781576339237</v>
      </c>
      <c r="BY77" s="43" t="n">
        <f aca="false">-BX83*$F21*(BY$4&gt;In_COD)</f>
        <v>-295.544680340578</v>
      </c>
      <c r="BZ77" s="43" t="n">
        <f aca="false">-BY83*$F21*(BZ$4&gt;In_COD)</f>
        <v>-282.989162226951</v>
      </c>
      <c r="CA77" s="43" t="n">
        <f aca="false">-BZ83*$F21*(CA$4&gt;In_COD)</f>
        <v>-270.342555290154</v>
      </c>
      <c r="CB77" s="43" t="n">
        <f aca="false">-CA83*$F21*(CB$4&gt;In_COD)</f>
        <v>-257.641387668695</v>
      </c>
      <c r="CC77" s="43" t="n">
        <f aca="false">-CB83*$F21*(CC$4&gt;In_COD)</f>
        <v>-244.790472134211</v>
      </c>
      <c r="CD77" s="43" t="n">
        <f aca="false">-CC83*$F21*(CD$4&gt;In_COD)</f>
        <v>-231.613443906196</v>
      </c>
      <c r="CE77" s="43" t="n">
        <f aca="false">-CD83*$F21*(CE$4&gt;In_COD)</f>
        <v>-218.338343505215</v>
      </c>
      <c r="CF77" s="43" t="n">
        <f aca="false">-CE83*$F21*(CF$4&gt;In_COD)</f>
        <v>-205.177992592511</v>
      </c>
      <c r="CG77" s="43" t="n">
        <f aca="false">-CF83*$F21*(CG$4&gt;In_COD)</f>
        <v>-191.687651291029</v>
      </c>
      <c r="CH77" s="43" t="n">
        <f aca="false">-CG83*$F21*(CH$4&gt;In_COD)</f>
        <v>-177.86342898429</v>
      </c>
      <c r="CI77" s="43" t="n">
        <f aca="false">-CH83*$F21*(CI$4&gt;In_COD)</f>
        <v>-163.933849193616</v>
      </c>
      <c r="CJ77" s="43" t="n">
        <f aca="false">-CI83*$F21*(CJ$4&gt;In_COD)</f>
        <v>-150.11344373371</v>
      </c>
      <c r="CK77" s="43" t="n">
        <f aca="false">-CJ83*$F21*(CK$4&gt;In_COD)</f>
        <v>-135.955058886239</v>
      </c>
      <c r="CL77" s="43" t="n">
        <f aca="false">-CK83*$F21*(CL$4&gt;In_COD)</f>
        <v>-121.454709843709</v>
      </c>
      <c r="CM77" s="43" t="n">
        <f aca="false">-CL83*$F21*(CM$4&gt;In_COD)</f>
        <v>-106.841377715987</v>
      </c>
      <c r="CN77" s="43" t="n">
        <f aca="false">-CM83*$F21*(CN$4&gt;In_COD)</f>
        <v>-92.3313202002113</v>
      </c>
      <c r="CO77" s="43" t="n">
        <f aca="false">-CN83*$F21*(CO$4&gt;In_COD)</f>
        <v>-77.4749686072839</v>
      </c>
      <c r="CP77" s="43" t="n">
        <f aca="false">-CO83*$F21*(CP$4&gt;In_COD)</f>
        <v>-62.2682400987683</v>
      </c>
      <c r="CQ77" s="43" t="n">
        <f aca="false">-CP83*$F21*(CQ$4&gt;In_COD)</f>
        <v>-46.9405470220977</v>
      </c>
      <c r="CR77" s="43" t="n">
        <f aca="false">-CQ83*$F21*(CR$4&gt;In_COD)</f>
        <v>-31.5345100250624</v>
      </c>
      <c r="CS77" s="43" t="n">
        <f aca="false">-CR83*$F21*(CS$4&gt;In_COD)</f>
        <v>-15.9468344608454</v>
      </c>
      <c r="CT77" s="43" t="n">
        <f aca="false">-CS83*$F21*(CT$4&gt;In_COD)</f>
        <v>-3.19175796903437E-012</v>
      </c>
      <c r="CU77" s="43" t="n">
        <f aca="false">-CT83*$F21*(CU$4&gt;In_COD)</f>
        <v>-3.2316549436473E-012</v>
      </c>
      <c r="CV77" s="43" t="n">
        <f aca="false">-CU83*$F21*(CV$4&gt;In_COD)</f>
        <v>-3.27205063044289E-012</v>
      </c>
      <c r="CW77" s="43" t="n">
        <f aca="false">-CV83*$F21*(CW$4&gt;In_COD)</f>
        <v>-3.31295126332343E-012</v>
      </c>
      <c r="CX77" s="43" t="n">
        <f aca="false">-CW83*$F21*(CX$4&gt;In_COD)</f>
        <v>-3.35436315411497E-012</v>
      </c>
      <c r="CY77" s="43" t="n">
        <f aca="false">-CX83*$F21*(CY$4&gt;In_COD)</f>
        <v>-3.39629269354141E-012</v>
      </c>
      <c r="CZ77" s="43" t="n">
        <f aca="false">-CY83*$F21*(CZ$4&gt;In_COD)</f>
        <v>-3.43874635221068E-012</v>
      </c>
      <c r="DA77" s="43" t="n">
        <f aca="false">-CZ83*$F21*(DA$4&gt;In_COD)</f>
        <v>-3.48173068161331E-012</v>
      </c>
      <c r="DB77" s="43" t="n">
        <f aca="false">-DA83*$F21*(DB$4&gt;In_COD)</f>
        <v>-3.52525231513348E-012</v>
      </c>
      <c r="DC77" s="43" t="n">
        <f aca="false">-DB83*$F21*(DC$4&gt;In_COD)</f>
        <v>-3.56931796907264E-012</v>
      </c>
      <c r="DD77" s="43" t="n">
        <f aca="false">-DC83*$F21*(DD$4&gt;In_COD)</f>
        <v>-3.61393444368605E-012</v>
      </c>
      <c r="DE77" s="43" t="n">
        <f aca="false">-DD83*$F21*(DE$4&gt;In_COD)</f>
        <v>-3.65910862423213E-012</v>
      </c>
      <c r="DF77" s="43" t="n">
        <f aca="false">-DE83*$F21*(DF$4&gt;In_COD)</f>
        <v>-3.70484748203503E-012</v>
      </c>
      <c r="DG77" s="43" t="n">
        <f aca="false">-DF83*$F21*(DG$4&gt;In_COD)</f>
        <v>-3.75115807556047E-012</v>
      </c>
      <c r="DH77" s="43" t="n">
        <f aca="false">-DG83*$F21*(DH$4&gt;In_COD)</f>
        <v>-3.79804755150497E-012</v>
      </c>
      <c r="DI77" s="43" t="n">
        <f aca="false">-DH83*$F21*(DI$4&gt;In_COD)</f>
        <v>-3.84552314589879E-012</v>
      </c>
      <c r="DJ77" s="43" t="n">
        <f aca="false">-DI83*$F21*(DJ$4&gt;In_COD)</f>
        <v>-3.89359218522252E-012</v>
      </c>
      <c r="DK77" s="43" t="n">
        <f aca="false">-DJ83*$F21*(DK$4&gt;In_COD)</f>
        <v>-3.9422620875378E-012</v>
      </c>
      <c r="DL77" s="43" t="n">
        <f aca="false">-DK83*$F21*(DL$4&gt;In_COD)</f>
        <v>-3.99154036363203E-012</v>
      </c>
      <c r="DM77" s="43" t="n">
        <f aca="false">-DL83*$F21*(DM$4&gt;In_COD)</f>
        <v>-4.04143461817743E-012</v>
      </c>
      <c r="DN77" s="43" t="n">
        <f aca="false">-DM83*$F21*(DN$4&gt;In_COD)</f>
        <v>-4.09195255090464E-012</v>
      </c>
      <c r="DO77" s="43" t="n">
        <f aca="false">-DN83*$F21*(DO$4&gt;In_COD)</f>
        <v>-4.14310195779095E-012</v>
      </c>
      <c r="DP77" s="43" t="n">
        <f aca="false">-DO83*$F21*(DP$4&gt;In_COD)</f>
        <v>-4.19489073226334E-012</v>
      </c>
      <c r="DQ77" s="43" t="n">
        <f aca="false">-DP83*$F21*(DQ$4&gt;In_COD)</f>
        <v>-4.24732686641663E-012</v>
      </c>
      <c r="DR77" s="43" t="n">
        <f aca="false">-DQ83*$F21*(DR$4&gt;In_COD)</f>
        <v>-4.30041845224684E-012</v>
      </c>
      <c r="DS77" s="43" t="n">
        <f aca="false">-DR83*$F21*(DS$4&gt;In_COD)</f>
        <v>-4.35417368289992E-012</v>
      </c>
      <c r="DT77" s="43" t="n">
        <f aca="false">-DS83*$F21*(DT$4&gt;In_COD)</f>
        <v>-4.40860085393617E-012</v>
      </c>
      <c r="DU77" s="43" t="n">
        <f aca="false">-DT83*$F21*(DU$4&gt;In_COD)</f>
        <v>-4.46370836461037E-012</v>
      </c>
      <c r="DV77" s="43" t="n">
        <f aca="false">-DU83*$F21*(DV$4&gt;In_COD)</f>
        <v>-4.519504719168E-012</v>
      </c>
      <c r="DW77" s="43" t="n">
        <f aca="false">-DV83*$F21*(DW$4&gt;In_COD)</f>
        <v>-4.5759985281576E-012</v>
      </c>
      <c r="DX77" s="43" t="n">
        <f aca="false">-DW83*$F21*(DX$4&gt;In_COD)</f>
        <v>-4.63319850975957E-012</v>
      </c>
      <c r="DY77" s="43" t="n">
        <f aca="false">-DX83*$F21*(DY$4&gt;In_COD)</f>
        <v>-4.69111349113157E-012</v>
      </c>
      <c r="DZ77" s="43" t="n">
        <f aca="false">-DY83*$F21*(DZ$4&gt;In_COD)</f>
        <v>-4.74975240977071E-012</v>
      </c>
      <c r="EA77" s="43" t="n">
        <f aca="false">-DZ83*$F21*(EA$4&gt;In_COD)</f>
        <v>-4.80912431489285E-012</v>
      </c>
      <c r="EB77" s="43" t="n">
        <f aca="false">-EA83*$F21*(EB$4&gt;In_COD)</f>
        <v>-4.86923836882901E-012</v>
      </c>
      <c r="EC77" s="43" t="n">
        <f aca="false">-EB83*$F21*(EC$4&gt;In_COD)</f>
        <v>-4.93010384843937E-012</v>
      </c>
      <c r="ED77" s="43" t="n">
        <f aca="false">-EC83*$F21*(ED$4&gt;In_COD)</f>
        <v>-4.99173014654486E-012</v>
      </c>
      <c r="EE77" s="43" t="n">
        <f aca="false">-ED83*$F21*(EE$4&gt;In_COD)</f>
        <v>-5.05412677337667E-012</v>
      </c>
      <c r="EF77" s="43" t="n">
        <f aca="false">-EE83*$F21*(EF$4&gt;In_COD)</f>
        <v>-5.11730335804388E-012</v>
      </c>
      <c r="EG77" s="43" t="n">
        <f aca="false">-EF83*$F21*(EG$4&gt;In_COD)</f>
        <v>-5.18126965001943E-012</v>
      </c>
      <c r="EH77" s="43" t="n">
        <f aca="false">-EG83*$F21*(EH$4&gt;In_COD)</f>
        <v>-5.24603552064467E-012</v>
      </c>
      <c r="EI77" s="43" t="n">
        <f aca="false">-EH83*$F21*(EI$4&gt;In_COD)</f>
        <v>-5.31161096465273E-012</v>
      </c>
      <c r="EJ77" s="43" t="n">
        <f aca="false">-EI83*$F21*(EJ$4&gt;In_COD)</f>
        <v>-5.37800610171089E-012</v>
      </c>
      <c r="EK77" s="43" t="n">
        <f aca="false">-EJ83*$F21*(EK$4&gt;In_COD)</f>
        <v>-5.44523117798228E-012</v>
      </c>
      <c r="EL77" s="43" t="n">
        <f aca="false">-EK83*$F21*(EL$4&gt;In_COD)</f>
        <v>-5.51329656770706E-012</v>
      </c>
      <c r="EM77" s="43" t="n">
        <f aca="false">-EL83*$F21*(EM$4&gt;In_COD)</f>
        <v>-5.58221277480339E-012</v>
      </c>
      <c r="EN77" s="43" t="n">
        <f aca="false">-EM83*$F21*(EN$4&gt;In_COD)</f>
        <v>-5.65199043448844E-012</v>
      </c>
      <c r="EO77" s="43" t="n">
        <f aca="false">-EN83*$F21*(EO$4&gt;In_COD)</f>
        <v>-5.72264031491954E-012</v>
      </c>
    </row>
    <row r="78" customFormat="false" ht="15" hidden="false" customHeight="false" outlineLevel="0" collapsed="false">
      <c r="C78" s="0" t="s">
        <v>384</v>
      </c>
      <c r="D78" s="11" t="s">
        <v>33</v>
      </c>
      <c r="I78" s="43" t="n">
        <f aca="false">SUM(J78:EO78)</f>
        <v>-92694.5815652741</v>
      </c>
      <c r="J78" s="43" t="n">
        <f aca="false">-J72*$F74</f>
        <v>0</v>
      </c>
      <c r="K78" s="43" t="n">
        <f aca="false">-K72*$F74</f>
        <v>0</v>
      </c>
      <c r="L78" s="43" t="n">
        <f aca="false">-L72*$F74</f>
        <v>0</v>
      </c>
      <c r="M78" s="43" t="n">
        <f aca="false">-M72*$F74</f>
        <v>0</v>
      </c>
      <c r="N78" s="43" t="n">
        <f aca="false">-N72*$F74</f>
        <v>0</v>
      </c>
      <c r="O78" s="43" t="n">
        <f aca="false">-O72*$F74</f>
        <v>0</v>
      </c>
      <c r="P78" s="43" t="n">
        <f aca="false">-P72*$F74</f>
        <v>0</v>
      </c>
      <c r="Q78" s="43" t="n">
        <f aca="false">-Q72*$F74</f>
        <v>0</v>
      </c>
      <c r="R78" s="43" t="n">
        <f aca="false">-R72*$F74</f>
        <v>0</v>
      </c>
      <c r="S78" s="43" t="n">
        <f aca="false">-S72*$F74</f>
        <v>0</v>
      </c>
      <c r="T78" s="43" t="n">
        <f aca="false">-T72*$F74</f>
        <v>0</v>
      </c>
      <c r="U78" s="43" t="n">
        <f aca="false">-U72*$F74</f>
        <v>0</v>
      </c>
      <c r="V78" s="43" t="n">
        <f aca="false">-V72*$F74</f>
        <v>0</v>
      </c>
      <c r="W78" s="43" t="n">
        <f aca="false">-W72*$F74</f>
        <v>0</v>
      </c>
      <c r="X78" s="43" t="n">
        <f aca="false">-X72*$F74</f>
        <v>0</v>
      </c>
      <c r="Y78" s="43" t="n">
        <f aca="false">-Y72*$F74</f>
        <v>0</v>
      </c>
      <c r="Z78" s="43" t="n">
        <f aca="false">-Z72*$F74</f>
        <v>-1281.00979530102</v>
      </c>
      <c r="AA78" s="43" t="n">
        <f aca="false">-AA72*$F74</f>
        <v>-1261.36782246587</v>
      </c>
      <c r="AB78" s="43" t="n">
        <f aca="false">-AB72*$F74</f>
        <v>-1274.96504361789</v>
      </c>
      <c r="AC78" s="43" t="n">
        <f aca="false">-AC72*$F74</f>
        <v>-1288.5551888351</v>
      </c>
      <c r="AD78" s="43" t="n">
        <f aca="false">-AD72*$F74</f>
        <v>-1283.92093734325</v>
      </c>
      <c r="AE78" s="43" t="n">
        <f aca="false">-AE72*$F74</f>
        <v>-1277.92676377639</v>
      </c>
      <c r="AF78" s="43" t="n">
        <f aca="false">-AF72*$F74</f>
        <v>-1277.73147097263</v>
      </c>
      <c r="AG78" s="43" t="n">
        <f aca="false">-AG72*$F74</f>
        <v>-1291.34986878242</v>
      </c>
      <c r="AH78" s="43" t="n">
        <f aca="false">-AH72*$F74</f>
        <v>-1286.67695277649</v>
      </c>
      <c r="AI78" s="43" t="n">
        <f aca="false">-AI72*$F74</f>
        <v>-1266.69649012882</v>
      </c>
      <c r="AJ78" s="43" t="n">
        <f aca="false">-AJ72*$F74</f>
        <v>-1292.88306946905</v>
      </c>
      <c r="AK78" s="43" t="n">
        <f aca="false">-AK72*$F74</f>
        <v>-1306.66136653686</v>
      </c>
      <c r="AL78" s="43" t="n">
        <f aca="false">-AL72*$F74</f>
        <v>-1291.12283022817</v>
      </c>
      <c r="AM78" s="43" t="n">
        <f aca="false">-AM72*$F74</f>
        <v>-1270.76764557619</v>
      </c>
      <c r="AN78" s="43" t="n">
        <f aca="false">-AN72*$F74</f>
        <v>-1284.03795599725</v>
      </c>
      <c r="AO78" s="43" t="n">
        <f aca="false">-AO72*$F74</f>
        <v>-1297.29350909075</v>
      </c>
      <c r="AP78" s="43" t="n">
        <f aca="false">-AP72*$F74</f>
        <v>-1292.52604866854</v>
      </c>
      <c r="AQ78" s="43" t="n">
        <f aca="false">-AQ72*$F74</f>
        <v>-1271.99324516788</v>
      </c>
      <c r="AR78" s="43" t="n">
        <f aca="false">-AR72*$F74</f>
        <v>-1285.27382528107</v>
      </c>
      <c r="AS78" s="43" t="n">
        <f aca="false">-AS72*$F74</f>
        <v>-1298.53935112352</v>
      </c>
      <c r="AT78" s="43" t="n">
        <f aca="false">-AT72*$F74</f>
        <v>-1293.72127701703</v>
      </c>
      <c r="AU78" s="43" t="n">
        <f aca="false">-AU72*$F74</f>
        <v>-1286.77125121086</v>
      </c>
      <c r="AV78" s="43" t="n">
        <f aca="false">-AV72*$F74</f>
        <v>-1286.2871768589</v>
      </c>
      <c r="AW78" s="43" t="n">
        <f aca="false">-AW72*$F74</f>
        <v>-1299.56022914687</v>
      </c>
      <c r="AX78" s="43" t="n">
        <f aca="false">-AX72*$F74</f>
        <v>-1294.69028638641</v>
      </c>
      <c r="AY78" s="43" t="n">
        <f aca="false">-AY72*$F74</f>
        <v>-1273.79475024075</v>
      </c>
      <c r="AZ78" s="43" t="n">
        <f aca="false">-AZ72*$F74</f>
        <v>-1287.08869875186</v>
      </c>
      <c r="BA78" s="43" t="n">
        <f aca="false">-BA72*$F74</f>
        <v>-1300.3669634559</v>
      </c>
      <c r="BB78" s="43" t="n">
        <f aca="false">-BB72*$F74</f>
        <v>-1295.44407857009</v>
      </c>
      <c r="BC78" s="43" t="n">
        <f aca="false">-BC72*$F74</f>
        <v>-1274.36340863398</v>
      </c>
      <c r="BD78" s="43" t="n">
        <f aca="false">-BD72*$F74</f>
        <v>-1287.66038194221</v>
      </c>
      <c r="BE78" s="43" t="n">
        <f aca="false">-BE72*$F74</f>
        <v>-1300.94133913232</v>
      </c>
      <c r="BF78" s="43" t="n">
        <f aca="false">-BF72*$F74</f>
        <v>-1295.96427926814</v>
      </c>
      <c r="BG78" s="43" t="n">
        <f aca="false">-BG72*$F74</f>
        <v>-1274.69583567835</v>
      </c>
      <c r="BH78" s="43" t="n">
        <f aca="false">-BH72*$F74</f>
        <v>-1287.99322721908</v>
      </c>
      <c r="BI78" s="43" t="n">
        <f aca="false">-BI72*$F74</f>
        <v>-1301.27425746147</v>
      </c>
      <c r="BJ78" s="43" t="n">
        <f aca="false">-BJ72*$F74</f>
        <v>-1296.24173934916</v>
      </c>
      <c r="BK78" s="43" t="n">
        <f aca="false">-BK72*$F74</f>
        <v>-1288.6604398446</v>
      </c>
      <c r="BL78" s="43" t="n">
        <f aca="false">-BL72*$F74</f>
        <v>-1288.06805835005</v>
      </c>
      <c r="BM78" s="43" t="n">
        <f aca="false">-BM72*$F74</f>
        <v>-1301.34632289361</v>
      </c>
      <c r="BN78" s="43" t="n">
        <f aca="false">-BN72*$F74</f>
        <v>-1296.25689296709</v>
      </c>
      <c r="BO78" s="43" t="n">
        <f aca="false">-BO72*$F74</f>
        <v>-1274.6045700838</v>
      </c>
      <c r="BP78" s="43" t="n">
        <f aca="false">-BP72*$F74</f>
        <v>-1287.89444403212</v>
      </c>
      <c r="BQ78" s="43" t="n">
        <f aca="false">-BQ72*$F74</f>
        <v>-1301.1672238927</v>
      </c>
      <c r="BR78" s="43" t="n">
        <f aca="false">-BR72*$F74</f>
        <v>-1296.01960275164</v>
      </c>
      <c r="BS78" s="43" t="n">
        <f aca="false">-BS72*$F74</f>
        <v>-1274.17113351838</v>
      </c>
      <c r="BT78" s="43" t="n">
        <f aca="false">-BT72*$F74</f>
        <v>-1287.45296956512</v>
      </c>
      <c r="BU78" s="43" t="n">
        <f aca="false">-BU72*$F74</f>
        <v>-1300.717323992</v>
      </c>
      <c r="BV78" s="43" t="n">
        <f aca="false">-BV72*$F74</f>
        <v>-1295.5100622561</v>
      </c>
      <c r="BW78" s="43" t="n">
        <f aca="false">-BW72*$F74</f>
        <v>-1273.46249845909</v>
      </c>
      <c r="BX78" s="43" t="n">
        <f aca="false">-BX72*$F74</f>
        <v>-1286.73325623193</v>
      </c>
      <c r="BY78" s="43" t="n">
        <f aca="false">-BY72*$F74</f>
        <v>-1299.98612943081</v>
      </c>
      <c r="BZ78" s="43" t="n">
        <f aca="false">-BZ72*$F74</f>
        <v>-1294.7177171707</v>
      </c>
      <c r="CA78" s="43" t="n">
        <f aca="false">-CA72*$F74</f>
        <v>-1286.43596500684</v>
      </c>
      <c r="CB78" s="43" t="n">
        <f aca="false">-CB72*$F74</f>
        <v>-1285.71463042744</v>
      </c>
      <c r="CC78" s="43" t="n">
        <f aca="false">-CC72*$F74</f>
        <v>-1298.95273037537</v>
      </c>
      <c r="CD78" s="43" t="n">
        <f aca="false">-CD72*$F74</f>
        <v>-1293.62147598466</v>
      </c>
      <c r="CE78" s="43" t="n">
        <f aca="false">-CE72*$F74</f>
        <v>-1271.16641652157</v>
      </c>
      <c r="CF78" s="43" t="n">
        <f aca="false">-CF72*$F74</f>
        <v>-1284.4052967111</v>
      </c>
      <c r="CG78" s="43" t="n">
        <f aca="false">-CG72*$F74</f>
        <v>-1297.62543583008</v>
      </c>
      <c r="CH78" s="43" t="n">
        <f aca="false">-CH72*$F74</f>
        <v>-1292.22981223825</v>
      </c>
      <c r="CI78" s="43" t="n">
        <f aca="false">-CI72*$F74</f>
        <v>-1269.56628598613</v>
      </c>
      <c r="CJ78" s="43" t="n">
        <f aca="false">-CJ72*$F74</f>
        <v>-1282.78423153137</v>
      </c>
      <c r="CK78" s="43" t="n">
        <f aca="false">-CK72*$F74</f>
        <v>-1295.98298228864</v>
      </c>
      <c r="CL78" s="43" t="n">
        <f aca="false">-CL72*$F74</f>
        <v>-1290.52128006149</v>
      </c>
      <c r="CM78" s="43" t="n">
        <f aca="false">-CM72*$F74</f>
        <v>-1267.645978978</v>
      </c>
      <c r="CN78" s="43" t="n">
        <f aca="false">-CN72*$F74</f>
        <v>-1280.83944763441</v>
      </c>
      <c r="CO78" s="43" t="n">
        <f aca="false">-CO72*$F74</f>
        <v>-1294.01324928853</v>
      </c>
      <c r="CP78" s="43" t="n">
        <f aca="false">-CP72*$F74</f>
        <v>-1288.48368623242</v>
      </c>
      <c r="CQ78" s="43" t="n">
        <f aca="false">-CQ72*$F74</f>
        <v>-1279.42350678492</v>
      </c>
      <c r="CR78" s="43" t="n">
        <f aca="false">-CR72*$F74</f>
        <v>-1278.54855516243</v>
      </c>
      <c r="CS78" s="43" t="n">
        <f aca="false">-CS72*$F74</f>
        <v>-1291.69359132822</v>
      </c>
      <c r="CT78" s="43" t="n">
        <f aca="false">-CT72*$F74</f>
        <v>-0</v>
      </c>
      <c r="CU78" s="43" t="n">
        <f aca="false">-CU72*$F74</f>
        <v>-0</v>
      </c>
      <c r="CV78" s="43" t="n">
        <f aca="false">-CV72*$F74</f>
        <v>-0</v>
      </c>
      <c r="CW78" s="43" t="n">
        <f aca="false">-CW72*$F74</f>
        <v>-0</v>
      </c>
      <c r="CX78" s="43" t="n">
        <f aca="false">-CX72*$F74</f>
        <v>-0</v>
      </c>
      <c r="CY78" s="43" t="n">
        <f aca="false">-CY72*$F74</f>
        <v>-0</v>
      </c>
      <c r="CZ78" s="43" t="n">
        <f aca="false">-CZ72*$F74</f>
        <v>-0</v>
      </c>
      <c r="DA78" s="43" t="n">
        <f aca="false">-DA72*$F74</f>
        <v>-0</v>
      </c>
      <c r="DB78" s="43" t="n">
        <f aca="false">-DB72*$F74</f>
        <v>-0</v>
      </c>
      <c r="DC78" s="43" t="n">
        <f aca="false">-DC72*$F74</f>
        <v>-0</v>
      </c>
      <c r="DD78" s="43" t="n">
        <f aca="false">-DD72*$F74</f>
        <v>-0</v>
      </c>
      <c r="DE78" s="43" t="n">
        <f aca="false">-DE72*$F74</f>
        <v>-0</v>
      </c>
      <c r="DF78" s="43" t="n">
        <f aca="false">-DF72*$F74</f>
        <v>-0</v>
      </c>
      <c r="DG78" s="43" t="n">
        <f aca="false">-DG72*$F74</f>
        <v>-0</v>
      </c>
      <c r="DH78" s="43" t="n">
        <f aca="false">-DH72*$F74</f>
        <v>-0</v>
      </c>
      <c r="DI78" s="43" t="n">
        <f aca="false">-DI72*$F74</f>
        <v>-0</v>
      </c>
      <c r="DJ78" s="43" t="n">
        <f aca="false">-DJ72*$F74</f>
        <v>-0</v>
      </c>
      <c r="DK78" s="43" t="n">
        <f aca="false">-DK72*$F74</f>
        <v>-0</v>
      </c>
      <c r="DL78" s="43" t="n">
        <f aca="false">-DL72*$F74</f>
        <v>-0</v>
      </c>
      <c r="DM78" s="43" t="n">
        <f aca="false">-DM72*$F74</f>
        <v>-0</v>
      </c>
      <c r="DN78" s="43" t="n">
        <f aca="false">-DN72*$F74</f>
        <v>-0</v>
      </c>
      <c r="DO78" s="43" t="n">
        <f aca="false">-DO72*$F74</f>
        <v>-0</v>
      </c>
      <c r="DP78" s="43" t="n">
        <f aca="false">-DP72*$F74</f>
        <v>-0</v>
      </c>
      <c r="DQ78" s="43" t="n">
        <f aca="false">-DQ72*$F74</f>
        <v>-0</v>
      </c>
      <c r="DR78" s="43" t="n">
        <f aca="false">-DR72*$F74</f>
        <v>-0</v>
      </c>
      <c r="DS78" s="43" t="n">
        <f aca="false">-DS72*$F74</f>
        <v>-0</v>
      </c>
      <c r="DT78" s="43" t="n">
        <f aca="false">-DT72*$F74</f>
        <v>-0</v>
      </c>
      <c r="DU78" s="43" t="n">
        <f aca="false">-DU72*$F74</f>
        <v>-0</v>
      </c>
      <c r="DV78" s="43" t="n">
        <f aca="false">-DV72*$F74</f>
        <v>-0</v>
      </c>
      <c r="DW78" s="43" t="n">
        <f aca="false">-DW72*$F74</f>
        <v>-0</v>
      </c>
      <c r="DX78" s="43" t="n">
        <f aca="false">-DX72*$F74</f>
        <v>-0</v>
      </c>
      <c r="DY78" s="43" t="n">
        <f aca="false">-DY72*$F74</f>
        <v>-0</v>
      </c>
      <c r="DZ78" s="43" t="n">
        <f aca="false">-DZ72*$F74</f>
        <v>-0</v>
      </c>
      <c r="EA78" s="43" t="n">
        <f aca="false">-EA72*$F74</f>
        <v>-0</v>
      </c>
      <c r="EB78" s="43" t="n">
        <f aca="false">-EB72*$F74</f>
        <v>-0</v>
      </c>
      <c r="EC78" s="43" t="n">
        <f aca="false">-EC72*$F74</f>
        <v>-0</v>
      </c>
      <c r="ED78" s="43" t="n">
        <f aca="false">-ED72*$F74</f>
        <v>-0</v>
      </c>
      <c r="EE78" s="43" t="n">
        <f aca="false">-EE72*$F74</f>
        <v>-0</v>
      </c>
      <c r="EF78" s="43" t="n">
        <f aca="false">-EF72*$F74</f>
        <v>-0</v>
      </c>
      <c r="EG78" s="43" t="n">
        <f aca="false">-EG72*$F74</f>
        <v>-0</v>
      </c>
      <c r="EH78" s="43" t="n">
        <f aca="false">-EH72*$F74</f>
        <v>-0</v>
      </c>
      <c r="EI78" s="43" t="n">
        <f aca="false">-EI72*$F74</f>
        <v>-0</v>
      </c>
      <c r="EJ78" s="43" t="n">
        <f aca="false">-EJ72*$F74</f>
        <v>-0</v>
      </c>
      <c r="EK78" s="43" t="n">
        <f aca="false">-EK72*$F74</f>
        <v>-0</v>
      </c>
      <c r="EL78" s="43" t="n">
        <f aca="false">-EL72*$F74</f>
        <v>-0</v>
      </c>
      <c r="EM78" s="43" t="n">
        <f aca="false">-EM72*$F74</f>
        <v>-0</v>
      </c>
      <c r="EN78" s="43" t="n">
        <f aca="false">-EN72*$F74</f>
        <v>-0</v>
      </c>
      <c r="EO78" s="43" t="n">
        <f aca="false">-EO72*$F74</f>
        <v>-0</v>
      </c>
    </row>
    <row r="79" customFormat="false" ht="15" hidden="false" customHeight="false" outlineLevel="0" collapsed="false">
      <c r="C79" s="0" t="s">
        <v>385</v>
      </c>
      <c r="D79" s="11" t="s">
        <v>33</v>
      </c>
      <c r="J79" s="19" t="n">
        <f aca="false">I83</f>
        <v>0</v>
      </c>
      <c r="K79" s="19" t="n">
        <f aca="false">J83</f>
        <v>0</v>
      </c>
      <c r="L79" s="19" t="n">
        <f aca="false">K83</f>
        <v>0</v>
      </c>
      <c r="M79" s="19" t="n">
        <f aca="false">L83</f>
        <v>0</v>
      </c>
      <c r="N79" s="19" t="n">
        <f aca="false">M83</f>
        <v>0</v>
      </c>
      <c r="O79" s="19" t="n">
        <f aca="false">N83</f>
        <v>0</v>
      </c>
      <c r="P79" s="19" t="n">
        <f aca="false">O83</f>
        <v>0</v>
      </c>
      <c r="Q79" s="19" t="n">
        <f aca="false">P83</f>
        <v>0</v>
      </c>
      <c r="R79" s="19" t="n">
        <f aca="false">Q83</f>
        <v>0</v>
      </c>
      <c r="S79" s="19" t="n">
        <f aca="false">R83</f>
        <v>6325.31506849315</v>
      </c>
      <c r="T79" s="19" t="n">
        <f aca="false">S83</f>
        <v>19116.0482465753</v>
      </c>
      <c r="U79" s="19" t="n">
        <f aca="false">T83</f>
        <v>25611.5604934931</v>
      </c>
      <c r="V79" s="19" t="n">
        <f aca="false">U83</f>
        <v>32257.020068155</v>
      </c>
      <c r="W79" s="19" t="n">
        <f aca="false">V83</f>
        <v>38985.5478875001</v>
      </c>
      <c r="X79" s="19" t="n">
        <f aca="false">W83</f>
        <v>45660.6754552719</v>
      </c>
      <c r="Y79" s="19" t="n">
        <f aca="false">X83</f>
        <v>52487.9955422984</v>
      </c>
      <c r="Z79" s="19" t="n">
        <f aca="false">Y83</f>
        <v>60869.4105550703</v>
      </c>
      <c r="AA79" s="19" t="n">
        <f aca="false">Z83</f>
        <v>60349.2683917077</v>
      </c>
      <c r="AB79" s="19" t="n">
        <f aca="false">AA83</f>
        <v>59842.2664241381</v>
      </c>
      <c r="AC79" s="19" t="n">
        <f aca="false">AB83</f>
        <v>59315.329710822</v>
      </c>
      <c r="AD79" s="19" t="n">
        <f aca="false">AC83</f>
        <v>58768.2161433721</v>
      </c>
      <c r="AE79" s="19" t="n">
        <f aca="false">AD83</f>
        <v>58218.8979078211</v>
      </c>
      <c r="AF79" s="19" t="n">
        <f aca="false">AE83</f>
        <v>57668.7073678924</v>
      </c>
      <c r="AG79" s="19" t="n">
        <f aca="false">AF83</f>
        <v>57111.8347390184</v>
      </c>
      <c r="AH79" s="19" t="n">
        <f aca="false">AG83</f>
        <v>56534.3828044738</v>
      </c>
      <c r="AI79" s="19" t="n">
        <f aca="false">AH83</f>
        <v>55954.3856367532</v>
      </c>
      <c r="AJ79" s="19" t="n">
        <f aca="false">AI83</f>
        <v>55387.1189670838</v>
      </c>
      <c r="AK79" s="19" t="n">
        <f aca="false">AJ83</f>
        <v>54786.5748847033</v>
      </c>
      <c r="AL79" s="19" t="n">
        <f aca="false">AK83</f>
        <v>54164.7457042252</v>
      </c>
      <c r="AM79" s="19" t="n">
        <f aca="false">AL83</f>
        <v>53550.6821952999</v>
      </c>
      <c r="AN79" s="19" t="n">
        <f aca="false">AM83</f>
        <v>52949.2980771649</v>
      </c>
      <c r="AO79" s="19" t="n">
        <f aca="false">AN83</f>
        <v>52327.1263471322</v>
      </c>
      <c r="AP79" s="19" t="n">
        <f aca="false">AO83</f>
        <v>51683.9219173806</v>
      </c>
      <c r="AQ79" s="19" t="n">
        <f aca="false">AP83</f>
        <v>51037.4448926793</v>
      </c>
      <c r="AR79" s="19" t="n">
        <f aca="false">AQ83</f>
        <v>50403.41970867</v>
      </c>
      <c r="AS79" s="19" t="n">
        <f aca="false">AR83</f>
        <v>49748.1886297473</v>
      </c>
      <c r="AT79" s="19" t="n">
        <f aca="false">AS83</f>
        <v>49071.5016364956</v>
      </c>
      <c r="AU79" s="19" t="n">
        <f aca="false">AT83</f>
        <v>48391.1741299347</v>
      </c>
      <c r="AV79" s="19" t="n">
        <f aca="false">AU83</f>
        <v>47709.2925553481</v>
      </c>
      <c r="AW79" s="19" t="n">
        <f aca="false">AV83</f>
        <v>47019.371535431</v>
      </c>
      <c r="AX79" s="19" t="n">
        <f aca="false">AW83</f>
        <v>46307.553450477</v>
      </c>
      <c r="AY79" s="19" t="n">
        <f aca="false">AX83</f>
        <v>45591.7075822216</v>
      </c>
      <c r="AZ79" s="19" t="n">
        <f aca="false">AY83</f>
        <v>44887.8091767586</v>
      </c>
      <c r="BA79" s="19" t="n">
        <f aca="false">AZ83</f>
        <v>44161.8180927162</v>
      </c>
      <c r="BB79" s="19" t="n">
        <f aca="false">BA83</f>
        <v>43413.4738554193</v>
      </c>
      <c r="BC79" s="19" t="n">
        <f aca="false">BB83</f>
        <v>42660.698200042</v>
      </c>
      <c r="BD79" s="19" t="n">
        <f aca="false">BC83</f>
        <v>41919.5935189085</v>
      </c>
      <c r="BE79" s="19" t="n">
        <f aca="false">BD83</f>
        <v>41155.9280559527</v>
      </c>
      <c r="BF79" s="19" t="n">
        <f aca="false">BE83</f>
        <v>40369.4358175197</v>
      </c>
      <c r="BG79" s="19" t="n">
        <f aca="false">BF83</f>
        <v>39578.0894859706</v>
      </c>
      <c r="BH79" s="19" t="n">
        <f aca="false">BG83</f>
        <v>38798.1197688669</v>
      </c>
      <c r="BI79" s="19" t="n">
        <f aca="false">BH83</f>
        <v>37995.1030387586</v>
      </c>
      <c r="BJ79" s="19" t="n">
        <f aca="false">BI83</f>
        <v>37168.7675692817</v>
      </c>
      <c r="BK79" s="19" t="n">
        <f aca="false">BJ83</f>
        <v>36337.1354245485</v>
      </c>
      <c r="BL79" s="19" t="n">
        <f aca="false">BK83</f>
        <v>35502.6891775108</v>
      </c>
      <c r="BM79" s="19" t="n">
        <f aca="false">BL83</f>
        <v>34658.4047338796</v>
      </c>
      <c r="BN79" s="19" t="n">
        <f aca="false">BM83</f>
        <v>33790.2884701595</v>
      </c>
      <c r="BO79" s="19" t="n">
        <f aca="false">BN83</f>
        <v>32916.4101830694</v>
      </c>
      <c r="BP79" s="19" t="n">
        <f aca="false">BO83</f>
        <v>32053.260740274</v>
      </c>
      <c r="BQ79" s="19" t="n">
        <f aca="false">BP83</f>
        <v>31166.0320554953</v>
      </c>
      <c r="BR79" s="19" t="n">
        <f aca="false">BQ83</f>
        <v>30254.4402322963</v>
      </c>
      <c r="BS79" s="19" t="n">
        <f aca="false">BR83</f>
        <v>29336.6011324483</v>
      </c>
      <c r="BT79" s="19" t="n">
        <f aca="false">BS83</f>
        <v>28429.1375130856</v>
      </c>
      <c r="BU79" s="19" t="n">
        <f aca="false">BT83</f>
        <v>27497.048762434</v>
      </c>
      <c r="BV79" s="19" t="n">
        <f aca="false">BU83</f>
        <v>26540.0445479724</v>
      </c>
      <c r="BW79" s="19" t="n">
        <f aca="false">BV83</f>
        <v>25576.285042566</v>
      </c>
      <c r="BX79" s="19" t="n">
        <f aca="false">BW83</f>
        <v>24622.526107139</v>
      </c>
      <c r="BY79" s="19" t="n">
        <f aca="false">BX83</f>
        <v>23643.5744272463</v>
      </c>
      <c r="BZ79" s="19" t="n">
        <f aca="false">BY83</f>
        <v>22639.132978156</v>
      </c>
      <c r="CA79" s="19" t="n">
        <f aca="false">BZ83</f>
        <v>21627.4044232123</v>
      </c>
      <c r="CB79" s="19" t="n">
        <f aca="false">CA83</f>
        <v>20611.3110134956</v>
      </c>
      <c r="CC79" s="19" t="n">
        <f aca="false">CB83</f>
        <v>19583.2377707368</v>
      </c>
      <c r="CD79" s="19" t="n">
        <f aca="false">CC83</f>
        <v>18529.0755124957</v>
      </c>
      <c r="CE79" s="19" t="n">
        <f aca="false">CD83</f>
        <v>17467.0674804172</v>
      </c>
      <c r="CF79" s="19" t="n">
        <f aca="false">CE83</f>
        <v>16414.2394074009</v>
      </c>
      <c r="CG79" s="19" t="n">
        <f aca="false">CF83</f>
        <v>15335.0121032823</v>
      </c>
      <c r="CH79" s="19" t="n">
        <f aca="false">CG83</f>
        <v>14229.0743187432</v>
      </c>
      <c r="CI79" s="19" t="n">
        <f aca="false">CH83</f>
        <v>13114.7079354893</v>
      </c>
      <c r="CJ79" s="19" t="n">
        <f aca="false">CI83</f>
        <v>12009.0754986968</v>
      </c>
      <c r="CK79" s="19" t="n">
        <f aca="false">CJ83</f>
        <v>10876.4047108991</v>
      </c>
      <c r="CL79" s="19" t="n">
        <f aca="false">CK83</f>
        <v>9716.3767874967</v>
      </c>
      <c r="CM79" s="19" t="n">
        <f aca="false">CL83</f>
        <v>8547.31021727892</v>
      </c>
      <c r="CN79" s="19" t="n">
        <f aca="false">CM83</f>
        <v>7386.50561601691</v>
      </c>
      <c r="CO79" s="19" t="n">
        <f aca="false">CN83</f>
        <v>6197.99748858271</v>
      </c>
      <c r="CP79" s="19" t="n">
        <f aca="false">CO83</f>
        <v>4981.45920790146</v>
      </c>
      <c r="CQ79" s="19" t="n">
        <f aca="false">CP83</f>
        <v>3755.24376176781</v>
      </c>
      <c r="CR79" s="19" t="n">
        <f aca="false">CQ83</f>
        <v>2522.76080200499</v>
      </c>
      <c r="CS79" s="19" t="n">
        <f aca="false">CR83</f>
        <v>1275.74675686763</v>
      </c>
      <c r="CT79" s="19" t="n">
        <f aca="false">CS83</f>
        <v>2.5534063752275E-010</v>
      </c>
      <c r="CU79" s="19" t="n">
        <f aca="false">CT83</f>
        <v>2.58532395491784E-010</v>
      </c>
      <c r="CV79" s="19" t="n">
        <f aca="false">CU83</f>
        <v>2.61764050435431E-010</v>
      </c>
      <c r="CW79" s="19" t="n">
        <f aca="false">CV83</f>
        <v>2.65036101065874E-010</v>
      </c>
      <c r="CX79" s="19" t="n">
        <f aca="false">CW83</f>
        <v>2.68349052329198E-010</v>
      </c>
      <c r="CY79" s="19" t="n">
        <f aca="false">CX83</f>
        <v>2.71703415483313E-010</v>
      </c>
      <c r="CZ79" s="19" t="n">
        <f aca="false">CY83</f>
        <v>2.75099708176854E-010</v>
      </c>
      <c r="DA79" s="19" t="n">
        <f aca="false">CZ83</f>
        <v>2.78538454529065E-010</v>
      </c>
      <c r="DB79" s="19" t="n">
        <f aca="false">DA83</f>
        <v>2.82020185210678E-010</v>
      </c>
      <c r="DC79" s="19" t="n">
        <f aca="false">DB83</f>
        <v>2.85545437525812E-010</v>
      </c>
      <c r="DD79" s="19" t="n">
        <f aca="false">DC83</f>
        <v>2.89114755494884E-010</v>
      </c>
      <c r="DE79" s="19" t="n">
        <f aca="false">DD83</f>
        <v>2.9272868993857E-010</v>
      </c>
      <c r="DF79" s="19" t="n">
        <f aca="false">DE83</f>
        <v>2.96387798562802E-010</v>
      </c>
      <c r="DG79" s="19" t="n">
        <f aca="false">DF83</f>
        <v>3.00092646044837E-010</v>
      </c>
      <c r="DH79" s="19" t="n">
        <f aca="false">DG83</f>
        <v>3.03843804120398E-010</v>
      </c>
      <c r="DI79" s="19" t="n">
        <f aca="false">DH83</f>
        <v>3.07641851671903E-010</v>
      </c>
      <c r="DJ79" s="19" t="n">
        <f aca="false">DI83</f>
        <v>3.11487374817802E-010</v>
      </c>
      <c r="DK79" s="19" t="n">
        <f aca="false">DJ83</f>
        <v>3.15380967003024E-010</v>
      </c>
      <c r="DL79" s="19" t="n">
        <f aca="false">DK83</f>
        <v>3.19323229090562E-010</v>
      </c>
      <c r="DM79" s="19" t="n">
        <f aca="false">DL83</f>
        <v>3.23314769454194E-010</v>
      </c>
      <c r="DN79" s="19" t="n">
        <f aca="false">DM83</f>
        <v>3.27356204072371E-010</v>
      </c>
      <c r="DO79" s="19" t="n">
        <f aca="false">DN83</f>
        <v>3.31448156623276E-010</v>
      </c>
      <c r="DP79" s="19" t="n">
        <f aca="false">DO83</f>
        <v>3.35591258581067E-010</v>
      </c>
      <c r="DQ79" s="19" t="n">
        <f aca="false">DP83</f>
        <v>3.3978614931333E-010</v>
      </c>
      <c r="DR79" s="19" t="n">
        <f aca="false">DQ83</f>
        <v>3.44033476179747E-010</v>
      </c>
      <c r="DS79" s="19" t="n">
        <f aca="false">DR83</f>
        <v>3.48333894631994E-010</v>
      </c>
      <c r="DT79" s="19" t="n">
        <f aca="false">DS83</f>
        <v>3.52688068314894E-010</v>
      </c>
      <c r="DU79" s="19" t="n">
        <f aca="false">DT83</f>
        <v>3.5709666916883E-010</v>
      </c>
      <c r="DV79" s="19" t="n">
        <f aca="false">DU83</f>
        <v>3.6156037753344E-010</v>
      </c>
      <c r="DW79" s="19" t="n">
        <f aca="false">DV83</f>
        <v>3.66079882252608E-010</v>
      </c>
      <c r="DX79" s="19" t="n">
        <f aca="false">DW83</f>
        <v>3.70655880780766E-010</v>
      </c>
      <c r="DY79" s="19" t="n">
        <f aca="false">DX83</f>
        <v>3.75289079290525E-010</v>
      </c>
      <c r="DZ79" s="19" t="n">
        <f aca="false">DY83</f>
        <v>3.79980192781657E-010</v>
      </c>
      <c r="EA79" s="19" t="n">
        <f aca="false">DZ83</f>
        <v>3.84729945191428E-010</v>
      </c>
      <c r="EB79" s="19" t="n">
        <f aca="false">EA83</f>
        <v>3.89539069506321E-010</v>
      </c>
      <c r="EC79" s="19" t="n">
        <f aca="false">EB83</f>
        <v>3.9440830787515E-010</v>
      </c>
      <c r="ED79" s="19" t="n">
        <f aca="false">EC83</f>
        <v>3.99338411723589E-010</v>
      </c>
      <c r="EE79" s="19" t="n">
        <f aca="false">ED83</f>
        <v>4.04330141870134E-010</v>
      </c>
      <c r="EF79" s="19" t="n">
        <f aca="false">EE83</f>
        <v>4.09384268643511E-010</v>
      </c>
      <c r="EG79" s="19" t="n">
        <f aca="false">EF83</f>
        <v>4.14501572001554E-010</v>
      </c>
      <c r="EH79" s="19" t="n">
        <f aca="false">EG83</f>
        <v>4.19682841651574E-010</v>
      </c>
      <c r="EI79" s="19" t="n">
        <f aca="false">EH83</f>
        <v>4.24928877172218E-010</v>
      </c>
      <c r="EJ79" s="19" t="n">
        <f aca="false">EI83</f>
        <v>4.30240488136871E-010</v>
      </c>
      <c r="EK79" s="19" t="n">
        <f aca="false">EJ83</f>
        <v>4.35618494238582E-010</v>
      </c>
      <c r="EL79" s="19" t="n">
        <f aca="false">EK83</f>
        <v>4.41063725416564E-010</v>
      </c>
      <c r="EM79" s="19" t="n">
        <f aca="false">EL83</f>
        <v>4.46577021984271E-010</v>
      </c>
      <c r="EN79" s="19" t="n">
        <f aca="false">EM83</f>
        <v>4.52159234759075E-010</v>
      </c>
      <c r="EO79" s="19" t="n">
        <f aca="false">EN83</f>
        <v>4.57811225193563E-010</v>
      </c>
    </row>
    <row r="80" customFormat="false" ht="15" hidden="false" customHeight="false" outlineLevel="0" collapsed="false">
      <c r="C80" s="0" t="s">
        <v>386</v>
      </c>
      <c r="D80" s="11" t="s">
        <v>33</v>
      </c>
      <c r="I80" s="43" t="n">
        <f aca="false">SUM(J80:EO80)</f>
        <v>58113.858520548</v>
      </c>
      <c r="J80" s="43" t="n">
        <f aca="false">-$E74*J54</f>
        <v>0</v>
      </c>
      <c r="K80" s="43" t="n">
        <f aca="false">-$E74*K54</f>
        <v>0</v>
      </c>
      <c r="L80" s="43" t="n">
        <f aca="false">-$E74*L54</f>
        <v>0</v>
      </c>
      <c r="M80" s="43" t="n">
        <f aca="false">-$E74*M54</f>
        <v>0</v>
      </c>
      <c r="N80" s="43" t="n">
        <f aca="false">-$E74*N54</f>
        <v>0</v>
      </c>
      <c r="O80" s="43" t="n">
        <f aca="false">-$E74*O54</f>
        <v>0</v>
      </c>
      <c r="P80" s="43" t="n">
        <f aca="false">-$E74*P54</f>
        <v>0</v>
      </c>
      <c r="Q80" s="43" t="n">
        <f aca="false">-$E74*Q54</f>
        <v>0</v>
      </c>
      <c r="R80" s="43" t="n">
        <f aca="false">-$E74*R54</f>
        <v>6325.31506849315</v>
      </c>
      <c r="S80" s="43" t="n">
        <f aca="false">-$E74*S54</f>
        <v>12711.666739726</v>
      </c>
      <c r="T80" s="43" t="n">
        <f aca="false">-$E74*T54</f>
        <v>6256.56164383562</v>
      </c>
      <c r="U80" s="43" t="n">
        <f aca="false">-$E74*U54</f>
        <v>6325.31506849315</v>
      </c>
      <c r="V80" s="43" t="n">
        <f aca="false">-$E74*V54</f>
        <v>6325.31506849315</v>
      </c>
      <c r="W80" s="43" t="n">
        <f aca="false">-$E74*W54</f>
        <v>6187.80821917808</v>
      </c>
      <c r="X80" s="43" t="n">
        <f aca="false">-$E74*X54</f>
        <v>6256.56164383562</v>
      </c>
      <c r="Y80" s="43" t="n">
        <f aca="false">-$E74*Y54</f>
        <v>7725.31506849315</v>
      </c>
      <c r="Z80" s="43" t="n">
        <f aca="false">-$E74*Z54</f>
        <v>0</v>
      </c>
      <c r="AA80" s="43" t="n">
        <f aca="false">-$E74*AA54</f>
        <v>0</v>
      </c>
      <c r="AB80" s="43" t="n">
        <f aca="false">-$E74*AB54</f>
        <v>0</v>
      </c>
      <c r="AC80" s="43" t="n">
        <f aca="false">-$E74*AC54</f>
        <v>0</v>
      </c>
      <c r="AD80" s="43" t="n">
        <f aca="false">-$E74*AD54</f>
        <v>0</v>
      </c>
      <c r="AE80" s="43" t="n">
        <f aca="false">-$E74*AE54</f>
        <v>0</v>
      </c>
      <c r="AF80" s="43" t="n">
        <f aca="false">-$E74*AF54</f>
        <v>0</v>
      </c>
      <c r="AG80" s="43" t="n">
        <f aca="false">-$E74*AG54</f>
        <v>0</v>
      </c>
      <c r="AH80" s="43" t="n">
        <f aca="false">-$E74*AH54</f>
        <v>0</v>
      </c>
      <c r="AI80" s="43" t="n">
        <f aca="false">-$E74*AI54</f>
        <v>0</v>
      </c>
      <c r="AJ80" s="43" t="n">
        <f aca="false">-$E74*AJ54</f>
        <v>0</v>
      </c>
      <c r="AK80" s="43" t="n">
        <f aca="false">-$E74*AK54</f>
        <v>0</v>
      </c>
      <c r="AL80" s="43" t="n">
        <f aca="false">-$E74*AL54</f>
        <v>0</v>
      </c>
      <c r="AM80" s="43" t="n">
        <f aca="false">-$E74*AM54</f>
        <v>0</v>
      </c>
      <c r="AN80" s="43" t="n">
        <f aca="false">-$E74*AN54</f>
        <v>0</v>
      </c>
      <c r="AO80" s="43" t="n">
        <f aca="false">-$E74*AO54</f>
        <v>0</v>
      </c>
      <c r="AP80" s="43" t="n">
        <f aca="false">-$E74*AP54</f>
        <v>0</v>
      </c>
      <c r="AQ80" s="43" t="n">
        <f aca="false">-$E74*AQ54</f>
        <v>0</v>
      </c>
      <c r="AR80" s="43" t="n">
        <f aca="false">-$E74*AR54</f>
        <v>0</v>
      </c>
      <c r="AS80" s="43" t="n">
        <f aca="false">-$E74*AS54</f>
        <v>0</v>
      </c>
      <c r="AT80" s="43" t="n">
        <f aca="false">-$E74*AT54</f>
        <v>0</v>
      </c>
      <c r="AU80" s="43" t="n">
        <f aca="false">-$E74*AU54</f>
        <v>0</v>
      </c>
      <c r="AV80" s="43" t="n">
        <f aca="false">-$E74*AV54</f>
        <v>0</v>
      </c>
      <c r="AW80" s="43" t="n">
        <f aca="false">-$E74*AW54</f>
        <v>0</v>
      </c>
      <c r="AX80" s="43" t="n">
        <f aca="false">-$E74*AX54</f>
        <v>0</v>
      </c>
      <c r="AY80" s="43" t="n">
        <f aca="false">-$E74*AY54</f>
        <v>0</v>
      </c>
      <c r="AZ80" s="43" t="n">
        <f aca="false">-$E74*AZ54</f>
        <v>0</v>
      </c>
      <c r="BA80" s="43" t="n">
        <f aca="false">-$E74*BA54</f>
        <v>0</v>
      </c>
      <c r="BB80" s="43" t="n">
        <f aca="false">-$E74*BB54</f>
        <v>0</v>
      </c>
      <c r="BC80" s="43" t="n">
        <f aca="false">-$E74*BC54</f>
        <v>0</v>
      </c>
      <c r="BD80" s="43" t="n">
        <f aca="false">-$E74*BD54</f>
        <v>0</v>
      </c>
      <c r="BE80" s="43" t="n">
        <f aca="false">-$E74*BE54</f>
        <v>0</v>
      </c>
      <c r="BF80" s="43" t="n">
        <f aca="false">-$E74*BF54</f>
        <v>0</v>
      </c>
      <c r="BG80" s="43" t="n">
        <f aca="false">-$E74*BG54</f>
        <v>0</v>
      </c>
      <c r="BH80" s="43" t="n">
        <f aca="false">-$E74*BH54</f>
        <v>0</v>
      </c>
      <c r="BI80" s="43" t="n">
        <f aca="false">-$E74*BI54</f>
        <v>0</v>
      </c>
      <c r="BJ80" s="43" t="n">
        <f aca="false">-$E74*BJ54</f>
        <v>0</v>
      </c>
      <c r="BK80" s="43" t="n">
        <f aca="false">-$E74*BK54</f>
        <v>0</v>
      </c>
      <c r="BL80" s="43" t="n">
        <f aca="false">-$E74*BL54</f>
        <v>0</v>
      </c>
      <c r="BM80" s="43" t="n">
        <f aca="false">-$E74*BM54</f>
        <v>0</v>
      </c>
      <c r="BN80" s="43" t="n">
        <f aca="false">-$E74*BN54</f>
        <v>0</v>
      </c>
      <c r="BO80" s="43" t="n">
        <f aca="false">-$E74*BO54</f>
        <v>0</v>
      </c>
      <c r="BP80" s="43" t="n">
        <f aca="false">-$E74*BP54</f>
        <v>0</v>
      </c>
      <c r="BQ80" s="43" t="n">
        <f aca="false">-$E74*BQ54</f>
        <v>0</v>
      </c>
      <c r="BR80" s="43" t="n">
        <f aca="false">-$E74*BR54</f>
        <v>0</v>
      </c>
      <c r="BS80" s="43" t="n">
        <f aca="false">-$E74*BS54</f>
        <v>0</v>
      </c>
      <c r="BT80" s="43" t="n">
        <f aca="false">-$E74*BT54</f>
        <v>0</v>
      </c>
      <c r="BU80" s="43" t="n">
        <f aca="false">-$E74*BU54</f>
        <v>0</v>
      </c>
      <c r="BV80" s="43" t="n">
        <f aca="false">-$E74*BV54</f>
        <v>0</v>
      </c>
      <c r="BW80" s="43" t="n">
        <f aca="false">-$E74*BW54</f>
        <v>0</v>
      </c>
      <c r="BX80" s="43" t="n">
        <f aca="false">-$E74*BX54</f>
        <v>0</v>
      </c>
      <c r="BY80" s="43" t="n">
        <f aca="false">-$E74*BY54</f>
        <v>0</v>
      </c>
      <c r="BZ80" s="43" t="n">
        <f aca="false">-$E74*BZ54</f>
        <v>0</v>
      </c>
      <c r="CA80" s="43" t="n">
        <f aca="false">-$E74*CA54</f>
        <v>0</v>
      </c>
      <c r="CB80" s="43" t="n">
        <f aca="false">-$E74*CB54</f>
        <v>0</v>
      </c>
      <c r="CC80" s="43" t="n">
        <f aca="false">-$E74*CC54</f>
        <v>0</v>
      </c>
      <c r="CD80" s="43" t="n">
        <f aca="false">-$E74*CD54</f>
        <v>0</v>
      </c>
      <c r="CE80" s="43" t="n">
        <f aca="false">-$E74*CE54</f>
        <v>0</v>
      </c>
      <c r="CF80" s="43" t="n">
        <f aca="false">-$E74*CF54</f>
        <v>0</v>
      </c>
      <c r="CG80" s="43" t="n">
        <f aca="false">-$E74*CG54</f>
        <v>0</v>
      </c>
      <c r="CH80" s="43" t="n">
        <f aca="false">-$E74*CH54</f>
        <v>0</v>
      </c>
      <c r="CI80" s="43" t="n">
        <f aca="false">-$E74*CI54</f>
        <v>0</v>
      </c>
      <c r="CJ80" s="43" t="n">
        <f aca="false">-$E74*CJ54</f>
        <v>0</v>
      </c>
      <c r="CK80" s="43" t="n">
        <f aca="false">-$E74*CK54</f>
        <v>0</v>
      </c>
      <c r="CL80" s="43" t="n">
        <f aca="false">-$E74*CL54</f>
        <v>0</v>
      </c>
      <c r="CM80" s="43" t="n">
        <f aca="false">-$E74*CM54</f>
        <v>0</v>
      </c>
      <c r="CN80" s="43" t="n">
        <f aca="false">-$E74*CN54</f>
        <v>0</v>
      </c>
      <c r="CO80" s="43" t="n">
        <f aca="false">-$E74*CO54</f>
        <v>0</v>
      </c>
      <c r="CP80" s="43" t="n">
        <f aca="false">-$E74*CP54</f>
        <v>0</v>
      </c>
      <c r="CQ80" s="43" t="n">
        <f aca="false">-$E74*CQ54</f>
        <v>0</v>
      </c>
      <c r="CR80" s="43" t="n">
        <f aca="false">-$E74*CR54</f>
        <v>0</v>
      </c>
      <c r="CS80" s="43" t="n">
        <f aca="false">-$E74*CS54</f>
        <v>0</v>
      </c>
      <c r="CT80" s="43" t="n">
        <f aca="false">-$E74*CT54</f>
        <v>0</v>
      </c>
      <c r="CU80" s="43" t="n">
        <f aca="false">-$E74*CU54</f>
        <v>0</v>
      </c>
      <c r="CV80" s="43" t="n">
        <f aca="false">-$E74*CV54</f>
        <v>0</v>
      </c>
      <c r="CW80" s="43" t="n">
        <f aca="false">-$E74*CW54</f>
        <v>0</v>
      </c>
      <c r="CX80" s="43" t="n">
        <f aca="false">-$E74*CX54</f>
        <v>0</v>
      </c>
      <c r="CY80" s="43" t="n">
        <f aca="false">-$E74*CY54</f>
        <v>0</v>
      </c>
      <c r="CZ80" s="43" t="n">
        <f aca="false">-$E74*CZ54</f>
        <v>0</v>
      </c>
      <c r="DA80" s="43" t="n">
        <f aca="false">-$E74*DA54</f>
        <v>0</v>
      </c>
      <c r="DB80" s="43" t="n">
        <f aca="false">-$E74*DB54</f>
        <v>0</v>
      </c>
      <c r="DC80" s="43" t="n">
        <f aca="false">-$E74*DC54</f>
        <v>0</v>
      </c>
      <c r="DD80" s="43" t="n">
        <f aca="false">-$E74*DD54</f>
        <v>0</v>
      </c>
      <c r="DE80" s="43" t="n">
        <f aca="false">-$E74*DE54</f>
        <v>0</v>
      </c>
      <c r="DF80" s="43" t="n">
        <f aca="false">-$E74*DF54</f>
        <v>0</v>
      </c>
      <c r="DG80" s="43" t="n">
        <f aca="false">-$E74*DG54</f>
        <v>0</v>
      </c>
      <c r="DH80" s="43" t="n">
        <f aca="false">-$E74*DH54</f>
        <v>0</v>
      </c>
      <c r="DI80" s="43" t="n">
        <f aca="false">-$E74*DI54</f>
        <v>0</v>
      </c>
      <c r="DJ80" s="43" t="n">
        <f aca="false">-$E74*DJ54</f>
        <v>0</v>
      </c>
      <c r="DK80" s="43" t="n">
        <f aca="false">-$E74*DK54</f>
        <v>0</v>
      </c>
      <c r="DL80" s="43" t="n">
        <f aca="false">-$E74*DL54</f>
        <v>0</v>
      </c>
      <c r="DM80" s="43" t="n">
        <f aca="false">-$E74*DM54</f>
        <v>0</v>
      </c>
      <c r="DN80" s="43" t="n">
        <f aca="false">-$E74*DN54</f>
        <v>0</v>
      </c>
      <c r="DO80" s="43" t="n">
        <f aca="false">-$E74*DO54</f>
        <v>0</v>
      </c>
      <c r="DP80" s="43" t="n">
        <f aca="false">-$E74*DP54</f>
        <v>0</v>
      </c>
      <c r="DQ80" s="43" t="n">
        <f aca="false">-$E74*DQ54</f>
        <v>0</v>
      </c>
      <c r="DR80" s="43" t="n">
        <f aca="false">-$E74*DR54</f>
        <v>0</v>
      </c>
      <c r="DS80" s="43" t="n">
        <f aca="false">-$E74*DS54</f>
        <v>0</v>
      </c>
      <c r="DT80" s="43" t="n">
        <f aca="false">-$E74*DT54</f>
        <v>0</v>
      </c>
      <c r="DU80" s="43" t="n">
        <f aca="false">-$E74*DU54</f>
        <v>0</v>
      </c>
      <c r="DV80" s="43" t="n">
        <f aca="false">-$E74*DV54</f>
        <v>0</v>
      </c>
      <c r="DW80" s="43" t="n">
        <f aca="false">-$E74*DW54</f>
        <v>0</v>
      </c>
      <c r="DX80" s="43" t="n">
        <f aca="false">-$E74*DX54</f>
        <v>0</v>
      </c>
      <c r="DY80" s="43" t="n">
        <f aca="false">-$E74*DY54</f>
        <v>0</v>
      </c>
      <c r="DZ80" s="43" t="n">
        <f aca="false">-$E74*DZ54</f>
        <v>0</v>
      </c>
      <c r="EA80" s="43" t="n">
        <f aca="false">-$E74*EA54</f>
        <v>0</v>
      </c>
      <c r="EB80" s="43" t="n">
        <f aca="false">-$E74*EB54</f>
        <v>0</v>
      </c>
      <c r="EC80" s="43" t="n">
        <f aca="false">-$E74*EC54</f>
        <v>0</v>
      </c>
      <c r="ED80" s="43" t="n">
        <f aca="false">-$E74*ED54</f>
        <v>0</v>
      </c>
      <c r="EE80" s="43" t="n">
        <f aca="false">-$E74*EE54</f>
        <v>0</v>
      </c>
      <c r="EF80" s="43" t="n">
        <f aca="false">-$E74*EF54</f>
        <v>0</v>
      </c>
      <c r="EG80" s="43" t="n">
        <f aca="false">-$E74*EG54</f>
        <v>0</v>
      </c>
      <c r="EH80" s="43" t="n">
        <f aca="false">-$E74*EH54</f>
        <v>0</v>
      </c>
      <c r="EI80" s="43" t="n">
        <f aca="false">-$E74*EI54</f>
        <v>0</v>
      </c>
      <c r="EJ80" s="43" t="n">
        <f aca="false">-$E74*EJ54</f>
        <v>0</v>
      </c>
      <c r="EK80" s="43" t="n">
        <f aca="false">-$E74*EK54</f>
        <v>0</v>
      </c>
      <c r="EL80" s="43" t="n">
        <f aca="false">-$E74*EL54</f>
        <v>0</v>
      </c>
      <c r="EM80" s="43" t="n">
        <f aca="false">-$E74*EM54</f>
        <v>0</v>
      </c>
      <c r="EN80" s="43" t="n">
        <f aca="false">-$E74*EN54</f>
        <v>0</v>
      </c>
      <c r="EO80" s="43" t="n">
        <f aca="false">-$E74*EO54</f>
        <v>0</v>
      </c>
    </row>
    <row r="81" customFormat="false" ht="15" hidden="false" customHeight="false" outlineLevel="0" collapsed="false">
      <c r="C81" s="0" t="s">
        <v>387</v>
      </c>
      <c r="D81" s="11" t="s">
        <v>33</v>
      </c>
      <c r="I81" s="43" t="n">
        <f aca="false">SUM(J81:EO81)</f>
        <v>2755.55203452234</v>
      </c>
      <c r="J81" s="43" t="n">
        <f aca="false">J79*$F21*(J$4&lt;=In_COD)</f>
        <v>0</v>
      </c>
      <c r="K81" s="43" t="n">
        <f aca="false">K79*$F21*(K$4&lt;=In_COD)</f>
        <v>0</v>
      </c>
      <c r="L81" s="43" t="n">
        <f aca="false">L79*$F21*(L$4&lt;=In_COD)</f>
        <v>0</v>
      </c>
      <c r="M81" s="43" t="n">
        <f aca="false">M79*$F21*(M$4&lt;=In_COD)</f>
        <v>0</v>
      </c>
      <c r="N81" s="43" t="n">
        <f aca="false">N79*$F21*(N$4&lt;=In_COD)</f>
        <v>0</v>
      </c>
      <c r="O81" s="43" t="n">
        <f aca="false">O79*$F21*(O$4&lt;=In_COD)</f>
        <v>0</v>
      </c>
      <c r="P81" s="43" t="n">
        <f aca="false">P79*$F21*(P$4&lt;=In_COD)</f>
        <v>0</v>
      </c>
      <c r="Q81" s="43" t="n">
        <f aca="false">Q79*$F21*(Q$4&lt;=In_COD)</f>
        <v>0</v>
      </c>
      <c r="R81" s="43" t="n">
        <f aca="false">R79*$F21*(R$4&lt;=In_COD)</f>
        <v>0</v>
      </c>
      <c r="S81" s="43" t="n">
        <f aca="false">S79*$F21*(S$4&lt;=In_COD)</f>
        <v>79.0664383561644</v>
      </c>
      <c r="T81" s="43" t="n">
        <f aca="false">T79*$F21*(T$4&lt;=In_COD)</f>
        <v>238.950603082192</v>
      </c>
      <c r="U81" s="43" t="n">
        <f aca="false">U79*$F21*(U$4&lt;=In_COD)</f>
        <v>320.144506168664</v>
      </c>
      <c r="V81" s="43" t="n">
        <f aca="false">V79*$F21*(V$4&lt;=In_COD)</f>
        <v>403.212750851937</v>
      </c>
      <c r="W81" s="43" t="n">
        <f aca="false">W79*$F21*(W$4&lt;=In_COD)</f>
        <v>487.319348593751</v>
      </c>
      <c r="X81" s="43" t="n">
        <f aca="false">X79*$F21*(X$4&lt;=In_COD)</f>
        <v>570.758443190899</v>
      </c>
      <c r="Y81" s="43" t="n">
        <f aca="false">Y79*$F21*(Y$4&lt;=In_COD)</f>
        <v>656.09994427873</v>
      </c>
      <c r="Z81" s="43" t="n">
        <f aca="false">Z79*$F21*(Z$4&lt;=In_COD)</f>
        <v>0</v>
      </c>
      <c r="AA81" s="43" t="n">
        <f aca="false">AA79*$F21*(AA$4&lt;=In_COD)</f>
        <v>0</v>
      </c>
      <c r="AB81" s="43" t="n">
        <f aca="false">AB79*$F21*(AB$4&lt;=In_COD)</f>
        <v>0</v>
      </c>
      <c r="AC81" s="43" t="n">
        <f aca="false">AC79*$F21*(AC$4&lt;=In_COD)</f>
        <v>0</v>
      </c>
      <c r="AD81" s="43" t="n">
        <f aca="false">AD79*$F21*(AD$4&lt;=In_COD)</f>
        <v>0</v>
      </c>
      <c r="AE81" s="43" t="n">
        <f aca="false">AE79*$F21*(AE$4&lt;=In_COD)</f>
        <v>0</v>
      </c>
      <c r="AF81" s="43" t="n">
        <f aca="false">AF79*$F21*(AF$4&lt;=In_COD)</f>
        <v>0</v>
      </c>
      <c r="AG81" s="43" t="n">
        <f aca="false">AG79*$F21*(AG$4&lt;=In_COD)</f>
        <v>0</v>
      </c>
      <c r="AH81" s="43" t="n">
        <f aca="false">AH79*$F21*(AH$4&lt;=In_COD)</f>
        <v>0</v>
      </c>
      <c r="AI81" s="43" t="n">
        <f aca="false">AI79*$F21*(AI$4&lt;=In_COD)</f>
        <v>0</v>
      </c>
      <c r="AJ81" s="43" t="n">
        <f aca="false">AJ79*$F21*(AJ$4&lt;=In_COD)</f>
        <v>0</v>
      </c>
      <c r="AK81" s="43" t="n">
        <f aca="false">AK79*$F21*(AK$4&lt;=In_COD)</f>
        <v>0</v>
      </c>
      <c r="AL81" s="43" t="n">
        <f aca="false">AL79*$F21*(AL$4&lt;=In_COD)</f>
        <v>0</v>
      </c>
      <c r="AM81" s="43" t="n">
        <f aca="false">AM79*$F21*(AM$4&lt;=In_COD)</f>
        <v>0</v>
      </c>
      <c r="AN81" s="43" t="n">
        <f aca="false">AN79*$F21*(AN$4&lt;=In_COD)</f>
        <v>0</v>
      </c>
      <c r="AO81" s="43" t="n">
        <f aca="false">AO79*$F21*(AO$4&lt;=In_COD)</f>
        <v>0</v>
      </c>
      <c r="AP81" s="43" t="n">
        <f aca="false">AP79*$F21*(AP$4&lt;=In_COD)</f>
        <v>0</v>
      </c>
      <c r="AQ81" s="43" t="n">
        <f aca="false">AQ79*$F21*(AQ$4&lt;=In_COD)</f>
        <v>0</v>
      </c>
      <c r="AR81" s="43" t="n">
        <f aca="false">AR79*$F21*(AR$4&lt;=In_COD)</f>
        <v>0</v>
      </c>
      <c r="AS81" s="43" t="n">
        <f aca="false">AS79*$F21*(AS$4&lt;=In_COD)</f>
        <v>0</v>
      </c>
      <c r="AT81" s="43" t="n">
        <f aca="false">AT79*$F21*(AT$4&lt;=In_COD)</f>
        <v>0</v>
      </c>
      <c r="AU81" s="43" t="n">
        <f aca="false">AU79*$F21*(AU$4&lt;=In_COD)</f>
        <v>0</v>
      </c>
      <c r="AV81" s="43" t="n">
        <f aca="false">AV79*$F21*(AV$4&lt;=In_COD)</f>
        <v>0</v>
      </c>
      <c r="AW81" s="43" t="n">
        <f aca="false">AW79*$F21*(AW$4&lt;=In_COD)</f>
        <v>0</v>
      </c>
      <c r="AX81" s="43" t="n">
        <f aca="false">AX79*$F21*(AX$4&lt;=In_COD)</f>
        <v>0</v>
      </c>
      <c r="AY81" s="43" t="n">
        <f aca="false">AY79*$F21*(AY$4&lt;=In_COD)</f>
        <v>0</v>
      </c>
      <c r="AZ81" s="43" t="n">
        <f aca="false">AZ79*$F21*(AZ$4&lt;=In_COD)</f>
        <v>0</v>
      </c>
      <c r="BA81" s="43" t="n">
        <f aca="false">BA79*$F21*(BA$4&lt;=In_COD)</f>
        <v>0</v>
      </c>
      <c r="BB81" s="43" t="n">
        <f aca="false">BB79*$F21*(BB$4&lt;=In_COD)</f>
        <v>0</v>
      </c>
      <c r="BC81" s="43" t="n">
        <f aca="false">BC79*$F21*(BC$4&lt;=In_COD)</f>
        <v>0</v>
      </c>
      <c r="BD81" s="43" t="n">
        <f aca="false">BD79*$F21*(BD$4&lt;=In_COD)</f>
        <v>0</v>
      </c>
      <c r="BE81" s="43" t="n">
        <f aca="false">BE79*$F21*(BE$4&lt;=In_COD)</f>
        <v>0</v>
      </c>
      <c r="BF81" s="43" t="n">
        <f aca="false">BF79*$F21*(BF$4&lt;=In_COD)</f>
        <v>0</v>
      </c>
      <c r="BG81" s="43" t="n">
        <f aca="false">BG79*$F21*(BG$4&lt;=In_COD)</f>
        <v>0</v>
      </c>
      <c r="BH81" s="43" t="n">
        <f aca="false">BH79*$F21*(BH$4&lt;=In_COD)</f>
        <v>0</v>
      </c>
      <c r="BI81" s="43" t="n">
        <f aca="false">BI79*$F21*(BI$4&lt;=In_COD)</f>
        <v>0</v>
      </c>
      <c r="BJ81" s="43" t="n">
        <f aca="false">BJ79*$F21*(BJ$4&lt;=In_COD)</f>
        <v>0</v>
      </c>
      <c r="BK81" s="43" t="n">
        <f aca="false">BK79*$F21*(BK$4&lt;=In_COD)</f>
        <v>0</v>
      </c>
      <c r="BL81" s="43" t="n">
        <f aca="false">BL79*$F21*(BL$4&lt;=In_COD)</f>
        <v>0</v>
      </c>
      <c r="BM81" s="43" t="n">
        <f aca="false">BM79*$F21*(BM$4&lt;=In_COD)</f>
        <v>0</v>
      </c>
      <c r="BN81" s="43" t="n">
        <f aca="false">BN79*$F21*(BN$4&lt;=In_COD)</f>
        <v>0</v>
      </c>
      <c r="BO81" s="43" t="n">
        <f aca="false">BO79*$F21*(BO$4&lt;=In_COD)</f>
        <v>0</v>
      </c>
      <c r="BP81" s="43" t="n">
        <f aca="false">BP79*$F21*(BP$4&lt;=In_COD)</f>
        <v>0</v>
      </c>
      <c r="BQ81" s="43" t="n">
        <f aca="false">BQ79*$F21*(BQ$4&lt;=In_COD)</f>
        <v>0</v>
      </c>
      <c r="BR81" s="43" t="n">
        <f aca="false">BR79*$F21*(BR$4&lt;=In_COD)</f>
        <v>0</v>
      </c>
      <c r="BS81" s="43" t="n">
        <f aca="false">BS79*$F21*(BS$4&lt;=In_COD)</f>
        <v>0</v>
      </c>
      <c r="BT81" s="43" t="n">
        <f aca="false">BT79*$F21*(BT$4&lt;=In_COD)</f>
        <v>0</v>
      </c>
      <c r="BU81" s="43" t="n">
        <f aca="false">BU79*$F21*(BU$4&lt;=In_COD)</f>
        <v>0</v>
      </c>
      <c r="BV81" s="43" t="n">
        <f aca="false">BV79*$F21*(BV$4&lt;=In_COD)</f>
        <v>0</v>
      </c>
      <c r="BW81" s="43" t="n">
        <f aca="false">BW79*$F21*(BW$4&lt;=In_COD)</f>
        <v>0</v>
      </c>
      <c r="BX81" s="43" t="n">
        <f aca="false">BX79*$F21*(BX$4&lt;=In_COD)</f>
        <v>0</v>
      </c>
      <c r="BY81" s="43" t="n">
        <f aca="false">BY79*$F21*(BY$4&lt;=In_COD)</f>
        <v>0</v>
      </c>
      <c r="BZ81" s="43" t="n">
        <f aca="false">BZ79*$F21*(BZ$4&lt;=In_COD)</f>
        <v>0</v>
      </c>
      <c r="CA81" s="43" t="n">
        <f aca="false">CA79*$F21*(CA$4&lt;=In_COD)</f>
        <v>0</v>
      </c>
      <c r="CB81" s="43" t="n">
        <f aca="false">CB79*$F21*(CB$4&lt;=In_COD)</f>
        <v>0</v>
      </c>
      <c r="CC81" s="43" t="n">
        <f aca="false">CC79*$F21*(CC$4&lt;=In_COD)</f>
        <v>0</v>
      </c>
      <c r="CD81" s="43" t="n">
        <f aca="false">CD79*$F21*(CD$4&lt;=In_COD)</f>
        <v>0</v>
      </c>
      <c r="CE81" s="43" t="n">
        <f aca="false">CE79*$F21*(CE$4&lt;=In_COD)</f>
        <v>0</v>
      </c>
      <c r="CF81" s="43" t="n">
        <f aca="false">CF79*$F21*(CF$4&lt;=In_COD)</f>
        <v>0</v>
      </c>
      <c r="CG81" s="43" t="n">
        <f aca="false">CG79*$F21*(CG$4&lt;=In_COD)</f>
        <v>0</v>
      </c>
      <c r="CH81" s="43" t="n">
        <f aca="false">CH79*$F21*(CH$4&lt;=In_COD)</f>
        <v>0</v>
      </c>
      <c r="CI81" s="43" t="n">
        <f aca="false">CI79*$F21*(CI$4&lt;=In_COD)</f>
        <v>0</v>
      </c>
      <c r="CJ81" s="43" t="n">
        <f aca="false">CJ79*$F21*(CJ$4&lt;=In_COD)</f>
        <v>0</v>
      </c>
      <c r="CK81" s="43" t="n">
        <f aca="false">CK79*$F21*(CK$4&lt;=In_COD)</f>
        <v>0</v>
      </c>
      <c r="CL81" s="43" t="n">
        <f aca="false">CL79*$F21*(CL$4&lt;=In_COD)</f>
        <v>0</v>
      </c>
      <c r="CM81" s="43" t="n">
        <f aca="false">CM79*$F21*(CM$4&lt;=In_COD)</f>
        <v>0</v>
      </c>
      <c r="CN81" s="43" t="n">
        <f aca="false">CN79*$F21*(CN$4&lt;=In_COD)</f>
        <v>0</v>
      </c>
      <c r="CO81" s="43" t="n">
        <f aca="false">CO79*$F21*(CO$4&lt;=In_COD)</f>
        <v>0</v>
      </c>
      <c r="CP81" s="43" t="n">
        <f aca="false">CP79*$F21*(CP$4&lt;=In_COD)</f>
        <v>0</v>
      </c>
      <c r="CQ81" s="43" t="n">
        <f aca="false">CQ79*$F21*(CQ$4&lt;=In_COD)</f>
        <v>0</v>
      </c>
      <c r="CR81" s="43" t="n">
        <f aca="false">CR79*$F21*(CR$4&lt;=In_COD)</f>
        <v>0</v>
      </c>
      <c r="CS81" s="43" t="n">
        <f aca="false">CS79*$F21*(CS$4&lt;=In_COD)</f>
        <v>0</v>
      </c>
      <c r="CT81" s="43" t="n">
        <f aca="false">CT79*$F21*(CT$4&lt;=In_COD)</f>
        <v>0</v>
      </c>
      <c r="CU81" s="43" t="n">
        <f aca="false">CU79*$F21*(CU$4&lt;=In_COD)</f>
        <v>0</v>
      </c>
      <c r="CV81" s="43" t="n">
        <f aca="false">CV79*$F21*(CV$4&lt;=In_COD)</f>
        <v>0</v>
      </c>
      <c r="CW81" s="43" t="n">
        <f aca="false">CW79*$F21*(CW$4&lt;=In_COD)</f>
        <v>0</v>
      </c>
      <c r="CX81" s="43" t="n">
        <f aca="false">CX79*$F21*(CX$4&lt;=In_COD)</f>
        <v>0</v>
      </c>
      <c r="CY81" s="43" t="n">
        <f aca="false">CY79*$F21*(CY$4&lt;=In_COD)</f>
        <v>0</v>
      </c>
      <c r="CZ81" s="43" t="n">
        <f aca="false">CZ79*$F21*(CZ$4&lt;=In_COD)</f>
        <v>0</v>
      </c>
      <c r="DA81" s="43" t="n">
        <f aca="false">DA79*$F21*(DA$4&lt;=In_COD)</f>
        <v>0</v>
      </c>
      <c r="DB81" s="43" t="n">
        <f aca="false">DB79*$F21*(DB$4&lt;=In_COD)</f>
        <v>0</v>
      </c>
      <c r="DC81" s="43" t="n">
        <f aca="false">DC79*$F21*(DC$4&lt;=In_COD)</f>
        <v>0</v>
      </c>
      <c r="DD81" s="43" t="n">
        <f aca="false">DD79*$F21*(DD$4&lt;=In_COD)</f>
        <v>0</v>
      </c>
      <c r="DE81" s="43" t="n">
        <f aca="false">DE79*$F21*(DE$4&lt;=In_COD)</f>
        <v>0</v>
      </c>
      <c r="DF81" s="43" t="n">
        <f aca="false">DF79*$F21*(DF$4&lt;=In_COD)</f>
        <v>0</v>
      </c>
      <c r="DG81" s="43" t="n">
        <f aca="false">DG79*$F21*(DG$4&lt;=In_COD)</f>
        <v>0</v>
      </c>
      <c r="DH81" s="43" t="n">
        <f aca="false">DH79*$F21*(DH$4&lt;=In_COD)</f>
        <v>0</v>
      </c>
      <c r="DI81" s="43" t="n">
        <f aca="false">DI79*$F21*(DI$4&lt;=In_COD)</f>
        <v>0</v>
      </c>
      <c r="DJ81" s="43" t="n">
        <f aca="false">DJ79*$F21*(DJ$4&lt;=In_COD)</f>
        <v>0</v>
      </c>
      <c r="DK81" s="43" t="n">
        <f aca="false">DK79*$F21*(DK$4&lt;=In_COD)</f>
        <v>0</v>
      </c>
      <c r="DL81" s="43" t="n">
        <f aca="false">DL79*$F21*(DL$4&lt;=In_COD)</f>
        <v>0</v>
      </c>
      <c r="DM81" s="43" t="n">
        <f aca="false">DM79*$F21*(DM$4&lt;=In_COD)</f>
        <v>0</v>
      </c>
      <c r="DN81" s="43" t="n">
        <f aca="false">DN79*$F21*(DN$4&lt;=In_COD)</f>
        <v>0</v>
      </c>
      <c r="DO81" s="43" t="n">
        <f aca="false">DO79*$F21*(DO$4&lt;=In_COD)</f>
        <v>0</v>
      </c>
      <c r="DP81" s="43" t="n">
        <f aca="false">DP79*$F21*(DP$4&lt;=In_COD)</f>
        <v>0</v>
      </c>
      <c r="DQ81" s="43" t="n">
        <f aca="false">DQ79*$F21*(DQ$4&lt;=In_COD)</f>
        <v>0</v>
      </c>
      <c r="DR81" s="43" t="n">
        <f aca="false">DR79*$F21*(DR$4&lt;=In_COD)</f>
        <v>0</v>
      </c>
      <c r="DS81" s="43" t="n">
        <f aca="false">DS79*$F21*(DS$4&lt;=In_COD)</f>
        <v>0</v>
      </c>
      <c r="DT81" s="43" t="n">
        <f aca="false">DT79*$F21*(DT$4&lt;=In_COD)</f>
        <v>0</v>
      </c>
      <c r="DU81" s="43" t="n">
        <f aca="false">DU79*$F21*(DU$4&lt;=In_COD)</f>
        <v>0</v>
      </c>
      <c r="DV81" s="43" t="n">
        <f aca="false">DV79*$F21*(DV$4&lt;=In_COD)</f>
        <v>0</v>
      </c>
      <c r="DW81" s="43" t="n">
        <f aca="false">DW79*$F21*(DW$4&lt;=In_COD)</f>
        <v>0</v>
      </c>
      <c r="DX81" s="43" t="n">
        <f aca="false">DX79*$F21*(DX$4&lt;=In_COD)</f>
        <v>0</v>
      </c>
      <c r="DY81" s="43" t="n">
        <f aca="false">DY79*$F21*(DY$4&lt;=In_COD)</f>
        <v>0</v>
      </c>
      <c r="DZ81" s="43" t="n">
        <f aca="false">DZ79*$F21*(DZ$4&lt;=In_COD)</f>
        <v>0</v>
      </c>
      <c r="EA81" s="43" t="n">
        <f aca="false">EA79*$F21*(EA$4&lt;=In_COD)</f>
        <v>0</v>
      </c>
      <c r="EB81" s="43" t="n">
        <f aca="false">EB79*$F21*(EB$4&lt;=In_COD)</f>
        <v>0</v>
      </c>
      <c r="EC81" s="43" t="n">
        <f aca="false">EC79*$F21*(EC$4&lt;=In_COD)</f>
        <v>0</v>
      </c>
      <c r="ED81" s="43" t="n">
        <f aca="false">ED79*$F21*(ED$4&lt;=In_COD)</f>
        <v>0</v>
      </c>
      <c r="EE81" s="43" t="n">
        <f aca="false">EE79*$F21*(EE$4&lt;=In_COD)</f>
        <v>0</v>
      </c>
      <c r="EF81" s="43" t="n">
        <f aca="false">EF79*$F21*(EF$4&lt;=In_COD)</f>
        <v>0</v>
      </c>
      <c r="EG81" s="43" t="n">
        <f aca="false">EG79*$F21*(EG$4&lt;=In_COD)</f>
        <v>0</v>
      </c>
      <c r="EH81" s="43" t="n">
        <f aca="false">EH79*$F21*(EH$4&lt;=In_COD)</f>
        <v>0</v>
      </c>
      <c r="EI81" s="43" t="n">
        <f aca="false">EI79*$F21*(EI$4&lt;=In_COD)</f>
        <v>0</v>
      </c>
      <c r="EJ81" s="43" t="n">
        <f aca="false">EJ79*$F21*(EJ$4&lt;=In_COD)</f>
        <v>0</v>
      </c>
      <c r="EK81" s="43" t="n">
        <f aca="false">EK79*$F21*(EK$4&lt;=In_COD)</f>
        <v>0</v>
      </c>
      <c r="EL81" s="43" t="n">
        <f aca="false">EL79*$F21*(EL$4&lt;=In_COD)</f>
        <v>0</v>
      </c>
      <c r="EM81" s="43" t="n">
        <f aca="false">EM79*$F21*(EM$4&lt;=In_COD)</f>
        <v>0</v>
      </c>
      <c r="EN81" s="43" t="n">
        <f aca="false">EN79*$F21*(EN$4&lt;=In_COD)</f>
        <v>0</v>
      </c>
      <c r="EO81" s="43" t="n">
        <f aca="false">EO79*$F21*(EO$4&lt;=In_COD)</f>
        <v>0</v>
      </c>
    </row>
    <row r="82" customFormat="false" ht="15" hidden="false" customHeight="false" outlineLevel="0" collapsed="false">
      <c r="C82" s="0" t="s">
        <v>388</v>
      </c>
      <c r="D82" s="11" t="s">
        <v>33</v>
      </c>
      <c r="I82" s="43" t="n">
        <f aca="false">SUM(J82:EO82)</f>
        <v>-60869.4105550698</v>
      </c>
      <c r="J82" s="43" t="n">
        <f aca="false">J78-J77</f>
        <v>0</v>
      </c>
      <c r="K82" s="43" t="n">
        <f aca="false">K78-K77</f>
        <v>0</v>
      </c>
      <c r="L82" s="43" t="n">
        <f aca="false">L78-L77</f>
        <v>0</v>
      </c>
      <c r="M82" s="43" t="n">
        <f aca="false">M78-M77</f>
        <v>0</v>
      </c>
      <c r="N82" s="43" t="n">
        <f aca="false">N78-N77</f>
        <v>0</v>
      </c>
      <c r="O82" s="43" t="n">
        <f aca="false">O78-O77</f>
        <v>0</v>
      </c>
      <c r="P82" s="43" t="n">
        <f aca="false">P78-P77</f>
        <v>0</v>
      </c>
      <c r="Q82" s="43" t="n">
        <f aca="false">Q78-Q77</f>
        <v>0</v>
      </c>
      <c r="R82" s="43" t="n">
        <f aca="false">R78-R77</f>
        <v>0</v>
      </c>
      <c r="S82" s="43" t="n">
        <f aca="false">S78-S77</f>
        <v>0</v>
      </c>
      <c r="T82" s="43" t="n">
        <f aca="false">T78-T77</f>
        <v>0</v>
      </c>
      <c r="U82" s="43" t="n">
        <f aca="false">U78-U77</f>
        <v>0</v>
      </c>
      <c r="V82" s="43" t="n">
        <f aca="false">V78-V77</f>
        <v>0</v>
      </c>
      <c r="W82" s="43" t="n">
        <f aca="false">W78-W77</f>
        <v>0</v>
      </c>
      <c r="X82" s="43" t="n">
        <f aca="false">X78-X77</f>
        <v>0</v>
      </c>
      <c r="Y82" s="43" t="n">
        <f aca="false">Y78-Y77</f>
        <v>0</v>
      </c>
      <c r="Z82" s="43" t="n">
        <f aca="false">Z78-Z77</f>
        <v>-520.142163362636</v>
      </c>
      <c r="AA82" s="43" t="n">
        <f aca="false">AA78-AA77</f>
        <v>-507.001967569527</v>
      </c>
      <c r="AB82" s="43" t="n">
        <f aca="false">AB78-AB77</f>
        <v>-526.936713316159</v>
      </c>
      <c r="AC82" s="43" t="n">
        <f aca="false">AC78-AC77</f>
        <v>-547.113567449822</v>
      </c>
      <c r="AD82" s="43" t="n">
        <f aca="false">AD78-AD77</f>
        <v>-549.318235551097</v>
      </c>
      <c r="AE82" s="43" t="n">
        <f aca="false">AE78-AE77</f>
        <v>-550.19053992863</v>
      </c>
      <c r="AF82" s="43" t="n">
        <f aca="false">AF78-AF77</f>
        <v>-556.872628873975</v>
      </c>
      <c r="AG82" s="43" t="n">
        <f aca="false">AG78-AG77</f>
        <v>-577.451934544686</v>
      </c>
      <c r="AH82" s="43" t="n">
        <f aca="false">AH78-AH77</f>
        <v>-579.997167720569</v>
      </c>
      <c r="AI82" s="43" t="n">
        <f aca="false">AI78-AI77</f>
        <v>-567.266669669403</v>
      </c>
      <c r="AJ82" s="43" t="n">
        <f aca="false">AJ78-AJ77</f>
        <v>-600.544082380505</v>
      </c>
      <c r="AK82" s="43" t="n">
        <f aca="false">AK78-AK77</f>
        <v>-621.829180478072</v>
      </c>
      <c r="AL82" s="43" t="n">
        <f aca="false">AL78-AL77</f>
        <v>-614.063508925355</v>
      </c>
      <c r="AM82" s="43" t="n">
        <f aca="false">AM78-AM77</f>
        <v>-601.384118134939</v>
      </c>
      <c r="AN82" s="43" t="n">
        <f aca="false">AN78-AN77</f>
        <v>-622.171730032689</v>
      </c>
      <c r="AO82" s="43" t="n">
        <f aca="false">AO78-AO77</f>
        <v>-643.204429751595</v>
      </c>
      <c r="AP82" s="43" t="n">
        <f aca="false">AP78-AP77</f>
        <v>-646.477024701283</v>
      </c>
      <c r="AQ82" s="43" t="n">
        <f aca="false">AQ78-AQ77</f>
        <v>-634.025184009393</v>
      </c>
      <c r="AR82" s="43" t="n">
        <f aca="false">AR78-AR77</f>
        <v>-655.231078922698</v>
      </c>
      <c r="AS82" s="43" t="n">
        <f aca="false">AS78-AS77</f>
        <v>-676.686993251679</v>
      </c>
      <c r="AT82" s="43" t="n">
        <f aca="false">AT78-AT77</f>
        <v>-680.327506560836</v>
      </c>
      <c r="AU82" s="43" t="n">
        <f aca="false">AU78-AU77</f>
        <v>-681.881574586676</v>
      </c>
      <c r="AV82" s="43" t="n">
        <f aca="false">AV78-AV77</f>
        <v>-689.921019917049</v>
      </c>
      <c r="AW82" s="43" t="n">
        <f aca="false">AW78-AW77</f>
        <v>-711.818084953978</v>
      </c>
      <c r="AX82" s="43" t="n">
        <f aca="false">AX78-AX77</f>
        <v>-715.845868255445</v>
      </c>
      <c r="AY82" s="43" t="n">
        <f aca="false">AY78-AY77</f>
        <v>-703.898405462977</v>
      </c>
      <c r="AZ82" s="43" t="n">
        <f aca="false">AZ78-AZ77</f>
        <v>-725.991084042379</v>
      </c>
      <c r="BA82" s="43" t="n">
        <f aca="false">BA78-BA77</f>
        <v>-748.344237296947</v>
      </c>
      <c r="BB82" s="43" t="n">
        <f aca="false">BB78-BB77</f>
        <v>-752.775655377344</v>
      </c>
      <c r="BC82" s="43" t="n">
        <f aca="false">BC78-BC77</f>
        <v>-741.104681133451</v>
      </c>
      <c r="BD82" s="43" t="n">
        <f aca="false">BD78-BD77</f>
        <v>-763.66546295585</v>
      </c>
      <c r="BE82" s="43" t="n">
        <f aca="false">BE78-BE77</f>
        <v>-786.492238432915</v>
      </c>
      <c r="BF82" s="43" t="n">
        <f aca="false">BF78-BF77</f>
        <v>-791.346331549143</v>
      </c>
      <c r="BG82" s="43" t="n">
        <f aca="false">BG78-BG77</f>
        <v>-779.969717103715</v>
      </c>
      <c r="BH82" s="43" t="n">
        <f aca="false">BH78-BH77</f>
        <v>-803.016730108247</v>
      </c>
      <c r="BI82" s="43" t="n">
        <f aca="false">BI78-BI77</f>
        <v>-826.335469476983</v>
      </c>
      <c r="BJ82" s="43" t="n">
        <f aca="false">BJ78-BJ77</f>
        <v>-831.632144733136</v>
      </c>
      <c r="BK82" s="43" t="n">
        <f aca="false">BK78-BK77</f>
        <v>-834.446247037739</v>
      </c>
      <c r="BL82" s="43" t="n">
        <f aca="false">BL78-BL77</f>
        <v>-844.284443631166</v>
      </c>
      <c r="BM82" s="43" t="n">
        <f aca="false">BM78-BM77</f>
        <v>-868.116263720116</v>
      </c>
      <c r="BN82" s="43" t="n">
        <f aca="false">BN78-BN77</f>
        <v>-873.878287090093</v>
      </c>
      <c r="BO82" s="43" t="n">
        <f aca="false">BO78-BO77</f>
        <v>-863.14944279543</v>
      </c>
      <c r="BP82" s="43" t="n">
        <f aca="false">BP78-BP77</f>
        <v>-887.228684778691</v>
      </c>
      <c r="BQ82" s="43" t="n">
        <f aca="false">BQ78-BQ77</f>
        <v>-911.591823199013</v>
      </c>
      <c r="BR82" s="43" t="n">
        <f aca="false">BR78-BR77</f>
        <v>-917.83909984794</v>
      </c>
      <c r="BS82" s="43" t="n">
        <f aca="false">BS78-BS77</f>
        <v>-907.463619362772</v>
      </c>
      <c r="BT82" s="43" t="n">
        <f aca="false">BT78-BT77</f>
        <v>-932.088750651546</v>
      </c>
      <c r="BU82" s="43" t="n">
        <f aca="false">BU78-BU77</f>
        <v>-957.00421446158</v>
      </c>
      <c r="BV82" s="43" t="n">
        <f aca="false">BV78-BV77</f>
        <v>-963.75950540644</v>
      </c>
      <c r="BW82" s="43" t="n">
        <f aca="false">BW78-BW77</f>
        <v>-953.758935427019</v>
      </c>
      <c r="BX82" s="43" t="n">
        <f aca="false">BX78-BX77</f>
        <v>-978.951679892694</v>
      </c>
      <c r="BY82" s="43" t="n">
        <f aca="false">BY78-BY77</f>
        <v>-1004.44144909023</v>
      </c>
      <c r="BZ82" s="43" t="n">
        <f aca="false">BZ78-BZ77</f>
        <v>-1011.72855494375</v>
      </c>
      <c r="CA82" s="43" t="n">
        <f aca="false">CA78-CA77</f>
        <v>-1016.09340971669</v>
      </c>
      <c r="CB82" s="43" t="n">
        <f aca="false">CB78-CB77</f>
        <v>-1028.07324275875</v>
      </c>
      <c r="CC82" s="43" t="n">
        <f aca="false">CC78-CC77</f>
        <v>-1054.16225824116</v>
      </c>
      <c r="CD82" s="43" t="n">
        <f aca="false">CD78-CD77</f>
        <v>-1062.00803207846</v>
      </c>
      <c r="CE82" s="43" t="n">
        <f aca="false">CE78-CE77</f>
        <v>-1052.82807301635</v>
      </c>
      <c r="CF82" s="43" t="n">
        <f aca="false">CF78-CF77</f>
        <v>-1079.22730411859</v>
      </c>
      <c r="CG82" s="43" t="n">
        <f aca="false">CG78-CG77</f>
        <v>-1105.93778453906</v>
      </c>
      <c r="CH82" s="43" t="n">
        <f aca="false">CH78-CH77</f>
        <v>-1114.36638325396</v>
      </c>
      <c r="CI82" s="43" t="n">
        <f aca="false">CI78-CI77</f>
        <v>-1105.63243679251</v>
      </c>
      <c r="CJ82" s="43" t="n">
        <f aca="false">CJ78-CJ77</f>
        <v>-1132.67078779766</v>
      </c>
      <c r="CK82" s="43" t="n">
        <f aca="false">CK78-CK77</f>
        <v>-1160.0279234024</v>
      </c>
      <c r="CL82" s="43" t="n">
        <f aca="false">CL78-CL77</f>
        <v>-1169.06657021778</v>
      </c>
      <c r="CM82" s="43" t="n">
        <f aca="false">CM78-CM77</f>
        <v>-1160.80460126202</v>
      </c>
      <c r="CN82" s="43" t="n">
        <f aca="false">CN78-CN77</f>
        <v>-1188.5081274342</v>
      </c>
      <c r="CO82" s="43" t="n">
        <f aca="false">CO78-CO77</f>
        <v>-1216.53828068125</v>
      </c>
      <c r="CP82" s="43" t="n">
        <f aca="false">CP78-CP77</f>
        <v>-1226.21544613365</v>
      </c>
      <c r="CQ82" s="43" t="n">
        <f aca="false">CQ78-CQ77</f>
        <v>-1232.48295976282</v>
      </c>
      <c r="CR82" s="43" t="n">
        <f aca="false">CR78-CR77</f>
        <v>-1247.01404513736</v>
      </c>
      <c r="CS82" s="43" t="n">
        <f aca="false">CS78-CS77</f>
        <v>-1275.74675686737</v>
      </c>
      <c r="CT82" s="43" t="n">
        <f aca="false">CT78-CT77</f>
        <v>3.19175796903437E-012</v>
      </c>
      <c r="CU82" s="43" t="n">
        <f aca="false">CU78-CU77</f>
        <v>3.2316549436473E-012</v>
      </c>
      <c r="CV82" s="43" t="n">
        <f aca="false">CV78-CV77</f>
        <v>3.27205063044289E-012</v>
      </c>
      <c r="CW82" s="43" t="n">
        <f aca="false">CW78-CW77</f>
        <v>3.31295126332343E-012</v>
      </c>
      <c r="CX82" s="43" t="n">
        <f aca="false">CX78-CX77</f>
        <v>3.35436315411497E-012</v>
      </c>
      <c r="CY82" s="43" t="n">
        <f aca="false">CY78-CY77</f>
        <v>3.39629269354141E-012</v>
      </c>
      <c r="CZ82" s="43" t="n">
        <f aca="false">CZ78-CZ77</f>
        <v>3.43874635221068E-012</v>
      </c>
      <c r="DA82" s="43" t="n">
        <f aca="false">DA78-DA77</f>
        <v>3.48173068161331E-012</v>
      </c>
      <c r="DB82" s="43" t="n">
        <f aca="false">DB78-DB77</f>
        <v>3.52525231513348E-012</v>
      </c>
      <c r="DC82" s="43" t="n">
        <f aca="false">DC78-DC77</f>
        <v>3.56931796907264E-012</v>
      </c>
      <c r="DD82" s="43" t="n">
        <f aca="false">DD78-DD77</f>
        <v>3.61393444368605E-012</v>
      </c>
      <c r="DE82" s="43" t="n">
        <f aca="false">DE78-DE77</f>
        <v>3.65910862423213E-012</v>
      </c>
      <c r="DF82" s="43" t="n">
        <f aca="false">DF78-DF77</f>
        <v>3.70484748203503E-012</v>
      </c>
      <c r="DG82" s="43" t="n">
        <f aca="false">DG78-DG77</f>
        <v>3.75115807556047E-012</v>
      </c>
      <c r="DH82" s="43" t="n">
        <f aca="false">DH78-DH77</f>
        <v>3.79804755150497E-012</v>
      </c>
      <c r="DI82" s="43" t="n">
        <f aca="false">DI78-DI77</f>
        <v>3.84552314589879E-012</v>
      </c>
      <c r="DJ82" s="43" t="n">
        <f aca="false">DJ78-DJ77</f>
        <v>3.89359218522252E-012</v>
      </c>
      <c r="DK82" s="43" t="n">
        <f aca="false">DK78-DK77</f>
        <v>3.9422620875378E-012</v>
      </c>
      <c r="DL82" s="43" t="n">
        <f aca="false">DL78-DL77</f>
        <v>3.99154036363203E-012</v>
      </c>
      <c r="DM82" s="43" t="n">
        <f aca="false">DM78-DM77</f>
        <v>4.04143461817743E-012</v>
      </c>
      <c r="DN82" s="43" t="n">
        <f aca="false">DN78-DN77</f>
        <v>4.09195255090464E-012</v>
      </c>
      <c r="DO82" s="43" t="n">
        <f aca="false">DO78-DO77</f>
        <v>4.14310195779095E-012</v>
      </c>
      <c r="DP82" s="43" t="n">
        <f aca="false">DP78-DP77</f>
        <v>4.19489073226334E-012</v>
      </c>
      <c r="DQ82" s="43" t="n">
        <f aca="false">DQ78-DQ77</f>
        <v>4.24732686641663E-012</v>
      </c>
      <c r="DR82" s="43" t="n">
        <f aca="false">DR78-DR77</f>
        <v>4.30041845224684E-012</v>
      </c>
      <c r="DS82" s="43" t="n">
        <f aca="false">DS78-DS77</f>
        <v>4.35417368289992E-012</v>
      </c>
      <c r="DT82" s="43" t="n">
        <f aca="false">DT78-DT77</f>
        <v>4.40860085393617E-012</v>
      </c>
      <c r="DU82" s="43" t="n">
        <f aca="false">DU78-DU77</f>
        <v>4.46370836461037E-012</v>
      </c>
      <c r="DV82" s="43" t="n">
        <f aca="false">DV78-DV77</f>
        <v>4.519504719168E-012</v>
      </c>
      <c r="DW82" s="43" t="n">
        <f aca="false">DW78-DW77</f>
        <v>4.5759985281576E-012</v>
      </c>
      <c r="DX82" s="43" t="n">
        <f aca="false">DX78-DX77</f>
        <v>4.63319850975957E-012</v>
      </c>
      <c r="DY82" s="43" t="n">
        <f aca="false">DY78-DY77</f>
        <v>4.69111349113157E-012</v>
      </c>
      <c r="DZ82" s="43" t="n">
        <f aca="false">DZ78-DZ77</f>
        <v>4.74975240977071E-012</v>
      </c>
      <c r="EA82" s="43" t="n">
        <f aca="false">EA78-EA77</f>
        <v>4.80912431489285E-012</v>
      </c>
      <c r="EB82" s="43" t="n">
        <f aca="false">EB78-EB77</f>
        <v>4.86923836882901E-012</v>
      </c>
      <c r="EC82" s="43" t="n">
        <f aca="false">EC78-EC77</f>
        <v>4.93010384843937E-012</v>
      </c>
      <c r="ED82" s="43" t="n">
        <f aca="false">ED78-ED77</f>
        <v>4.99173014654486E-012</v>
      </c>
      <c r="EE82" s="43" t="n">
        <f aca="false">EE78-EE77</f>
        <v>5.05412677337667E-012</v>
      </c>
      <c r="EF82" s="43" t="n">
        <f aca="false">EF78-EF77</f>
        <v>5.11730335804388E-012</v>
      </c>
      <c r="EG82" s="43" t="n">
        <f aca="false">EG78-EG77</f>
        <v>5.18126965001943E-012</v>
      </c>
      <c r="EH82" s="43" t="n">
        <f aca="false">EH78-EH77</f>
        <v>5.24603552064467E-012</v>
      </c>
      <c r="EI82" s="43" t="n">
        <f aca="false">EI78-EI77</f>
        <v>5.31161096465273E-012</v>
      </c>
      <c r="EJ82" s="43" t="n">
        <f aca="false">EJ78-EJ77</f>
        <v>5.37800610171089E-012</v>
      </c>
      <c r="EK82" s="43" t="n">
        <f aca="false">EK78-EK77</f>
        <v>5.44523117798228E-012</v>
      </c>
      <c r="EL82" s="43" t="n">
        <f aca="false">EL78-EL77</f>
        <v>5.51329656770706E-012</v>
      </c>
      <c r="EM82" s="43" t="n">
        <f aca="false">EM78-EM77</f>
        <v>5.58221277480339E-012</v>
      </c>
      <c r="EN82" s="43" t="n">
        <f aca="false">EN78-EN77</f>
        <v>5.65199043448844E-012</v>
      </c>
      <c r="EO82" s="43" t="n">
        <f aca="false">EO78-EO77</f>
        <v>5.72264031491954E-012</v>
      </c>
    </row>
    <row r="83" customFormat="false" ht="15" hidden="false" customHeight="false" outlineLevel="0" collapsed="false">
      <c r="C83" s="21" t="s">
        <v>389</v>
      </c>
      <c r="D83" s="11" t="s">
        <v>33</v>
      </c>
      <c r="E83" s="54" t="n">
        <f aca="false">SUMIF($J$4:$EO$4,In_COD,$J83:$EO83)</f>
        <v>60869.4105550703</v>
      </c>
      <c r="I83" s="56"/>
      <c r="J83" s="54" t="n">
        <f aca="false">SUM(J79:J82)</f>
        <v>0</v>
      </c>
      <c r="K83" s="54" t="n">
        <f aca="false">SUM(K79:K82)</f>
        <v>0</v>
      </c>
      <c r="L83" s="54" t="n">
        <f aca="false">SUM(L79:L82)</f>
        <v>0</v>
      </c>
      <c r="M83" s="54" t="n">
        <f aca="false">SUM(M79:M82)</f>
        <v>0</v>
      </c>
      <c r="N83" s="54" t="n">
        <f aca="false">SUM(N79:N82)</f>
        <v>0</v>
      </c>
      <c r="O83" s="54" t="n">
        <f aca="false">SUM(O79:O82)</f>
        <v>0</v>
      </c>
      <c r="P83" s="54" t="n">
        <f aca="false">SUM(P79:P82)</f>
        <v>0</v>
      </c>
      <c r="Q83" s="54" t="n">
        <f aca="false">SUM(Q79:Q82)</f>
        <v>0</v>
      </c>
      <c r="R83" s="54" t="n">
        <f aca="false">SUM(R79:R82)</f>
        <v>6325.31506849315</v>
      </c>
      <c r="S83" s="54" t="n">
        <f aca="false">SUM(S79:S82)</f>
        <v>19116.0482465753</v>
      </c>
      <c r="T83" s="54" t="n">
        <f aca="false">SUM(T79:T82)</f>
        <v>25611.5604934931</v>
      </c>
      <c r="U83" s="54" t="n">
        <f aca="false">SUM(U79:U82)</f>
        <v>32257.020068155</v>
      </c>
      <c r="V83" s="54" t="n">
        <f aca="false">SUM(V79:V82)</f>
        <v>38985.5478875001</v>
      </c>
      <c r="W83" s="54" t="n">
        <f aca="false">SUM(W79:W82)</f>
        <v>45660.6754552719</v>
      </c>
      <c r="X83" s="54" t="n">
        <f aca="false">SUM(X79:X82)</f>
        <v>52487.9955422984</v>
      </c>
      <c r="Y83" s="54" t="n">
        <f aca="false">SUM(Y79:Y82)</f>
        <v>60869.4105550703</v>
      </c>
      <c r="Z83" s="54" t="n">
        <f aca="false">SUM(Z79:Z82)</f>
        <v>60349.2683917077</v>
      </c>
      <c r="AA83" s="54" t="n">
        <f aca="false">SUM(AA79:AA82)</f>
        <v>59842.2664241381</v>
      </c>
      <c r="AB83" s="54" t="n">
        <f aca="false">SUM(AB79:AB82)</f>
        <v>59315.329710822</v>
      </c>
      <c r="AC83" s="54" t="n">
        <f aca="false">SUM(AC79:AC82)</f>
        <v>58768.2161433721</v>
      </c>
      <c r="AD83" s="54" t="n">
        <f aca="false">SUM(AD79:AD82)</f>
        <v>58218.8979078211</v>
      </c>
      <c r="AE83" s="54" t="n">
        <f aca="false">SUM(AE79:AE82)</f>
        <v>57668.7073678924</v>
      </c>
      <c r="AF83" s="54" t="n">
        <f aca="false">SUM(AF79:AF82)</f>
        <v>57111.8347390184</v>
      </c>
      <c r="AG83" s="54" t="n">
        <f aca="false">SUM(AG79:AG82)</f>
        <v>56534.3828044738</v>
      </c>
      <c r="AH83" s="54" t="n">
        <f aca="false">SUM(AH79:AH82)</f>
        <v>55954.3856367532</v>
      </c>
      <c r="AI83" s="54" t="n">
        <f aca="false">SUM(AI79:AI82)</f>
        <v>55387.1189670838</v>
      </c>
      <c r="AJ83" s="54" t="n">
        <f aca="false">SUM(AJ79:AJ82)</f>
        <v>54786.5748847033</v>
      </c>
      <c r="AK83" s="54" t="n">
        <f aca="false">SUM(AK79:AK82)</f>
        <v>54164.7457042252</v>
      </c>
      <c r="AL83" s="54" t="n">
        <f aca="false">SUM(AL79:AL82)</f>
        <v>53550.6821952999</v>
      </c>
      <c r="AM83" s="54" t="n">
        <f aca="false">SUM(AM79:AM82)</f>
        <v>52949.2980771649</v>
      </c>
      <c r="AN83" s="54" t="n">
        <f aca="false">SUM(AN79:AN82)</f>
        <v>52327.1263471322</v>
      </c>
      <c r="AO83" s="54" t="n">
        <f aca="false">SUM(AO79:AO82)</f>
        <v>51683.9219173806</v>
      </c>
      <c r="AP83" s="54" t="n">
        <f aca="false">SUM(AP79:AP82)</f>
        <v>51037.4448926793</v>
      </c>
      <c r="AQ83" s="54" t="n">
        <f aca="false">SUM(AQ79:AQ82)</f>
        <v>50403.41970867</v>
      </c>
      <c r="AR83" s="54" t="n">
        <f aca="false">SUM(AR79:AR82)</f>
        <v>49748.1886297473</v>
      </c>
      <c r="AS83" s="54" t="n">
        <f aca="false">SUM(AS79:AS82)</f>
        <v>49071.5016364956</v>
      </c>
      <c r="AT83" s="54" t="n">
        <f aca="false">SUM(AT79:AT82)</f>
        <v>48391.1741299347</v>
      </c>
      <c r="AU83" s="54" t="n">
        <f aca="false">SUM(AU79:AU82)</f>
        <v>47709.2925553481</v>
      </c>
      <c r="AV83" s="54" t="n">
        <f aca="false">SUM(AV79:AV82)</f>
        <v>47019.371535431</v>
      </c>
      <c r="AW83" s="54" t="n">
        <f aca="false">SUM(AW79:AW82)</f>
        <v>46307.553450477</v>
      </c>
      <c r="AX83" s="54" t="n">
        <f aca="false">SUM(AX79:AX82)</f>
        <v>45591.7075822216</v>
      </c>
      <c r="AY83" s="54" t="n">
        <f aca="false">SUM(AY79:AY82)</f>
        <v>44887.8091767586</v>
      </c>
      <c r="AZ83" s="54" t="n">
        <f aca="false">SUM(AZ79:AZ82)</f>
        <v>44161.8180927162</v>
      </c>
      <c r="BA83" s="54" t="n">
        <f aca="false">SUM(BA79:BA82)</f>
        <v>43413.4738554193</v>
      </c>
      <c r="BB83" s="54" t="n">
        <f aca="false">SUM(BB79:BB82)</f>
        <v>42660.698200042</v>
      </c>
      <c r="BC83" s="54" t="n">
        <f aca="false">SUM(BC79:BC82)</f>
        <v>41919.5935189085</v>
      </c>
      <c r="BD83" s="54" t="n">
        <f aca="false">SUM(BD79:BD82)</f>
        <v>41155.9280559527</v>
      </c>
      <c r="BE83" s="54" t="n">
        <f aca="false">SUM(BE79:BE82)</f>
        <v>40369.4358175197</v>
      </c>
      <c r="BF83" s="54" t="n">
        <f aca="false">SUM(BF79:BF82)</f>
        <v>39578.0894859706</v>
      </c>
      <c r="BG83" s="54" t="n">
        <f aca="false">SUM(BG79:BG82)</f>
        <v>38798.1197688669</v>
      </c>
      <c r="BH83" s="54" t="n">
        <f aca="false">SUM(BH79:BH82)</f>
        <v>37995.1030387586</v>
      </c>
      <c r="BI83" s="54" t="n">
        <f aca="false">SUM(BI79:BI82)</f>
        <v>37168.7675692817</v>
      </c>
      <c r="BJ83" s="54" t="n">
        <f aca="false">SUM(BJ79:BJ82)</f>
        <v>36337.1354245485</v>
      </c>
      <c r="BK83" s="54" t="n">
        <f aca="false">SUM(BK79:BK82)</f>
        <v>35502.6891775108</v>
      </c>
      <c r="BL83" s="54" t="n">
        <f aca="false">SUM(BL79:BL82)</f>
        <v>34658.4047338796</v>
      </c>
      <c r="BM83" s="54" t="n">
        <f aca="false">SUM(BM79:BM82)</f>
        <v>33790.2884701595</v>
      </c>
      <c r="BN83" s="54" t="n">
        <f aca="false">SUM(BN79:BN82)</f>
        <v>32916.4101830694</v>
      </c>
      <c r="BO83" s="54" t="n">
        <f aca="false">SUM(BO79:BO82)</f>
        <v>32053.260740274</v>
      </c>
      <c r="BP83" s="54" t="n">
        <f aca="false">SUM(BP79:BP82)</f>
        <v>31166.0320554953</v>
      </c>
      <c r="BQ83" s="54" t="n">
        <f aca="false">SUM(BQ79:BQ82)</f>
        <v>30254.4402322963</v>
      </c>
      <c r="BR83" s="54" t="n">
        <f aca="false">SUM(BR79:BR82)</f>
        <v>29336.6011324483</v>
      </c>
      <c r="BS83" s="54" t="n">
        <f aca="false">SUM(BS79:BS82)</f>
        <v>28429.1375130856</v>
      </c>
      <c r="BT83" s="54" t="n">
        <f aca="false">SUM(BT79:BT82)</f>
        <v>27497.048762434</v>
      </c>
      <c r="BU83" s="54" t="n">
        <f aca="false">SUM(BU79:BU82)</f>
        <v>26540.0445479724</v>
      </c>
      <c r="BV83" s="54" t="n">
        <f aca="false">SUM(BV79:BV82)</f>
        <v>25576.285042566</v>
      </c>
      <c r="BW83" s="54" t="n">
        <f aca="false">SUM(BW79:BW82)</f>
        <v>24622.526107139</v>
      </c>
      <c r="BX83" s="54" t="n">
        <f aca="false">SUM(BX79:BX82)</f>
        <v>23643.5744272463</v>
      </c>
      <c r="BY83" s="54" t="n">
        <f aca="false">SUM(BY79:BY82)</f>
        <v>22639.132978156</v>
      </c>
      <c r="BZ83" s="54" t="n">
        <f aca="false">SUM(BZ79:BZ82)</f>
        <v>21627.4044232123</v>
      </c>
      <c r="CA83" s="54" t="n">
        <f aca="false">SUM(CA79:CA82)</f>
        <v>20611.3110134956</v>
      </c>
      <c r="CB83" s="54" t="n">
        <f aca="false">SUM(CB79:CB82)</f>
        <v>19583.2377707368</v>
      </c>
      <c r="CC83" s="54" t="n">
        <f aca="false">SUM(CC79:CC82)</f>
        <v>18529.0755124957</v>
      </c>
      <c r="CD83" s="54" t="n">
        <f aca="false">SUM(CD79:CD82)</f>
        <v>17467.0674804172</v>
      </c>
      <c r="CE83" s="54" t="n">
        <f aca="false">SUM(CE79:CE82)</f>
        <v>16414.2394074009</v>
      </c>
      <c r="CF83" s="54" t="n">
        <f aca="false">SUM(CF79:CF82)</f>
        <v>15335.0121032823</v>
      </c>
      <c r="CG83" s="54" t="n">
        <f aca="false">SUM(CG79:CG82)</f>
        <v>14229.0743187432</v>
      </c>
      <c r="CH83" s="54" t="n">
        <f aca="false">SUM(CH79:CH82)</f>
        <v>13114.7079354893</v>
      </c>
      <c r="CI83" s="54" t="n">
        <f aca="false">SUM(CI79:CI82)</f>
        <v>12009.0754986968</v>
      </c>
      <c r="CJ83" s="54" t="n">
        <f aca="false">SUM(CJ79:CJ82)</f>
        <v>10876.4047108991</v>
      </c>
      <c r="CK83" s="54" t="n">
        <f aca="false">SUM(CK79:CK82)</f>
        <v>9716.3767874967</v>
      </c>
      <c r="CL83" s="54" t="n">
        <f aca="false">SUM(CL79:CL82)</f>
        <v>8547.31021727892</v>
      </c>
      <c r="CM83" s="54" t="n">
        <f aca="false">SUM(CM79:CM82)</f>
        <v>7386.50561601691</v>
      </c>
      <c r="CN83" s="54" t="n">
        <f aca="false">SUM(CN79:CN82)</f>
        <v>6197.99748858271</v>
      </c>
      <c r="CO83" s="54" t="n">
        <f aca="false">SUM(CO79:CO82)</f>
        <v>4981.45920790146</v>
      </c>
      <c r="CP83" s="54" t="n">
        <f aca="false">SUM(CP79:CP82)</f>
        <v>3755.24376176781</v>
      </c>
      <c r="CQ83" s="54" t="n">
        <f aca="false">SUM(CQ79:CQ82)</f>
        <v>2522.76080200499</v>
      </c>
      <c r="CR83" s="54" t="n">
        <f aca="false">SUM(CR79:CR82)</f>
        <v>1275.74675686763</v>
      </c>
      <c r="CS83" s="54" t="n">
        <f aca="false">SUM(CS79:CS82)</f>
        <v>2.5534063752275E-010</v>
      </c>
      <c r="CT83" s="54" t="n">
        <f aca="false">SUM(CT79:CT82)</f>
        <v>2.58532395491784E-010</v>
      </c>
      <c r="CU83" s="54" t="n">
        <f aca="false">SUM(CU79:CU82)</f>
        <v>2.61764050435431E-010</v>
      </c>
      <c r="CV83" s="54" t="n">
        <f aca="false">SUM(CV79:CV82)</f>
        <v>2.65036101065874E-010</v>
      </c>
      <c r="CW83" s="54" t="n">
        <f aca="false">SUM(CW79:CW82)</f>
        <v>2.68349052329198E-010</v>
      </c>
      <c r="CX83" s="54" t="n">
        <f aca="false">SUM(CX79:CX82)</f>
        <v>2.71703415483313E-010</v>
      </c>
      <c r="CY83" s="54" t="n">
        <f aca="false">SUM(CY79:CY82)</f>
        <v>2.75099708176854E-010</v>
      </c>
      <c r="CZ83" s="54" t="n">
        <f aca="false">SUM(CZ79:CZ82)</f>
        <v>2.78538454529065E-010</v>
      </c>
      <c r="DA83" s="54" t="n">
        <f aca="false">SUM(DA79:DA82)</f>
        <v>2.82020185210678E-010</v>
      </c>
      <c r="DB83" s="54" t="n">
        <f aca="false">SUM(DB79:DB82)</f>
        <v>2.85545437525812E-010</v>
      </c>
      <c r="DC83" s="54" t="n">
        <f aca="false">SUM(DC79:DC82)</f>
        <v>2.89114755494884E-010</v>
      </c>
      <c r="DD83" s="54" t="n">
        <f aca="false">SUM(DD79:DD82)</f>
        <v>2.9272868993857E-010</v>
      </c>
      <c r="DE83" s="54" t="n">
        <f aca="false">SUM(DE79:DE82)</f>
        <v>2.96387798562802E-010</v>
      </c>
      <c r="DF83" s="54" t="n">
        <f aca="false">SUM(DF79:DF82)</f>
        <v>3.00092646044837E-010</v>
      </c>
      <c r="DG83" s="54" t="n">
        <f aca="false">SUM(DG79:DG82)</f>
        <v>3.03843804120398E-010</v>
      </c>
      <c r="DH83" s="54" t="n">
        <f aca="false">SUM(DH79:DH82)</f>
        <v>3.07641851671903E-010</v>
      </c>
      <c r="DI83" s="54" t="n">
        <f aca="false">SUM(DI79:DI82)</f>
        <v>3.11487374817802E-010</v>
      </c>
      <c r="DJ83" s="54" t="n">
        <f aca="false">SUM(DJ79:DJ82)</f>
        <v>3.15380967003024E-010</v>
      </c>
      <c r="DK83" s="54" t="n">
        <f aca="false">SUM(DK79:DK82)</f>
        <v>3.19323229090562E-010</v>
      </c>
      <c r="DL83" s="54" t="n">
        <f aca="false">SUM(DL79:DL82)</f>
        <v>3.23314769454194E-010</v>
      </c>
      <c r="DM83" s="54" t="n">
        <f aca="false">SUM(DM79:DM82)</f>
        <v>3.27356204072371E-010</v>
      </c>
      <c r="DN83" s="54" t="n">
        <f aca="false">SUM(DN79:DN82)</f>
        <v>3.31448156623276E-010</v>
      </c>
      <c r="DO83" s="54" t="n">
        <f aca="false">SUM(DO79:DO82)</f>
        <v>3.35591258581067E-010</v>
      </c>
      <c r="DP83" s="54" t="n">
        <f aca="false">SUM(DP79:DP82)</f>
        <v>3.3978614931333E-010</v>
      </c>
      <c r="DQ83" s="54" t="n">
        <f aca="false">SUM(DQ79:DQ82)</f>
        <v>3.44033476179747E-010</v>
      </c>
      <c r="DR83" s="54" t="n">
        <f aca="false">SUM(DR79:DR82)</f>
        <v>3.48333894631994E-010</v>
      </c>
      <c r="DS83" s="54" t="n">
        <f aca="false">SUM(DS79:DS82)</f>
        <v>3.52688068314894E-010</v>
      </c>
      <c r="DT83" s="54" t="n">
        <f aca="false">SUM(DT79:DT82)</f>
        <v>3.5709666916883E-010</v>
      </c>
      <c r="DU83" s="54" t="n">
        <f aca="false">SUM(DU79:DU82)</f>
        <v>3.6156037753344E-010</v>
      </c>
      <c r="DV83" s="54" t="n">
        <f aca="false">SUM(DV79:DV82)</f>
        <v>3.66079882252608E-010</v>
      </c>
      <c r="DW83" s="54" t="n">
        <f aca="false">SUM(DW79:DW82)</f>
        <v>3.70655880780766E-010</v>
      </c>
      <c r="DX83" s="54" t="n">
        <f aca="false">SUM(DX79:DX82)</f>
        <v>3.75289079290525E-010</v>
      </c>
      <c r="DY83" s="54" t="n">
        <f aca="false">SUM(DY79:DY82)</f>
        <v>3.79980192781657E-010</v>
      </c>
      <c r="DZ83" s="54" t="n">
        <f aca="false">SUM(DZ79:DZ82)</f>
        <v>3.84729945191428E-010</v>
      </c>
      <c r="EA83" s="54" t="n">
        <f aca="false">SUM(EA79:EA82)</f>
        <v>3.89539069506321E-010</v>
      </c>
      <c r="EB83" s="54" t="n">
        <f aca="false">SUM(EB79:EB82)</f>
        <v>3.9440830787515E-010</v>
      </c>
      <c r="EC83" s="54" t="n">
        <f aca="false">SUM(EC79:EC82)</f>
        <v>3.99338411723589E-010</v>
      </c>
      <c r="ED83" s="54" t="n">
        <f aca="false">SUM(ED79:ED82)</f>
        <v>4.04330141870134E-010</v>
      </c>
      <c r="EE83" s="54" t="n">
        <f aca="false">SUM(EE79:EE82)</f>
        <v>4.09384268643511E-010</v>
      </c>
      <c r="EF83" s="54" t="n">
        <f aca="false">SUM(EF79:EF82)</f>
        <v>4.14501572001554E-010</v>
      </c>
      <c r="EG83" s="54" t="n">
        <f aca="false">SUM(EG79:EG82)</f>
        <v>4.19682841651574E-010</v>
      </c>
      <c r="EH83" s="54" t="n">
        <f aca="false">SUM(EH79:EH82)</f>
        <v>4.24928877172218E-010</v>
      </c>
      <c r="EI83" s="54" t="n">
        <f aca="false">SUM(EI79:EI82)</f>
        <v>4.30240488136871E-010</v>
      </c>
      <c r="EJ83" s="54" t="n">
        <f aca="false">SUM(EJ79:EJ82)</f>
        <v>4.35618494238582E-010</v>
      </c>
      <c r="EK83" s="54" t="n">
        <f aca="false">SUM(EK79:EK82)</f>
        <v>4.41063725416564E-010</v>
      </c>
      <c r="EL83" s="54" t="n">
        <f aca="false">SUM(EL79:EL82)</f>
        <v>4.46577021984271E-010</v>
      </c>
      <c r="EM83" s="54" t="n">
        <f aca="false">SUM(EM79:EM82)</f>
        <v>4.52159234759075E-010</v>
      </c>
      <c r="EN83" s="54" t="n">
        <f aca="false">SUM(EN79:EN82)</f>
        <v>4.57811225193563E-010</v>
      </c>
      <c r="EO83" s="54" t="n">
        <f aca="false">SUM(EO79:EO82)</f>
        <v>4.63533865508483E-010</v>
      </c>
    </row>
    <row r="84" customFormat="false" ht="15" hidden="false" customHeight="false" outlineLevel="0" collapsed="false">
      <c r="C84" s="0" t="s">
        <v>390</v>
      </c>
      <c r="D84" s="11" t="s">
        <v>33</v>
      </c>
      <c r="I84" s="43" t="n">
        <f aca="false">SUM(J84:EO84)</f>
        <v>-1065.21468471373</v>
      </c>
      <c r="J84" s="43" t="n">
        <f aca="false">-In_Upfront_Fee*$E83*(J79=0)*(J80&gt;0)</f>
        <v>-0</v>
      </c>
      <c r="K84" s="43" t="n">
        <f aca="false">-In_Upfront_Fee*$E83*(K79=0)*(K80&gt;0)</f>
        <v>-0</v>
      </c>
      <c r="L84" s="43" t="n">
        <f aca="false">-In_Upfront_Fee*$E83*(L79=0)*(L80&gt;0)</f>
        <v>-0</v>
      </c>
      <c r="M84" s="43" t="n">
        <f aca="false">-In_Upfront_Fee*$E83*(M79=0)*(M80&gt;0)</f>
        <v>-0</v>
      </c>
      <c r="N84" s="43" t="n">
        <f aca="false">-In_Upfront_Fee*$E83*(N79=0)*(N80&gt;0)</f>
        <v>-0</v>
      </c>
      <c r="O84" s="43" t="n">
        <f aca="false">-In_Upfront_Fee*$E83*(O79=0)*(O80&gt;0)</f>
        <v>-0</v>
      </c>
      <c r="P84" s="43" t="n">
        <f aca="false">-In_Upfront_Fee*$E83*(P79=0)*(P80&gt;0)</f>
        <v>-0</v>
      </c>
      <c r="Q84" s="43" t="n">
        <f aca="false">-In_Upfront_Fee*$E83*(Q79=0)*(Q80&gt;0)</f>
        <v>-0</v>
      </c>
      <c r="R84" s="43" t="n">
        <f aca="false">-In_Upfront_Fee*$E83*(R79=0)*(R80&gt;0)</f>
        <v>-1065.21468471373</v>
      </c>
      <c r="S84" s="43" t="n">
        <f aca="false">-In_Upfront_Fee*$E83*(S79=0)*(S80&gt;0)</f>
        <v>-0</v>
      </c>
      <c r="T84" s="43" t="n">
        <f aca="false">-In_Upfront_Fee*$E83*(T79=0)*(T80&gt;0)</f>
        <v>-0</v>
      </c>
      <c r="U84" s="43" t="n">
        <f aca="false">-In_Upfront_Fee*$E83*(U79=0)*(U80&gt;0)</f>
        <v>-0</v>
      </c>
      <c r="V84" s="43" t="n">
        <f aca="false">-In_Upfront_Fee*$E83*(V79=0)*(V80&gt;0)</f>
        <v>-0</v>
      </c>
      <c r="W84" s="43" t="n">
        <f aca="false">-In_Upfront_Fee*$E83*(W79=0)*(W80&gt;0)</f>
        <v>-0</v>
      </c>
      <c r="X84" s="43" t="n">
        <f aca="false">-In_Upfront_Fee*$E83*(X79=0)*(X80&gt;0)</f>
        <v>-0</v>
      </c>
      <c r="Y84" s="43" t="n">
        <f aca="false">-In_Upfront_Fee*$E83*(Y79=0)*(Y80&gt;0)</f>
        <v>-0</v>
      </c>
      <c r="Z84" s="43" t="n">
        <f aca="false">-In_Upfront_Fee*$E83*(Z79=0)*(Z80&gt;0)</f>
        <v>-0</v>
      </c>
      <c r="AA84" s="43" t="n">
        <f aca="false">-In_Upfront_Fee*$E83*(AA79=0)*(AA80&gt;0)</f>
        <v>-0</v>
      </c>
      <c r="AB84" s="43" t="n">
        <f aca="false">-In_Upfront_Fee*$E83*(AB79=0)*(AB80&gt;0)</f>
        <v>-0</v>
      </c>
      <c r="AC84" s="43" t="n">
        <f aca="false">-In_Upfront_Fee*$E83*(AC79=0)*(AC80&gt;0)</f>
        <v>-0</v>
      </c>
      <c r="AD84" s="43" t="n">
        <f aca="false">-In_Upfront_Fee*$E83*(AD79=0)*(AD80&gt;0)</f>
        <v>-0</v>
      </c>
      <c r="AE84" s="43" t="n">
        <f aca="false">-In_Upfront_Fee*$E83*(AE79=0)*(AE80&gt;0)</f>
        <v>-0</v>
      </c>
      <c r="AF84" s="43" t="n">
        <f aca="false">-In_Upfront_Fee*$E83*(AF79=0)*(AF80&gt;0)</f>
        <v>-0</v>
      </c>
      <c r="AG84" s="43" t="n">
        <f aca="false">-In_Upfront_Fee*$E83*(AG79=0)*(AG80&gt;0)</f>
        <v>-0</v>
      </c>
      <c r="AH84" s="43" t="n">
        <f aca="false">-In_Upfront_Fee*$E83*(AH79=0)*(AH80&gt;0)</f>
        <v>-0</v>
      </c>
      <c r="AI84" s="43" t="n">
        <f aca="false">-In_Upfront_Fee*$E83*(AI79=0)*(AI80&gt;0)</f>
        <v>-0</v>
      </c>
      <c r="AJ84" s="43" t="n">
        <f aca="false">-In_Upfront_Fee*$E83*(AJ79=0)*(AJ80&gt;0)</f>
        <v>-0</v>
      </c>
      <c r="AK84" s="43" t="n">
        <f aca="false">-In_Upfront_Fee*$E83*(AK79=0)*(AK80&gt;0)</f>
        <v>-0</v>
      </c>
      <c r="AL84" s="43" t="n">
        <f aca="false">-In_Upfront_Fee*$E83*(AL79=0)*(AL80&gt;0)</f>
        <v>-0</v>
      </c>
      <c r="AM84" s="43" t="n">
        <f aca="false">-In_Upfront_Fee*$E83*(AM79=0)*(AM80&gt;0)</f>
        <v>-0</v>
      </c>
      <c r="AN84" s="43" t="n">
        <f aca="false">-In_Upfront_Fee*$E83*(AN79=0)*(AN80&gt;0)</f>
        <v>-0</v>
      </c>
      <c r="AO84" s="43" t="n">
        <f aca="false">-In_Upfront_Fee*$E83*(AO79=0)*(AO80&gt;0)</f>
        <v>-0</v>
      </c>
      <c r="AP84" s="43" t="n">
        <f aca="false">-In_Upfront_Fee*$E83*(AP79=0)*(AP80&gt;0)</f>
        <v>-0</v>
      </c>
      <c r="AQ84" s="43" t="n">
        <f aca="false">-In_Upfront_Fee*$E83*(AQ79=0)*(AQ80&gt;0)</f>
        <v>-0</v>
      </c>
      <c r="AR84" s="43" t="n">
        <f aca="false">-In_Upfront_Fee*$E83*(AR79=0)*(AR80&gt;0)</f>
        <v>-0</v>
      </c>
      <c r="AS84" s="43" t="n">
        <f aca="false">-In_Upfront_Fee*$E83*(AS79=0)*(AS80&gt;0)</f>
        <v>-0</v>
      </c>
      <c r="AT84" s="43" t="n">
        <f aca="false">-In_Upfront_Fee*$E83*(AT79=0)*(AT80&gt;0)</f>
        <v>-0</v>
      </c>
      <c r="AU84" s="43" t="n">
        <f aca="false">-In_Upfront_Fee*$E83*(AU79=0)*(AU80&gt;0)</f>
        <v>-0</v>
      </c>
      <c r="AV84" s="43" t="n">
        <f aca="false">-In_Upfront_Fee*$E83*(AV79=0)*(AV80&gt;0)</f>
        <v>-0</v>
      </c>
      <c r="AW84" s="43" t="n">
        <f aca="false">-In_Upfront_Fee*$E83*(AW79=0)*(AW80&gt;0)</f>
        <v>-0</v>
      </c>
      <c r="AX84" s="43" t="n">
        <f aca="false">-In_Upfront_Fee*$E83*(AX79=0)*(AX80&gt;0)</f>
        <v>-0</v>
      </c>
      <c r="AY84" s="43" t="n">
        <f aca="false">-In_Upfront_Fee*$E83*(AY79=0)*(AY80&gt;0)</f>
        <v>-0</v>
      </c>
      <c r="AZ84" s="43" t="n">
        <f aca="false">-In_Upfront_Fee*$E83*(AZ79=0)*(AZ80&gt;0)</f>
        <v>-0</v>
      </c>
      <c r="BA84" s="43" t="n">
        <f aca="false">-In_Upfront_Fee*$E83*(BA79=0)*(BA80&gt;0)</f>
        <v>-0</v>
      </c>
      <c r="BB84" s="43" t="n">
        <f aca="false">-In_Upfront_Fee*$E83*(BB79=0)*(BB80&gt;0)</f>
        <v>-0</v>
      </c>
      <c r="BC84" s="43" t="n">
        <f aca="false">-In_Upfront_Fee*$E83*(BC79=0)*(BC80&gt;0)</f>
        <v>-0</v>
      </c>
      <c r="BD84" s="43" t="n">
        <f aca="false">-In_Upfront_Fee*$E83*(BD79=0)*(BD80&gt;0)</f>
        <v>-0</v>
      </c>
      <c r="BE84" s="43" t="n">
        <f aca="false">-In_Upfront_Fee*$E83*(BE79=0)*(BE80&gt;0)</f>
        <v>-0</v>
      </c>
      <c r="BF84" s="43" t="n">
        <f aca="false">-In_Upfront_Fee*$E83*(BF79=0)*(BF80&gt;0)</f>
        <v>-0</v>
      </c>
      <c r="BG84" s="43" t="n">
        <f aca="false">-In_Upfront_Fee*$E83*(BG79=0)*(BG80&gt;0)</f>
        <v>-0</v>
      </c>
      <c r="BH84" s="43" t="n">
        <f aca="false">-In_Upfront_Fee*$E83*(BH79=0)*(BH80&gt;0)</f>
        <v>-0</v>
      </c>
      <c r="BI84" s="43" t="n">
        <f aca="false">-In_Upfront_Fee*$E83*(BI79=0)*(BI80&gt;0)</f>
        <v>-0</v>
      </c>
      <c r="BJ84" s="43" t="n">
        <f aca="false">-In_Upfront_Fee*$E83*(BJ79=0)*(BJ80&gt;0)</f>
        <v>-0</v>
      </c>
      <c r="BK84" s="43" t="n">
        <f aca="false">-In_Upfront_Fee*$E83*(BK79=0)*(BK80&gt;0)</f>
        <v>-0</v>
      </c>
      <c r="BL84" s="43" t="n">
        <f aca="false">-In_Upfront_Fee*$E83*(BL79=0)*(BL80&gt;0)</f>
        <v>-0</v>
      </c>
      <c r="BM84" s="43" t="n">
        <f aca="false">-In_Upfront_Fee*$E83*(BM79=0)*(BM80&gt;0)</f>
        <v>-0</v>
      </c>
      <c r="BN84" s="43" t="n">
        <f aca="false">-In_Upfront_Fee*$E83*(BN79=0)*(BN80&gt;0)</f>
        <v>-0</v>
      </c>
      <c r="BO84" s="43" t="n">
        <f aca="false">-In_Upfront_Fee*$E83*(BO79=0)*(BO80&gt;0)</f>
        <v>-0</v>
      </c>
      <c r="BP84" s="43" t="n">
        <f aca="false">-In_Upfront_Fee*$E83*(BP79=0)*(BP80&gt;0)</f>
        <v>-0</v>
      </c>
      <c r="BQ84" s="43" t="n">
        <f aca="false">-In_Upfront_Fee*$E83*(BQ79=0)*(BQ80&gt;0)</f>
        <v>-0</v>
      </c>
      <c r="BR84" s="43" t="n">
        <f aca="false">-In_Upfront_Fee*$E83*(BR79=0)*(BR80&gt;0)</f>
        <v>-0</v>
      </c>
      <c r="BS84" s="43" t="n">
        <f aca="false">-In_Upfront_Fee*$E83*(BS79=0)*(BS80&gt;0)</f>
        <v>-0</v>
      </c>
      <c r="BT84" s="43" t="n">
        <f aca="false">-In_Upfront_Fee*$E83*(BT79=0)*(BT80&gt;0)</f>
        <v>-0</v>
      </c>
      <c r="BU84" s="43" t="n">
        <f aca="false">-In_Upfront_Fee*$E83*(BU79=0)*(BU80&gt;0)</f>
        <v>-0</v>
      </c>
      <c r="BV84" s="43" t="n">
        <f aca="false">-In_Upfront_Fee*$E83*(BV79=0)*(BV80&gt;0)</f>
        <v>-0</v>
      </c>
      <c r="BW84" s="43" t="n">
        <f aca="false">-In_Upfront_Fee*$E83*(BW79=0)*(BW80&gt;0)</f>
        <v>-0</v>
      </c>
      <c r="BX84" s="43" t="n">
        <f aca="false">-In_Upfront_Fee*$E83*(BX79=0)*(BX80&gt;0)</f>
        <v>-0</v>
      </c>
      <c r="BY84" s="43" t="n">
        <f aca="false">-In_Upfront_Fee*$E83*(BY79=0)*(BY80&gt;0)</f>
        <v>-0</v>
      </c>
      <c r="BZ84" s="43" t="n">
        <f aca="false">-In_Upfront_Fee*$E83*(BZ79=0)*(BZ80&gt;0)</f>
        <v>-0</v>
      </c>
      <c r="CA84" s="43" t="n">
        <f aca="false">-In_Upfront_Fee*$E83*(CA79=0)*(CA80&gt;0)</f>
        <v>-0</v>
      </c>
      <c r="CB84" s="43" t="n">
        <f aca="false">-In_Upfront_Fee*$E83*(CB79=0)*(CB80&gt;0)</f>
        <v>-0</v>
      </c>
      <c r="CC84" s="43" t="n">
        <f aca="false">-In_Upfront_Fee*$E83*(CC79=0)*(CC80&gt;0)</f>
        <v>-0</v>
      </c>
      <c r="CD84" s="43" t="n">
        <f aca="false">-In_Upfront_Fee*$E83*(CD79=0)*(CD80&gt;0)</f>
        <v>-0</v>
      </c>
      <c r="CE84" s="43" t="n">
        <f aca="false">-In_Upfront_Fee*$E83*(CE79=0)*(CE80&gt;0)</f>
        <v>-0</v>
      </c>
      <c r="CF84" s="43" t="n">
        <f aca="false">-In_Upfront_Fee*$E83*(CF79=0)*(CF80&gt;0)</f>
        <v>-0</v>
      </c>
      <c r="CG84" s="43" t="n">
        <f aca="false">-In_Upfront_Fee*$E83*(CG79=0)*(CG80&gt;0)</f>
        <v>-0</v>
      </c>
      <c r="CH84" s="43" t="n">
        <f aca="false">-In_Upfront_Fee*$E83*(CH79=0)*(CH80&gt;0)</f>
        <v>-0</v>
      </c>
      <c r="CI84" s="43" t="n">
        <f aca="false">-In_Upfront_Fee*$E83*(CI79=0)*(CI80&gt;0)</f>
        <v>-0</v>
      </c>
      <c r="CJ84" s="43" t="n">
        <f aca="false">-In_Upfront_Fee*$E83*(CJ79=0)*(CJ80&gt;0)</f>
        <v>-0</v>
      </c>
      <c r="CK84" s="43" t="n">
        <f aca="false">-In_Upfront_Fee*$E83*(CK79=0)*(CK80&gt;0)</f>
        <v>-0</v>
      </c>
      <c r="CL84" s="43" t="n">
        <f aca="false">-In_Upfront_Fee*$E83*(CL79=0)*(CL80&gt;0)</f>
        <v>-0</v>
      </c>
      <c r="CM84" s="43" t="n">
        <f aca="false">-In_Upfront_Fee*$E83*(CM79=0)*(CM80&gt;0)</f>
        <v>-0</v>
      </c>
      <c r="CN84" s="43" t="n">
        <f aca="false">-In_Upfront_Fee*$E83*(CN79=0)*(CN80&gt;0)</f>
        <v>-0</v>
      </c>
      <c r="CO84" s="43" t="n">
        <f aca="false">-In_Upfront_Fee*$E83*(CO79=0)*(CO80&gt;0)</f>
        <v>-0</v>
      </c>
      <c r="CP84" s="43" t="n">
        <f aca="false">-In_Upfront_Fee*$E83*(CP79=0)*(CP80&gt;0)</f>
        <v>-0</v>
      </c>
      <c r="CQ84" s="43" t="n">
        <f aca="false">-In_Upfront_Fee*$E83*(CQ79=0)*(CQ80&gt;0)</f>
        <v>-0</v>
      </c>
      <c r="CR84" s="43" t="n">
        <f aca="false">-In_Upfront_Fee*$E83*(CR79=0)*(CR80&gt;0)</f>
        <v>-0</v>
      </c>
      <c r="CS84" s="43" t="n">
        <f aca="false">-In_Upfront_Fee*$E83*(CS79=0)*(CS80&gt;0)</f>
        <v>-0</v>
      </c>
      <c r="CT84" s="43" t="n">
        <f aca="false">-In_Upfront_Fee*$E83*(CT79=0)*(CT80&gt;0)</f>
        <v>-0</v>
      </c>
      <c r="CU84" s="43" t="n">
        <f aca="false">-In_Upfront_Fee*$E83*(CU79=0)*(CU80&gt;0)</f>
        <v>-0</v>
      </c>
      <c r="CV84" s="43" t="n">
        <f aca="false">-In_Upfront_Fee*$E83*(CV79=0)*(CV80&gt;0)</f>
        <v>-0</v>
      </c>
      <c r="CW84" s="43" t="n">
        <f aca="false">-In_Upfront_Fee*$E83*(CW79=0)*(CW80&gt;0)</f>
        <v>-0</v>
      </c>
      <c r="CX84" s="43" t="n">
        <f aca="false">-In_Upfront_Fee*$E83*(CX79=0)*(CX80&gt;0)</f>
        <v>-0</v>
      </c>
      <c r="CY84" s="43" t="n">
        <f aca="false">-In_Upfront_Fee*$E83*(CY79=0)*(CY80&gt;0)</f>
        <v>-0</v>
      </c>
      <c r="CZ84" s="43" t="n">
        <f aca="false">-In_Upfront_Fee*$E83*(CZ79=0)*(CZ80&gt;0)</f>
        <v>-0</v>
      </c>
      <c r="DA84" s="43" t="n">
        <f aca="false">-In_Upfront_Fee*$E83*(DA79=0)*(DA80&gt;0)</f>
        <v>-0</v>
      </c>
      <c r="DB84" s="43" t="n">
        <f aca="false">-In_Upfront_Fee*$E83*(DB79=0)*(DB80&gt;0)</f>
        <v>-0</v>
      </c>
      <c r="DC84" s="43" t="n">
        <f aca="false">-In_Upfront_Fee*$E83*(DC79=0)*(DC80&gt;0)</f>
        <v>-0</v>
      </c>
      <c r="DD84" s="43" t="n">
        <f aca="false">-In_Upfront_Fee*$E83*(DD79=0)*(DD80&gt;0)</f>
        <v>-0</v>
      </c>
      <c r="DE84" s="43" t="n">
        <f aca="false">-In_Upfront_Fee*$E83*(DE79=0)*(DE80&gt;0)</f>
        <v>-0</v>
      </c>
      <c r="DF84" s="43" t="n">
        <f aca="false">-In_Upfront_Fee*$E83*(DF79=0)*(DF80&gt;0)</f>
        <v>-0</v>
      </c>
      <c r="DG84" s="43" t="n">
        <f aca="false">-In_Upfront_Fee*$E83*(DG79=0)*(DG80&gt;0)</f>
        <v>-0</v>
      </c>
      <c r="DH84" s="43" t="n">
        <f aca="false">-In_Upfront_Fee*$E83*(DH79=0)*(DH80&gt;0)</f>
        <v>-0</v>
      </c>
      <c r="DI84" s="43" t="n">
        <f aca="false">-In_Upfront_Fee*$E83*(DI79=0)*(DI80&gt;0)</f>
        <v>-0</v>
      </c>
      <c r="DJ84" s="43" t="n">
        <f aca="false">-In_Upfront_Fee*$E83*(DJ79=0)*(DJ80&gt;0)</f>
        <v>-0</v>
      </c>
      <c r="DK84" s="43" t="n">
        <f aca="false">-In_Upfront_Fee*$E83*(DK79=0)*(DK80&gt;0)</f>
        <v>-0</v>
      </c>
      <c r="DL84" s="43" t="n">
        <f aca="false">-In_Upfront_Fee*$E83*(DL79=0)*(DL80&gt;0)</f>
        <v>-0</v>
      </c>
      <c r="DM84" s="43" t="n">
        <f aca="false">-In_Upfront_Fee*$E83*(DM79=0)*(DM80&gt;0)</f>
        <v>-0</v>
      </c>
      <c r="DN84" s="43" t="n">
        <f aca="false">-In_Upfront_Fee*$E83*(DN79=0)*(DN80&gt;0)</f>
        <v>-0</v>
      </c>
      <c r="DO84" s="43" t="n">
        <f aca="false">-In_Upfront_Fee*$E83*(DO79=0)*(DO80&gt;0)</f>
        <v>-0</v>
      </c>
      <c r="DP84" s="43" t="n">
        <f aca="false">-In_Upfront_Fee*$E83*(DP79=0)*(DP80&gt;0)</f>
        <v>-0</v>
      </c>
      <c r="DQ84" s="43" t="n">
        <f aca="false">-In_Upfront_Fee*$E83*(DQ79=0)*(DQ80&gt;0)</f>
        <v>-0</v>
      </c>
      <c r="DR84" s="43" t="n">
        <f aca="false">-In_Upfront_Fee*$E83*(DR79=0)*(DR80&gt;0)</f>
        <v>-0</v>
      </c>
      <c r="DS84" s="43" t="n">
        <f aca="false">-In_Upfront_Fee*$E83*(DS79=0)*(DS80&gt;0)</f>
        <v>-0</v>
      </c>
      <c r="DT84" s="43" t="n">
        <f aca="false">-In_Upfront_Fee*$E83*(DT79=0)*(DT80&gt;0)</f>
        <v>-0</v>
      </c>
      <c r="DU84" s="43" t="n">
        <f aca="false">-In_Upfront_Fee*$E83*(DU79=0)*(DU80&gt;0)</f>
        <v>-0</v>
      </c>
      <c r="DV84" s="43" t="n">
        <f aca="false">-In_Upfront_Fee*$E83*(DV79=0)*(DV80&gt;0)</f>
        <v>-0</v>
      </c>
      <c r="DW84" s="43" t="n">
        <f aca="false">-In_Upfront_Fee*$E83*(DW79=0)*(DW80&gt;0)</f>
        <v>-0</v>
      </c>
      <c r="DX84" s="43" t="n">
        <f aca="false">-In_Upfront_Fee*$E83*(DX79=0)*(DX80&gt;0)</f>
        <v>-0</v>
      </c>
      <c r="DY84" s="43" t="n">
        <f aca="false">-In_Upfront_Fee*$E83*(DY79=0)*(DY80&gt;0)</f>
        <v>-0</v>
      </c>
      <c r="DZ84" s="43" t="n">
        <f aca="false">-In_Upfront_Fee*$E83*(DZ79=0)*(DZ80&gt;0)</f>
        <v>-0</v>
      </c>
      <c r="EA84" s="43" t="n">
        <f aca="false">-In_Upfront_Fee*$E83*(EA79=0)*(EA80&gt;0)</f>
        <v>-0</v>
      </c>
      <c r="EB84" s="43" t="n">
        <f aca="false">-In_Upfront_Fee*$E83*(EB79=0)*(EB80&gt;0)</f>
        <v>-0</v>
      </c>
      <c r="EC84" s="43" t="n">
        <f aca="false">-In_Upfront_Fee*$E83*(EC79=0)*(EC80&gt;0)</f>
        <v>-0</v>
      </c>
      <c r="ED84" s="43" t="n">
        <f aca="false">-In_Upfront_Fee*$E83*(ED79=0)*(ED80&gt;0)</f>
        <v>-0</v>
      </c>
      <c r="EE84" s="43" t="n">
        <f aca="false">-In_Upfront_Fee*$E83*(EE79=0)*(EE80&gt;0)</f>
        <v>-0</v>
      </c>
      <c r="EF84" s="43" t="n">
        <f aca="false">-In_Upfront_Fee*$E83*(EF79=0)*(EF80&gt;0)</f>
        <v>-0</v>
      </c>
      <c r="EG84" s="43" t="n">
        <f aca="false">-In_Upfront_Fee*$E83*(EG79=0)*(EG80&gt;0)</f>
        <v>-0</v>
      </c>
      <c r="EH84" s="43" t="n">
        <f aca="false">-In_Upfront_Fee*$E83*(EH79=0)*(EH80&gt;0)</f>
        <v>-0</v>
      </c>
      <c r="EI84" s="43" t="n">
        <f aca="false">-In_Upfront_Fee*$E83*(EI79=0)*(EI80&gt;0)</f>
        <v>-0</v>
      </c>
      <c r="EJ84" s="43" t="n">
        <f aca="false">-In_Upfront_Fee*$E83*(EJ79=0)*(EJ80&gt;0)</f>
        <v>-0</v>
      </c>
      <c r="EK84" s="43" t="n">
        <f aca="false">-In_Upfront_Fee*$E83*(EK79=0)*(EK80&gt;0)</f>
        <v>-0</v>
      </c>
      <c r="EL84" s="43" t="n">
        <f aca="false">-In_Upfront_Fee*$E83*(EL79=0)*(EL80&gt;0)</f>
        <v>-0</v>
      </c>
      <c r="EM84" s="43" t="n">
        <f aca="false">-In_Upfront_Fee*$E83*(EM79=0)*(EM80&gt;0)</f>
        <v>-0</v>
      </c>
      <c r="EN84" s="43" t="n">
        <f aca="false">-In_Upfront_Fee*$E83*(EN79=0)*(EN80&gt;0)</f>
        <v>-0</v>
      </c>
      <c r="EO84" s="43" t="n">
        <f aca="false">-In_Upfront_Fee*$E83*(EO79=0)*(EO80&gt;0)</f>
        <v>-0</v>
      </c>
    </row>
    <row r="85" customFormat="false" ht="15" hidden="false" customHeight="false" outlineLevel="0" collapsed="false">
      <c r="C85" s="0" t="s">
        <v>391</v>
      </c>
      <c r="D85" s="11" t="s">
        <v>33</v>
      </c>
      <c r="I85" s="43" t="n">
        <f aca="false">SUM(J85:EO85)</f>
        <v>-562.655344257309</v>
      </c>
      <c r="J85" s="43" t="n">
        <f aca="false">-In_Commitment_Fee*($I80-SUM($J80:J80)+J80)*J$6*(J12&gt;0)</f>
        <v>-0</v>
      </c>
      <c r="K85" s="43" t="n">
        <f aca="false">-In_Commitment_Fee*($I80-SUM($J80:K80)+K80)*K$6*(K12&gt;0)</f>
        <v>-0</v>
      </c>
      <c r="L85" s="43" t="n">
        <f aca="false">-In_Commitment_Fee*($I80-SUM($J80:L80)+L80)*L$6*(L12&gt;0)</f>
        <v>-0</v>
      </c>
      <c r="M85" s="43" t="n">
        <f aca="false">-In_Commitment_Fee*($I80-SUM($J80:M80)+M80)*M$6*(M12&gt;0)</f>
        <v>-0</v>
      </c>
      <c r="N85" s="43" t="n">
        <f aca="false">-In_Commitment_Fee*($I80-SUM($J80:N80)+N80)*N$6*(N12&gt;0)</f>
        <v>-0</v>
      </c>
      <c r="O85" s="43" t="n">
        <f aca="false">-In_Commitment_Fee*($I80-SUM($J80:O80)+O80)*O$6*(O12&gt;0)</f>
        <v>-0</v>
      </c>
      <c r="P85" s="43" t="n">
        <f aca="false">-In_Commitment_Fee*($I80-SUM($J80:P80)+P80)*P$6*(P12&gt;0)</f>
        <v>-0</v>
      </c>
      <c r="Q85" s="43" t="n">
        <f aca="false">-In_Commitment_Fee*($I80-SUM($J80:Q80)+Q80)*Q$6*(Q12&gt;0)</f>
        <v>-0</v>
      </c>
      <c r="R85" s="43" t="n">
        <f aca="false">-In_Commitment_Fee*($I80-SUM($J80:R80)+R80)*R$6*(R12&gt;0)</f>
        <v>-131.830890013736</v>
      </c>
      <c r="S85" s="43" t="n">
        <f aca="false">-In_Commitment_Fee*($I80-SUM($J80:S80)+S80)*S$6*(S12&gt;0)</f>
        <v>-114.928000537437</v>
      </c>
      <c r="T85" s="43" t="n">
        <f aca="false">-In_Commitment_Fee*($I80-SUM($J80:T80)+T80)*T$6*(T12&gt;0)</f>
        <v>-87.6820877462939</v>
      </c>
      <c r="U85" s="43" t="n">
        <f aca="false">-In_Commitment_Fee*($I80-SUM($J80:U80)+U80)*U$6*(U12&gt;0)</f>
        <v>-74.4526599361982</v>
      </c>
      <c r="V85" s="43" t="n">
        <f aca="false">-In_Commitment_Fee*($I80-SUM($J80:V80)+V80)*V$6*(V12&gt;0)</f>
        <v>-60.1037260273973</v>
      </c>
      <c r="W85" s="43" t="n">
        <f aca="false">-In_Commitment_Fee*($I80-SUM($J80:W80)+W80)*W$6*(W12&gt;0)</f>
        <v>-44.7601227247138</v>
      </c>
      <c r="X85" s="43" t="n">
        <f aca="false">-In_Commitment_Fee*($I80-SUM($J80:X80)+X80)*X$6*(X12&gt;0)</f>
        <v>-31.3730329517733</v>
      </c>
      <c r="Y85" s="43" t="n">
        <f aca="false">-In_Commitment_Fee*($I80-SUM($J80:Y80)+Y80)*Y$6*(Y12&gt;0)</f>
        <v>-17.5248243197598</v>
      </c>
      <c r="Z85" s="43" t="n">
        <f aca="false">-In_Commitment_Fee*($I80-SUM($J80:Z80)+Z80)*Z$6*(Z12&gt;0)</f>
        <v>-0</v>
      </c>
      <c r="AA85" s="43" t="n">
        <f aca="false">-In_Commitment_Fee*($I80-SUM($J80:AA80)+AA80)*AA$6*(AA12&gt;0)</f>
        <v>-0</v>
      </c>
      <c r="AB85" s="43" t="n">
        <f aca="false">-In_Commitment_Fee*($I80-SUM($J80:AB80)+AB80)*AB$6*(AB12&gt;0)</f>
        <v>-0</v>
      </c>
      <c r="AC85" s="43" t="n">
        <f aca="false">-In_Commitment_Fee*($I80-SUM($J80:AC80)+AC80)*AC$6*(AC12&gt;0)</f>
        <v>-0</v>
      </c>
      <c r="AD85" s="43" t="n">
        <f aca="false">-In_Commitment_Fee*($I80-SUM($J80:AD80)+AD80)*AD$6*(AD12&gt;0)</f>
        <v>-0</v>
      </c>
      <c r="AE85" s="43" t="n">
        <f aca="false">-In_Commitment_Fee*($I80-SUM($J80:AE80)+AE80)*AE$6*(AE12&gt;0)</f>
        <v>-0</v>
      </c>
      <c r="AF85" s="43" t="n">
        <f aca="false">-In_Commitment_Fee*($I80-SUM($J80:AF80)+AF80)*AF$6*(AF12&gt;0)</f>
        <v>-0</v>
      </c>
      <c r="AG85" s="43" t="n">
        <f aca="false">-In_Commitment_Fee*($I80-SUM($J80:AG80)+AG80)*AG$6*(AG12&gt;0)</f>
        <v>-0</v>
      </c>
      <c r="AH85" s="43" t="n">
        <f aca="false">-In_Commitment_Fee*($I80-SUM($J80:AH80)+AH80)*AH$6*(AH12&gt;0)</f>
        <v>-0</v>
      </c>
      <c r="AI85" s="43" t="n">
        <f aca="false">-In_Commitment_Fee*($I80-SUM($J80:AI80)+AI80)*AI$6*(AI12&gt;0)</f>
        <v>-0</v>
      </c>
      <c r="AJ85" s="43" t="n">
        <f aca="false">-In_Commitment_Fee*($I80-SUM($J80:AJ80)+AJ80)*AJ$6*(AJ12&gt;0)</f>
        <v>-0</v>
      </c>
      <c r="AK85" s="43" t="n">
        <f aca="false">-In_Commitment_Fee*($I80-SUM($J80:AK80)+AK80)*AK$6*(AK12&gt;0)</f>
        <v>-0</v>
      </c>
      <c r="AL85" s="43" t="n">
        <f aca="false">-In_Commitment_Fee*($I80-SUM($J80:AL80)+AL80)*AL$6*(AL12&gt;0)</f>
        <v>-0</v>
      </c>
      <c r="AM85" s="43" t="n">
        <f aca="false">-In_Commitment_Fee*($I80-SUM($J80:AM80)+AM80)*AM$6*(AM12&gt;0)</f>
        <v>-0</v>
      </c>
      <c r="AN85" s="43" t="n">
        <f aca="false">-In_Commitment_Fee*($I80-SUM($J80:AN80)+AN80)*AN$6*(AN12&gt;0)</f>
        <v>-0</v>
      </c>
      <c r="AO85" s="43" t="n">
        <f aca="false">-In_Commitment_Fee*($I80-SUM($J80:AO80)+AO80)*AO$6*(AO12&gt;0)</f>
        <v>-0</v>
      </c>
      <c r="AP85" s="43" t="n">
        <f aca="false">-In_Commitment_Fee*($I80-SUM($J80:AP80)+AP80)*AP$6*(AP12&gt;0)</f>
        <v>-0</v>
      </c>
      <c r="AQ85" s="43" t="n">
        <f aca="false">-In_Commitment_Fee*($I80-SUM($J80:AQ80)+AQ80)*AQ$6*(AQ12&gt;0)</f>
        <v>-0</v>
      </c>
      <c r="AR85" s="43" t="n">
        <f aca="false">-In_Commitment_Fee*($I80-SUM($J80:AR80)+AR80)*AR$6*(AR12&gt;0)</f>
        <v>-0</v>
      </c>
      <c r="AS85" s="43" t="n">
        <f aca="false">-In_Commitment_Fee*($I80-SUM($J80:AS80)+AS80)*AS$6*(AS12&gt;0)</f>
        <v>-0</v>
      </c>
      <c r="AT85" s="43" t="n">
        <f aca="false">-In_Commitment_Fee*($I80-SUM($J80:AT80)+AT80)*AT$6*(AT12&gt;0)</f>
        <v>-0</v>
      </c>
      <c r="AU85" s="43" t="n">
        <f aca="false">-In_Commitment_Fee*($I80-SUM($J80:AU80)+AU80)*AU$6*(AU12&gt;0)</f>
        <v>-0</v>
      </c>
      <c r="AV85" s="43" t="n">
        <f aca="false">-In_Commitment_Fee*($I80-SUM($J80:AV80)+AV80)*AV$6*(AV12&gt;0)</f>
        <v>-0</v>
      </c>
      <c r="AW85" s="43" t="n">
        <f aca="false">-In_Commitment_Fee*($I80-SUM($J80:AW80)+AW80)*AW$6*(AW12&gt;0)</f>
        <v>-0</v>
      </c>
      <c r="AX85" s="43" t="n">
        <f aca="false">-In_Commitment_Fee*($I80-SUM($J80:AX80)+AX80)*AX$6*(AX12&gt;0)</f>
        <v>-0</v>
      </c>
      <c r="AY85" s="43" t="n">
        <f aca="false">-In_Commitment_Fee*($I80-SUM($J80:AY80)+AY80)*AY$6*(AY12&gt;0)</f>
        <v>-0</v>
      </c>
      <c r="AZ85" s="43" t="n">
        <f aca="false">-In_Commitment_Fee*($I80-SUM($J80:AZ80)+AZ80)*AZ$6*(AZ12&gt;0)</f>
        <v>-0</v>
      </c>
      <c r="BA85" s="43" t="n">
        <f aca="false">-In_Commitment_Fee*($I80-SUM($J80:BA80)+BA80)*BA$6*(BA12&gt;0)</f>
        <v>-0</v>
      </c>
      <c r="BB85" s="43" t="n">
        <f aca="false">-In_Commitment_Fee*($I80-SUM($J80:BB80)+BB80)*BB$6*(BB12&gt;0)</f>
        <v>-0</v>
      </c>
      <c r="BC85" s="43" t="n">
        <f aca="false">-In_Commitment_Fee*($I80-SUM($J80:BC80)+BC80)*BC$6*(BC12&gt;0)</f>
        <v>-0</v>
      </c>
      <c r="BD85" s="43" t="n">
        <f aca="false">-In_Commitment_Fee*($I80-SUM($J80:BD80)+BD80)*BD$6*(BD12&gt;0)</f>
        <v>-0</v>
      </c>
      <c r="BE85" s="43" t="n">
        <f aca="false">-In_Commitment_Fee*($I80-SUM($J80:BE80)+BE80)*BE$6*(BE12&gt;0)</f>
        <v>-0</v>
      </c>
      <c r="BF85" s="43" t="n">
        <f aca="false">-In_Commitment_Fee*($I80-SUM($J80:BF80)+BF80)*BF$6*(BF12&gt;0)</f>
        <v>-0</v>
      </c>
      <c r="BG85" s="43" t="n">
        <f aca="false">-In_Commitment_Fee*($I80-SUM($J80:BG80)+BG80)*BG$6*(BG12&gt;0)</f>
        <v>-0</v>
      </c>
      <c r="BH85" s="43" t="n">
        <f aca="false">-In_Commitment_Fee*($I80-SUM($J80:BH80)+BH80)*BH$6*(BH12&gt;0)</f>
        <v>-0</v>
      </c>
      <c r="BI85" s="43" t="n">
        <f aca="false">-In_Commitment_Fee*($I80-SUM($J80:BI80)+BI80)*BI$6*(BI12&gt;0)</f>
        <v>-0</v>
      </c>
      <c r="BJ85" s="43" t="n">
        <f aca="false">-In_Commitment_Fee*($I80-SUM($J80:BJ80)+BJ80)*BJ$6*(BJ12&gt;0)</f>
        <v>-0</v>
      </c>
      <c r="BK85" s="43" t="n">
        <f aca="false">-In_Commitment_Fee*($I80-SUM($J80:BK80)+BK80)*BK$6*(BK12&gt;0)</f>
        <v>-0</v>
      </c>
      <c r="BL85" s="43" t="n">
        <f aca="false">-In_Commitment_Fee*($I80-SUM($J80:BL80)+BL80)*BL$6*(BL12&gt;0)</f>
        <v>-0</v>
      </c>
      <c r="BM85" s="43" t="n">
        <f aca="false">-In_Commitment_Fee*($I80-SUM($J80:BM80)+BM80)*BM$6*(BM12&gt;0)</f>
        <v>-0</v>
      </c>
      <c r="BN85" s="43" t="n">
        <f aca="false">-In_Commitment_Fee*($I80-SUM($J80:BN80)+BN80)*BN$6*(BN12&gt;0)</f>
        <v>-0</v>
      </c>
      <c r="BO85" s="43" t="n">
        <f aca="false">-In_Commitment_Fee*($I80-SUM($J80:BO80)+BO80)*BO$6*(BO12&gt;0)</f>
        <v>-0</v>
      </c>
      <c r="BP85" s="43" t="n">
        <f aca="false">-In_Commitment_Fee*($I80-SUM($J80:BP80)+BP80)*BP$6*(BP12&gt;0)</f>
        <v>-0</v>
      </c>
      <c r="BQ85" s="43" t="n">
        <f aca="false">-In_Commitment_Fee*($I80-SUM($J80:BQ80)+BQ80)*BQ$6*(BQ12&gt;0)</f>
        <v>-0</v>
      </c>
      <c r="BR85" s="43" t="n">
        <f aca="false">-In_Commitment_Fee*($I80-SUM($J80:BR80)+BR80)*BR$6*(BR12&gt;0)</f>
        <v>-0</v>
      </c>
      <c r="BS85" s="43" t="n">
        <f aca="false">-In_Commitment_Fee*($I80-SUM($J80:BS80)+BS80)*BS$6*(BS12&gt;0)</f>
        <v>-0</v>
      </c>
      <c r="BT85" s="43" t="n">
        <f aca="false">-In_Commitment_Fee*($I80-SUM($J80:BT80)+BT80)*BT$6*(BT12&gt;0)</f>
        <v>-0</v>
      </c>
      <c r="BU85" s="43" t="n">
        <f aca="false">-In_Commitment_Fee*($I80-SUM($J80:BU80)+BU80)*BU$6*(BU12&gt;0)</f>
        <v>-0</v>
      </c>
      <c r="BV85" s="43" t="n">
        <f aca="false">-In_Commitment_Fee*($I80-SUM($J80:BV80)+BV80)*BV$6*(BV12&gt;0)</f>
        <v>-0</v>
      </c>
      <c r="BW85" s="43" t="n">
        <f aca="false">-In_Commitment_Fee*($I80-SUM($J80:BW80)+BW80)*BW$6*(BW12&gt;0)</f>
        <v>-0</v>
      </c>
      <c r="BX85" s="43" t="n">
        <f aca="false">-In_Commitment_Fee*($I80-SUM($J80:BX80)+BX80)*BX$6*(BX12&gt;0)</f>
        <v>-0</v>
      </c>
      <c r="BY85" s="43" t="n">
        <f aca="false">-In_Commitment_Fee*($I80-SUM($J80:BY80)+BY80)*BY$6*(BY12&gt;0)</f>
        <v>-0</v>
      </c>
      <c r="BZ85" s="43" t="n">
        <f aca="false">-In_Commitment_Fee*($I80-SUM($J80:BZ80)+BZ80)*BZ$6*(BZ12&gt;0)</f>
        <v>-0</v>
      </c>
      <c r="CA85" s="43" t="n">
        <f aca="false">-In_Commitment_Fee*($I80-SUM($J80:CA80)+CA80)*CA$6*(CA12&gt;0)</f>
        <v>-0</v>
      </c>
      <c r="CB85" s="43" t="n">
        <f aca="false">-In_Commitment_Fee*($I80-SUM($J80:CB80)+CB80)*CB$6*(CB12&gt;0)</f>
        <v>-0</v>
      </c>
      <c r="CC85" s="43" t="n">
        <f aca="false">-In_Commitment_Fee*($I80-SUM($J80:CC80)+CC80)*CC$6*(CC12&gt;0)</f>
        <v>-0</v>
      </c>
      <c r="CD85" s="43" t="n">
        <f aca="false">-In_Commitment_Fee*($I80-SUM($J80:CD80)+CD80)*CD$6*(CD12&gt;0)</f>
        <v>-0</v>
      </c>
      <c r="CE85" s="43" t="n">
        <f aca="false">-In_Commitment_Fee*($I80-SUM($J80:CE80)+CE80)*CE$6*(CE12&gt;0)</f>
        <v>-0</v>
      </c>
      <c r="CF85" s="43" t="n">
        <f aca="false">-In_Commitment_Fee*($I80-SUM($J80:CF80)+CF80)*CF$6*(CF12&gt;0)</f>
        <v>-0</v>
      </c>
      <c r="CG85" s="43" t="n">
        <f aca="false">-In_Commitment_Fee*($I80-SUM($J80:CG80)+CG80)*CG$6*(CG12&gt;0)</f>
        <v>-0</v>
      </c>
      <c r="CH85" s="43" t="n">
        <f aca="false">-In_Commitment_Fee*($I80-SUM($J80:CH80)+CH80)*CH$6*(CH12&gt;0)</f>
        <v>-0</v>
      </c>
      <c r="CI85" s="43" t="n">
        <f aca="false">-In_Commitment_Fee*($I80-SUM($J80:CI80)+CI80)*CI$6*(CI12&gt;0)</f>
        <v>-0</v>
      </c>
      <c r="CJ85" s="43" t="n">
        <f aca="false">-In_Commitment_Fee*($I80-SUM($J80:CJ80)+CJ80)*CJ$6*(CJ12&gt;0)</f>
        <v>-0</v>
      </c>
      <c r="CK85" s="43" t="n">
        <f aca="false">-In_Commitment_Fee*($I80-SUM($J80:CK80)+CK80)*CK$6*(CK12&gt;0)</f>
        <v>-0</v>
      </c>
      <c r="CL85" s="43" t="n">
        <f aca="false">-In_Commitment_Fee*($I80-SUM($J80:CL80)+CL80)*CL$6*(CL12&gt;0)</f>
        <v>-0</v>
      </c>
      <c r="CM85" s="43" t="n">
        <f aca="false">-In_Commitment_Fee*($I80-SUM($J80:CM80)+CM80)*CM$6*(CM12&gt;0)</f>
        <v>-0</v>
      </c>
      <c r="CN85" s="43" t="n">
        <f aca="false">-In_Commitment_Fee*($I80-SUM($J80:CN80)+CN80)*CN$6*(CN12&gt;0)</f>
        <v>-0</v>
      </c>
      <c r="CO85" s="43" t="n">
        <f aca="false">-In_Commitment_Fee*($I80-SUM($J80:CO80)+CO80)*CO$6*(CO12&gt;0)</f>
        <v>-0</v>
      </c>
      <c r="CP85" s="43" t="n">
        <f aca="false">-In_Commitment_Fee*($I80-SUM($J80:CP80)+CP80)*CP$6*(CP12&gt;0)</f>
        <v>-0</v>
      </c>
      <c r="CQ85" s="43" t="n">
        <f aca="false">-In_Commitment_Fee*($I80-SUM($J80:CQ80)+CQ80)*CQ$6*(CQ12&gt;0)</f>
        <v>-0</v>
      </c>
      <c r="CR85" s="43" t="n">
        <f aca="false">-In_Commitment_Fee*($I80-SUM($J80:CR80)+CR80)*CR$6*(CR12&gt;0)</f>
        <v>-0</v>
      </c>
      <c r="CS85" s="43" t="n">
        <f aca="false">-In_Commitment_Fee*($I80-SUM($J80:CS80)+CS80)*CS$6*(CS12&gt;0)</f>
        <v>-0</v>
      </c>
      <c r="CT85" s="43" t="n">
        <f aca="false">-In_Commitment_Fee*($I80-SUM($J80:CT80)+CT80)*CT$6*(CT12&gt;0)</f>
        <v>-0</v>
      </c>
      <c r="CU85" s="43" t="n">
        <f aca="false">-In_Commitment_Fee*($I80-SUM($J80:CU80)+CU80)*CU$6*(CU12&gt;0)</f>
        <v>-0</v>
      </c>
      <c r="CV85" s="43" t="n">
        <f aca="false">-In_Commitment_Fee*($I80-SUM($J80:CV80)+CV80)*CV$6*(CV12&gt;0)</f>
        <v>-0</v>
      </c>
      <c r="CW85" s="43" t="n">
        <f aca="false">-In_Commitment_Fee*($I80-SUM($J80:CW80)+CW80)*CW$6*(CW12&gt;0)</f>
        <v>-0</v>
      </c>
      <c r="CX85" s="43" t="n">
        <f aca="false">-In_Commitment_Fee*($I80-SUM($J80:CX80)+CX80)*CX$6*(CX12&gt;0)</f>
        <v>-0</v>
      </c>
      <c r="CY85" s="43" t="n">
        <f aca="false">-In_Commitment_Fee*($I80-SUM($J80:CY80)+CY80)*CY$6*(CY12&gt;0)</f>
        <v>-0</v>
      </c>
      <c r="CZ85" s="43" t="n">
        <f aca="false">-In_Commitment_Fee*($I80-SUM($J80:CZ80)+CZ80)*CZ$6*(CZ12&gt;0)</f>
        <v>-0</v>
      </c>
      <c r="DA85" s="43" t="n">
        <f aca="false">-In_Commitment_Fee*($I80-SUM($J80:DA80)+DA80)*DA$6*(DA12&gt;0)</f>
        <v>-0</v>
      </c>
      <c r="DB85" s="43" t="n">
        <f aca="false">-In_Commitment_Fee*($I80-SUM($J80:DB80)+DB80)*DB$6*(DB12&gt;0)</f>
        <v>-0</v>
      </c>
      <c r="DC85" s="43" t="n">
        <f aca="false">-In_Commitment_Fee*($I80-SUM($J80:DC80)+DC80)*DC$6*(DC12&gt;0)</f>
        <v>-0</v>
      </c>
      <c r="DD85" s="43" t="n">
        <f aca="false">-In_Commitment_Fee*($I80-SUM($J80:DD80)+DD80)*DD$6*(DD12&gt;0)</f>
        <v>-0</v>
      </c>
      <c r="DE85" s="43" t="n">
        <f aca="false">-In_Commitment_Fee*($I80-SUM($J80:DE80)+DE80)*DE$6*(DE12&gt;0)</f>
        <v>-0</v>
      </c>
      <c r="DF85" s="43" t="n">
        <f aca="false">-In_Commitment_Fee*($I80-SUM($J80:DF80)+DF80)*DF$6*(DF12&gt;0)</f>
        <v>-0</v>
      </c>
      <c r="DG85" s="43" t="n">
        <f aca="false">-In_Commitment_Fee*($I80-SUM($J80:DG80)+DG80)*DG$6*(DG12&gt;0)</f>
        <v>-0</v>
      </c>
      <c r="DH85" s="43" t="n">
        <f aca="false">-In_Commitment_Fee*($I80-SUM($J80:DH80)+DH80)*DH$6*(DH12&gt;0)</f>
        <v>-0</v>
      </c>
      <c r="DI85" s="43" t="n">
        <f aca="false">-In_Commitment_Fee*($I80-SUM($J80:DI80)+DI80)*DI$6*(DI12&gt;0)</f>
        <v>-0</v>
      </c>
      <c r="DJ85" s="43" t="n">
        <f aca="false">-In_Commitment_Fee*($I80-SUM($J80:DJ80)+DJ80)*DJ$6*(DJ12&gt;0)</f>
        <v>-0</v>
      </c>
      <c r="DK85" s="43" t="n">
        <f aca="false">-In_Commitment_Fee*($I80-SUM($J80:DK80)+DK80)*DK$6*(DK12&gt;0)</f>
        <v>-0</v>
      </c>
      <c r="DL85" s="43" t="n">
        <f aca="false">-In_Commitment_Fee*($I80-SUM($J80:DL80)+DL80)*DL$6*(DL12&gt;0)</f>
        <v>-0</v>
      </c>
      <c r="DM85" s="43" t="n">
        <f aca="false">-In_Commitment_Fee*($I80-SUM($J80:DM80)+DM80)*DM$6*(DM12&gt;0)</f>
        <v>-0</v>
      </c>
      <c r="DN85" s="43" t="n">
        <f aca="false">-In_Commitment_Fee*($I80-SUM($J80:DN80)+DN80)*DN$6*(DN12&gt;0)</f>
        <v>-0</v>
      </c>
      <c r="DO85" s="43" t="n">
        <f aca="false">-In_Commitment_Fee*($I80-SUM($J80:DO80)+DO80)*DO$6*(DO12&gt;0)</f>
        <v>-0</v>
      </c>
      <c r="DP85" s="43" t="n">
        <f aca="false">-In_Commitment_Fee*($I80-SUM($J80:DP80)+DP80)*DP$6*(DP12&gt;0)</f>
        <v>-0</v>
      </c>
      <c r="DQ85" s="43" t="n">
        <f aca="false">-In_Commitment_Fee*($I80-SUM($J80:DQ80)+DQ80)*DQ$6*(DQ12&gt;0)</f>
        <v>-0</v>
      </c>
      <c r="DR85" s="43" t="n">
        <f aca="false">-In_Commitment_Fee*($I80-SUM($J80:DR80)+DR80)*DR$6*(DR12&gt;0)</f>
        <v>-0</v>
      </c>
      <c r="DS85" s="43" t="n">
        <f aca="false">-In_Commitment_Fee*($I80-SUM($J80:DS80)+DS80)*DS$6*(DS12&gt;0)</f>
        <v>-0</v>
      </c>
      <c r="DT85" s="43" t="n">
        <f aca="false">-In_Commitment_Fee*($I80-SUM($J80:DT80)+DT80)*DT$6*(DT12&gt;0)</f>
        <v>-0</v>
      </c>
      <c r="DU85" s="43" t="n">
        <f aca="false">-In_Commitment_Fee*($I80-SUM($J80:DU80)+DU80)*DU$6*(DU12&gt;0)</f>
        <v>-0</v>
      </c>
      <c r="DV85" s="43" t="n">
        <f aca="false">-In_Commitment_Fee*($I80-SUM($J80:DV80)+DV80)*DV$6*(DV12&gt;0)</f>
        <v>-0</v>
      </c>
      <c r="DW85" s="43" t="n">
        <f aca="false">-In_Commitment_Fee*($I80-SUM($J80:DW80)+DW80)*DW$6*(DW12&gt;0)</f>
        <v>-0</v>
      </c>
      <c r="DX85" s="43" t="n">
        <f aca="false">-In_Commitment_Fee*($I80-SUM($J80:DX80)+DX80)*DX$6*(DX12&gt;0)</f>
        <v>-0</v>
      </c>
      <c r="DY85" s="43" t="n">
        <f aca="false">-In_Commitment_Fee*($I80-SUM($J80:DY80)+DY80)*DY$6*(DY12&gt;0)</f>
        <v>-0</v>
      </c>
      <c r="DZ85" s="43" t="n">
        <f aca="false">-In_Commitment_Fee*($I80-SUM($J80:DZ80)+DZ80)*DZ$6*(DZ12&gt;0)</f>
        <v>-0</v>
      </c>
      <c r="EA85" s="43" t="n">
        <f aca="false">-In_Commitment_Fee*($I80-SUM($J80:EA80)+EA80)*EA$6*(EA12&gt;0)</f>
        <v>-0</v>
      </c>
      <c r="EB85" s="43" t="n">
        <f aca="false">-In_Commitment_Fee*($I80-SUM($J80:EB80)+EB80)*EB$6*(EB12&gt;0)</f>
        <v>-0</v>
      </c>
      <c r="EC85" s="43" t="n">
        <f aca="false">-In_Commitment_Fee*($I80-SUM($J80:EC80)+EC80)*EC$6*(EC12&gt;0)</f>
        <v>-0</v>
      </c>
      <c r="ED85" s="43" t="n">
        <f aca="false">-In_Commitment_Fee*($I80-SUM($J80:ED80)+ED80)*ED$6*(ED12&gt;0)</f>
        <v>-0</v>
      </c>
      <c r="EE85" s="43" t="n">
        <f aca="false">-In_Commitment_Fee*($I80-SUM($J80:EE80)+EE80)*EE$6*(EE12&gt;0)</f>
        <v>-0</v>
      </c>
      <c r="EF85" s="43" t="n">
        <f aca="false">-In_Commitment_Fee*($I80-SUM($J80:EF80)+EF80)*EF$6*(EF12&gt;0)</f>
        <v>-0</v>
      </c>
      <c r="EG85" s="43" t="n">
        <f aca="false">-In_Commitment_Fee*($I80-SUM($J80:EG80)+EG80)*EG$6*(EG12&gt;0)</f>
        <v>-0</v>
      </c>
      <c r="EH85" s="43" t="n">
        <f aca="false">-In_Commitment_Fee*($I80-SUM($J80:EH80)+EH80)*EH$6*(EH12&gt;0)</f>
        <v>-0</v>
      </c>
      <c r="EI85" s="43" t="n">
        <f aca="false">-In_Commitment_Fee*($I80-SUM($J80:EI80)+EI80)*EI$6*(EI12&gt;0)</f>
        <v>-0</v>
      </c>
      <c r="EJ85" s="43" t="n">
        <f aca="false">-In_Commitment_Fee*($I80-SUM($J80:EJ80)+EJ80)*EJ$6*(EJ12&gt;0)</f>
        <v>-0</v>
      </c>
      <c r="EK85" s="43" t="n">
        <f aca="false">-In_Commitment_Fee*($I80-SUM($J80:EK80)+EK80)*EK$6*(EK12&gt;0)</f>
        <v>-0</v>
      </c>
      <c r="EL85" s="43" t="n">
        <f aca="false">-In_Commitment_Fee*($I80-SUM($J80:EL80)+EL80)*EL$6*(EL12&gt;0)</f>
        <v>-0</v>
      </c>
      <c r="EM85" s="43" t="n">
        <f aca="false">-In_Commitment_Fee*($I80-SUM($J80:EM80)+EM80)*EM$6*(EM12&gt;0)</f>
        <v>-0</v>
      </c>
      <c r="EN85" s="43" t="n">
        <f aca="false">-In_Commitment_Fee*($I80-SUM($J80:EN80)+EN80)*EN$6*(EN12&gt;0)</f>
        <v>-0</v>
      </c>
      <c r="EO85" s="43" t="n">
        <f aca="false">-In_Commitment_Fee*($I80-SUM($J80:EO80)+EO80)*EO$6*(EO12&gt;0)</f>
        <v>-0</v>
      </c>
    </row>
    <row r="86" customFormat="false" ht="15" hidden="false" customHeight="false" outlineLevel="0" collapsed="false">
      <c r="C86" s="0" t="s">
        <v>392</v>
      </c>
      <c r="D86" s="11" t="s">
        <v>33</v>
      </c>
      <c r="E86" s="43" t="n">
        <f aca="false">-SUMIFS($J78:$EO78,$J$4:$EO$4,"&gt;"&amp;In_COD,$J$4:$EO$4,"&lt;="&amp;EDATE(In_COD,In_DSRA_Months))</f>
        <v>1281.00979530102</v>
      </c>
      <c r="I86" s="43" t="n">
        <f aca="false">SUM(J86:EO86)</f>
        <v>0</v>
      </c>
      <c r="J86" s="43" t="n">
        <f aca="false">$E86*(J18-J14)</f>
        <v>0</v>
      </c>
      <c r="K86" s="43" t="n">
        <f aca="false">$E86*(K18-K14)</f>
        <v>0</v>
      </c>
      <c r="L86" s="43" t="n">
        <f aca="false">$E86*(L18-L14)</f>
        <v>0</v>
      </c>
      <c r="M86" s="43" t="n">
        <f aca="false">$E86*(M18-M14)</f>
        <v>0</v>
      </c>
      <c r="N86" s="43" t="n">
        <f aca="false">$E86*(N18-N14)</f>
        <v>0</v>
      </c>
      <c r="O86" s="43" t="n">
        <f aca="false">$E86*(O18-O14)</f>
        <v>0</v>
      </c>
      <c r="P86" s="43" t="n">
        <f aca="false">$E86*(P18-P14)</f>
        <v>0</v>
      </c>
      <c r="Q86" s="43" t="n">
        <f aca="false">$E86*(Q18-Q14)</f>
        <v>0</v>
      </c>
      <c r="R86" s="43" t="n">
        <f aca="false">$E86*(R18-R14)</f>
        <v>0</v>
      </c>
      <c r="S86" s="43" t="n">
        <f aca="false">$E86*(S18-S14)</f>
        <v>0</v>
      </c>
      <c r="T86" s="43" t="n">
        <f aca="false">$E86*(T18-T14)</f>
        <v>0</v>
      </c>
      <c r="U86" s="43" t="n">
        <f aca="false">$E86*(U18-U14)</f>
        <v>0</v>
      </c>
      <c r="V86" s="43" t="n">
        <f aca="false">$E86*(V18-V14)</f>
        <v>0</v>
      </c>
      <c r="W86" s="43" t="n">
        <f aca="false">$E86*(W18-W14)</f>
        <v>0</v>
      </c>
      <c r="X86" s="43" t="n">
        <f aca="false">$E86*(X18-X14)</f>
        <v>0</v>
      </c>
      <c r="Y86" s="43" t="n">
        <f aca="false">$E86*(Y18-Y14)</f>
        <v>-1281.00979530102</v>
      </c>
      <c r="Z86" s="43" t="n">
        <f aca="false">$E86*(Z18-Z14)</f>
        <v>0</v>
      </c>
      <c r="AA86" s="43" t="n">
        <f aca="false">$E86*(AA18-AA14)</f>
        <v>0</v>
      </c>
      <c r="AB86" s="43" t="n">
        <f aca="false">$E86*(AB18-AB14)</f>
        <v>0</v>
      </c>
      <c r="AC86" s="43" t="n">
        <f aca="false">$E86*(AC18-AC14)</f>
        <v>0</v>
      </c>
      <c r="AD86" s="43" t="n">
        <f aca="false">$E86*(AD18-AD14)</f>
        <v>0</v>
      </c>
      <c r="AE86" s="43" t="n">
        <f aca="false">$E86*(AE18-AE14)</f>
        <v>0</v>
      </c>
      <c r="AF86" s="43" t="n">
        <f aca="false">$E86*(AF18-AF14)</f>
        <v>0</v>
      </c>
      <c r="AG86" s="43" t="n">
        <f aca="false">$E86*(AG18-AG14)</f>
        <v>0</v>
      </c>
      <c r="AH86" s="43" t="n">
        <f aca="false">$E86*(AH18-AH14)</f>
        <v>0</v>
      </c>
      <c r="AI86" s="43" t="n">
        <f aca="false">$E86*(AI18-AI14)</f>
        <v>0</v>
      </c>
      <c r="AJ86" s="43" t="n">
        <f aca="false">$E86*(AJ18-AJ14)</f>
        <v>0</v>
      </c>
      <c r="AK86" s="43" t="n">
        <f aca="false">$E86*(AK18-AK14)</f>
        <v>0</v>
      </c>
      <c r="AL86" s="43" t="n">
        <f aca="false">$E86*(AL18-AL14)</f>
        <v>0</v>
      </c>
      <c r="AM86" s="43" t="n">
        <f aca="false">$E86*(AM18-AM14)</f>
        <v>0</v>
      </c>
      <c r="AN86" s="43" t="n">
        <f aca="false">$E86*(AN18-AN14)</f>
        <v>0</v>
      </c>
      <c r="AO86" s="43" t="n">
        <f aca="false">$E86*(AO18-AO14)</f>
        <v>0</v>
      </c>
      <c r="AP86" s="43" t="n">
        <f aca="false">$E86*(AP18-AP14)</f>
        <v>0</v>
      </c>
      <c r="AQ86" s="43" t="n">
        <f aca="false">$E86*(AQ18-AQ14)</f>
        <v>0</v>
      </c>
      <c r="AR86" s="43" t="n">
        <f aca="false">$E86*(AR18-AR14)</f>
        <v>0</v>
      </c>
      <c r="AS86" s="43" t="n">
        <f aca="false">$E86*(AS18-AS14)</f>
        <v>0</v>
      </c>
      <c r="AT86" s="43" t="n">
        <f aca="false">$E86*(AT18-AT14)</f>
        <v>0</v>
      </c>
      <c r="AU86" s="43" t="n">
        <f aca="false">$E86*(AU18-AU14)</f>
        <v>0</v>
      </c>
      <c r="AV86" s="43" t="n">
        <f aca="false">$E86*(AV18-AV14)</f>
        <v>0</v>
      </c>
      <c r="AW86" s="43" t="n">
        <f aca="false">$E86*(AW18-AW14)</f>
        <v>0</v>
      </c>
      <c r="AX86" s="43" t="n">
        <f aca="false">$E86*(AX18-AX14)</f>
        <v>0</v>
      </c>
      <c r="AY86" s="43" t="n">
        <f aca="false">$E86*(AY18-AY14)</f>
        <v>0</v>
      </c>
      <c r="AZ86" s="43" t="n">
        <f aca="false">$E86*(AZ18-AZ14)</f>
        <v>0</v>
      </c>
      <c r="BA86" s="43" t="n">
        <f aca="false">$E86*(BA18-BA14)</f>
        <v>0</v>
      </c>
      <c r="BB86" s="43" t="n">
        <f aca="false">$E86*(BB18-BB14)</f>
        <v>0</v>
      </c>
      <c r="BC86" s="43" t="n">
        <f aca="false">$E86*(BC18-BC14)</f>
        <v>0</v>
      </c>
      <c r="BD86" s="43" t="n">
        <f aca="false">$E86*(BD18-BD14)</f>
        <v>0</v>
      </c>
      <c r="BE86" s="43" t="n">
        <f aca="false">$E86*(BE18-BE14)</f>
        <v>0</v>
      </c>
      <c r="BF86" s="43" t="n">
        <f aca="false">$E86*(BF18-BF14)</f>
        <v>0</v>
      </c>
      <c r="BG86" s="43" t="n">
        <f aca="false">$E86*(BG18-BG14)</f>
        <v>0</v>
      </c>
      <c r="BH86" s="43" t="n">
        <f aca="false">$E86*(BH18-BH14)</f>
        <v>0</v>
      </c>
      <c r="BI86" s="43" t="n">
        <f aca="false">$E86*(BI18-BI14)</f>
        <v>0</v>
      </c>
      <c r="BJ86" s="43" t="n">
        <f aca="false">$E86*(BJ18-BJ14)</f>
        <v>0</v>
      </c>
      <c r="BK86" s="43" t="n">
        <f aca="false">$E86*(BK18-BK14)</f>
        <v>0</v>
      </c>
      <c r="BL86" s="43" t="n">
        <f aca="false">$E86*(BL18-BL14)</f>
        <v>0</v>
      </c>
      <c r="BM86" s="43" t="n">
        <f aca="false">$E86*(BM18-BM14)</f>
        <v>0</v>
      </c>
      <c r="BN86" s="43" t="n">
        <f aca="false">$E86*(BN18-BN14)</f>
        <v>0</v>
      </c>
      <c r="BO86" s="43" t="n">
        <f aca="false">$E86*(BO18-BO14)</f>
        <v>0</v>
      </c>
      <c r="BP86" s="43" t="n">
        <f aca="false">$E86*(BP18-BP14)</f>
        <v>0</v>
      </c>
      <c r="BQ86" s="43" t="n">
        <f aca="false">$E86*(BQ18-BQ14)</f>
        <v>0</v>
      </c>
      <c r="BR86" s="43" t="n">
        <f aca="false">$E86*(BR18-BR14)</f>
        <v>0</v>
      </c>
      <c r="BS86" s="43" t="n">
        <f aca="false">$E86*(BS18-BS14)</f>
        <v>0</v>
      </c>
      <c r="BT86" s="43" t="n">
        <f aca="false">$E86*(BT18-BT14)</f>
        <v>0</v>
      </c>
      <c r="BU86" s="43" t="n">
        <f aca="false">$E86*(BU18-BU14)</f>
        <v>0</v>
      </c>
      <c r="BV86" s="43" t="n">
        <f aca="false">$E86*(BV18-BV14)</f>
        <v>0</v>
      </c>
      <c r="BW86" s="43" t="n">
        <f aca="false">$E86*(BW18-BW14)</f>
        <v>0</v>
      </c>
      <c r="BX86" s="43" t="n">
        <f aca="false">$E86*(BX18-BX14)</f>
        <v>0</v>
      </c>
      <c r="BY86" s="43" t="n">
        <f aca="false">$E86*(BY18-BY14)</f>
        <v>0</v>
      </c>
      <c r="BZ86" s="43" t="n">
        <f aca="false">$E86*(BZ18-BZ14)</f>
        <v>0</v>
      </c>
      <c r="CA86" s="43" t="n">
        <f aca="false">$E86*(CA18-CA14)</f>
        <v>0</v>
      </c>
      <c r="CB86" s="43" t="n">
        <f aca="false">$E86*(CB18-CB14)</f>
        <v>0</v>
      </c>
      <c r="CC86" s="43" t="n">
        <f aca="false">$E86*(CC18-CC14)</f>
        <v>0</v>
      </c>
      <c r="CD86" s="43" t="n">
        <f aca="false">$E86*(CD18-CD14)</f>
        <v>0</v>
      </c>
      <c r="CE86" s="43" t="n">
        <f aca="false">$E86*(CE18-CE14)</f>
        <v>0</v>
      </c>
      <c r="CF86" s="43" t="n">
        <f aca="false">$E86*(CF18-CF14)</f>
        <v>0</v>
      </c>
      <c r="CG86" s="43" t="n">
        <f aca="false">$E86*(CG18-CG14)</f>
        <v>0</v>
      </c>
      <c r="CH86" s="43" t="n">
        <f aca="false">$E86*(CH18-CH14)</f>
        <v>0</v>
      </c>
      <c r="CI86" s="43" t="n">
        <f aca="false">$E86*(CI18-CI14)</f>
        <v>0</v>
      </c>
      <c r="CJ86" s="43" t="n">
        <f aca="false">$E86*(CJ18-CJ14)</f>
        <v>0</v>
      </c>
      <c r="CK86" s="43" t="n">
        <f aca="false">$E86*(CK18-CK14)</f>
        <v>0</v>
      </c>
      <c r="CL86" s="43" t="n">
        <f aca="false">$E86*(CL18-CL14)</f>
        <v>0</v>
      </c>
      <c r="CM86" s="43" t="n">
        <f aca="false">$E86*(CM18-CM14)</f>
        <v>0</v>
      </c>
      <c r="CN86" s="43" t="n">
        <f aca="false">$E86*(CN18-CN14)</f>
        <v>0</v>
      </c>
      <c r="CO86" s="43" t="n">
        <f aca="false">$E86*(CO18-CO14)</f>
        <v>0</v>
      </c>
      <c r="CP86" s="43" t="n">
        <f aca="false">$E86*(CP18-CP14)</f>
        <v>0</v>
      </c>
      <c r="CQ86" s="43" t="n">
        <f aca="false">$E86*(CQ18-CQ14)</f>
        <v>0</v>
      </c>
      <c r="CR86" s="43" t="n">
        <f aca="false">$E86*(CR18-CR14)</f>
        <v>0</v>
      </c>
      <c r="CS86" s="43" t="n">
        <f aca="false">$E86*(CS18-CS14)</f>
        <v>1281.00979530102</v>
      </c>
      <c r="CT86" s="43" t="n">
        <f aca="false">$E86*(CT18-CT14)</f>
        <v>0</v>
      </c>
      <c r="CU86" s="43" t="n">
        <f aca="false">$E86*(CU18-CU14)</f>
        <v>0</v>
      </c>
      <c r="CV86" s="43" t="n">
        <f aca="false">$E86*(CV18-CV14)</f>
        <v>0</v>
      </c>
      <c r="CW86" s="43" t="n">
        <f aca="false">$E86*(CW18-CW14)</f>
        <v>0</v>
      </c>
      <c r="CX86" s="43" t="n">
        <f aca="false">$E86*(CX18-CX14)</f>
        <v>0</v>
      </c>
      <c r="CY86" s="43" t="n">
        <f aca="false">$E86*(CY18-CY14)</f>
        <v>0</v>
      </c>
      <c r="CZ86" s="43" t="n">
        <f aca="false">$E86*(CZ18-CZ14)</f>
        <v>0</v>
      </c>
      <c r="DA86" s="43" t="n">
        <f aca="false">$E86*(DA18-DA14)</f>
        <v>0</v>
      </c>
      <c r="DB86" s="43" t="n">
        <f aca="false">$E86*(DB18-DB14)</f>
        <v>0</v>
      </c>
      <c r="DC86" s="43" t="n">
        <f aca="false">$E86*(DC18-DC14)</f>
        <v>0</v>
      </c>
      <c r="DD86" s="43" t="n">
        <f aca="false">$E86*(DD18-DD14)</f>
        <v>0</v>
      </c>
      <c r="DE86" s="43" t="n">
        <f aca="false">$E86*(DE18-DE14)</f>
        <v>0</v>
      </c>
      <c r="DF86" s="43" t="n">
        <f aca="false">$E86*(DF18-DF14)</f>
        <v>0</v>
      </c>
      <c r="DG86" s="43" t="n">
        <f aca="false">$E86*(DG18-DG14)</f>
        <v>0</v>
      </c>
      <c r="DH86" s="43" t="n">
        <f aca="false">$E86*(DH18-DH14)</f>
        <v>0</v>
      </c>
      <c r="DI86" s="43" t="n">
        <f aca="false">$E86*(DI18-DI14)</f>
        <v>0</v>
      </c>
      <c r="DJ86" s="43" t="n">
        <f aca="false">$E86*(DJ18-DJ14)</f>
        <v>0</v>
      </c>
      <c r="DK86" s="43" t="n">
        <f aca="false">$E86*(DK18-DK14)</f>
        <v>0</v>
      </c>
      <c r="DL86" s="43" t="n">
        <f aca="false">$E86*(DL18-DL14)</f>
        <v>0</v>
      </c>
      <c r="DM86" s="43" t="n">
        <f aca="false">$E86*(DM18-DM14)</f>
        <v>0</v>
      </c>
      <c r="DN86" s="43" t="n">
        <f aca="false">$E86*(DN18-DN14)</f>
        <v>0</v>
      </c>
      <c r="DO86" s="43" t="n">
        <f aca="false">$E86*(DO18-DO14)</f>
        <v>0</v>
      </c>
      <c r="DP86" s="43" t="n">
        <f aca="false">$E86*(DP18-DP14)</f>
        <v>0</v>
      </c>
      <c r="DQ86" s="43" t="n">
        <f aca="false">$E86*(DQ18-DQ14)</f>
        <v>0</v>
      </c>
      <c r="DR86" s="43" t="n">
        <f aca="false">$E86*(DR18-DR14)</f>
        <v>0</v>
      </c>
      <c r="DS86" s="43" t="n">
        <f aca="false">$E86*(DS18-DS14)</f>
        <v>0</v>
      </c>
      <c r="DT86" s="43" t="n">
        <f aca="false">$E86*(DT18-DT14)</f>
        <v>0</v>
      </c>
      <c r="DU86" s="43" t="n">
        <f aca="false">$E86*(DU18-DU14)</f>
        <v>0</v>
      </c>
      <c r="DV86" s="43" t="n">
        <f aca="false">$E86*(DV18-DV14)</f>
        <v>0</v>
      </c>
      <c r="DW86" s="43" t="n">
        <f aca="false">$E86*(DW18-DW14)</f>
        <v>0</v>
      </c>
      <c r="DX86" s="43" t="n">
        <f aca="false">$E86*(DX18-DX14)</f>
        <v>0</v>
      </c>
      <c r="DY86" s="43" t="n">
        <f aca="false">$E86*(DY18-DY14)</f>
        <v>0</v>
      </c>
      <c r="DZ86" s="43" t="n">
        <f aca="false">$E86*(DZ18-DZ14)</f>
        <v>0</v>
      </c>
      <c r="EA86" s="43" t="n">
        <f aca="false">$E86*(EA18-EA14)</f>
        <v>0</v>
      </c>
      <c r="EB86" s="43" t="n">
        <f aca="false">$E86*(EB18-EB14)</f>
        <v>0</v>
      </c>
      <c r="EC86" s="43" t="n">
        <f aca="false">$E86*(EC18-EC14)</f>
        <v>0</v>
      </c>
      <c r="ED86" s="43" t="n">
        <f aca="false">$E86*(ED18-ED14)</f>
        <v>0</v>
      </c>
      <c r="EE86" s="43" t="n">
        <f aca="false">$E86*(EE18-EE14)</f>
        <v>0</v>
      </c>
      <c r="EF86" s="43" t="n">
        <f aca="false">$E86*(EF18-EF14)</f>
        <v>0</v>
      </c>
      <c r="EG86" s="43" t="n">
        <f aca="false">$E86*(EG18-EG14)</f>
        <v>0</v>
      </c>
      <c r="EH86" s="43" t="n">
        <f aca="false">$E86*(EH18-EH14)</f>
        <v>0</v>
      </c>
      <c r="EI86" s="43" t="n">
        <f aca="false">$E86*(EI18-EI14)</f>
        <v>0</v>
      </c>
      <c r="EJ86" s="43" t="n">
        <f aca="false">$E86*(EJ18-EJ14)</f>
        <v>0</v>
      </c>
      <c r="EK86" s="43" t="n">
        <f aca="false">$E86*(EK18-EK14)</f>
        <v>0</v>
      </c>
      <c r="EL86" s="43" t="n">
        <f aca="false">$E86*(EL18-EL14)</f>
        <v>0</v>
      </c>
      <c r="EM86" s="43" t="n">
        <f aca="false">$E86*(EM18-EM14)</f>
        <v>0</v>
      </c>
      <c r="EN86" s="43" t="n">
        <f aca="false">$E86*(EN18-EN14)</f>
        <v>0</v>
      </c>
      <c r="EO86" s="43" t="n">
        <f aca="false">$E86*(EO18-EO14)</f>
        <v>0</v>
      </c>
    </row>
    <row r="87" customFormat="false" ht="15" hidden="false" customHeight="false" outlineLevel="0" collapsed="false">
      <c r="C87" s="0" t="s">
        <v>393</v>
      </c>
      <c r="D87" s="11" t="s">
        <v>13</v>
      </c>
      <c r="E87" s="50" t="n">
        <f aca="false">MIN($J87:$EO87)</f>
        <v>1.58470856456693</v>
      </c>
      <c r="J87" s="50" t="str">
        <f aca="false">IF(J78&lt;0,J71/-J78,"")</f>
        <v/>
      </c>
      <c r="K87" s="50" t="str">
        <f aca="false">IF(K78&lt;0,K71/-K78,"")</f>
        <v/>
      </c>
      <c r="L87" s="50" t="str">
        <f aca="false">IF(L78&lt;0,L71/-L78,"")</f>
        <v/>
      </c>
      <c r="M87" s="50" t="str">
        <f aca="false">IF(M78&lt;0,M71/-M78,"")</f>
        <v/>
      </c>
      <c r="N87" s="50" t="str">
        <f aca="false">IF(N78&lt;0,N71/-N78,"")</f>
        <v/>
      </c>
      <c r="O87" s="50" t="str">
        <f aca="false">IF(O78&lt;0,O71/-O78,"")</f>
        <v/>
      </c>
      <c r="P87" s="50" t="str">
        <f aca="false">IF(P78&lt;0,P71/-P78,"")</f>
        <v/>
      </c>
      <c r="Q87" s="50" t="str">
        <f aca="false">IF(Q78&lt;0,Q71/-Q78,"")</f>
        <v/>
      </c>
      <c r="R87" s="50" t="str">
        <f aca="false">IF(R78&lt;0,R71/-R78,"")</f>
        <v/>
      </c>
      <c r="S87" s="50" t="str">
        <f aca="false">IF(S78&lt;0,S71/-S78,"")</f>
        <v/>
      </c>
      <c r="T87" s="50" t="str">
        <f aca="false">IF(T78&lt;0,T71/-T78,"")</f>
        <v/>
      </c>
      <c r="U87" s="50" t="str">
        <f aca="false">IF(U78&lt;0,U71/-U78,"")</f>
        <v/>
      </c>
      <c r="V87" s="50" t="str">
        <f aca="false">IF(V78&lt;0,V71/-V78,"")</f>
        <v/>
      </c>
      <c r="W87" s="50" t="str">
        <f aca="false">IF(W78&lt;0,W71/-W78,"")</f>
        <v/>
      </c>
      <c r="X87" s="50" t="str">
        <f aca="false">IF(X78&lt;0,X71/-X78,"")</f>
        <v/>
      </c>
      <c r="Y87" s="50" t="str">
        <f aca="false">IF(Y78&lt;0,Y71/-Y78,"")</f>
        <v/>
      </c>
      <c r="Z87" s="50" t="n">
        <f aca="false">IF(Z78&lt;0,Z71/-Z78,"")</f>
        <v>1.58470856456693</v>
      </c>
      <c r="AA87" s="50" t="n">
        <f aca="false">IF(AA78&lt;0,AA71/-AA78,"")</f>
        <v>1.58470856456693</v>
      </c>
      <c r="AB87" s="50" t="n">
        <f aca="false">IF(AB78&lt;0,AB71/-AB78,"")</f>
        <v>1.58470856456693</v>
      </c>
      <c r="AC87" s="50" t="n">
        <f aca="false">IF(AC78&lt;0,AC71/-AC78,"")</f>
        <v>1.58470856456693</v>
      </c>
      <c r="AD87" s="50" t="n">
        <f aca="false">IF(AD78&lt;0,AD71/-AD78,"")</f>
        <v>1.58470856456693</v>
      </c>
      <c r="AE87" s="50" t="n">
        <f aca="false">IF(AE78&lt;0,AE71/-AE78,"")</f>
        <v>1.58470856456693</v>
      </c>
      <c r="AF87" s="50" t="n">
        <f aca="false">IF(AF78&lt;0,AF71/-AF78,"")</f>
        <v>1.58470856456693</v>
      </c>
      <c r="AG87" s="50" t="n">
        <f aca="false">IF(AG78&lt;0,AG71/-AG78,"")</f>
        <v>1.58470856456693</v>
      </c>
      <c r="AH87" s="50" t="n">
        <f aca="false">IF(AH78&lt;0,AH71/-AH78,"")</f>
        <v>1.58470856456693</v>
      </c>
      <c r="AI87" s="50" t="n">
        <f aca="false">IF(AI78&lt;0,AI71/-AI78,"")</f>
        <v>1.58470856456693</v>
      </c>
      <c r="AJ87" s="50" t="n">
        <f aca="false">IF(AJ78&lt;0,AJ71/-AJ78,"")</f>
        <v>1.58470856456693</v>
      </c>
      <c r="AK87" s="50" t="n">
        <f aca="false">IF(AK78&lt;0,AK71/-AK78,"")</f>
        <v>1.58470856456693</v>
      </c>
      <c r="AL87" s="50" t="n">
        <f aca="false">IF(AL78&lt;0,AL71/-AL78,"")</f>
        <v>1.58470856456693</v>
      </c>
      <c r="AM87" s="50" t="n">
        <f aca="false">IF(AM78&lt;0,AM71/-AM78,"")</f>
        <v>1.58470856456693</v>
      </c>
      <c r="AN87" s="50" t="n">
        <f aca="false">IF(AN78&lt;0,AN71/-AN78,"")</f>
        <v>1.58470856456693</v>
      </c>
      <c r="AO87" s="50" t="n">
        <f aca="false">IF(AO78&lt;0,AO71/-AO78,"")</f>
        <v>1.58470856456693</v>
      </c>
      <c r="AP87" s="50" t="n">
        <f aca="false">IF(AP78&lt;0,AP71/-AP78,"")</f>
        <v>1.58470856456693</v>
      </c>
      <c r="AQ87" s="50" t="n">
        <f aca="false">IF(AQ78&lt;0,AQ71/-AQ78,"")</f>
        <v>1.58470856456693</v>
      </c>
      <c r="AR87" s="50" t="n">
        <f aca="false">IF(AR78&lt;0,AR71/-AR78,"")</f>
        <v>1.58470856456693</v>
      </c>
      <c r="AS87" s="50" t="n">
        <f aca="false">IF(AS78&lt;0,AS71/-AS78,"")</f>
        <v>1.58470856456693</v>
      </c>
      <c r="AT87" s="50" t="n">
        <f aca="false">IF(AT78&lt;0,AT71/-AT78,"")</f>
        <v>1.58470856456693</v>
      </c>
      <c r="AU87" s="50" t="n">
        <f aca="false">IF(AU78&lt;0,AU71/-AU78,"")</f>
        <v>1.58470856456693</v>
      </c>
      <c r="AV87" s="50" t="n">
        <f aca="false">IF(AV78&lt;0,AV71/-AV78,"")</f>
        <v>1.58470856456693</v>
      </c>
      <c r="AW87" s="50" t="n">
        <f aca="false">IF(AW78&lt;0,AW71/-AW78,"")</f>
        <v>1.58470856456693</v>
      </c>
      <c r="AX87" s="50" t="n">
        <f aca="false">IF(AX78&lt;0,AX71/-AX78,"")</f>
        <v>1.58470856456693</v>
      </c>
      <c r="AY87" s="50" t="n">
        <f aca="false">IF(AY78&lt;0,AY71/-AY78,"")</f>
        <v>1.58470856456693</v>
      </c>
      <c r="AZ87" s="50" t="n">
        <f aca="false">IF(AZ78&lt;0,AZ71/-AZ78,"")</f>
        <v>1.58470856456693</v>
      </c>
      <c r="BA87" s="50" t="n">
        <f aca="false">IF(BA78&lt;0,BA71/-BA78,"")</f>
        <v>1.58470856456693</v>
      </c>
      <c r="BB87" s="50" t="n">
        <f aca="false">IF(BB78&lt;0,BB71/-BB78,"")</f>
        <v>1.58470856456693</v>
      </c>
      <c r="BC87" s="50" t="n">
        <f aca="false">IF(BC78&lt;0,BC71/-BC78,"")</f>
        <v>1.58470856456693</v>
      </c>
      <c r="BD87" s="50" t="n">
        <f aca="false">IF(BD78&lt;0,BD71/-BD78,"")</f>
        <v>1.58470856456693</v>
      </c>
      <c r="BE87" s="50" t="n">
        <f aca="false">IF(BE78&lt;0,BE71/-BE78,"")</f>
        <v>1.58470856456693</v>
      </c>
      <c r="BF87" s="50" t="n">
        <f aca="false">IF(BF78&lt;0,BF71/-BF78,"")</f>
        <v>1.58470856456693</v>
      </c>
      <c r="BG87" s="50" t="n">
        <f aca="false">IF(BG78&lt;0,BG71/-BG78,"")</f>
        <v>1.58470856456693</v>
      </c>
      <c r="BH87" s="50" t="n">
        <f aca="false">IF(BH78&lt;0,BH71/-BH78,"")</f>
        <v>1.58470856456693</v>
      </c>
      <c r="BI87" s="50" t="n">
        <f aca="false">IF(BI78&lt;0,BI71/-BI78,"")</f>
        <v>1.58470856456693</v>
      </c>
      <c r="BJ87" s="50" t="n">
        <f aca="false">IF(BJ78&lt;0,BJ71/-BJ78,"")</f>
        <v>1.58470856456693</v>
      </c>
      <c r="BK87" s="50" t="n">
        <f aca="false">IF(BK78&lt;0,BK71/-BK78,"")</f>
        <v>1.58470856456693</v>
      </c>
      <c r="BL87" s="50" t="n">
        <f aca="false">IF(BL78&lt;0,BL71/-BL78,"")</f>
        <v>1.58470856456693</v>
      </c>
      <c r="BM87" s="50" t="n">
        <f aca="false">IF(BM78&lt;0,BM71/-BM78,"")</f>
        <v>1.58470856456693</v>
      </c>
      <c r="BN87" s="50" t="n">
        <f aca="false">IF(BN78&lt;0,BN71/-BN78,"")</f>
        <v>1.58470856456693</v>
      </c>
      <c r="BO87" s="50" t="n">
        <f aca="false">IF(BO78&lt;0,BO71/-BO78,"")</f>
        <v>1.58470856456693</v>
      </c>
      <c r="BP87" s="50" t="n">
        <f aca="false">IF(BP78&lt;0,BP71/-BP78,"")</f>
        <v>1.58470856456693</v>
      </c>
      <c r="BQ87" s="50" t="n">
        <f aca="false">IF(BQ78&lt;0,BQ71/-BQ78,"")</f>
        <v>1.58470856456693</v>
      </c>
      <c r="BR87" s="50" t="n">
        <f aca="false">IF(BR78&lt;0,BR71/-BR78,"")</f>
        <v>1.58470856456693</v>
      </c>
      <c r="BS87" s="50" t="n">
        <f aca="false">IF(BS78&lt;0,BS71/-BS78,"")</f>
        <v>1.58470856456693</v>
      </c>
      <c r="BT87" s="50" t="n">
        <f aca="false">IF(BT78&lt;0,BT71/-BT78,"")</f>
        <v>1.58470856456693</v>
      </c>
      <c r="BU87" s="50" t="n">
        <f aca="false">IF(BU78&lt;0,BU71/-BU78,"")</f>
        <v>1.58470856456693</v>
      </c>
      <c r="BV87" s="50" t="n">
        <f aca="false">IF(BV78&lt;0,BV71/-BV78,"")</f>
        <v>1.58470856456693</v>
      </c>
      <c r="BW87" s="50" t="n">
        <f aca="false">IF(BW78&lt;0,BW71/-BW78,"")</f>
        <v>1.58470856456693</v>
      </c>
      <c r="BX87" s="50" t="n">
        <f aca="false">IF(BX78&lt;0,BX71/-BX78,"")</f>
        <v>1.58470856456693</v>
      </c>
      <c r="BY87" s="50" t="n">
        <f aca="false">IF(BY78&lt;0,BY71/-BY78,"")</f>
        <v>1.58470856456693</v>
      </c>
      <c r="BZ87" s="50" t="n">
        <f aca="false">IF(BZ78&lt;0,BZ71/-BZ78,"")</f>
        <v>1.58470856456693</v>
      </c>
      <c r="CA87" s="50" t="n">
        <f aca="false">IF(CA78&lt;0,CA71/-CA78,"")</f>
        <v>1.58470856456693</v>
      </c>
      <c r="CB87" s="50" t="n">
        <f aca="false">IF(CB78&lt;0,CB71/-CB78,"")</f>
        <v>1.58470856456693</v>
      </c>
      <c r="CC87" s="50" t="n">
        <f aca="false">IF(CC78&lt;0,CC71/-CC78,"")</f>
        <v>1.58470856456693</v>
      </c>
      <c r="CD87" s="50" t="n">
        <f aca="false">IF(CD78&lt;0,CD71/-CD78,"")</f>
        <v>1.58470856456693</v>
      </c>
      <c r="CE87" s="50" t="n">
        <f aca="false">IF(CE78&lt;0,CE71/-CE78,"")</f>
        <v>1.58470856456693</v>
      </c>
      <c r="CF87" s="50" t="n">
        <f aca="false">IF(CF78&lt;0,CF71/-CF78,"")</f>
        <v>1.58470856456693</v>
      </c>
      <c r="CG87" s="50" t="n">
        <f aca="false">IF(CG78&lt;0,CG71/-CG78,"")</f>
        <v>1.58470856456693</v>
      </c>
      <c r="CH87" s="50" t="n">
        <f aca="false">IF(CH78&lt;0,CH71/-CH78,"")</f>
        <v>1.58470856456693</v>
      </c>
      <c r="CI87" s="50" t="n">
        <f aca="false">IF(CI78&lt;0,CI71/-CI78,"")</f>
        <v>1.58470856456693</v>
      </c>
      <c r="CJ87" s="50" t="n">
        <f aca="false">IF(CJ78&lt;0,CJ71/-CJ78,"")</f>
        <v>1.58470856456693</v>
      </c>
      <c r="CK87" s="50" t="n">
        <f aca="false">IF(CK78&lt;0,CK71/-CK78,"")</f>
        <v>1.58470856456693</v>
      </c>
      <c r="CL87" s="50" t="n">
        <f aca="false">IF(CL78&lt;0,CL71/-CL78,"")</f>
        <v>1.58470856456693</v>
      </c>
      <c r="CM87" s="50" t="n">
        <f aca="false">IF(CM78&lt;0,CM71/-CM78,"")</f>
        <v>1.58470856456693</v>
      </c>
      <c r="CN87" s="50" t="n">
        <f aca="false">IF(CN78&lt;0,CN71/-CN78,"")</f>
        <v>1.58470856456693</v>
      </c>
      <c r="CO87" s="50" t="n">
        <f aca="false">IF(CO78&lt;0,CO71/-CO78,"")</f>
        <v>1.58470856456693</v>
      </c>
      <c r="CP87" s="50" t="n">
        <f aca="false">IF(CP78&lt;0,CP71/-CP78,"")</f>
        <v>1.58470856456693</v>
      </c>
      <c r="CQ87" s="50" t="n">
        <f aca="false">IF(CQ78&lt;0,CQ71/-CQ78,"")</f>
        <v>1.58470856456693</v>
      </c>
      <c r="CR87" s="50" t="n">
        <f aca="false">IF(CR78&lt;0,CR71/-CR78,"")</f>
        <v>1.58470856456693</v>
      </c>
      <c r="CS87" s="50" t="n">
        <f aca="false">IF(CS78&lt;0,CS71/-CS78,"")</f>
        <v>1.58470856456693</v>
      </c>
      <c r="CT87" s="50" t="str">
        <f aca="false">IF(CT78&lt;0,CT71/-CT78,"")</f>
        <v/>
      </c>
      <c r="CU87" s="50" t="str">
        <f aca="false">IF(CU78&lt;0,CU71/-CU78,"")</f>
        <v/>
      </c>
      <c r="CV87" s="50" t="str">
        <f aca="false">IF(CV78&lt;0,CV71/-CV78,"")</f>
        <v/>
      </c>
      <c r="CW87" s="50" t="str">
        <f aca="false">IF(CW78&lt;0,CW71/-CW78,"")</f>
        <v/>
      </c>
      <c r="CX87" s="50" t="str">
        <f aca="false">IF(CX78&lt;0,CX71/-CX78,"")</f>
        <v/>
      </c>
      <c r="CY87" s="50" t="str">
        <f aca="false">IF(CY78&lt;0,CY71/-CY78,"")</f>
        <v/>
      </c>
      <c r="CZ87" s="50" t="str">
        <f aca="false">IF(CZ78&lt;0,CZ71/-CZ78,"")</f>
        <v/>
      </c>
      <c r="DA87" s="50" t="str">
        <f aca="false">IF(DA78&lt;0,DA71/-DA78,"")</f>
        <v/>
      </c>
      <c r="DB87" s="50" t="str">
        <f aca="false">IF(DB78&lt;0,DB71/-DB78,"")</f>
        <v/>
      </c>
      <c r="DC87" s="50" t="str">
        <f aca="false">IF(DC78&lt;0,DC71/-DC78,"")</f>
        <v/>
      </c>
      <c r="DD87" s="50" t="str">
        <f aca="false">IF(DD78&lt;0,DD71/-DD78,"")</f>
        <v/>
      </c>
      <c r="DE87" s="50" t="str">
        <f aca="false">IF(DE78&lt;0,DE71/-DE78,"")</f>
        <v/>
      </c>
      <c r="DF87" s="50" t="str">
        <f aca="false">IF(DF78&lt;0,DF71/-DF78,"")</f>
        <v/>
      </c>
      <c r="DG87" s="50" t="str">
        <f aca="false">IF(DG78&lt;0,DG71/-DG78,"")</f>
        <v/>
      </c>
      <c r="DH87" s="50" t="str">
        <f aca="false">IF(DH78&lt;0,DH71/-DH78,"")</f>
        <v/>
      </c>
      <c r="DI87" s="50" t="str">
        <f aca="false">IF(DI78&lt;0,DI71/-DI78,"")</f>
        <v/>
      </c>
      <c r="DJ87" s="50" t="str">
        <f aca="false">IF(DJ78&lt;0,DJ71/-DJ78,"")</f>
        <v/>
      </c>
      <c r="DK87" s="50" t="str">
        <f aca="false">IF(DK78&lt;0,DK71/-DK78,"")</f>
        <v/>
      </c>
      <c r="DL87" s="50" t="str">
        <f aca="false">IF(DL78&lt;0,DL71/-DL78,"")</f>
        <v/>
      </c>
      <c r="DM87" s="50" t="str">
        <f aca="false">IF(DM78&lt;0,DM71/-DM78,"")</f>
        <v/>
      </c>
      <c r="DN87" s="50" t="str">
        <f aca="false">IF(DN78&lt;0,DN71/-DN78,"")</f>
        <v/>
      </c>
      <c r="DO87" s="50" t="str">
        <f aca="false">IF(DO78&lt;0,DO71/-DO78,"")</f>
        <v/>
      </c>
      <c r="DP87" s="50" t="str">
        <f aca="false">IF(DP78&lt;0,DP71/-DP78,"")</f>
        <v/>
      </c>
      <c r="DQ87" s="50" t="str">
        <f aca="false">IF(DQ78&lt;0,DQ71/-DQ78,"")</f>
        <v/>
      </c>
      <c r="DR87" s="50" t="str">
        <f aca="false">IF(DR78&lt;0,DR71/-DR78,"")</f>
        <v/>
      </c>
      <c r="DS87" s="50" t="str">
        <f aca="false">IF(DS78&lt;0,DS71/-DS78,"")</f>
        <v/>
      </c>
      <c r="DT87" s="50" t="str">
        <f aca="false">IF(DT78&lt;0,DT71/-DT78,"")</f>
        <v/>
      </c>
      <c r="DU87" s="50" t="str">
        <f aca="false">IF(DU78&lt;0,DU71/-DU78,"")</f>
        <v/>
      </c>
      <c r="DV87" s="50" t="str">
        <f aca="false">IF(DV78&lt;0,DV71/-DV78,"")</f>
        <v/>
      </c>
      <c r="DW87" s="50" t="str">
        <f aca="false">IF(DW78&lt;0,DW71/-DW78,"")</f>
        <v/>
      </c>
      <c r="DX87" s="50" t="str">
        <f aca="false">IF(DX78&lt;0,DX71/-DX78,"")</f>
        <v/>
      </c>
      <c r="DY87" s="50" t="str">
        <f aca="false">IF(DY78&lt;0,DY71/-DY78,"")</f>
        <v/>
      </c>
      <c r="DZ87" s="50" t="str">
        <f aca="false">IF(DZ78&lt;0,DZ71/-DZ78,"")</f>
        <v/>
      </c>
      <c r="EA87" s="50" t="str">
        <f aca="false">IF(EA78&lt;0,EA71/-EA78,"")</f>
        <v/>
      </c>
      <c r="EB87" s="50" t="str">
        <f aca="false">IF(EB78&lt;0,EB71/-EB78,"")</f>
        <v/>
      </c>
      <c r="EC87" s="50" t="str">
        <f aca="false">IF(EC78&lt;0,EC71/-EC78,"")</f>
        <v/>
      </c>
      <c r="ED87" s="50" t="str">
        <f aca="false">IF(ED78&lt;0,ED71/-ED78,"")</f>
        <v/>
      </c>
      <c r="EE87" s="50" t="str">
        <f aca="false">IF(EE78&lt;0,EE71/-EE78,"")</f>
        <v/>
      </c>
      <c r="EF87" s="50" t="str">
        <f aca="false">IF(EF78&lt;0,EF71/-EF78,"")</f>
        <v/>
      </c>
      <c r="EG87" s="50" t="str">
        <f aca="false">IF(EG78&lt;0,EG71/-EG78,"")</f>
        <v/>
      </c>
      <c r="EH87" s="50" t="str">
        <f aca="false">IF(EH78&lt;0,EH71/-EH78,"")</f>
        <v/>
      </c>
      <c r="EI87" s="50" t="str">
        <f aca="false">IF(EI78&lt;0,EI71/-EI78,"")</f>
        <v/>
      </c>
      <c r="EJ87" s="50" t="str">
        <f aca="false">IF(EJ78&lt;0,EJ71/-EJ78,"")</f>
        <v/>
      </c>
      <c r="EK87" s="50" t="str">
        <f aca="false">IF(EK78&lt;0,EK71/-EK78,"")</f>
        <v/>
      </c>
      <c r="EL87" s="50" t="str">
        <f aca="false">IF(EL78&lt;0,EL71/-EL78,"")</f>
        <v/>
      </c>
      <c r="EM87" s="50" t="str">
        <f aca="false">IF(EM78&lt;0,EM71/-EM78,"")</f>
        <v/>
      </c>
      <c r="EN87" s="50" t="str">
        <f aca="false">IF(EN78&lt;0,EN71/-EN78,"")</f>
        <v/>
      </c>
      <c r="EO87" s="50" t="str">
        <f aca="false">IF(EO78&lt;0,EO71/-EO78,"")</f>
        <v/>
      </c>
    </row>
    <row r="89" customFormat="false" ht="15" hidden="false" customHeight="false" outlineLevel="0" collapsed="false">
      <c r="A89" s="9" t="s">
        <v>13</v>
      </c>
      <c r="B89" s="9"/>
      <c r="C89" s="9" t="s">
        <v>394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</row>
    <row r="90" customFormat="false" ht="15" hidden="false" customHeight="false" outlineLevel="0" collapsed="false">
      <c r="C90" s="0" t="s">
        <v>395</v>
      </c>
      <c r="D90" s="11" t="s">
        <v>33</v>
      </c>
      <c r="E90" s="43" t="n">
        <f aca="false">$I81-($I52+$I45+$I53+$I42+$I35+$I36+$I37)</f>
        <v>81164.3135413716</v>
      </c>
      <c r="I90" s="43" t="n">
        <f aca="false">SUM(J90:EO90)</f>
        <v>-81164.3135413716</v>
      </c>
      <c r="J90" s="43" t="n">
        <f aca="false">-$E90*J19</f>
        <v>-0</v>
      </c>
      <c r="K90" s="43" t="n">
        <f aca="false">-$E90*K19</f>
        <v>-0</v>
      </c>
      <c r="L90" s="43" t="n">
        <f aca="false">-$E90*L19</f>
        <v>-0</v>
      </c>
      <c r="M90" s="43" t="n">
        <f aca="false">-$E90*M19</f>
        <v>-0</v>
      </c>
      <c r="N90" s="43" t="n">
        <f aca="false">-$E90*N19</f>
        <v>-0</v>
      </c>
      <c r="O90" s="43" t="n">
        <f aca="false">-$E90*O19</f>
        <v>-0</v>
      </c>
      <c r="P90" s="43" t="n">
        <f aca="false">-$E90*P19</f>
        <v>-0</v>
      </c>
      <c r="Q90" s="43" t="n">
        <f aca="false">-$E90*Q19</f>
        <v>-0</v>
      </c>
      <c r="R90" s="43" t="n">
        <f aca="false">-$E90*R19</f>
        <v>-0</v>
      </c>
      <c r="S90" s="43" t="n">
        <f aca="false">-$E90*S19</f>
        <v>-0</v>
      </c>
      <c r="T90" s="43" t="n">
        <f aca="false">-$E90*T19</f>
        <v>-0</v>
      </c>
      <c r="U90" s="43" t="n">
        <f aca="false">-$E90*U19</f>
        <v>-0</v>
      </c>
      <c r="V90" s="43" t="n">
        <f aca="false">-$E90*V19</f>
        <v>-0</v>
      </c>
      <c r="W90" s="43" t="n">
        <f aca="false">-$E90*W19</f>
        <v>-0</v>
      </c>
      <c r="X90" s="43" t="n">
        <f aca="false">-$E90*X19</f>
        <v>-0</v>
      </c>
      <c r="Y90" s="43" t="n">
        <f aca="false">-$E90*Y19</f>
        <v>-0</v>
      </c>
      <c r="Z90" s="43" t="n">
        <f aca="false">-$E90*Z19</f>
        <v>-1022.19258669489</v>
      </c>
      <c r="AA90" s="43" t="n">
        <f aca="false">-$E90*AA19</f>
        <v>-999.971008723265</v>
      </c>
      <c r="AB90" s="43" t="n">
        <f aca="false">-$E90*AB19</f>
        <v>-1011.08179770908</v>
      </c>
      <c r="AC90" s="43" t="n">
        <f aca="false">-$E90*AC19</f>
        <v>-1022.19258669489</v>
      </c>
      <c r="AD90" s="43" t="n">
        <f aca="false">-$E90*AD19</f>
        <v>-1022.19258669489</v>
      </c>
      <c r="AE90" s="43" t="n">
        <f aca="false">-$E90*AE19</f>
        <v>-1011.08179770908</v>
      </c>
      <c r="AF90" s="43" t="n">
        <f aca="false">-$E90*AF19</f>
        <v>-1011.08179770908</v>
      </c>
      <c r="AG90" s="43" t="n">
        <f aca="false">-$E90*AG19</f>
        <v>-1022.19258669489</v>
      </c>
      <c r="AH90" s="43" t="n">
        <f aca="false">-$E90*AH19</f>
        <v>-1022.19258669489</v>
      </c>
      <c r="AI90" s="43" t="n">
        <f aca="false">-$E90*AI19</f>
        <v>-999.971008723265</v>
      </c>
      <c r="AJ90" s="43" t="n">
        <f aca="false">-$E90*AJ19</f>
        <v>-1011.08179770908</v>
      </c>
      <c r="AK90" s="43" t="n">
        <f aca="false">-$E90*AK19</f>
        <v>-1022.19258669489</v>
      </c>
      <c r="AL90" s="43" t="n">
        <f aca="false">-$E90*AL19</f>
        <v>-1022.19258669489</v>
      </c>
      <c r="AM90" s="43" t="n">
        <f aca="false">-$E90*AM19</f>
        <v>-999.971008723265</v>
      </c>
      <c r="AN90" s="43" t="n">
        <f aca="false">-$E90*AN19</f>
        <v>-1011.08179770908</v>
      </c>
      <c r="AO90" s="43" t="n">
        <f aca="false">-$E90*AO19</f>
        <v>-1022.19258669489</v>
      </c>
      <c r="AP90" s="43" t="n">
        <f aca="false">-$E90*AP19</f>
        <v>-1022.19258669489</v>
      </c>
      <c r="AQ90" s="43" t="n">
        <f aca="false">-$E90*AQ19</f>
        <v>-999.971008723265</v>
      </c>
      <c r="AR90" s="43" t="n">
        <f aca="false">-$E90*AR19</f>
        <v>-1011.08179770908</v>
      </c>
      <c r="AS90" s="43" t="n">
        <f aca="false">-$E90*AS19</f>
        <v>-1022.19258669489</v>
      </c>
      <c r="AT90" s="43" t="n">
        <f aca="false">-$E90*AT19</f>
        <v>-1022.19258669489</v>
      </c>
      <c r="AU90" s="43" t="n">
        <f aca="false">-$E90*AU19</f>
        <v>-1011.08179770908</v>
      </c>
      <c r="AV90" s="43" t="n">
        <f aca="false">-$E90*AV19</f>
        <v>-1011.08179770908</v>
      </c>
      <c r="AW90" s="43" t="n">
        <f aca="false">-$E90*AW19</f>
        <v>-1022.19258669489</v>
      </c>
      <c r="AX90" s="43" t="n">
        <f aca="false">-$E90*AX19</f>
        <v>-1022.19258669489</v>
      </c>
      <c r="AY90" s="43" t="n">
        <f aca="false">-$E90*AY19</f>
        <v>-999.971008723265</v>
      </c>
      <c r="AZ90" s="43" t="n">
        <f aca="false">-$E90*AZ19</f>
        <v>-1011.08179770908</v>
      </c>
      <c r="BA90" s="43" t="n">
        <f aca="false">-$E90*BA19</f>
        <v>-1022.19258669489</v>
      </c>
      <c r="BB90" s="43" t="n">
        <f aca="false">-$E90*BB19</f>
        <v>-1022.19258669489</v>
      </c>
      <c r="BC90" s="43" t="n">
        <f aca="false">-$E90*BC19</f>
        <v>-999.971008723265</v>
      </c>
      <c r="BD90" s="43" t="n">
        <f aca="false">-$E90*BD19</f>
        <v>-1011.08179770908</v>
      </c>
      <c r="BE90" s="43" t="n">
        <f aca="false">-$E90*BE19</f>
        <v>-1022.19258669489</v>
      </c>
      <c r="BF90" s="43" t="n">
        <f aca="false">-$E90*BF19</f>
        <v>-1022.19258669489</v>
      </c>
      <c r="BG90" s="43" t="n">
        <f aca="false">-$E90*BG19</f>
        <v>-999.971008723265</v>
      </c>
      <c r="BH90" s="43" t="n">
        <f aca="false">-$E90*BH19</f>
        <v>-1011.08179770908</v>
      </c>
      <c r="BI90" s="43" t="n">
        <f aca="false">-$E90*BI19</f>
        <v>-1022.19258669489</v>
      </c>
      <c r="BJ90" s="43" t="n">
        <f aca="false">-$E90*BJ19</f>
        <v>-1022.19258669489</v>
      </c>
      <c r="BK90" s="43" t="n">
        <f aca="false">-$E90*BK19</f>
        <v>-1011.08179770908</v>
      </c>
      <c r="BL90" s="43" t="n">
        <f aca="false">-$E90*BL19</f>
        <v>-1011.08179770908</v>
      </c>
      <c r="BM90" s="43" t="n">
        <f aca="false">-$E90*BM19</f>
        <v>-1022.19258669489</v>
      </c>
      <c r="BN90" s="43" t="n">
        <f aca="false">-$E90*BN19</f>
        <v>-1022.19258669489</v>
      </c>
      <c r="BO90" s="43" t="n">
        <f aca="false">-$E90*BO19</f>
        <v>-999.971008723265</v>
      </c>
      <c r="BP90" s="43" t="n">
        <f aca="false">-$E90*BP19</f>
        <v>-1011.08179770908</v>
      </c>
      <c r="BQ90" s="43" t="n">
        <f aca="false">-$E90*BQ19</f>
        <v>-1022.19258669489</v>
      </c>
      <c r="BR90" s="43" t="n">
        <f aca="false">-$E90*BR19</f>
        <v>-1022.19258669489</v>
      </c>
      <c r="BS90" s="43" t="n">
        <f aca="false">-$E90*BS19</f>
        <v>-999.971008723265</v>
      </c>
      <c r="BT90" s="43" t="n">
        <f aca="false">-$E90*BT19</f>
        <v>-1011.08179770908</v>
      </c>
      <c r="BU90" s="43" t="n">
        <f aca="false">-$E90*BU19</f>
        <v>-1022.19258669489</v>
      </c>
      <c r="BV90" s="43" t="n">
        <f aca="false">-$E90*BV19</f>
        <v>-1022.19258669489</v>
      </c>
      <c r="BW90" s="43" t="n">
        <f aca="false">-$E90*BW19</f>
        <v>-999.971008723265</v>
      </c>
      <c r="BX90" s="43" t="n">
        <f aca="false">-$E90*BX19</f>
        <v>-1011.08179770908</v>
      </c>
      <c r="BY90" s="43" t="n">
        <f aca="false">-$E90*BY19</f>
        <v>-1022.19258669489</v>
      </c>
      <c r="BZ90" s="43" t="n">
        <f aca="false">-$E90*BZ19</f>
        <v>-1022.19258669489</v>
      </c>
      <c r="CA90" s="43" t="n">
        <f aca="false">-$E90*CA19</f>
        <v>-1011.08179770908</v>
      </c>
      <c r="CB90" s="43" t="n">
        <f aca="false">-$E90*CB19</f>
        <v>-1011.08179770908</v>
      </c>
      <c r="CC90" s="43" t="n">
        <f aca="false">-$E90*CC19</f>
        <v>-1022.19258669489</v>
      </c>
      <c r="CD90" s="43" t="n">
        <f aca="false">-$E90*CD19</f>
        <v>-1022.19258669489</v>
      </c>
      <c r="CE90" s="43" t="n">
        <f aca="false">-$E90*CE19</f>
        <v>-999.971008723265</v>
      </c>
      <c r="CF90" s="43" t="n">
        <f aca="false">-$E90*CF19</f>
        <v>-1011.08179770908</v>
      </c>
      <c r="CG90" s="43" t="n">
        <f aca="false">-$E90*CG19</f>
        <v>-1022.19258669489</v>
      </c>
      <c r="CH90" s="43" t="n">
        <f aca="false">-$E90*CH19</f>
        <v>-1022.19258669489</v>
      </c>
      <c r="CI90" s="43" t="n">
        <f aca="false">-$E90*CI19</f>
        <v>-999.971008723265</v>
      </c>
      <c r="CJ90" s="43" t="n">
        <f aca="false">-$E90*CJ19</f>
        <v>-1011.08179770908</v>
      </c>
      <c r="CK90" s="43" t="n">
        <f aca="false">-$E90*CK19</f>
        <v>-1022.19258669489</v>
      </c>
      <c r="CL90" s="43" t="n">
        <f aca="false">-$E90*CL19</f>
        <v>-1022.19258669489</v>
      </c>
      <c r="CM90" s="43" t="n">
        <f aca="false">-$E90*CM19</f>
        <v>-999.971008723265</v>
      </c>
      <c r="CN90" s="43" t="n">
        <f aca="false">-$E90*CN19</f>
        <v>-1011.08179770908</v>
      </c>
      <c r="CO90" s="43" t="n">
        <f aca="false">-$E90*CO19</f>
        <v>-1022.19258669489</v>
      </c>
      <c r="CP90" s="43" t="n">
        <f aca="false">-$E90*CP19</f>
        <v>-1022.19258669489</v>
      </c>
      <c r="CQ90" s="43" t="n">
        <f aca="false">-$E90*CQ19</f>
        <v>-1011.08179770908</v>
      </c>
      <c r="CR90" s="43" t="n">
        <f aca="false">-$E90*CR19</f>
        <v>-1011.08179770908</v>
      </c>
      <c r="CS90" s="43" t="n">
        <f aca="false">-$E90*CS19</f>
        <v>-1022.19258669489</v>
      </c>
      <c r="CT90" s="43" t="n">
        <f aca="false">-$E90*CT19</f>
        <v>-1022.19258669489</v>
      </c>
      <c r="CU90" s="43" t="n">
        <f aca="false">-$E90*CU19</f>
        <v>-999.971008723265</v>
      </c>
      <c r="CV90" s="43" t="n">
        <f aca="false">-$E90*CV19</f>
        <v>-1011.08179770908</v>
      </c>
      <c r="CW90" s="43" t="n">
        <f aca="false">-$E90*CW19</f>
        <v>-1022.19258669489</v>
      </c>
      <c r="CX90" s="43" t="n">
        <f aca="false">-$E90*CX19</f>
        <v>-1022.19258669489</v>
      </c>
      <c r="CY90" s="43" t="n">
        <f aca="false">-$E90*CY19</f>
        <v>-999.971008723265</v>
      </c>
      <c r="CZ90" s="43" t="n">
        <f aca="false">-$E90*CZ19</f>
        <v>-1011.08179770908</v>
      </c>
      <c r="DA90" s="43" t="n">
        <f aca="false">-$E90*DA19</f>
        <v>-1022.19258669489</v>
      </c>
      <c r="DB90" s="43" t="n">
        <f aca="false">-$E90*DB19</f>
        <v>-0</v>
      </c>
      <c r="DC90" s="43" t="n">
        <f aca="false">-$E90*DC19</f>
        <v>-0</v>
      </c>
      <c r="DD90" s="43" t="n">
        <f aca="false">-$E90*DD19</f>
        <v>-0</v>
      </c>
      <c r="DE90" s="43" t="n">
        <f aca="false">-$E90*DE19</f>
        <v>-0</v>
      </c>
      <c r="DF90" s="43" t="n">
        <f aca="false">-$E90*DF19</f>
        <v>-0</v>
      </c>
      <c r="DG90" s="43" t="n">
        <f aca="false">-$E90*DG19</f>
        <v>-0</v>
      </c>
      <c r="DH90" s="43" t="n">
        <f aca="false">-$E90*DH19</f>
        <v>-0</v>
      </c>
      <c r="DI90" s="43" t="n">
        <f aca="false">-$E90*DI19</f>
        <v>-0</v>
      </c>
      <c r="DJ90" s="43" t="n">
        <f aca="false">-$E90*DJ19</f>
        <v>-0</v>
      </c>
      <c r="DK90" s="43" t="n">
        <f aca="false">-$E90*DK19</f>
        <v>-0</v>
      </c>
      <c r="DL90" s="43" t="n">
        <f aca="false">-$E90*DL19</f>
        <v>-0</v>
      </c>
      <c r="DM90" s="43" t="n">
        <f aca="false">-$E90*DM19</f>
        <v>-0</v>
      </c>
      <c r="DN90" s="43" t="n">
        <f aca="false">-$E90*DN19</f>
        <v>-0</v>
      </c>
      <c r="DO90" s="43" t="n">
        <f aca="false">-$E90*DO19</f>
        <v>-0</v>
      </c>
      <c r="DP90" s="43" t="n">
        <f aca="false">-$E90*DP19</f>
        <v>-0</v>
      </c>
      <c r="DQ90" s="43" t="n">
        <f aca="false">-$E90*DQ19</f>
        <v>-0</v>
      </c>
      <c r="DR90" s="43" t="n">
        <f aca="false">-$E90*DR19</f>
        <v>-0</v>
      </c>
      <c r="DS90" s="43" t="n">
        <f aca="false">-$E90*DS19</f>
        <v>-0</v>
      </c>
      <c r="DT90" s="43" t="n">
        <f aca="false">-$E90*DT19</f>
        <v>-0</v>
      </c>
      <c r="DU90" s="43" t="n">
        <f aca="false">-$E90*DU19</f>
        <v>-0</v>
      </c>
      <c r="DV90" s="43" t="n">
        <f aca="false">-$E90*DV19</f>
        <v>-0</v>
      </c>
      <c r="DW90" s="43" t="n">
        <f aca="false">-$E90*DW19</f>
        <v>-0</v>
      </c>
      <c r="DX90" s="43" t="n">
        <f aca="false">-$E90*DX19</f>
        <v>-0</v>
      </c>
      <c r="DY90" s="43" t="n">
        <f aca="false">-$E90*DY19</f>
        <v>-0</v>
      </c>
      <c r="DZ90" s="43" t="n">
        <f aca="false">-$E90*DZ19</f>
        <v>-0</v>
      </c>
      <c r="EA90" s="43" t="n">
        <f aca="false">-$E90*EA19</f>
        <v>-0</v>
      </c>
      <c r="EB90" s="43" t="n">
        <f aca="false">-$E90*EB19</f>
        <v>-0</v>
      </c>
      <c r="EC90" s="43" t="n">
        <f aca="false">-$E90*EC19</f>
        <v>-0</v>
      </c>
      <c r="ED90" s="43" t="n">
        <f aca="false">-$E90*ED19</f>
        <v>-0</v>
      </c>
      <c r="EE90" s="43" t="n">
        <f aca="false">-$E90*EE19</f>
        <v>-0</v>
      </c>
      <c r="EF90" s="43" t="n">
        <f aca="false">-$E90*EF19</f>
        <v>-0</v>
      </c>
      <c r="EG90" s="43" t="n">
        <f aca="false">-$E90*EG19</f>
        <v>-0</v>
      </c>
      <c r="EH90" s="43" t="n">
        <f aca="false">-$E90*EH19</f>
        <v>-0</v>
      </c>
      <c r="EI90" s="43" t="n">
        <f aca="false">-$E90*EI19</f>
        <v>-0</v>
      </c>
      <c r="EJ90" s="43" t="n">
        <f aca="false">-$E90*EJ19</f>
        <v>-0</v>
      </c>
      <c r="EK90" s="43" t="n">
        <f aca="false">-$E90*EK19</f>
        <v>-0</v>
      </c>
      <c r="EL90" s="43" t="n">
        <f aca="false">-$E90*EL19</f>
        <v>-0</v>
      </c>
      <c r="EM90" s="43" t="n">
        <f aca="false">-$E90*EM19</f>
        <v>-0</v>
      </c>
      <c r="EN90" s="43" t="n">
        <f aca="false">-$E90*EN19</f>
        <v>-0</v>
      </c>
      <c r="EO90" s="43" t="n">
        <f aca="false">-$E90*EO19</f>
        <v>-0</v>
      </c>
    </row>
    <row r="91" customFormat="false" ht="15" hidden="false" customHeight="false" outlineLevel="0" collapsed="false">
      <c r="C91" s="0" t="s">
        <v>396</v>
      </c>
      <c r="D91" s="11" t="s">
        <v>33</v>
      </c>
      <c r="I91" s="43" t="n">
        <f aca="false">SUM(J91:EO91)</f>
        <v>137930.685140504</v>
      </c>
      <c r="J91" s="43" t="n">
        <f aca="false">J67+J90+J77+J84+J85+J39+J46</f>
        <v>-11.0990429724151</v>
      </c>
      <c r="K91" s="43" t="n">
        <f aca="false">K67+K90+K77+K84+K85+K39+K46</f>
        <v>-12.342278100957</v>
      </c>
      <c r="L91" s="43" t="n">
        <f aca="false">L67+L90+L77+L84+L85+L39+L46</f>
        <v>-20.7990242071683</v>
      </c>
      <c r="M91" s="43" t="n">
        <f aca="false">M67+M90+M77+M84+M85+M39+M46</f>
        <v>-21.0275849127416</v>
      </c>
      <c r="N91" s="43" t="n">
        <f aca="false">N67+N90+N77+N84+N85+N39+N46</f>
        <v>-21.0275849127416</v>
      </c>
      <c r="O91" s="43" t="n">
        <f aca="false">O67+O90+O77+O84+O85+O39+O46</f>
        <v>-20.7990242071683</v>
      </c>
      <c r="P91" s="43" t="n">
        <f aca="false">P67+P90+P77+P84+P85+P39+P46</f>
        <v>-20.7990242071683</v>
      </c>
      <c r="Q91" s="43" t="n">
        <f aca="false">Q67+Q90+Q77+Q84+Q85+Q39+Q46</f>
        <v>-21.0275849127416</v>
      </c>
      <c r="R91" s="43" t="n">
        <f aca="false">R67+R90+R77+R84+R85+R39+R46</f>
        <v>-1255.85888731372</v>
      </c>
      <c r="S91" s="43" t="n">
        <f aca="false">S67+S90+S77+S84+S85+S39+S46</f>
        <v>-173.386870320355</v>
      </c>
      <c r="T91" s="43" t="n">
        <f aca="false">T67+T90+T77+T84+T85+T39+T46</f>
        <v>-146.7905005268</v>
      </c>
      <c r="U91" s="43" t="n">
        <f aca="false">U67+U90+U77+U84+U85+U39+U46</f>
        <v>-134.210615714292</v>
      </c>
      <c r="V91" s="43" t="n">
        <f aca="false">V67+V90+V77+V84+V85+V39+V46</f>
        <v>-119.861681805491</v>
      </c>
      <c r="W91" s="43" t="n">
        <f aca="false">W67+W90+W77+W84+W85+W39+W46</f>
        <v>-104.166202664665</v>
      </c>
      <c r="X91" s="43" t="n">
        <f aca="false">X67+X90+X77+X84+X85+X39+X46</f>
        <v>-91.4391804466129</v>
      </c>
      <c r="Y91" s="43" t="n">
        <f aca="false">Y67+Y90+Y77+Y84+Y85+Y39+Y46</f>
        <v>-78.2510393694877</v>
      </c>
      <c r="Z91" s="43" t="n">
        <f aca="false">Z67+Z90+Z77+Z84+Z85+Z39+Z46</f>
        <v>258.604162590973</v>
      </c>
      <c r="AA91" s="43" t="n">
        <f aca="false">AA67+AA90+AA77+AA84+AA85+AA39+AA46</f>
        <v>256.087463571946</v>
      </c>
      <c r="AB91" s="43" t="n">
        <f aca="false">AB67+AB90+AB77+AB84+AB85+AB39+AB46</f>
        <v>273.652247260657</v>
      </c>
      <c r="AC91" s="43" t="n">
        <f aca="false">AC67+AC90+AC77+AC84+AC85+AC39+AC46</f>
        <v>291.466215271201</v>
      </c>
      <c r="AD91" s="43" t="n">
        <f aca="false">AD67+AD90+AD77+AD84+AD85+AD39+AD46</f>
        <v>290.9374001546</v>
      </c>
      <c r="AE91" s="43" t="n">
        <f aca="false">AE67+AE90+AE77+AE84+AE85+AE39+AE46</f>
        <v>299.815147527707</v>
      </c>
      <c r="AF91" s="43" t="n">
        <f aca="false">AF67+AF90+AF77+AF84+AF85+AF39+AF46</f>
        <v>306.692529276815</v>
      </c>
      <c r="AG91" s="43" t="n">
        <f aca="false">AG67+AG90+AG77+AG84+AG85+AG39+AG46</f>
        <v>324.945210449558</v>
      </c>
      <c r="AH91" s="43" t="n">
        <f aca="false">AH67+AH90+AH77+AH84+AH85+AH39+AH46</f>
        <v>324.749335230427</v>
      </c>
      <c r="AI91" s="43" t="n">
        <f aca="false">AI67+AI90+AI77+AI84+AI85+AI39+AI46</f>
        <v>322.454395216156</v>
      </c>
      <c r="AJ91" s="43" t="n">
        <f aca="false">AJ67+AJ90+AJ77+AJ84+AJ85+AJ39+AJ46</f>
        <v>361.698521857254</v>
      </c>
      <c r="AK91" s="43" t="n">
        <f aca="false">AK67+AK90+AK77+AK84+AK85+AK39+AK46</f>
        <v>380.788152655646</v>
      </c>
      <c r="AL91" s="43" t="n">
        <f aca="false">AL67+AL90+AL77+AL84+AL85+AL39+AL46</f>
        <v>381.100548322037</v>
      </c>
      <c r="AM91" s="43" t="n">
        <f aca="false">AM67+AM90+AM77+AM84+AM85+AM39+AM46</f>
        <v>378.507511379068</v>
      </c>
      <c r="AN91" s="43" t="n">
        <f aca="false">AN67+AN90+AN77+AN84+AN85+AN39+AN46</f>
        <v>397.668046620425</v>
      </c>
      <c r="AO91" s="43" t="n">
        <f aca="false">AO67+AO90+AO77+AO84+AO85+AO39+AO46</f>
        <v>417.088427010504</v>
      </c>
      <c r="AP91" s="43" t="n">
        <f aca="false">AP67+AP90+AP77+AP84+AP85+AP39+AP46</f>
        <v>417.621416032075</v>
      </c>
      <c r="AQ91" s="43" t="n">
        <f aca="false">AQ67+AQ90+AQ77+AQ84+AQ85+AQ39+AQ46</f>
        <v>415.164307480836</v>
      </c>
      <c r="AR91" s="43" t="n">
        <f aca="false">AR67+AR90+AR77+AR84+AR85+AR39+AR46</f>
        <v>434.791093043612</v>
      </c>
      <c r="AS91" s="43" t="n">
        <f aca="false">AS67+AS90+AS77+AS84+AS85+AS39+AS46</f>
        <v>454.682952292806</v>
      </c>
      <c r="AT91" s="43" t="n">
        <f aca="false">AT67+AT90+AT77+AT84+AT85+AT39+AT46</f>
        <v>455.587726044903</v>
      </c>
      <c r="AU91" s="43" t="n">
        <f aca="false">AU67+AU90+AU77+AU84+AU85+AU39+AU46</f>
        <v>465.039503406285</v>
      </c>
      <c r="AV91" s="43" t="n">
        <f aca="false">AV67+AV90+AV77+AV84+AV85+AV39+AV46</f>
        <v>473.563023088619</v>
      </c>
      <c r="AW91" s="43" t="n">
        <f aca="false">AW67+AW90+AW77+AW84+AW85+AW39+AW46</f>
        <v>493.9444993544</v>
      </c>
      <c r="AX91" s="43" t="n">
        <f aca="false">AX67+AX90+AX77+AX84+AX85+AX39+AX46</f>
        <v>495.241517003304</v>
      </c>
      <c r="AY91" s="43" t="n">
        <f aca="false">AY67+AY90+AY77+AY84+AY85+AY39+AY46</f>
        <v>493.105600776486</v>
      </c>
      <c r="AZ91" s="43" t="n">
        <f aca="false">AZ67+AZ90+AZ77+AZ84+AZ85+AZ39+AZ46</f>
        <v>513.715463573154</v>
      </c>
      <c r="BA91" s="43" t="n">
        <f aca="false">BA67+BA90+BA77+BA84+BA85+BA39+BA46</f>
        <v>534.601484852063</v>
      </c>
      <c r="BB91" s="43" t="n">
        <f aca="false">BB67+BB90+BB77+BB84+BB85+BB39+BB46</f>
        <v>536.308039934806</v>
      </c>
      <c r="BC91" s="43" t="n">
        <f aca="false">BC67+BC90+BC77+BC84+BC85+BC39+BC46</f>
        <v>534.357001988975</v>
      </c>
      <c r="BD91" s="43" t="n">
        <f aca="false">BD67+BD90+BD77+BD84+BD85+BD39+BD46</f>
        <v>555.483207497471</v>
      </c>
      <c r="BE91" s="43" t="n">
        <f aca="false">BE67+BE90+BE77+BE84+BE85+BE39+BE46</f>
        <v>576.891422778747</v>
      </c>
      <c r="BF91" s="43" t="n">
        <f aca="false">BF67+BF90+BF77+BF84+BF85+BF39+BF46</f>
        <v>579.02764650103</v>
      </c>
      <c r="BG91" s="43" t="n">
        <f aca="false">BG67+BG90+BG77+BG84+BG85+BG39+BG46</f>
        <v>577.279429362827</v>
      </c>
      <c r="BH91" s="43" t="n">
        <f aca="false">BH67+BH90+BH77+BH84+BH85+BH39+BH46</f>
        <v>598.940223581485</v>
      </c>
      <c r="BI91" s="43" t="n">
        <f aca="false">BI67+BI90+BI77+BI84+BI85+BI39+BI46</f>
        <v>620.889105462699</v>
      </c>
      <c r="BJ91" s="43" t="n">
        <f aca="false">BJ67+BJ90+BJ77+BJ84+BJ85+BJ39+BJ46</f>
        <v>623.476049214934</v>
      </c>
      <c r="BK91" s="43" t="n">
        <f aca="false">BK67+BK90+BK77+BK84+BK85+BK39+BK46</f>
        <v>633.906862994646</v>
      </c>
      <c r="BL91" s="43" t="n">
        <f aca="false">BL67+BL90+BL77+BL84+BL85+BL39+BL46</f>
        <v>644.337441082617</v>
      </c>
      <c r="BM91" s="43" t="n">
        <f aca="false">BM67+BM90+BM77+BM84+BM85+BM39+BM46</f>
        <v>666.848370867583</v>
      </c>
      <c r="BN91" s="43" t="n">
        <f aca="false">BN67+BN90+BN77+BN84+BN85+BN39+BN46</f>
        <v>669.910118233682</v>
      </c>
      <c r="BO91" s="43" t="n">
        <f aca="false">BO67+BO90+BO77+BO84+BO85+BO39+BO46</f>
        <v>668.627079820837</v>
      </c>
      <c r="BP91" s="43" t="n">
        <f aca="false">BP67+BP90+BP77+BP84+BP85+BP39+BP46</f>
        <v>691.417361268105</v>
      </c>
      <c r="BQ91" s="43" t="n">
        <f aca="false">BQ67+BQ90+BQ77+BQ84+BQ85+BQ39+BQ46</f>
        <v>714.508633240163</v>
      </c>
      <c r="BR91" s="43" t="n">
        <f aca="false">BR67+BR90+BR77+BR84+BR85+BR39+BR46</f>
        <v>718.066235966064</v>
      </c>
      <c r="BS91" s="43" t="n">
        <f aca="false">BS67+BS90+BS77+BS84+BS85+BS39+BS46</f>
        <v>717.045478167225</v>
      </c>
      <c r="BT91" s="43" t="n">
        <f aca="false">BT67+BT90+BT77+BT84+BT85+BT39+BT46</f>
        <v>740.430473323959</v>
      </c>
      <c r="BU91" s="43" t="n">
        <f aca="false">BU67+BU90+BU77+BU84+BU85+BU39+BU46</f>
        <v>764.1232826218</v>
      </c>
      <c r="BV91" s="43" t="n">
        <f aca="false">BV67+BV90+BV77+BV84+BV85+BV39+BV46</f>
        <v>768.200821533774</v>
      </c>
      <c r="BW91" s="43" t="n">
        <f aca="false">BW67+BW90+BW77+BW84+BW85+BW39+BW46</f>
        <v>767.464127701056</v>
      </c>
      <c r="BX91" s="43" t="n">
        <f aca="false">BX67+BX90+BX77+BX84+BX85+BX39+BX46</f>
        <v>791.465755402041</v>
      </c>
      <c r="BY91" s="43" t="n">
        <f aca="false">BY67+BY90+BY77+BY84+BY85+BY39+BY46</f>
        <v>815.782292408845</v>
      </c>
      <c r="BZ91" s="43" t="n">
        <f aca="false">BZ67+BZ90+BZ77+BZ84+BZ85+BZ39+BZ46</f>
        <v>820.404951841078</v>
      </c>
      <c r="CA91" s="43" t="n">
        <f aca="false">CA67+CA90+CA77+CA84+CA85+CA39+CA46</f>
        <v>832.089822543149</v>
      </c>
      <c r="CB91" s="43" t="n">
        <f aca="false">CB67+CB90+CB77+CB84+CB85+CB39+CB46</f>
        <v>844.790990164607</v>
      </c>
      <c r="CC91" s="43" t="n">
        <f aca="false">CC67+CC90+CC77+CC84+CC85+CC39+CC46</f>
        <v>869.756547213743</v>
      </c>
      <c r="CD91" s="43" t="n">
        <f aca="false">CD67+CD90+CD77+CD84+CD85+CD39+CD46</f>
        <v>874.952749120492</v>
      </c>
      <c r="CE91" s="43" t="n">
        <f aca="false">CE67+CE90+CE77+CE84+CE85+CE39+CE46</f>
        <v>874.855994530996</v>
      </c>
      <c r="CF91" s="43" t="n">
        <f aca="false">CF67+CF90+CF77+CF84+CF85+CF39+CF46</f>
        <v>900.162949199659</v>
      </c>
      <c r="CG91" s="43" t="n">
        <f aca="false">CG67+CG90+CG77+CG84+CG85+CG39+CG46</f>
        <v>925.799894257099</v>
      </c>
      <c r="CH91" s="43" t="n">
        <f aca="false">CH67+CH90+CH77+CH84+CH85+CH39+CH46</f>
        <v>931.595203476392</v>
      </c>
      <c r="CI91" s="43" t="n">
        <f aca="false">CI67+CI90+CI77+CI84+CI85+CI39+CI46</f>
        <v>931.854625022831</v>
      </c>
      <c r="CJ91" s="43" t="n">
        <f aca="false">CJ67+CJ90+CJ77+CJ84+CJ85+CJ39+CJ46</f>
        <v>957.850457974032</v>
      </c>
      <c r="CK91" s="43" t="n">
        <f aca="false">CK67+CK90+CK77+CK84+CK85+CK39+CK46</f>
        <v>984.184270312797</v>
      </c>
      <c r="CL91" s="43" t="n">
        <f aca="false">CL67+CL90+CL77+CL84+CL85+CL39+CL46</f>
        <v>990.60750409966</v>
      </c>
      <c r="CM91" s="43" t="n">
        <f aca="false">CM67+CM90+CM77+CM84+CM85+CM39+CM46</f>
        <v>991.249509105477</v>
      </c>
      <c r="CN91" s="43" t="n">
        <f aca="false">CN67+CN90+CN77+CN84+CN85+CN39+CN46</f>
        <v>1017.96057647482</v>
      </c>
      <c r="CO91" s="43" t="n">
        <f aca="false">CO67+CO90+CO77+CO84+CO85+CO39+CO46</f>
        <v>1045.01793792132</v>
      </c>
      <c r="CP91" s="43" t="n">
        <f aca="false">CP67+CP90+CP77+CP84+CP85+CP39+CP46</f>
        <v>1052.09923745448</v>
      </c>
      <c r="CQ91" s="43" t="n">
        <f aca="false">CQ67+CQ90+CQ77+CQ84+CQ85+CQ39+CQ46</f>
        <v>1065.37477382319</v>
      </c>
      <c r="CR91" s="43" t="n">
        <f aca="false">CR67+CR90+CR77+CR84+CR85+CR39+CR46</f>
        <v>1080.78081082023</v>
      </c>
      <c r="CS91" s="43" t="n">
        <f aca="false">CS67+CS90+CS77+CS84+CS85+CS39+CS46</f>
        <v>1108.59173166846</v>
      </c>
      <c r="CT91" s="43" t="n">
        <f aca="false">CT67+CT90+CT77+CT84+CT85+CT39+CT46</f>
        <v>1116.36471586275</v>
      </c>
      <c r="CU91" s="43" t="n">
        <f aca="false">CU67+CU90+CU77+CU84+CU85+CU39+CU46</f>
        <v>1101.78229186551</v>
      </c>
      <c r="CV91" s="43" t="n">
        <f aca="false">CV67+CV90+CV77+CV84+CV85+CV39+CV46</f>
        <v>1114.02431733068</v>
      </c>
      <c r="CW91" s="43" t="n">
        <f aca="false">CW67+CW90+CW77+CW84+CW85+CW39+CW46</f>
        <v>1126.26634279585</v>
      </c>
      <c r="CX91" s="43" t="n">
        <f aca="false">CX67+CX90+CX77+CX84+CX85+CX39+CX46</f>
        <v>1118.0439677791</v>
      </c>
      <c r="CY91" s="43" t="n">
        <f aca="false">CY67+CY90+CY77+CY84+CY85+CY39+CY46</f>
        <v>1103.1515327069</v>
      </c>
      <c r="CZ91" s="43" t="n">
        <f aca="false">CZ67+CZ90+CZ77+CZ84+CZ85+CZ39+CZ46</f>
        <v>1115.4087719592</v>
      </c>
      <c r="DA91" s="43" t="n">
        <f aca="false">DA67+DA90+DA77+DA84+DA85+DA39+DA46</f>
        <v>1127.6660112115</v>
      </c>
      <c r="DB91" s="43" t="n">
        <f aca="false">DB67+DB90+DB77+DB84+DB85+DB39+DB46</f>
        <v>2141.58759892869</v>
      </c>
      <c r="DC91" s="43" t="n">
        <f aca="false">DC67+DC90+DC77+DC84+DC85+DC39+DC46</f>
        <v>2104.16054299608</v>
      </c>
      <c r="DD91" s="43" t="n">
        <f aca="false">DD67+DD90+DD77+DD84+DD85+DD39+DD46</f>
        <v>2127.54010458493</v>
      </c>
      <c r="DE91" s="43" t="n">
        <f aca="false">DE67+DE90+DE77+DE84+DE85+DE39+DE46</f>
        <v>2150.91966617377</v>
      </c>
      <c r="DF91" s="43" t="n">
        <f aca="false">DF67+DF90+DF77+DF84+DF85+DF39+DF46</f>
        <v>2142.59994841166</v>
      </c>
      <c r="DG91" s="43" t="n">
        <f aca="false">DG67+DG90+DG77+DG84+DG85+DG39+DG46</f>
        <v>2128.24407169563</v>
      </c>
      <c r="DH91" s="43" t="n">
        <f aca="false">DH67+DH90+DH77+DH84+DH85+DH39+DH46</f>
        <v>2128.24407169563</v>
      </c>
      <c r="DI91" s="43" t="n">
        <f aca="false">DI67+DI90+DI77+DI84+DI85+DI39+DI46</f>
        <v>2151.63136918679</v>
      </c>
      <c r="DJ91" s="43" t="n">
        <f aca="false">DJ67+DJ90+DJ77+DJ84+DJ85+DJ39+DJ46</f>
        <v>2143.26284234655</v>
      </c>
      <c r="DK91" s="43" t="n">
        <f aca="false">DK67+DK90+DK77+DK84+DK85+DK39+DK46</f>
        <v>2105.20043006033</v>
      </c>
      <c r="DL91" s="43" t="n">
        <f aca="false">DL67+DL90+DL77+DL84+DL85+DL39+DL46</f>
        <v>2128.59154594989</v>
      </c>
      <c r="DM91" s="43" t="n">
        <f aca="false">DM67+DM90+DM77+DM84+DM85+DM39+DM46</f>
        <v>2151.98266183945</v>
      </c>
      <c r="DN91" s="43" t="n">
        <f aca="false">DN67+DN90+DN77+DN84+DN85+DN39+DN46</f>
        <v>2143.56524030294</v>
      </c>
      <c r="DO91" s="43" t="n">
        <f aca="false">DO67+DO90+DO77+DO84+DO85+DO39+DO46</f>
        <v>2105.18042484885</v>
      </c>
      <c r="DP91" s="43" t="n">
        <f aca="false">DP67+DP90+DP77+DP84+DP85+DP39+DP46</f>
        <v>2128.57131845828</v>
      </c>
      <c r="DQ91" s="43" t="n">
        <f aca="false">DQ67+DQ90+DQ77+DQ84+DQ85+DQ39+DQ46</f>
        <v>2151.96221206772</v>
      </c>
      <c r="DR91" s="43" t="n">
        <f aca="false">DR67+DR90+DR77+DR84+DR85+DR39+DR46</f>
        <v>2143.49581504175</v>
      </c>
      <c r="DS91" s="43" t="n">
        <f aca="false">DS67+DS90+DS77+DS84+DS85+DS39+DS46</f>
        <v>2104.78538516113</v>
      </c>
      <c r="DT91" s="43" t="n">
        <f aca="false">DT67+DT90+DT77+DT84+DT85+DT39+DT46</f>
        <v>2128.17188944069</v>
      </c>
      <c r="DU91" s="43" t="n">
        <f aca="false">DU67+DU90+DU77+DU84+DU85+DU39+DU46</f>
        <v>2151.55839372026</v>
      </c>
      <c r="DV91" s="43" t="n">
        <f aca="false">DV67+DV90+DV77+DV84+DV85+DV39+DV46</f>
        <v>2143.04294538959</v>
      </c>
      <c r="DW91" s="43" t="n">
        <f aca="false">DW67+DW90+DW77+DW84+DW85+DW39+DW46</f>
        <v>2127.38146100117</v>
      </c>
      <c r="DX91" s="43" t="n">
        <f aca="false">DX67+DX90+DX77+DX84+DX85+DX39+DX46</f>
        <v>2127.38146100117</v>
      </c>
      <c r="DY91" s="43" t="n">
        <f aca="false">DY67+DY90+DY77+DY84+DY85+DY39+DY46</f>
        <v>2150.75927925393</v>
      </c>
      <c r="DZ91" s="43" t="n">
        <f aca="false">DZ67+DZ90+DZ77+DZ84+DZ85+DZ39+DZ46</f>
        <v>2142.19470893792</v>
      </c>
      <c r="EA91" s="43" t="n">
        <f aca="false">EA67+EA90+EA77+EA84+EA85+EA39+EA46</f>
        <v>2102.82322720067</v>
      </c>
      <c r="EB91" s="43" t="n">
        <f aca="false">EB67+EB90+EB77+EB84+EB85+EB39+EB46</f>
        <v>2126.18792972512</v>
      </c>
      <c r="EC91" s="43" t="n">
        <f aca="false">EC67+EC90+EC77+EC84+EC85+EC39+EC46</f>
        <v>2149.55263224958</v>
      </c>
      <c r="ED91" s="43" t="n">
        <f aca="false">ED67+ED90+ED77+ED84+ED85+ED39+ED46</f>
        <v>2140.93887456262</v>
      </c>
      <c r="EE91" s="43" t="n">
        <f aca="false">EE67+EE90+EE77+EE84+EE85+EE39+EE46</f>
        <v>2101.23185844514</v>
      </c>
      <c r="EF91" s="43" t="n">
        <f aca="false">EF67+EF90+EF77+EF84+EF85+EF39+EF46</f>
        <v>2124.57887909453</v>
      </c>
      <c r="EG91" s="43" t="n">
        <f aca="false">EG67+EG90+EG77+EG84+EG85+EG39+EG46</f>
        <v>2147.92589974392</v>
      </c>
      <c r="EH91" s="43" t="n">
        <f aca="false">EH67+EH90+EH77+EH84+EH85+EH39+EH46</f>
        <v>2139.26289475973</v>
      </c>
      <c r="EI91" s="43" t="n">
        <f aca="false">EI67+EI90+EI77+EI84+EI85+EI39+EI46</f>
        <v>2099.2169390604</v>
      </c>
      <c r="EJ91" s="43" t="n">
        <f aca="false">EJ67+EJ90+EJ77+EJ84+EJ85+EJ39+EJ46</f>
        <v>2122.54157171662</v>
      </c>
      <c r="EK91" s="43" t="n">
        <f aca="false">EK67+EK90+EK77+EK84+EK85+EK39+EK46</f>
        <v>2145.86620437285</v>
      </c>
      <c r="EL91" s="43" t="n">
        <f aca="false">EL67+EL90+EL77+EL84+EL85+EL39+EL46</f>
        <v>2137.15389779265</v>
      </c>
      <c r="EM91" s="43" t="n">
        <f aca="false">EM67+EM90+EM77+EM84+EM85+EM39+EM46</f>
        <v>2120.06294136157</v>
      </c>
      <c r="EN91" s="43" t="n">
        <f aca="false">EN67+EN90+EN77+EN84+EN85+EN39+EN46</f>
        <v>2120.06294136157</v>
      </c>
      <c r="EO91" s="43" t="n">
        <f aca="false">EO67+EO90+EO77+EO84+EO85+EO39+EO46</f>
        <v>2143.36033632159</v>
      </c>
    </row>
    <row r="92" customFormat="false" ht="15" hidden="false" customHeight="false" outlineLevel="0" collapsed="false">
      <c r="C92" s="0" t="s">
        <v>397</v>
      </c>
      <c r="D92" s="11" t="s">
        <v>33</v>
      </c>
      <c r="J92" s="19" t="n">
        <f aca="false">I96</f>
        <v>0</v>
      </c>
      <c r="K92" s="19" t="n">
        <f aca="false">J96</f>
        <v>11.0990429724151</v>
      </c>
      <c r="L92" s="19" t="n">
        <f aca="false">K96</f>
        <v>23.4413210733721</v>
      </c>
      <c r="M92" s="19" t="n">
        <f aca="false">L96</f>
        <v>44.2403452805404</v>
      </c>
      <c r="N92" s="19" t="n">
        <f aca="false">M96</f>
        <v>65.267930193282</v>
      </c>
      <c r="O92" s="19" t="n">
        <f aca="false">N96</f>
        <v>86.2955151060236</v>
      </c>
      <c r="P92" s="19" t="n">
        <f aca="false">O96</f>
        <v>107.094539313192</v>
      </c>
      <c r="Q92" s="19" t="n">
        <f aca="false">P96</f>
        <v>127.89356352036</v>
      </c>
      <c r="R92" s="19" t="n">
        <f aca="false">Q96</f>
        <v>148.921148433102</v>
      </c>
      <c r="S92" s="19" t="n">
        <f aca="false">R96</f>
        <v>1404.78003574682</v>
      </c>
      <c r="T92" s="19" t="n">
        <f aca="false">S96</f>
        <v>1578.16690606718</v>
      </c>
      <c r="U92" s="19" t="n">
        <f aca="false">T96</f>
        <v>1724.95740659398</v>
      </c>
      <c r="V92" s="19" t="n">
        <f aca="false">U96</f>
        <v>1859.16802230827</v>
      </c>
      <c r="W92" s="19" t="n">
        <f aca="false">V96</f>
        <v>1979.02970411376</v>
      </c>
      <c r="X92" s="19" t="n">
        <f aca="false">W96</f>
        <v>2083.19590677843</v>
      </c>
      <c r="Y92" s="19" t="n">
        <f aca="false">X96</f>
        <v>2174.63508722504</v>
      </c>
      <c r="Z92" s="19" t="n">
        <f aca="false">Y96</f>
        <v>2252.88612659453</v>
      </c>
      <c r="AA92" s="19" t="n">
        <f aca="false">Z96</f>
        <v>2123.58404529904</v>
      </c>
      <c r="AB92" s="19" t="n">
        <f aca="false">AA96</f>
        <v>1995.54031351307</v>
      </c>
      <c r="AC92" s="19" t="n">
        <f aca="false">AB96</f>
        <v>1858.71418988274</v>
      </c>
      <c r="AD92" s="19" t="n">
        <f aca="false">AC96</f>
        <v>1712.98108224714</v>
      </c>
      <c r="AE92" s="19" t="n">
        <f aca="false">AD96</f>
        <v>1567.51238216984</v>
      </c>
      <c r="AF92" s="19" t="n">
        <f aca="false">AE96</f>
        <v>1417.60480840599</v>
      </c>
      <c r="AG92" s="19" t="n">
        <f aca="false">AF96</f>
        <v>1264.25854376758</v>
      </c>
      <c r="AH92" s="19" t="n">
        <f aca="false">AG96</f>
        <v>1101.7859385428</v>
      </c>
      <c r="AI92" s="19" t="n">
        <f aca="false">AH96</f>
        <v>939.411270927587</v>
      </c>
      <c r="AJ92" s="19" t="n">
        <f aca="false">AI96</f>
        <v>778.184073319509</v>
      </c>
      <c r="AK92" s="19" t="n">
        <f aca="false">AJ96</f>
        <v>597.334812390882</v>
      </c>
      <c r="AL92" s="19" t="n">
        <f aca="false">AK96</f>
        <v>0</v>
      </c>
      <c r="AM92" s="19" t="n">
        <f aca="false">AL96</f>
        <v>0</v>
      </c>
      <c r="AN92" s="19" t="n">
        <f aca="false">AM96</f>
        <v>0</v>
      </c>
      <c r="AO92" s="19" t="n">
        <f aca="false">AN96</f>
        <v>0</v>
      </c>
      <c r="AP92" s="19" t="n">
        <f aca="false">AO96</f>
        <v>0</v>
      </c>
      <c r="AQ92" s="19" t="n">
        <f aca="false">AP96</f>
        <v>0</v>
      </c>
      <c r="AR92" s="19" t="n">
        <f aca="false">AQ96</f>
        <v>0</v>
      </c>
      <c r="AS92" s="19" t="n">
        <f aca="false">AR96</f>
        <v>0</v>
      </c>
      <c r="AT92" s="19" t="n">
        <f aca="false">AS96</f>
        <v>0</v>
      </c>
      <c r="AU92" s="19" t="n">
        <f aca="false">AT96</f>
        <v>0</v>
      </c>
      <c r="AV92" s="19" t="n">
        <f aca="false">AU96</f>
        <v>0</v>
      </c>
      <c r="AW92" s="19" t="n">
        <f aca="false">AV96</f>
        <v>0</v>
      </c>
      <c r="AX92" s="19" t="n">
        <f aca="false">AW96</f>
        <v>0</v>
      </c>
      <c r="AY92" s="19" t="n">
        <f aca="false">AX96</f>
        <v>0</v>
      </c>
      <c r="AZ92" s="19" t="n">
        <f aca="false">AY96</f>
        <v>0</v>
      </c>
      <c r="BA92" s="19" t="n">
        <f aca="false">AZ96</f>
        <v>0</v>
      </c>
      <c r="BB92" s="19" t="n">
        <f aca="false">BA96</f>
        <v>0</v>
      </c>
      <c r="BC92" s="19" t="n">
        <f aca="false">BB96</f>
        <v>0</v>
      </c>
      <c r="BD92" s="19" t="n">
        <f aca="false">BC96</f>
        <v>0</v>
      </c>
      <c r="BE92" s="19" t="n">
        <f aca="false">BD96</f>
        <v>0</v>
      </c>
      <c r="BF92" s="19" t="n">
        <f aca="false">BE96</f>
        <v>0</v>
      </c>
      <c r="BG92" s="19" t="n">
        <f aca="false">BF96</f>
        <v>0</v>
      </c>
      <c r="BH92" s="19" t="n">
        <f aca="false">BG96</f>
        <v>0</v>
      </c>
      <c r="BI92" s="19" t="n">
        <f aca="false">BH96</f>
        <v>0</v>
      </c>
      <c r="BJ92" s="19" t="n">
        <f aca="false">BI96</f>
        <v>0</v>
      </c>
      <c r="BK92" s="19" t="n">
        <f aca="false">BJ96</f>
        <v>0</v>
      </c>
      <c r="BL92" s="19" t="n">
        <f aca="false">BK96</f>
        <v>0</v>
      </c>
      <c r="BM92" s="19" t="n">
        <f aca="false">BL96</f>
        <v>0</v>
      </c>
      <c r="BN92" s="19" t="n">
        <f aca="false">BM96</f>
        <v>0</v>
      </c>
      <c r="BO92" s="19" t="n">
        <f aca="false">BN96</f>
        <v>0</v>
      </c>
      <c r="BP92" s="19" t="n">
        <f aca="false">BO96</f>
        <v>0</v>
      </c>
      <c r="BQ92" s="19" t="n">
        <f aca="false">BP96</f>
        <v>0</v>
      </c>
      <c r="BR92" s="19" t="n">
        <f aca="false">BQ96</f>
        <v>0</v>
      </c>
      <c r="BS92" s="19" t="n">
        <f aca="false">BR96</f>
        <v>0</v>
      </c>
      <c r="BT92" s="19" t="n">
        <f aca="false">BS96</f>
        <v>0</v>
      </c>
      <c r="BU92" s="19" t="n">
        <f aca="false">BT96</f>
        <v>0</v>
      </c>
      <c r="BV92" s="19" t="n">
        <f aca="false">BU96</f>
        <v>0</v>
      </c>
      <c r="BW92" s="19" t="n">
        <f aca="false">BV96</f>
        <v>0</v>
      </c>
      <c r="BX92" s="19" t="n">
        <f aca="false">BW96</f>
        <v>0</v>
      </c>
      <c r="BY92" s="19" t="n">
        <f aca="false">BX96</f>
        <v>0</v>
      </c>
      <c r="BZ92" s="19" t="n">
        <f aca="false">BY96</f>
        <v>0</v>
      </c>
      <c r="CA92" s="19" t="n">
        <f aca="false">BZ96</f>
        <v>0</v>
      </c>
      <c r="CB92" s="19" t="n">
        <f aca="false">CA96</f>
        <v>0</v>
      </c>
      <c r="CC92" s="19" t="n">
        <f aca="false">CB96</f>
        <v>0</v>
      </c>
      <c r="CD92" s="19" t="n">
        <f aca="false">CC96</f>
        <v>0</v>
      </c>
      <c r="CE92" s="19" t="n">
        <f aca="false">CD96</f>
        <v>0</v>
      </c>
      <c r="CF92" s="19" t="n">
        <f aca="false">CE96</f>
        <v>0</v>
      </c>
      <c r="CG92" s="19" t="n">
        <f aca="false">CF96</f>
        <v>0</v>
      </c>
      <c r="CH92" s="19" t="n">
        <f aca="false">CG96</f>
        <v>0</v>
      </c>
      <c r="CI92" s="19" t="n">
        <f aca="false">CH96</f>
        <v>0</v>
      </c>
      <c r="CJ92" s="19" t="n">
        <f aca="false">CI96</f>
        <v>0</v>
      </c>
      <c r="CK92" s="19" t="n">
        <f aca="false">CJ96</f>
        <v>0</v>
      </c>
      <c r="CL92" s="19" t="n">
        <f aca="false">CK96</f>
        <v>0</v>
      </c>
      <c r="CM92" s="19" t="n">
        <f aca="false">CL96</f>
        <v>0</v>
      </c>
      <c r="CN92" s="19" t="n">
        <f aca="false">CM96</f>
        <v>0</v>
      </c>
      <c r="CO92" s="19" t="n">
        <f aca="false">CN96</f>
        <v>0</v>
      </c>
      <c r="CP92" s="19" t="n">
        <f aca="false">CO96</f>
        <v>0</v>
      </c>
      <c r="CQ92" s="19" t="n">
        <f aca="false">CP96</f>
        <v>0</v>
      </c>
      <c r="CR92" s="19" t="n">
        <f aca="false">CQ96</f>
        <v>0</v>
      </c>
      <c r="CS92" s="19" t="n">
        <f aca="false">CR96</f>
        <v>0</v>
      </c>
      <c r="CT92" s="19" t="n">
        <f aca="false">CS96</f>
        <v>0</v>
      </c>
      <c r="CU92" s="19" t="n">
        <f aca="false">CT96</f>
        <v>0</v>
      </c>
      <c r="CV92" s="19" t="n">
        <f aca="false">CU96</f>
        <v>0</v>
      </c>
      <c r="CW92" s="19" t="n">
        <f aca="false">CV96</f>
        <v>0</v>
      </c>
      <c r="CX92" s="19" t="n">
        <f aca="false">CW96</f>
        <v>0</v>
      </c>
      <c r="CY92" s="19" t="n">
        <f aca="false">CX96</f>
        <v>0</v>
      </c>
      <c r="CZ92" s="19" t="n">
        <f aca="false">CY96</f>
        <v>0</v>
      </c>
      <c r="DA92" s="19" t="n">
        <f aca="false">CZ96</f>
        <v>0</v>
      </c>
      <c r="DB92" s="19" t="n">
        <f aca="false">DA96</f>
        <v>0</v>
      </c>
      <c r="DC92" s="19" t="n">
        <f aca="false">DB96</f>
        <v>0</v>
      </c>
      <c r="DD92" s="19" t="n">
        <f aca="false">DC96</f>
        <v>0</v>
      </c>
      <c r="DE92" s="19" t="n">
        <f aca="false">DD96</f>
        <v>0</v>
      </c>
      <c r="DF92" s="19" t="n">
        <f aca="false">DE96</f>
        <v>0</v>
      </c>
      <c r="DG92" s="19" t="n">
        <f aca="false">DF96</f>
        <v>0</v>
      </c>
      <c r="DH92" s="19" t="n">
        <f aca="false">DG96</f>
        <v>0</v>
      </c>
      <c r="DI92" s="19" t="n">
        <f aca="false">DH96</f>
        <v>0</v>
      </c>
      <c r="DJ92" s="19" t="n">
        <f aca="false">DI96</f>
        <v>0</v>
      </c>
      <c r="DK92" s="19" t="n">
        <f aca="false">DJ96</f>
        <v>0</v>
      </c>
      <c r="DL92" s="19" t="n">
        <f aca="false">DK96</f>
        <v>0</v>
      </c>
      <c r="DM92" s="19" t="n">
        <f aca="false">DL96</f>
        <v>0</v>
      </c>
      <c r="DN92" s="19" t="n">
        <f aca="false">DM96</f>
        <v>0</v>
      </c>
      <c r="DO92" s="19" t="n">
        <f aca="false">DN96</f>
        <v>0</v>
      </c>
      <c r="DP92" s="19" t="n">
        <f aca="false">DO96</f>
        <v>0</v>
      </c>
      <c r="DQ92" s="19" t="n">
        <f aca="false">DP96</f>
        <v>0</v>
      </c>
      <c r="DR92" s="19" t="n">
        <f aca="false">DQ96</f>
        <v>0</v>
      </c>
      <c r="DS92" s="19" t="n">
        <f aca="false">DR96</f>
        <v>0</v>
      </c>
      <c r="DT92" s="19" t="n">
        <f aca="false">DS96</f>
        <v>0</v>
      </c>
      <c r="DU92" s="19" t="n">
        <f aca="false">DT96</f>
        <v>0</v>
      </c>
      <c r="DV92" s="19" t="n">
        <f aca="false">DU96</f>
        <v>0</v>
      </c>
      <c r="DW92" s="19" t="n">
        <f aca="false">DV96</f>
        <v>0</v>
      </c>
      <c r="DX92" s="19" t="n">
        <f aca="false">DW96</f>
        <v>0</v>
      </c>
      <c r="DY92" s="19" t="n">
        <f aca="false">DX96</f>
        <v>0</v>
      </c>
      <c r="DZ92" s="19" t="n">
        <f aca="false">DY96</f>
        <v>0</v>
      </c>
      <c r="EA92" s="19" t="n">
        <f aca="false">DZ96</f>
        <v>0</v>
      </c>
      <c r="EB92" s="19" t="n">
        <f aca="false">EA96</f>
        <v>0</v>
      </c>
      <c r="EC92" s="19" t="n">
        <f aca="false">EB96</f>
        <v>0</v>
      </c>
      <c r="ED92" s="19" t="n">
        <f aca="false">EC96</f>
        <v>0</v>
      </c>
      <c r="EE92" s="19" t="n">
        <f aca="false">ED96</f>
        <v>0</v>
      </c>
      <c r="EF92" s="19" t="n">
        <f aca="false">EE96</f>
        <v>0</v>
      </c>
      <c r="EG92" s="19" t="n">
        <f aca="false">EF96</f>
        <v>0</v>
      </c>
      <c r="EH92" s="19" t="n">
        <f aca="false">EG96</f>
        <v>0</v>
      </c>
      <c r="EI92" s="19" t="n">
        <f aca="false">EH96</f>
        <v>0</v>
      </c>
      <c r="EJ92" s="19" t="n">
        <f aca="false">EI96</f>
        <v>0</v>
      </c>
      <c r="EK92" s="19" t="n">
        <f aca="false">EJ96</f>
        <v>0</v>
      </c>
      <c r="EL92" s="19" t="n">
        <f aca="false">EK96</f>
        <v>0</v>
      </c>
      <c r="EM92" s="19" t="n">
        <f aca="false">EL96</f>
        <v>0</v>
      </c>
      <c r="EN92" s="19" t="n">
        <f aca="false">EM96</f>
        <v>0</v>
      </c>
      <c r="EO92" s="19" t="n">
        <f aca="false">EN96</f>
        <v>0</v>
      </c>
    </row>
    <row r="93" customFormat="false" ht="15" hidden="false" customHeight="false" outlineLevel="0" collapsed="false">
      <c r="C93" s="0" t="s">
        <v>398</v>
      </c>
      <c r="D93" s="11" t="s">
        <v>33</v>
      </c>
      <c r="I93" s="43" t="n">
        <f aca="false">SUM(J93:EO93)</f>
        <v>2252.88612659453</v>
      </c>
      <c r="J93" s="43" t="n">
        <f aca="false">MAX(0,-J91)</f>
        <v>11.0990429724151</v>
      </c>
      <c r="K93" s="43" t="n">
        <f aca="false">MAX(0,-K91)</f>
        <v>12.342278100957</v>
      </c>
      <c r="L93" s="43" t="n">
        <f aca="false">MAX(0,-L91)</f>
        <v>20.7990242071683</v>
      </c>
      <c r="M93" s="43" t="n">
        <f aca="false">MAX(0,-M91)</f>
        <v>21.0275849127416</v>
      </c>
      <c r="N93" s="43" t="n">
        <f aca="false">MAX(0,-N91)</f>
        <v>21.0275849127416</v>
      </c>
      <c r="O93" s="43" t="n">
        <f aca="false">MAX(0,-O91)</f>
        <v>20.7990242071683</v>
      </c>
      <c r="P93" s="43" t="n">
        <f aca="false">MAX(0,-P91)</f>
        <v>20.7990242071683</v>
      </c>
      <c r="Q93" s="43" t="n">
        <f aca="false">MAX(0,-Q91)</f>
        <v>21.0275849127416</v>
      </c>
      <c r="R93" s="43" t="n">
        <f aca="false">MAX(0,-R91)</f>
        <v>1255.85888731372</v>
      </c>
      <c r="S93" s="43" t="n">
        <f aca="false">MAX(0,-S91)</f>
        <v>173.386870320355</v>
      </c>
      <c r="T93" s="43" t="n">
        <f aca="false">MAX(0,-T91)</f>
        <v>146.7905005268</v>
      </c>
      <c r="U93" s="43" t="n">
        <f aca="false">MAX(0,-U91)</f>
        <v>134.210615714292</v>
      </c>
      <c r="V93" s="43" t="n">
        <f aca="false">MAX(0,-V91)</f>
        <v>119.861681805491</v>
      </c>
      <c r="W93" s="43" t="n">
        <f aca="false">MAX(0,-W91)</f>
        <v>104.166202664665</v>
      </c>
      <c r="X93" s="43" t="n">
        <f aca="false">MAX(0,-X91)</f>
        <v>91.4391804466129</v>
      </c>
      <c r="Y93" s="43" t="n">
        <f aca="false">MAX(0,-Y91)</f>
        <v>78.2510393694877</v>
      </c>
      <c r="Z93" s="43" t="n">
        <f aca="false">MAX(0,-Z91)</f>
        <v>0</v>
      </c>
      <c r="AA93" s="43" t="n">
        <f aca="false">MAX(0,-AA91)</f>
        <v>0</v>
      </c>
      <c r="AB93" s="43" t="n">
        <f aca="false">MAX(0,-AB91)</f>
        <v>0</v>
      </c>
      <c r="AC93" s="43" t="n">
        <f aca="false">MAX(0,-AC91)</f>
        <v>0</v>
      </c>
      <c r="AD93" s="43" t="n">
        <f aca="false">MAX(0,-AD91)</f>
        <v>0</v>
      </c>
      <c r="AE93" s="43" t="n">
        <f aca="false">MAX(0,-AE91)</f>
        <v>0</v>
      </c>
      <c r="AF93" s="43" t="n">
        <f aca="false">MAX(0,-AF91)</f>
        <v>0</v>
      </c>
      <c r="AG93" s="43" t="n">
        <f aca="false">MAX(0,-AG91)</f>
        <v>0</v>
      </c>
      <c r="AH93" s="43" t="n">
        <f aca="false">MAX(0,-AH91)</f>
        <v>0</v>
      </c>
      <c r="AI93" s="43" t="n">
        <f aca="false">MAX(0,-AI91)</f>
        <v>0</v>
      </c>
      <c r="AJ93" s="43" t="n">
        <f aca="false">MAX(0,-AJ91)</f>
        <v>0</v>
      </c>
      <c r="AK93" s="43" t="n">
        <f aca="false">MAX(0,-AK91)</f>
        <v>0</v>
      </c>
      <c r="AL93" s="43" t="n">
        <f aca="false">MAX(0,-AL91)</f>
        <v>0</v>
      </c>
      <c r="AM93" s="43" t="n">
        <f aca="false">MAX(0,-AM91)</f>
        <v>0</v>
      </c>
      <c r="AN93" s="43" t="n">
        <f aca="false">MAX(0,-AN91)</f>
        <v>0</v>
      </c>
      <c r="AO93" s="43" t="n">
        <f aca="false">MAX(0,-AO91)</f>
        <v>0</v>
      </c>
      <c r="AP93" s="43" t="n">
        <f aca="false">MAX(0,-AP91)</f>
        <v>0</v>
      </c>
      <c r="AQ93" s="43" t="n">
        <f aca="false">MAX(0,-AQ91)</f>
        <v>0</v>
      </c>
      <c r="AR93" s="43" t="n">
        <f aca="false">MAX(0,-AR91)</f>
        <v>0</v>
      </c>
      <c r="AS93" s="43" t="n">
        <f aca="false">MAX(0,-AS91)</f>
        <v>0</v>
      </c>
      <c r="AT93" s="43" t="n">
        <f aca="false">MAX(0,-AT91)</f>
        <v>0</v>
      </c>
      <c r="AU93" s="43" t="n">
        <f aca="false">MAX(0,-AU91)</f>
        <v>0</v>
      </c>
      <c r="AV93" s="43" t="n">
        <f aca="false">MAX(0,-AV91)</f>
        <v>0</v>
      </c>
      <c r="AW93" s="43" t="n">
        <f aca="false">MAX(0,-AW91)</f>
        <v>0</v>
      </c>
      <c r="AX93" s="43" t="n">
        <f aca="false">MAX(0,-AX91)</f>
        <v>0</v>
      </c>
      <c r="AY93" s="43" t="n">
        <f aca="false">MAX(0,-AY91)</f>
        <v>0</v>
      </c>
      <c r="AZ93" s="43" t="n">
        <f aca="false">MAX(0,-AZ91)</f>
        <v>0</v>
      </c>
      <c r="BA93" s="43" t="n">
        <f aca="false">MAX(0,-BA91)</f>
        <v>0</v>
      </c>
      <c r="BB93" s="43" t="n">
        <f aca="false">MAX(0,-BB91)</f>
        <v>0</v>
      </c>
      <c r="BC93" s="43" t="n">
        <f aca="false">MAX(0,-BC91)</f>
        <v>0</v>
      </c>
      <c r="BD93" s="43" t="n">
        <f aca="false">MAX(0,-BD91)</f>
        <v>0</v>
      </c>
      <c r="BE93" s="43" t="n">
        <f aca="false">MAX(0,-BE91)</f>
        <v>0</v>
      </c>
      <c r="BF93" s="43" t="n">
        <f aca="false">MAX(0,-BF91)</f>
        <v>0</v>
      </c>
      <c r="BG93" s="43" t="n">
        <f aca="false">MAX(0,-BG91)</f>
        <v>0</v>
      </c>
      <c r="BH93" s="43" t="n">
        <f aca="false">MAX(0,-BH91)</f>
        <v>0</v>
      </c>
      <c r="BI93" s="43" t="n">
        <f aca="false">MAX(0,-BI91)</f>
        <v>0</v>
      </c>
      <c r="BJ93" s="43" t="n">
        <f aca="false">MAX(0,-BJ91)</f>
        <v>0</v>
      </c>
      <c r="BK93" s="43" t="n">
        <f aca="false">MAX(0,-BK91)</f>
        <v>0</v>
      </c>
      <c r="BL93" s="43" t="n">
        <f aca="false">MAX(0,-BL91)</f>
        <v>0</v>
      </c>
      <c r="BM93" s="43" t="n">
        <f aca="false">MAX(0,-BM91)</f>
        <v>0</v>
      </c>
      <c r="BN93" s="43" t="n">
        <f aca="false">MAX(0,-BN91)</f>
        <v>0</v>
      </c>
      <c r="BO93" s="43" t="n">
        <f aca="false">MAX(0,-BO91)</f>
        <v>0</v>
      </c>
      <c r="BP93" s="43" t="n">
        <f aca="false">MAX(0,-BP91)</f>
        <v>0</v>
      </c>
      <c r="BQ93" s="43" t="n">
        <f aca="false">MAX(0,-BQ91)</f>
        <v>0</v>
      </c>
      <c r="BR93" s="43" t="n">
        <f aca="false">MAX(0,-BR91)</f>
        <v>0</v>
      </c>
      <c r="BS93" s="43" t="n">
        <f aca="false">MAX(0,-BS91)</f>
        <v>0</v>
      </c>
      <c r="BT93" s="43" t="n">
        <f aca="false">MAX(0,-BT91)</f>
        <v>0</v>
      </c>
      <c r="BU93" s="43" t="n">
        <f aca="false">MAX(0,-BU91)</f>
        <v>0</v>
      </c>
      <c r="BV93" s="43" t="n">
        <f aca="false">MAX(0,-BV91)</f>
        <v>0</v>
      </c>
      <c r="BW93" s="43" t="n">
        <f aca="false">MAX(0,-BW91)</f>
        <v>0</v>
      </c>
      <c r="BX93" s="43" t="n">
        <f aca="false">MAX(0,-BX91)</f>
        <v>0</v>
      </c>
      <c r="BY93" s="43" t="n">
        <f aca="false">MAX(0,-BY91)</f>
        <v>0</v>
      </c>
      <c r="BZ93" s="43" t="n">
        <f aca="false">MAX(0,-BZ91)</f>
        <v>0</v>
      </c>
      <c r="CA93" s="43" t="n">
        <f aca="false">MAX(0,-CA91)</f>
        <v>0</v>
      </c>
      <c r="CB93" s="43" t="n">
        <f aca="false">MAX(0,-CB91)</f>
        <v>0</v>
      </c>
      <c r="CC93" s="43" t="n">
        <f aca="false">MAX(0,-CC91)</f>
        <v>0</v>
      </c>
      <c r="CD93" s="43" t="n">
        <f aca="false">MAX(0,-CD91)</f>
        <v>0</v>
      </c>
      <c r="CE93" s="43" t="n">
        <f aca="false">MAX(0,-CE91)</f>
        <v>0</v>
      </c>
      <c r="CF93" s="43" t="n">
        <f aca="false">MAX(0,-CF91)</f>
        <v>0</v>
      </c>
      <c r="CG93" s="43" t="n">
        <f aca="false">MAX(0,-CG91)</f>
        <v>0</v>
      </c>
      <c r="CH93" s="43" t="n">
        <f aca="false">MAX(0,-CH91)</f>
        <v>0</v>
      </c>
      <c r="CI93" s="43" t="n">
        <f aca="false">MAX(0,-CI91)</f>
        <v>0</v>
      </c>
      <c r="CJ93" s="43" t="n">
        <f aca="false">MAX(0,-CJ91)</f>
        <v>0</v>
      </c>
      <c r="CK93" s="43" t="n">
        <f aca="false">MAX(0,-CK91)</f>
        <v>0</v>
      </c>
      <c r="CL93" s="43" t="n">
        <f aca="false">MAX(0,-CL91)</f>
        <v>0</v>
      </c>
      <c r="CM93" s="43" t="n">
        <f aca="false">MAX(0,-CM91)</f>
        <v>0</v>
      </c>
      <c r="CN93" s="43" t="n">
        <f aca="false">MAX(0,-CN91)</f>
        <v>0</v>
      </c>
      <c r="CO93" s="43" t="n">
        <f aca="false">MAX(0,-CO91)</f>
        <v>0</v>
      </c>
      <c r="CP93" s="43" t="n">
        <f aca="false">MAX(0,-CP91)</f>
        <v>0</v>
      </c>
      <c r="CQ93" s="43" t="n">
        <f aca="false">MAX(0,-CQ91)</f>
        <v>0</v>
      </c>
      <c r="CR93" s="43" t="n">
        <f aca="false">MAX(0,-CR91)</f>
        <v>0</v>
      </c>
      <c r="CS93" s="43" t="n">
        <f aca="false">MAX(0,-CS91)</f>
        <v>0</v>
      </c>
      <c r="CT93" s="43" t="n">
        <f aca="false">MAX(0,-CT91)</f>
        <v>0</v>
      </c>
      <c r="CU93" s="43" t="n">
        <f aca="false">MAX(0,-CU91)</f>
        <v>0</v>
      </c>
      <c r="CV93" s="43" t="n">
        <f aca="false">MAX(0,-CV91)</f>
        <v>0</v>
      </c>
      <c r="CW93" s="43" t="n">
        <f aca="false">MAX(0,-CW91)</f>
        <v>0</v>
      </c>
      <c r="CX93" s="43" t="n">
        <f aca="false">MAX(0,-CX91)</f>
        <v>0</v>
      </c>
      <c r="CY93" s="43" t="n">
        <f aca="false">MAX(0,-CY91)</f>
        <v>0</v>
      </c>
      <c r="CZ93" s="43" t="n">
        <f aca="false">MAX(0,-CZ91)</f>
        <v>0</v>
      </c>
      <c r="DA93" s="43" t="n">
        <f aca="false">MAX(0,-DA91)</f>
        <v>0</v>
      </c>
      <c r="DB93" s="43" t="n">
        <f aca="false">MAX(0,-DB91)</f>
        <v>0</v>
      </c>
      <c r="DC93" s="43" t="n">
        <f aca="false">MAX(0,-DC91)</f>
        <v>0</v>
      </c>
      <c r="DD93" s="43" t="n">
        <f aca="false">MAX(0,-DD91)</f>
        <v>0</v>
      </c>
      <c r="DE93" s="43" t="n">
        <f aca="false">MAX(0,-DE91)</f>
        <v>0</v>
      </c>
      <c r="DF93" s="43" t="n">
        <f aca="false">MAX(0,-DF91)</f>
        <v>0</v>
      </c>
      <c r="DG93" s="43" t="n">
        <f aca="false">MAX(0,-DG91)</f>
        <v>0</v>
      </c>
      <c r="DH93" s="43" t="n">
        <f aca="false">MAX(0,-DH91)</f>
        <v>0</v>
      </c>
      <c r="DI93" s="43" t="n">
        <f aca="false">MAX(0,-DI91)</f>
        <v>0</v>
      </c>
      <c r="DJ93" s="43" t="n">
        <f aca="false">MAX(0,-DJ91)</f>
        <v>0</v>
      </c>
      <c r="DK93" s="43" t="n">
        <f aca="false">MAX(0,-DK91)</f>
        <v>0</v>
      </c>
      <c r="DL93" s="43" t="n">
        <f aca="false">MAX(0,-DL91)</f>
        <v>0</v>
      </c>
      <c r="DM93" s="43" t="n">
        <f aca="false">MAX(0,-DM91)</f>
        <v>0</v>
      </c>
      <c r="DN93" s="43" t="n">
        <f aca="false">MAX(0,-DN91)</f>
        <v>0</v>
      </c>
      <c r="DO93" s="43" t="n">
        <f aca="false">MAX(0,-DO91)</f>
        <v>0</v>
      </c>
      <c r="DP93" s="43" t="n">
        <f aca="false">MAX(0,-DP91)</f>
        <v>0</v>
      </c>
      <c r="DQ93" s="43" t="n">
        <f aca="false">MAX(0,-DQ91)</f>
        <v>0</v>
      </c>
      <c r="DR93" s="43" t="n">
        <f aca="false">MAX(0,-DR91)</f>
        <v>0</v>
      </c>
      <c r="DS93" s="43" t="n">
        <f aca="false">MAX(0,-DS91)</f>
        <v>0</v>
      </c>
      <c r="DT93" s="43" t="n">
        <f aca="false">MAX(0,-DT91)</f>
        <v>0</v>
      </c>
      <c r="DU93" s="43" t="n">
        <f aca="false">MAX(0,-DU91)</f>
        <v>0</v>
      </c>
      <c r="DV93" s="43" t="n">
        <f aca="false">MAX(0,-DV91)</f>
        <v>0</v>
      </c>
      <c r="DW93" s="43" t="n">
        <f aca="false">MAX(0,-DW91)</f>
        <v>0</v>
      </c>
      <c r="DX93" s="43" t="n">
        <f aca="false">MAX(0,-DX91)</f>
        <v>0</v>
      </c>
      <c r="DY93" s="43" t="n">
        <f aca="false">MAX(0,-DY91)</f>
        <v>0</v>
      </c>
      <c r="DZ93" s="43" t="n">
        <f aca="false">MAX(0,-DZ91)</f>
        <v>0</v>
      </c>
      <c r="EA93" s="43" t="n">
        <f aca="false">MAX(0,-EA91)</f>
        <v>0</v>
      </c>
      <c r="EB93" s="43" t="n">
        <f aca="false">MAX(0,-EB91)</f>
        <v>0</v>
      </c>
      <c r="EC93" s="43" t="n">
        <f aca="false">MAX(0,-EC91)</f>
        <v>0</v>
      </c>
      <c r="ED93" s="43" t="n">
        <f aca="false">MAX(0,-ED91)</f>
        <v>0</v>
      </c>
      <c r="EE93" s="43" t="n">
        <f aca="false">MAX(0,-EE91)</f>
        <v>0</v>
      </c>
      <c r="EF93" s="43" t="n">
        <f aca="false">MAX(0,-EF91)</f>
        <v>0</v>
      </c>
      <c r="EG93" s="43" t="n">
        <f aca="false">MAX(0,-EG91)</f>
        <v>0</v>
      </c>
      <c r="EH93" s="43" t="n">
        <f aca="false">MAX(0,-EH91)</f>
        <v>0</v>
      </c>
      <c r="EI93" s="43" t="n">
        <f aca="false">MAX(0,-EI91)</f>
        <v>0</v>
      </c>
      <c r="EJ93" s="43" t="n">
        <f aca="false">MAX(0,-EJ91)</f>
        <v>0</v>
      </c>
      <c r="EK93" s="43" t="n">
        <f aca="false">MAX(0,-EK91)</f>
        <v>0</v>
      </c>
      <c r="EL93" s="43" t="n">
        <f aca="false">MAX(0,-EL91)</f>
        <v>0</v>
      </c>
      <c r="EM93" s="43" t="n">
        <f aca="false">MAX(0,-EM91)</f>
        <v>0</v>
      </c>
      <c r="EN93" s="43" t="n">
        <f aca="false">MAX(0,-EN91)</f>
        <v>0</v>
      </c>
      <c r="EO93" s="43" t="n">
        <f aca="false">MAX(0,-EO91)</f>
        <v>0</v>
      </c>
    </row>
    <row r="94" customFormat="false" ht="15" hidden="false" customHeight="false" outlineLevel="0" collapsed="false">
      <c r="C94" s="0" t="s">
        <v>399</v>
      </c>
      <c r="D94" s="11" t="s">
        <v>33</v>
      </c>
      <c r="I94" s="43" t="n">
        <f aca="false">SUM(J94:EO94)</f>
        <v>-1845.94539053147</v>
      </c>
      <c r="J94" s="43" t="n">
        <f aca="false">-MIN(J92,In_Loss_Cap*MAX(0,J91))</f>
        <v>-0</v>
      </c>
      <c r="K94" s="43" t="n">
        <f aca="false">-MIN(K92,In_Loss_Cap*MAX(0,K91))</f>
        <v>-0</v>
      </c>
      <c r="L94" s="43" t="n">
        <f aca="false">-MIN(L92,In_Loss_Cap*MAX(0,L91))</f>
        <v>-0</v>
      </c>
      <c r="M94" s="43" t="n">
        <f aca="false">-MIN(M92,In_Loss_Cap*MAX(0,M91))</f>
        <v>-0</v>
      </c>
      <c r="N94" s="43" t="n">
        <f aca="false">-MIN(N92,In_Loss_Cap*MAX(0,N91))</f>
        <v>-0</v>
      </c>
      <c r="O94" s="43" t="n">
        <f aca="false">-MIN(O92,In_Loss_Cap*MAX(0,O91))</f>
        <v>-0</v>
      </c>
      <c r="P94" s="43" t="n">
        <f aca="false">-MIN(P92,In_Loss_Cap*MAX(0,P91))</f>
        <v>-0</v>
      </c>
      <c r="Q94" s="43" t="n">
        <f aca="false">-MIN(Q92,In_Loss_Cap*MAX(0,Q91))</f>
        <v>-0</v>
      </c>
      <c r="R94" s="43" t="n">
        <f aca="false">-MIN(R92,In_Loss_Cap*MAX(0,R91))</f>
        <v>-0</v>
      </c>
      <c r="S94" s="43" t="n">
        <f aca="false">-MIN(S92,In_Loss_Cap*MAX(0,S91))</f>
        <v>-0</v>
      </c>
      <c r="T94" s="43" t="n">
        <f aca="false">-MIN(T92,In_Loss_Cap*MAX(0,T91))</f>
        <v>-0</v>
      </c>
      <c r="U94" s="43" t="n">
        <f aca="false">-MIN(U92,In_Loss_Cap*MAX(0,U91))</f>
        <v>-0</v>
      </c>
      <c r="V94" s="43" t="n">
        <f aca="false">-MIN(V92,In_Loss_Cap*MAX(0,V91))</f>
        <v>-0</v>
      </c>
      <c r="W94" s="43" t="n">
        <f aca="false">-MIN(W92,In_Loss_Cap*MAX(0,W91))</f>
        <v>-0</v>
      </c>
      <c r="X94" s="43" t="n">
        <f aca="false">-MIN(X92,In_Loss_Cap*MAX(0,X91))</f>
        <v>-0</v>
      </c>
      <c r="Y94" s="43" t="n">
        <f aca="false">-MIN(Y92,In_Loss_Cap*MAX(0,Y91))</f>
        <v>-0</v>
      </c>
      <c r="Z94" s="43" t="n">
        <f aca="false">-MIN(Z92,In_Loss_Cap*MAX(0,Z91))</f>
        <v>-129.302081295487</v>
      </c>
      <c r="AA94" s="43" t="n">
        <f aca="false">-MIN(AA92,In_Loss_Cap*MAX(0,AA91))</f>
        <v>-128.043731785973</v>
      </c>
      <c r="AB94" s="43" t="n">
        <f aca="false">-MIN(AB92,In_Loss_Cap*MAX(0,AB91))</f>
        <v>-136.826123630328</v>
      </c>
      <c r="AC94" s="43" t="n">
        <f aca="false">-MIN(AC92,In_Loss_Cap*MAX(0,AC91))</f>
        <v>-145.733107635601</v>
      </c>
      <c r="AD94" s="43" t="n">
        <f aca="false">-MIN(AD92,In_Loss_Cap*MAX(0,AD91))</f>
        <v>-145.4687000773</v>
      </c>
      <c r="AE94" s="43" t="n">
        <f aca="false">-MIN(AE92,In_Loss_Cap*MAX(0,AE91))</f>
        <v>-149.907573763853</v>
      </c>
      <c r="AF94" s="43" t="n">
        <f aca="false">-MIN(AF92,In_Loss_Cap*MAX(0,AF91))</f>
        <v>-153.346264638407</v>
      </c>
      <c r="AG94" s="43" t="n">
        <f aca="false">-MIN(AG92,In_Loss_Cap*MAX(0,AG91))</f>
        <v>-162.472605224779</v>
      </c>
      <c r="AH94" s="43" t="n">
        <f aca="false">-MIN(AH92,In_Loss_Cap*MAX(0,AH91))</f>
        <v>-162.374667615213</v>
      </c>
      <c r="AI94" s="43" t="n">
        <f aca="false">-MIN(AI92,In_Loss_Cap*MAX(0,AI91))</f>
        <v>-161.227197608078</v>
      </c>
      <c r="AJ94" s="43" t="n">
        <f aca="false">-MIN(AJ92,In_Loss_Cap*MAX(0,AJ91))</f>
        <v>-180.849260928627</v>
      </c>
      <c r="AK94" s="43" t="n">
        <f aca="false">-MIN(AK92,In_Loss_Cap*MAX(0,AK91))</f>
        <v>-190.394076327823</v>
      </c>
      <c r="AL94" s="43" t="n">
        <f aca="false">-MIN(AL92,In_Loss_Cap*MAX(0,AL91))</f>
        <v>-0</v>
      </c>
      <c r="AM94" s="43" t="n">
        <f aca="false">-MIN(AM92,In_Loss_Cap*MAX(0,AM91))</f>
        <v>-0</v>
      </c>
      <c r="AN94" s="43" t="n">
        <f aca="false">-MIN(AN92,In_Loss_Cap*MAX(0,AN91))</f>
        <v>-0</v>
      </c>
      <c r="AO94" s="43" t="n">
        <f aca="false">-MIN(AO92,In_Loss_Cap*MAX(0,AO91))</f>
        <v>-0</v>
      </c>
      <c r="AP94" s="43" t="n">
        <f aca="false">-MIN(AP92,In_Loss_Cap*MAX(0,AP91))</f>
        <v>-0</v>
      </c>
      <c r="AQ94" s="43" t="n">
        <f aca="false">-MIN(AQ92,In_Loss_Cap*MAX(0,AQ91))</f>
        <v>-0</v>
      </c>
      <c r="AR94" s="43" t="n">
        <f aca="false">-MIN(AR92,In_Loss_Cap*MAX(0,AR91))</f>
        <v>-0</v>
      </c>
      <c r="AS94" s="43" t="n">
        <f aca="false">-MIN(AS92,In_Loss_Cap*MAX(0,AS91))</f>
        <v>-0</v>
      </c>
      <c r="AT94" s="43" t="n">
        <f aca="false">-MIN(AT92,In_Loss_Cap*MAX(0,AT91))</f>
        <v>-0</v>
      </c>
      <c r="AU94" s="43" t="n">
        <f aca="false">-MIN(AU92,In_Loss_Cap*MAX(0,AU91))</f>
        <v>-0</v>
      </c>
      <c r="AV94" s="43" t="n">
        <f aca="false">-MIN(AV92,In_Loss_Cap*MAX(0,AV91))</f>
        <v>-0</v>
      </c>
      <c r="AW94" s="43" t="n">
        <f aca="false">-MIN(AW92,In_Loss_Cap*MAX(0,AW91))</f>
        <v>-0</v>
      </c>
      <c r="AX94" s="43" t="n">
        <f aca="false">-MIN(AX92,In_Loss_Cap*MAX(0,AX91))</f>
        <v>-0</v>
      </c>
      <c r="AY94" s="43" t="n">
        <f aca="false">-MIN(AY92,In_Loss_Cap*MAX(0,AY91))</f>
        <v>-0</v>
      </c>
      <c r="AZ94" s="43" t="n">
        <f aca="false">-MIN(AZ92,In_Loss_Cap*MAX(0,AZ91))</f>
        <v>-0</v>
      </c>
      <c r="BA94" s="43" t="n">
        <f aca="false">-MIN(BA92,In_Loss_Cap*MAX(0,BA91))</f>
        <v>-0</v>
      </c>
      <c r="BB94" s="43" t="n">
        <f aca="false">-MIN(BB92,In_Loss_Cap*MAX(0,BB91))</f>
        <v>-0</v>
      </c>
      <c r="BC94" s="43" t="n">
        <f aca="false">-MIN(BC92,In_Loss_Cap*MAX(0,BC91))</f>
        <v>-0</v>
      </c>
      <c r="BD94" s="43" t="n">
        <f aca="false">-MIN(BD92,In_Loss_Cap*MAX(0,BD91))</f>
        <v>-0</v>
      </c>
      <c r="BE94" s="43" t="n">
        <f aca="false">-MIN(BE92,In_Loss_Cap*MAX(0,BE91))</f>
        <v>-0</v>
      </c>
      <c r="BF94" s="43" t="n">
        <f aca="false">-MIN(BF92,In_Loss_Cap*MAX(0,BF91))</f>
        <v>-0</v>
      </c>
      <c r="BG94" s="43" t="n">
        <f aca="false">-MIN(BG92,In_Loss_Cap*MAX(0,BG91))</f>
        <v>-0</v>
      </c>
      <c r="BH94" s="43" t="n">
        <f aca="false">-MIN(BH92,In_Loss_Cap*MAX(0,BH91))</f>
        <v>-0</v>
      </c>
      <c r="BI94" s="43" t="n">
        <f aca="false">-MIN(BI92,In_Loss_Cap*MAX(0,BI91))</f>
        <v>-0</v>
      </c>
      <c r="BJ94" s="43" t="n">
        <f aca="false">-MIN(BJ92,In_Loss_Cap*MAX(0,BJ91))</f>
        <v>-0</v>
      </c>
      <c r="BK94" s="43" t="n">
        <f aca="false">-MIN(BK92,In_Loss_Cap*MAX(0,BK91))</f>
        <v>-0</v>
      </c>
      <c r="BL94" s="43" t="n">
        <f aca="false">-MIN(BL92,In_Loss_Cap*MAX(0,BL91))</f>
        <v>-0</v>
      </c>
      <c r="BM94" s="43" t="n">
        <f aca="false">-MIN(BM92,In_Loss_Cap*MAX(0,BM91))</f>
        <v>-0</v>
      </c>
      <c r="BN94" s="43" t="n">
        <f aca="false">-MIN(BN92,In_Loss_Cap*MAX(0,BN91))</f>
        <v>-0</v>
      </c>
      <c r="BO94" s="43" t="n">
        <f aca="false">-MIN(BO92,In_Loss_Cap*MAX(0,BO91))</f>
        <v>-0</v>
      </c>
      <c r="BP94" s="43" t="n">
        <f aca="false">-MIN(BP92,In_Loss_Cap*MAX(0,BP91))</f>
        <v>-0</v>
      </c>
      <c r="BQ94" s="43" t="n">
        <f aca="false">-MIN(BQ92,In_Loss_Cap*MAX(0,BQ91))</f>
        <v>-0</v>
      </c>
      <c r="BR94" s="43" t="n">
        <f aca="false">-MIN(BR92,In_Loss_Cap*MAX(0,BR91))</f>
        <v>-0</v>
      </c>
      <c r="BS94" s="43" t="n">
        <f aca="false">-MIN(BS92,In_Loss_Cap*MAX(0,BS91))</f>
        <v>-0</v>
      </c>
      <c r="BT94" s="43" t="n">
        <f aca="false">-MIN(BT92,In_Loss_Cap*MAX(0,BT91))</f>
        <v>-0</v>
      </c>
      <c r="BU94" s="43" t="n">
        <f aca="false">-MIN(BU92,In_Loss_Cap*MAX(0,BU91))</f>
        <v>-0</v>
      </c>
      <c r="BV94" s="43" t="n">
        <f aca="false">-MIN(BV92,In_Loss_Cap*MAX(0,BV91))</f>
        <v>-0</v>
      </c>
      <c r="BW94" s="43" t="n">
        <f aca="false">-MIN(BW92,In_Loss_Cap*MAX(0,BW91))</f>
        <v>-0</v>
      </c>
      <c r="BX94" s="43" t="n">
        <f aca="false">-MIN(BX92,In_Loss_Cap*MAX(0,BX91))</f>
        <v>-0</v>
      </c>
      <c r="BY94" s="43" t="n">
        <f aca="false">-MIN(BY92,In_Loss_Cap*MAX(0,BY91))</f>
        <v>-0</v>
      </c>
      <c r="BZ94" s="43" t="n">
        <f aca="false">-MIN(BZ92,In_Loss_Cap*MAX(0,BZ91))</f>
        <v>-0</v>
      </c>
      <c r="CA94" s="43" t="n">
        <f aca="false">-MIN(CA92,In_Loss_Cap*MAX(0,CA91))</f>
        <v>-0</v>
      </c>
      <c r="CB94" s="43" t="n">
        <f aca="false">-MIN(CB92,In_Loss_Cap*MAX(0,CB91))</f>
        <v>-0</v>
      </c>
      <c r="CC94" s="43" t="n">
        <f aca="false">-MIN(CC92,In_Loss_Cap*MAX(0,CC91))</f>
        <v>-0</v>
      </c>
      <c r="CD94" s="43" t="n">
        <f aca="false">-MIN(CD92,In_Loss_Cap*MAX(0,CD91))</f>
        <v>-0</v>
      </c>
      <c r="CE94" s="43" t="n">
        <f aca="false">-MIN(CE92,In_Loss_Cap*MAX(0,CE91))</f>
        <v>-0</v>
      </c>
      <c r="CF94" s="43" t="n">
        <f aca="false">-MIN(CF92,In_Loss_Cap*MAX(0,CF91))</f>
        <v>-0</v>
      </c>
      <c r="CG94" s="43" t="n">
        <f aca="false">-MIN(CG92,In_Loss_Cap*MAX(0,CG91))</f>
        <v>-0</v>
      </c>
      <c r="CH94" s="43" t="n">
        <f aca="false">-MIN(CH92,In_Loss_Cap*MAX(0,CH91))</f>
        <v>-0</v>
      </c>
      <c r="CI94" s="43" t="n">
        <f aca="false">-MIN(CI92,In_Loss_Cap*MAX(0,CI91))</f>
        <v>-0</v>
      </c>
      <c r="CJ94" s="43" t="n">
        <f aca="false">-MIN(CJ92,In_Loss_Cap*MAX(0,CJ91))</f>
        <v>-0</v>
      </c>
      <c r="CK94" s="43" t="n">
        <f aca="false">-MIN(CK92,In_Loss_Cap*MAX(0,CK91))</f>
        <v>-0</v>
      </c>
      <c r="CL94" s="43" t="n">
        <f aca="false">-MIN(CL92,In_Loss_Cap*MAX(0,CL91))</f>
        <v>-0</v>
      </c>
      <c r="CM94" s="43" t="n">
        <f aca="false">-MIN(CM92,In_Loss_Cap*MAX(0,CM91))</f>
        <v>-0</v>
      </c>
      <c r="CN94" s="43" t="n">
        <f aca="false">-MIN(CN92,In_Loss_Cap*MAX(0,CN91))</f>
        <v>-0</v>
      </c>
      <c r="CO94" s="43" t="n">
        <f aca="false">-MIN(CO92,In_Loss_Cap*MAX(0,CO91))</f>
        <v>-0</v>
      </c>
      <c r="CP94" s="43" t="n">
        <f aca="false">-MIN(CP92,In_Loss_Cap*MAX(0,CP91))</f>
        <v>-0</v>
      </c>
      <c r="CQ94" s="43" t="n">
        <f aca="false">-MIN(CQ92,In_Loss_Cap*MAX(0,CQ91))</f>
        <v>-0</v>
      </c>
      <c r="CR94" s="43" t="n">
        <f aca="false">-MIN(CR92,In_Loss_Cap*MAX(0,CR91))</f>
        <v>-0</v>
      </c>
      <c r="CS94" s="43" t="n">
        <f aca="false">-MIN(CS92,In_Loss_Cap*MAX(0,CS91))</f>
        <v>-0</v>
      </c>
      <c r="CT94" s="43" t="n">
        <f aca="false">-MIN(CT92,In_Loss_Cap*MAX(0,CT91))</f>
        <v>-0</v>
      </c>
      <c r="CU94" s="43" t="n">
        <f aca="false">-MIN(CU92,In_Loss_Cap*MAX(0,CU91))</f>
        <v>-0</v>
      </c>
      <c r="CV94" s="43" t="n">
        <f aca="false">-MIN(CV92,In_Loss_Cap*MAX(0,CV91))</f>
        <v>-0</v>
      </c>
      <c r="CW94" s="43" t="n">
        <f aca="false">-MIN(CW92,In_Loss_Cap*MAX(0,CW91))</f>
        <v>-0</v>
      </c>
      <c r="CX94" s="43" t="n">
        <f aca="false">-MIN(CX92,In_Loss_Cap*MAX(0,CX91))</f>
        <v>-0</v>
      </c>
      <c r="CY94" s="43" t="n">
        <f aca="false">-MIN(CY92,In_Loss_Cap*MAX(0,CY91))</f>
        <v>-0</v>
      </c>
      <c r="CZ94" s="43" t="n">
        <f aca="false">-MIN(CZ92,In_Loss_Cap*MAX(0,CZ91))</f>
        <v>-0</v>
      </c>
      <c r="DA94" s="43" t="n">
        <f aca="false">-MIN(DA92,In_Loss_Cap*MAX(0,DA91))</f>
        <v>-0</v>
      </c>
      <c r="DB94" s="43" t="n">
        <f aca="false">-MIN(DB92,In_Loss_Cap*MAX(0,DB91))</f>
        <v>-0</v>
      </c>
      <c r="DC94" s="43" t="n">
        <f aca="false">-MIN(DC92,In_Loss_Cap*MAX(0,DC91))</f>
        <v>-0</v>
      </c>
      <c r="DD94" s="43" t="n">
        <f aca="false">-MIN(DD92,In_Loss_Cap*MAX(0,DD91))</f>
        <v>-0</v>
      </c>
      <c r="DE94" s="43" t="n">
        <f aca="false">-MIN(DE92,In_Loss_Cap*MAX(0,DE91))</f>
        <v>-0</v>
      </c>
      <c r="DF94" s="43" t="n">
        <f aca="false">-MIN(DF92,In_Loss_Cap*MAX(0,DF91))</f>
        <v>-0</v>
      </c>
      <c r="DG94" s="43" t="n">
        <f aca="false">-MIN(DG92,In_Loss_Cap*MAX(0,DG91))</f>
        <v>-0</v>
      </c>
      <c r="DH94" s="43" t="n">
        <f aca="false">-MIN(DH92,In_Loss_Cap*MAX(0,DH91))</f>
        <v>-0</v>
      </c>
      <c r="DI94" s="43" t="n">
        <f aca="false">-MIN(DI92,In_Loss_Cap*MAX(0,DI91))</f>
        <v>-0</v>
      </c>
      <c r="DJ94" s="43" t="n">
        <f aca="false">-MIN(DJ92,In_Loss_Cap*MAX(0,DJ91))</f>
        <v>-0</v>
      </c>
      <c r="DK94" s="43" t="n">
        <f aca="false">-MIN(DK92,In_Loss_Cap*MAX(0,DK91))</f>
        <v>-0</v>
      </c>
      <c r="DL94" s="43" t="n">
        <f aca="false">-MIN(DL92,In_Loss_Cap*MAX(0,DL91))</f>
        <v>-0</v>
      </c>
      <c r="DM94" s="43" t="n">
        <f aca="false">-MIN(DM92,In_Loss_Cap*MAX(0,DM91))</f>
        <v>-0</v>
      </c>
      <c r="DN94" s="43" t="n">
        <f aca="false">-MIN(DN92,In_Loss_Cap*MAX(0,DN91))</f>
        <v>-0</v>
      </c>
      <c r="DO94" s="43" t="n">
        <f aca="false">-MIN(DO92,In_Loss_Cap*MAX(0,DO91))</f>
        <v>-0</v>
      </c>
      <c r="DP94" s="43" t="n">
        <f aca="false">-MIN(DP92,In_Loss_Cap*MAX(0,DP91))</f>
        <v>-0</v>
      </c>
      <c r="DQ94" s="43" t="n">
        <f aca="false">-MIN(DQ92,In_Loss_Cap*MAX(0,DQ91))</f>
        <v>-0</v>
      </c>
      <c r="DR94" s="43" t="n">
        <f aca="false">-MIN(DR92,In_Loss_Cap*MAX(0,DR91))</f>
        <v>-0</v>
      </c>
      <c r="DS94" s="43" t="n">
        <f aca="false">-MIN(DS92,In_Loss_Cap*MAX(0,DS91))</f>
        <v>-0</v>
      </c>
      <c r="DT94" s="43" t="n">
        <f aca="false">-MIN(DT92,In_Loss_Cap*MAX(0,DT91))</f>
        <v>-0</v>
      </c>
      <c r="DU94" s="43" t="n">
        <f aca="false">-MIN(DU92,In_Loss_Cap*MAX(0,DU91))</f>
        <v>-0</v>
      </c>
      <c r="DV94" s="43" t="n">
        <f aca="false">-MIN(DV92,In_Loss_Cap*MAX(0,DV91))</f>
        <v>-0</v>
      </c>
      <c r="DW94" s="43" t="n">
        <f aca="false">-MIN(DW92,In_Loss_Cap*MAX(0,DW91))</f>
        <v>-0</v>
      </c>
      <c r="DX94" s="43" t="n">
        <f aca="false">-MIN(DX92,In_Loss_Cap*MAX(0,DX91))</f>
        <v>-0</v>
      </c>
      <c r="DY94" s="43" t="n">
        <f aca="false">-MIN(DY92,In_Loss_Cap*MAX(0,DY91))</f>
        <v>-0</v>
      </c>
      <c r="DZ94" s="43" t="n">
        <f aca="false">-MIN(DZ92,In_Loss_Cap*MAX(0,DZ91))</f>
        <v>-0</v>
      </c>
      <c r="EA94" s="43" t="n">
        <f aca="false">-MIN(EA92,In_Loss_Cap*MAX(0,EA91))</f>
        <v>-0</v>
      </c>
      <c r="EB94" s="43" t="n">
        <f aca="false">-MIN(EB92,In_Loss_Cap*MAX(0,EB91))</f>
        <v>-0</v>
      </c>
      <c r="EC94" s="43" t="n">
        <f aca="false">-MIN(EC92,In_Loss_Cap*MAX(0,EC91))</f>
        <v>-0</v>
      </c>
      <c r="ED94" s="43" t="n">
        <f aca="false">-MIN(ED92,In_Loss_Cap*MAX(0,ED91))</f>
        <v>-0</v>
      </c>
      <c r="EE94" s="43" t="n">
        <f aca="false">-MIN(EE92,In_Loss_Cap*MAX(0,EE91))</f>
        <v>-0</v>
      </c>
      <c r="EF94" s="43" t="n">
        <f aca="false">-MIN(EF92,In_Loss_Cap*MAX(0,EF91))</f>
        <v>-0</v>
      </c>
      <c r="EG94" s="43" t="n">
        <f aca="false">-MIN(EG92,In_Loss_Cap*MAX(0,EG91))</f>
        <v>-0</v>
      </c>
      <c r="EH94" s="43" t="n">
        <f aca="false">-MIN(EH92,In_Loss_Cap*MAX(0,EH91))</f>
        <v>-0</v>
      </c>
      <c r="EI94" s="43" t="n">
        <f aca="false">-MIN(EI92,In_Loss_Cap*MAX(0,EI91))</f>
        <v>-0</v>
      </c>
      <c r="EJ94" s="43" t="n">
        <f aca="false">-MIN(EJ92,In_Loss_Cap*MAX(0,EJ91))</f>
        <v>-0</v>
      </c>
      <c r="EK94" s="43" t="n">
        <f aca="false">-MIN(EK92,In_Loss_Cap*MAX(0,EK91))</f>
        <v>-0</v>
      </c>
      <c r="EL94" s="43" t="n">
        <f aca="false">-MIN(EL92,In_Loss_Cap*MAX(0,EL91))</f>
        <v>-0</v>
      </c>
      <c r="EM94" s="43" t="n">
        <f aca="false">-MIN(EM92,In_Loss_Cap*MAX(0,EM91))</f>
        <v>-0</v>
      </c>
      <c r="EN94" s="43" t="n">
        <f aca="false">-MIN(EN92,In_Loss_Cap*MAX(0,EN91))</f>
        <v>-0</v>
      </c>
      <c r="EO94" s="43" t="n">
        <f aca="false">-MIN(EO92,In_Loss_Cap*MAX(0,EO91))</f>
        <v>-0</v>
      </c>
    </row>
    <row r="95" customFormat="false" ht="15" hidden="false" customHeight="false" outlineLevel="0" collapsed="false">
      <c r="C95" s="0" t="s">
        <v>400</v>
      </c>
      <c r="D95" s="11" t="s">
        <v>33</v>
      </c>
      <c r="E95" s="41" t="n">
        <f aca="false">EDATE(In_NTP,In_Loss_Years*Months_In_Year)</f>
        <v>48852</v>
      </c>
      <c r="I95" s="43" t="n">
        <f aca="false">SUM(J95:EO95)</f>
        <v>-406.940736063059</v>
      </c>
      <c r="J95" s="43" t="n">
        <f aca="false">-(J92+J93+J94)*N(AND(J$3&lt;=$E95,J$4&gt;=$E95))</f>
        <v>-0</v>
      </c>
      <c r="K95" s="43" t="n">
        <f aca="false">-(K92+K93+K94)*N(AND(K$3&lt;=$E95,K$4&gt;=$E95))</f>
        <v>-0</v>
      </c>
      <c r="L95" s="43" t="n">
        <f aca="false">-(L92+L93+L94)*N(AND(L$3&lt;=$E95,L$4&gt;=$E95))</f>
        <v>-0</v>
      </c>
      <c r="M95" s="43" t="n">
        <f aca="false">-(M92+M93+M94)*N(AND(M$3&lt;=$E95,M$4&gt;=$E95))</f>
        <v>-0</v>
      </c>
      <c r="N95" s="43" t="n">
        <f aca="false">-(N92+N93+N94)*N(AND(N$3&lt;=$E95,N$4&gt;=$E95))</f>
        <v>-0</v>
      </c>
      <c r="O95" s="43" t="n">
        <f aca="false">-(O92+O93+O94)*N(AND(O$3&lt;=$E95,O$4&gt;=$E95))</f>
        <v>-0</v>
      </c>
      <c r="P95" s="43" t="n">
        <f aca="false">-(P92+P93+P94)*N(AND(P$3&lt;=$E95,P$4&gt;=$E95))</f>
        <v>-0</v>
      </c>
      <c r="Q95" s="43" t="n">
        <f aca="false">-(Q92+Q93+Q94)*N(AND(Q$3&lt;=$E95,Q$4&gt;=$E95))</f>
        <v>-0</v>
      </c>
      <c r="R95" s="43" t="n">
        <f aca="false">-(R92+R93+R94)*N(AND(R$3&lt;=$E95,R$4&gt;=$E95))</f>
        <v>-0</v>
      </c>
      <c r="S95" s="43" t="n">
        <f aca="false">-(S92+S93+S94)*N(AND(S$3&lt;=$E95,S$4&gt;=$E95))</f>
        <v>-0</v>
      </c>
      <c r="T95" s="43" t="n">
        <f aca="false">-(T92+T93+T94)*N(AND(T$3&lt;=$E95,T$4&gt;=$E95))</f>
        <v>-0</v>
      </c>
      <c r="U95" s="43" t="n">
        <f aca="false">-(U92+U93+U94)*N(AND(U$3&lt;=$E95,U$4&gt;=$E95))</f>
        <v>-0</v>
      </c>
      <c r="V95" s="43" t="n">
        <f aca="false">-(V92+V93+V94)*N(AND(V$3&lt;=$E95,V$4&gt;=$E95))</f>
        <v>-0</v>
      </c>
      <c r="W95" s="43" t="n">
        <f aca="false">-(W92+W93+W94)*N(AND(W$3&lt;=$E95,W$4&gt;=$E95))</f>
        <v>-0</v>
      </c>
      <c r="X95" s="43" t="n">
        <f aca="false">-(X92+X93+X94)*N(AND(X$3&lt;=$E95,X$4&gt;=$E95))</f>
        <v>-0</v>
      </c>
      <c r="Y95" s="43" t="n">
        <f aca="false">-(Y92+Y93+Y94)*N(AND(Y$3&lt;=$E95,Y$4&gt;=$E95))</f>
        <v>-0</v>
      </c>
      <c r="Z95" s="43" t="n">
        <f aca="false">-(Z92+Z93+Z94)*N(AND(Z$3&lt;=$E95,Z$4&gt;=$E95))</f>
        <v>-0</v>
      </c>
      <c r="AA95" s="43" t="n">
        <f aca="false">-(AA92+AA93+AA94)*N(AND(AA$3&lt;=$E95,AA$4&gt;=$E95))</f>
        <v>-0</v>
      </c>
      <c r="AB95" s="43" t="n">
        <f aca="false">-(AB92+AB93+AB94)*N(AND(AB$3&lt;=$E95,AB$4&gt;=$E95))</f>
        <v>-0</v>
      </c>
      <c r="AC95" s="43" t="n">
        <f aca="false">-(AC92+AC93+AC94)*N(AND(AC$3&lt;=$E95,AC$4&gt;=$E95))</f>
        <v>-0</v>
      </c>
      <c r="AD95" s="43" t="n">
        <f aca="false">-(AD92+AD93+AD94)*N(AND(AD$3&lt;=$E95,AD$4&gt;=$E95))</f>
        <v>-0</v>
      </c>
      <c r="AE95" s="43" t="n">
        <f aca="false">-(AE92+AE93+AE94)*N(AND(AE$3&lt;=$E95,AE$4&gt;=$E95))</f>
        <v>-0</v>
      </c>
      <c r="AF95" s="43" t="n">
        <f aca="false">-(AF92+AF93+AF94)*N(AND(AF$3&lt;=$E95,AF$4&gt;=$E95))</f>
        <v>-0</v>
      </c>
      <c r="AG95" s="43" t="n">
        <f aca="false">-(AG92+AG93+AG94)*N(AND(AG$3&lt;=$E95,AG$4&gt;=$E95))</f>
        <v>-0</v>
      </c>
      <c r="AH95" s="43" t="n">
        <f aca="false">-(AH92+AH93+AH94)*N(AND(AH$3&lt;=$E95,AH$4&gt;=$E95))</f>
        <v>-0</v>
      </c>
      <c r="AI95" s="43" t="n">
        <f aca="false">-(AI92+AI93+AI94)*N(AND(AI$3&lt;=$E95,AI$4&gt;=$E95))</f>
        <v>-0</v>
      </c>
      <c r="AJ95" s="43" t="n">
        <f aca="false">-(AJ92+AJ93+AJ94)*N(AND(AJ$3&lt;=$E95,AJ$4&gt;=$E95))</f>
        <v>-0</v>
      </c>
      <c r="AK95" s="43" t="n">
        <f aca="false">-(AK92+AK93+AK94)*N(AND(AK$3&lt;=$E95,AK$4&gt;=$E95))</f>
        <v>-406.940736063059</v>
      </c>
      <c r="AL95" s="43" t="n">
        <f aca="false">-(AL92+AL93+AL94)*N(AND(AL$3&lt;=$E95,AL$4&gt;=$E95))</f>
        <v>-0</v>
      </c>
      <c r="AM95" s="43" t="n">
        <f aca="false">-(AM92+AM93+AM94)*N(AND(AM$3&lt;=$E95,AM$4&gt;=$E95))</f>
        <v>-0</v>
      </c>
      <c r="AN95" s="43" t="n">
        <f aca="false">-(AN92+AN93+AN94)*N(AND(AN$3&lt;=$E95,AN$4&gt;=$E95))</f>
        <v>-0</v>
      </c>
      <c r="AO95" s="43" t="n">
        <f aca="false">-(AO92+AO93+AO94)*N(AND(AO$3&lt;=$E95,AO$4&gt;=$E95))</f>
        <v>-0</v>
      </c>
      <c r="AP95" s="43" t="n">
        <f aca="false">-(AP92+AP93+AP94)*N(AND(AP$3&lt;=$E95,AP$4&gt;=$E95))</f>
        <v>-0</v>
      </c>
      <c r="AQ95" s="43" t="n">
        <f aca="false">-(AQ92+AQ93+AQ94)*N(AND(AQ$3&lt;=$E95,AQ$4&gt;=$E95))</f>
        <v>-0</v>
      </c>
      <c r="AR95" s="43" t="n">
        <f aca="false">-(AR92+AR93+AR94)*N(AND(AR$3&lt;=$E95,AR$4&gt;=$E95))</f>
        <v>-0</v>
      </c>
      <c r="AS95" s="43" t="n">
        <f aca="false">-(AS92+AS93+AS94)*N(AND(AS$3&lt;=$E95,AS$4&gt;=$E95))</f>
        <v>-0</v>
      </c>
      <c r="AT95" s="43" t="n">
        <f aca="false">-(AT92+AT93+AT94)*N(AND(AT$3&lt;=$E95,AT$4&gt;=$E95))</f>
        <v>-0</v>
      </c>
      <c r="AU95" s="43" t="n">
        <f aca="false">-(AU92+AU93+AU94)*N(AND(AU$3&lt;=$E95,AU$4&gt;=$E95))</f>
        <v>-0</v>
      </c>
      <c r="AV95" s="43" t="n">
        <f aca="false">-(AV92+AV93+AV94)*N(AND(AV$3&lt;=$E95,AV$4&gt;=$E95))</f>
        <v>-0</v>
      </c>
      <c r="AW95" s="43" t="n">
        <f aca="false">-(AW92+AW93+AW94)*N(AND(AW$3&lt;=$E95,AW$4&gt;=$E95))</f>
        <v>-0</v>
      </c>
      <c r="AX95" s="43" t="n">
        <f aca="false">-(AX92+AX93+AX94)*N(AND(AX$3&lt;=$E95,AX$4&gt;=$E95))</f>
        <v>-0</v>
      </c>
      <c r="AY95" s="43" t="n">
        <f aca="false">-(AY92+AY93+AY94)*N(AND(AY$3&lt;=$E95,AY$4&gt;=$E95))</f>
        <v>-0</v>
      </c>
      <c r="AZ95" s="43" t="n">
        <f aca="false">-(AZ92+AZ93+AZ94)*N(AND(AZ$3&lt;=$E95,AZ$4&gt;=$E95))</f>
        <v>-0</v>
      </c>
      <c r="BA95" s="43" t="n">
        <f aca="false">-(BA92+BA93+BA94)*N(AND(BA$3&lt;=$E95,BA$4&gt;=$E95))</f>
        <v>-0</v>
      </c>
      <c r="BB95" s="43" t="n">
        <f aca="false">-(BB92+BB93+BB94)*N(AND(BB$3&lt;=$E95,BB$4&gt;=$E95))</f>
        <v>-0</v>
      </c>
      <c r="BC95" s="43" t="n">
        <f aca="false">-(BC92+BC93+BC94)*N(AND(BC$3&lt;=$E95,BC$4&gt;=$E95))</f>
        <v>-0</v>
      </c>
      <c r="BD95" s="43" t="n">
        <f aca="false">-(BD92+BD93+BD94)*N(AND(BD$3&lt;=$E95,BD$4&gt;=$E95))</f>
        <v>-0</v>
      </c>
      <c r="BE95" s="43" t="n">
        <f aca="false">-(BE92+BE93+BE94)*N(AND(BE$3&lt;=$E95,BE$4&gt;=$E95))</f>
        <v>-0</v>
      </c>
      <c r="BF95" s="43" t="n">
        <f aca="false">-(BF92+BF93+BF94)*N(AND(BF$3&lt;=$E95,BF$4&gt;=$E95))</f>
        <v>-0</v>
      </c>
      <c r="BG95" s="43" t="n">
        <f aca="false">-(BG92+BG93+BG94)*N(AND(BG$3&lt;=$E95,BG$4&gt;=$E95))</f>
        <v>-0</v>
      </c>
      <c r="BH95" s="43" t="n">
        <f aca="false">-(BH92+BH93+BH94)*N(AND(BH$3&lt;=$E95,BH$4&gt;=$E95))</f>
        <v>-0</v>
      </c>
      <c r="BI95" s="43" t="n">
        <f aca="false">-(BI92+BI93+BI94)*N(AND(BI$3&lt;=$E95,BI$4&gt;=$E95))</f>
        <v>-0</v>
      </c>
      <c r="BJ95" s="43" t="n">
        <f aca="false">-(BJ92+BJ93+BJ94)*N(AND(BJ$3&lt;=$E95,BJ$4&gt;=$E95))</f>
        <v>-0</v>
      </c>
      <c r="BK95" s="43" t="n">
        <f aca="false">-(BK92+BK93+BK94)*N(AND(BK$3&lt;=$E95,BK$4&gt;=$E95))</f>
        <v>-0</v>
      </c>
      <c r="BL95" s="43" t="n">
        <f aca="false">-(BL92+BL93+BL94)*N(AND(BL$3&lt;=$E95,BL$4&gt;=$E95))</f>
        <v>-0</v>
      </c>
      <c r="BM95" s="43" t="n">
        <f aca="false">-(BM92+BM93+BM94)*N(AND(BM$3&lt;=$E95,BM$4&gt;=$E95))</f>
        <v>-0</v>
      </c>
      <c r="BN95" s="43" t="n">
        <f aca="false">-(BN92+BN93+BN94)*N(AND(BN$3&lt;=$E95,BN$4&gt;=$E95))</f>
        <v>-0</v>
      </c>
      <c r="BO95" s="43" t="n">
        <f aca="false">-(BO92+BO93+BO94)*N(AND(BO$3&lt;=$E95,BO$4&gt;=$E95))</f>
        <v>-0</v>
      </c>
      <c r="BP95" s="43" t="n">
        <f aca="false">-(BP92+BP93+BP94)*N(AND(BP$3&lt;=$E95,BP$4&gt;=$E95))</f>
        <v>-0</v>
      </c>
      <c r="BQ95" s="43" t="n">
        <f aca="false">-(BQ92+BQ93+BQ94)*N(AND(BQ$3&lt;=$E95,BQ$4&gt;=$E95))</f>
        <v>-0</v>
      </c>
      <c r="BR95" s="43" t="n">
        <f aca="false">-(BR92+BR93+BR94)*N(AND(BR$3&lt;=$E95,BR$4&gt;=$E95))</f>
        <v>-0</v>
      </c>
      <c r="BS95" s="43" t="n">
        <f aca="false">-(BS92+BS93+BS94)*N(AND(BS$3&lt;=$E95,BS$4&gt;=$E95))</f>
        <v>-0</v>
      </c>
      <c r="BT95" s="43" t="n">
        <f aca="false">-(BT92+BT93+BT94)*N(AND(BT$3&lt;=$E95,BT$4&gt;=$E95))</f>
        <v>-0</v>
      </c>
      <c r="BU95" s="43" t="n">
        <f aca="false">-(BU92+BU93+BU94)*N(AND(BU$3&lt;=$E95,BU$4&gt;=$E95))</f>
        <v>-0</v>
      </c>
      <c r="BV95" s="43" t="n">
        <f aca="false">-(BV92+BV93+BV94)*N(AND(BV$3&lt;=$E95,BV$4&gt;=$E95))</f>
        <v>-0</v>
      </c>
      <c r="BW95" s="43" t="n">
        <f aca="false">-(BW92+BW93+BW94)*N(AND(BW$3&lt;=$E95,BW$4&gt;=$E95))</f>
        <v>-0</v>
      </c>
      <c r="BX95" s="43" t="n">
        <f aca="false">-(BX92+BX93+BX94)*N(AND(BX$3&lt;=$E95,BX$4&gt;=$E95))</f>
        <v>-0</v>
      </c>
      <c r="BY95" s="43" t="n">
        <f aca="false">-(BY92+BY93+BY94)*N(AND(BY$3&lt;=$E95,BY$4&gt;=$E95))</f>
        <v>-0</v>
      </c>
      <c r="BZ95" s="43" t="n">
        <f aca="false">-(BZ92+BZ93+BZ94)*N(AND(BZ$3&lt;=$E95,BZ$4&gt;=$E95))</f>
        <v>-0</v>
      </c>
      <c r="CA95" s="43" t="n">
        <f aca="false">-(CA92+CA93+CA94)*N(AND(CA$3&lt;=$E95,CA$4&gt;=$E95))</f>
        <v>-0</v>
      </c>
      <c r="CB95" s="43" t="n">
        <f aca="false">-(CB92+CB93+CB94)*N(AND(CB$3&lt;=$E95,CB$4&gt;=$E95))</f>
        <v>-0</v>
      </c>
      <c r="CC95" s="43" t="n">
        <f aca="false">-(CC92+CC93+CC94)*N(AND(CC$3&lt;=$E95,CC$4&gt;=$E95))</f>
        <v>-0</v>
      </c>
      <c r="CD95" s="43" t="n">
        <f aca="false">-(CD92+CD93+CD94)*N(AND(CD$3&lt;=$E95,CD$4&gt;=$E95))</f>
        <v>-0</v>
      </c>
      <c r="CE95" s="43" t="n">
        <f aca="false">-(CE92+CE93+CE94)*N(AND(CE$3&lt;=$E95,CE$4&gt;=$E95))</f>
        <v>-0</v>
      </c>
      <c r="CF95" s="43" t="n">
        <f aca="false">-(CF92+CF93+CF94)*N(AND(CF$3&lt;=$E95,CF$4&gt;=$E95))</f>
        <v>-0</v>
      </c>
      <c r="CG95" s="43" t="n">
        <f aca="false">-(CG92+CG93+CG94)*N(AND(CG$3&lt;=$E95,CG$4&gt;=$E95))</f>
        <v>-0</v>
      </c>
      <c r="CH95" s="43" t="n">
        <f aca="false">-(CH92+CH93+CH94)*N(AND(CH$3&lt;=$E95,CH$4&gt;=$E95))</f>
        <v>-0</v>
      </c>
      <c r="CI95" s="43" t="n">
        <f aca="false">-(CI92+CI93+CI94)*N(AND(CI$3&lt;=$E95,CI$4&gt;=$E95))</f>
        <v>-0</v>
      </c>
      <c r="CJ95" s="43" t="n">
        <f aca="false">-(CJ92+CJ93+CJ94)*N(AND(CJ$3&lt;=$E95,CJ$4&gt;=$E95))</f>
        <v>-0</v>
      </c>
      <c r="CK95" s="43" t="n">
        <f aca="false">-(CK92+CK93+CK94)*N(AND(CK$3&lt;=$E95,CK$4&gt;=$E95))</f>
        <v>-0</v>
      </c>
      <c r="CL95" s="43" t="n">
        <f aca="false">-(CL92+CL93+CL94)*N(AND(CL$3&lt;=$E95,CL$4&gt;=$E95))</f>
        <v>-0</v>
      </c>
      <c r="CM95" s="43" t="n">
        <f aca="false">-(CM92+CM93+CM94)*N(AND(CM$3&lt;=$E95,CM$4&gt;=$E95))</f>
        <v>-0</v>
      </c>
      <c r="CN95" s="43" t="n">
        <f aca="false">-(CN92+CN93+CN94)*N(AND(CN$3&lt;=$E95,CN$4&gt;=$E95))</f>
        <v>-0</v>
      </c>
      <c r="CO95" s="43" t="n">
        <f aca="false">-(CO92+CO93+CO94)*N(AND(CO$3&lt;=$E95,CO$4&gt;=$E95))</f>
        <v>-0</v>
      </c>
      <c r="CP95" s="43" t="n">
        <f aca="false">-(CP92+CP93+CP94)*N(AND(CP$3&lt;=$E95,CP$4&gt;=$E95))</f>
        <v>-0</v>
      </c>
      <c r="CQ95" s="43" t="n">
        <f aca="false">-(CQ92+CQ93+CQ94)*N(AND(CQ$3&lt;=$E95,CQ$4&gt;=$E95))</f>
        <v>-0</v>
      </c>
      <c r="CR95" s="43" t="n">
        <f aca="false">-(CR92+CR93+CR94)*N(AND(CR$3&lt;=$E95,CR$4&gt;=$E95))</f>
        <v>-0</v>
      </c>
      <c r="CS95" s="43" t="n">
        <f aca="false">-(CS92+CS93+CS94)*N(AND(CS$3&lt;=$E95,CS$4&gt;=$E95))</f>
        <v>-0</v>
      </c>
      <c r="CT95" s="43" t="n">
        <f aca="false">-(CT92+CT93+CT94)*N(AND(CT$3&lt;=$E95,CT$4&gt;=$E95))</f>
        <v>-0</v>
      </c>
      <c r="CU95" s="43" t="n">
        <f aca="false">-(CU92+CU93+CU94)*N(AND(CU$3&lt;=$E95,CU$4&gt;=$E95))</f>
        <v>-0</v>
      </c>
      <c r="CV95" s="43" t="n">
        <f aca="false">-(CV92+CV93+CV94)*N(AND(CV$3&lt;=$E95,CV$4&gt;=$E95))</f>
        <v>-0</v>
      </c>
      <c r="CW95" s="43" t="n">
        <f aca="false">-(CW92+CW93+CW94)*N(AND(CW$3&lt;=$E95,CW$4&gt;=$E95))</f>
        <v>-0</v>
      </c>
      <c r="CX95" s="43" t="n">
        <f aca="false">-(CX92+CX93+CX94)*N(AND(CX$3&lt;=$E95,CX$4&gt;=$E95))</f>
        <v>-0</v>
      </c>
      <c r="CY95" s="43" t="n">
        <f aca="false">-(CY92+CY93+CY94)*N(AND(CY$3&lt;=$E95,CY$4&gt;=$E95))</f>
        <v>-0</v>
      </c>
      <c r="CZ95" s="43" t="n">
        <f aca="false">-(CZ92+CZ93+CZ94)*N(AND(CZ$3&lt;=$E95,CZ$4&gt;=$E95))</f>
        <v>-0</v>
      </c>
      <c r="DA95" s="43" t="n">
        <f aca="false">-(DA92+DA93+DA94)*N(AND(DA$3&lt;=$E95,DA$4&gt;=$E95))</f>
        <v>-0</v>
      </c>
      <c r="DB95" s="43" t="n">
        <f aca="false">-(DB92+DB93+DB94)*N(AND(DB$3&lt;=$E95,DB$4&gt;=$E95))</f>
        <v>-0</v>
      </c>
      <c r="DC95" s="43" t="n">
        <f aca="false">-(DC92+DC93+DC94)*N(AND(DC$3&lt;=$E95,DC$4&gt;=$E95))</f>
        <v>-0</v>
      </c>
      <c r="DD95" s="43" t="n">
        <f aca="false">-(DD92+DD93+DD94)*N(AND(DD$3&lt;=$E95,DD$4&gt;=$E95))</f>
        <v>-0</v>
      </c>
      <c r="DE95" s="43" t="n">
        <f aca="false">-(DE92+DE93+DE94)*N(AND(DE$3&lt;=$E95,DE$4&gt;=$E95))</f>
        <v>-0</v>
      </c>
      <c r="DF95" s="43" t="n">
        <f aca="false">-(DF92+DF93+DF94)*N(AND(DF$3&lt;=$E95,DF$4&gt;=$E95))</f>
        <v>-0</v>
      </c>
      <c r="DG95" s="43" t="n">
        <f aca="false">-(DG92+DG93+DG94)*N(AND(DG$3&lt;=$E95,DG$4&gt;=$E95))</f>
        <v>-0</v>
      </c>
      <c r="DH95" s="43" t="n">
        <f aca="false">-(DH92+DH93+DH94)*N(AND(DH$3&lt;=$E95,DH$4&gt;=$E95))</f>
        <v>-0</v>
      </c>
      <c r="DI95" s="43" t="n">
        <f aca="false">-(DI92+DI93+DI94)*N(AND(DI$3&lt;=$E95,DI$4&gt;=$E95))</f>
        <v>-0</v>
      </c>
      <c r="DJ95" s="43" t="n">
        <f aca="false">-(DJ92+DJ93+DJ94)*N(AND(DJ$3&lt;=$E95,DJ$4&gt;=$E95))</f>
        <v>-0</v>
      </c>
      <c r="DK95" s="43" t="n">
        <f aca="false">-(DK92+DK93+DK94)*N(AND(DK$3&lt;=$E95,DK$4&gt;=$E95))</f>
        <v>-0</v>
      </c>
      <c r="DL95" s="43" t="n">
        <f aca="false">-(DL92+DL93+DL94)*N(AND(DL$3&lt;=$E95,DL$4&gt;=$E95))</f>
        <v>-0</v>
      </c>
      <c r="DM95" s="43" t="n">
        <f aca="false">-(DM92+DM93+DM94)*N(AND(DM$3&lt;=$E95,DM$4&gt;=$E95))</f>
        <v>-0</v>
      </c>
      <c r="DN95" s="43" t="n">
        <f aca="false">-(DN92+DN93+DN94)*N(AND(DN$3&lt;=$E95,DN$4&gt;=$E95))</f>
        <v>-0</v>
      </c>
      <c r="DO95" s="43" t="n">
        <f aca="false">-(DO92+DO93+DO94)*N(AND(DO$3&lt;=$E95,DO$4&gt;=$E95))</f>
        <v>-0</v>
      </c>
      <c r="DP95" s="43" t="n">
        <f aca="false">-(DP92+DP93+DP94)*N(AND(DP$3&lt;=$E95,DP$4&gt;=$E95))</f>
        <v>-0</v>
      </c>
      <c r="DQ95" s="43" t="n">
        <f aca="false">-(DQ92+DQ93+DQ94)*N(AND(DQ$3&lt;=$E95,DQ$4&gt;=$E95))</f>
        <v>-0</v>
      </c>
      <c r="DR95" s="43" t="n">
        <f aca="false">-(DR92+DR93+DR94)*N(AND(DR$3&lt;=$E95,DR$4&gt;=$E95))</f>
        <v>-0</v>
      </c>
      <c r="DS95" s="43" t="n">
        <f aca="false">-(DS92+DS93+DS94)*N(AND(DS$3&lt;=$E95,DS$4&gt;=$E95))</f>
        <v>-0</v>
      </c>
      <c r="DT95" s="43" t="n">
        <f aca="false">-(DT92+DT93+DT94)*N(AND(DT$3&lt;=$E95,DT$4&gt;=$E95))</f>
        <v>-0</v>
      </c>
      <c r="DU95" s="43" t="n">
        <f aca="false">-(DU92+DU93+DU94)*N(AND(DU$3&lt;=$E95,DU$4&gt;=$E95))</f>
        <v>-0</v>
      </c>
      <c r="DV95" s="43" t="n">
        <f aca="false">-(DV92+DV93+DV94)*N(AND(DV$3&lt;=$E95,DV$4&gt;=$E95))</f>
        <v>-0</v>
      </c>
      <c r="DW95" s="43" t="n">
        <f aca="false">-(DW92+DW93+DW94)*N(AND(DW$3&lt;=$E95,DW$4&gt;=$E95))</f>
        <v>-0</v>
      </c>
      <c r="DX95" s="43" t="n">
        <f aca="false">-(DX92+DX93+DX94)*N(AND(DX$3&lt;=$E95,DX$4&gt;=$E95))</f>
        <v>-0</v>
      </c>
      <c r="DY95" s="43" t="n">
        <f aca="false">-(DY92+DY93+DY94)*N(AND(DY$3&lt;=$E95,DY$4&gt;=$E95))</f>
        <v>-0</v>
      </c>
      <c r="DZ95" s="43" t="n">
        <f aca="false">-(DZ92+DZ93+DZ94)*N(AND(DZ$3&lt;=$E95,DZ$4&gt;=$E95))</f>
        <v>-0</v>
      </c>
      <c r="EA95" s="43" t="n">
        <f aca="false">-(EA92+EA93+EA94)*N(AND(EA$3&lt;=$E95,EA$4&gt;=$E95))</f>
        <v>-0</v>
      </c>
      <c r="EB95" s="43" t="n">
        <f aca="false">-(EB92+EB93+EB94)*N(AND(EB$3&lt;=$E95,EB$4&gt;=$E95))</f>
        <v>-0</v>
      </c>
      <c r="EC95" s="43" t="n">
        <f aca="false">-(EC92+EC93+EC94)*N(AND(EC$3&lt;=$E95,EC$4&gt;=$E95))</f>
        <v>-0</v>
      </c>
      <c r="ED95" s="43" t="n">
        <f aca="false">-(ED92+ED93+ED94)*N(AND(ED$3&lt;=$E95,ED$4&gt;=$E95))</f>
        <v>-0</v>
      </c>
      <c r="EE95" s="43" t="n">
        <f aca="false">-(EE92+EE93+EE94)*N(AND(EE$3&lt;=$E95,EE$4&gt;=$E95))</f>
        <v>-0</v>
      </c>
      <c r="EF95" s="43" t="n">
        <f aca="false">-(EF92+EF93+EF94)*N(AND(EF$3&lt;=$E95,EF$4&gt;=$E95))</f>
        <v>-0</v>
      </c>
      <c r="EG95" s="43" t="n">
        <f aca="false">-(EG92+EG93+EG94)*N(AND(EG$3&lt;=$E95,EG$4&gt;=$E95))</f>
        <v>-0</v>
      </c>
      <c r="EH95" s="43" t="n">
        <f aca="false">-(EH92+EH93+EH94)*N(AND(EH$3&lt;=$E95,EH$4&gt;=$E95))</f>
        <v>-0</v>
      </c>
      <c r="EI95" s="43" t="n">
        <f aca="false">-(EI92+EI93+EI94)*N(AND(EI$3&lt;=$E95,EI$4&gt;=$E95))</f>
        <v>-0</v>
      </c>
      <c r="EJ95" s="43" t="n">
        <f aca="false">-(EJ92+EJ93+EJ94)*N(AND(EJ$3&lt;=$E95,EJ$4&gt;=$E95))</f>
        <v>-0</v>
      </c>
      <c r="EK95" s="43" t="n">
        <f aca="false">-(EK92+EK93+EK94)*N(AND(EK$3&lt;=$E95,EK$4&gt;=$E95))</f>
        <v>-0</v>
      </c>
      <c r="EL95" s="43" t="n">
        <f aca="false">-(EL92+EL93+EL94)*N(AND(EL$3&lt;=$E95,EL$4&gt;=$E95))</f>
        <v>-0</v>
      </c>
      <c r="EM95" s="43" t="n">
        <f aca="false">-(EM92+EM93+EM94)*N(AND(EM$3&lt;=$E95,EM$4&gt;=$E95))</f>
        <v>-0</v>
      </c>
      <c r="EN95" s="43" t="n">
        <f aca="false">-(EN92+EN93+EN94)*N(AND(EN$3&lt;=$E95,EN$4&gt;=$E95))</f>
        <v>-0</v>
      </c>
      <c r="EO95" s="43" t="n">
        <f aca="false">-(EO92+EO93+EO94)*N(AND(EO$3&lt;=$E95,EO$4&gt;=$E95))</f>
        <v>-0</v>
      </c>
    </row>
    <row r="96" customFormat="false" ht="15" hidden="false" customHeight="false" outlineLevel="0" collapsed="false">
      <c r="C96" s="0" t="s">
        <v>401</v>
      </c>
      <c r="D96" s="11" t="s">
        <v>33</v>
      </c>
      <c r="I96" s="56"/>
      <c r="J96" s="43" t="n">
        <f aca="false">SUM(J92:J95)</f>
        <v>11.0990429724151</v>
      </c>
      <c r="K96" s="43" t="n">
        <f aca="false">SUM(K92:K95)</f>
        <v>23.4413210733721</v>
      </c>
      <c r="L96" s="43" t="n">
        <f aca="false">SUM(L92:L95)</f>
        <v>44.2403452805404</v>
      </c>
      <c r="M96" s="43" t="n">
        <f aca="false">SUM(M92:M95)</f>
        <v>65.267930193282</v>
      </c>
      <c r="N96" s="43" t="n">
        <f aca="false">SUM(N92:N95)</f>
        <v>86.2955151060236</v>
      </c>
      <c r="O96" s="43" t="n">
        <f aca="false">SUM(O92:O95)</f>
        <v>107.094539313192</v>
      </c>
      <c r="P96" s="43" t="n">
        <f aca="false">SUM(P92:P95)</f>
        <v>127.89356352036</v>
      </c>
      <c r="Q96" s="43" t="n">
        <f aca="false">SUM(Q92:Q95)</f>
        <v>148.921148433102</v>
      </c>
      <c r="R96" s="43" t="n">
        <f aca="false">SUM(R92:R95)</f>
        <v>1404.78003574682</v>
      </c>
      <c r="S96" s="43" t="n">
        <f aca="false">SUM(S92:S95)</f>
        <v>1578.16690606718</v>
      </c>
      <c r="T96" s="43" t="n">
        <f aca="false">SUM(T92:T95)</f>
        <v>1724.95740659398</v>
      </c>
      <c r="U96" s="43" t="n">
        <f aca="false">SUM(U92:U95)</f>
        <v>1859.16802230827</v>
      </c>
      <c r="V96" s="43" t="n">
        <f aca="false">SUM(V92:V95)</f>
        <v>1979.02970411376</v>
      </c>
      <c r="W96" s="43" t="n">
        <f aca="false">SUM(W92:W95)</f>
        <v>2083.19590677843</v>
      </c>
      <c r="X96" s="43" t="n">
        <f aca="false">SUM(X92:X95)</f>
        <v>2174.63508722504</v>
      </c>
      <c r="Y96" s="43" t="n">
        <f aca="false">SUM(Y92:Y95)</f>
        <v>2252.88612659453</v>
      </c>
      <c r="Z96" s="43" t="n">
        <f aca="false">SUM(Z92:Z95)</f>
        <v>2123.58404529904</v>
      </c>
      <c r="AA96" s="43" t="n">
        <f aca="false">SUM(AA92:AA95)</f>
        <v>1995.54031351307</v>
      </c>
      <c r="AB96" s="43" t="n">
        <f aca="false">SUM(AB92:AB95)</f>
        <v>1858.71418988274</v>
      </c>
      <c r="AC96" s="43" t="n">
        <f aca="false">SUM(AC92:AC95)</f>
        <v>1712.98108224714</v>
      </c>
      <c r="AD96" s="43" t="n">
        <f aca="false">SUM(AD92:AD95)</f>
        <v>1567.51238216984</v>
      </c>
      <c r="AE96" s="43" t="n">
        <f aca="false">SUM(AE92:AE95)</f>
        <v>1417.60480840599</v>
      </c>
      <c r="AF96" s="43" t="n">
        <f aca="false">SUM(AF92:AF95)</f>
        <v>1264.25854376758</v>
      </c>
      <c r="AG96" s="43" t="n">
        <f aca="false">SUM(AG92:AG95)</f>
        <v>1101.7859385428</v>
      </c>
      <c r="AH96" s="43" t="n">
        <f aca="false">SUM(AH92:AH95)</f>
        <v>939.411270927587</v>
      </c>
      <c r="AI96" s="43" t="n">
        <f aca="false">SUM(AI92:AI95)</f>
        <v>778.184073319509</v>
      </c>
      <c r="AJ96" s="43" t="n">
        <f aca="false">SUM(AJ92:AJ95)</f>
        <v>597.334812390882</v>
      </c>
      <c r="AK96" s="43" t="n">
        <f aca="false">SUM(AK92:AK95)</f>
        <v>0</v>
      </c>
      <c r="AL96" s="43" t="n">
        <f aca="false">SUM(AL92:AL95)</f>
        <v>0</v>
      </c>
      <c r="AM96" s="43" t="n">
        <f aca="false">SUM(AM92:AM95)</f>
        <v>0</v>
      </c>
      <c r="AN96" s="43" t="n">
        <f aca="false">SUM(AN92:AN95)</f>
        <v>0</v>
      </c>
      <c r="AO96" s="43" t="n">
        <f aca="false">SUM(AO92:AO95)</f>
        <v>0</v>
      </c>
      <c r="AP96" s="43" t="n">
        <f aca="false">SUM(AP92:AP95)</f>
        <v>0</v>
      </c>
      <c r="AQ96" s="43" t="n">
        <f aca="false">SUM(AQ92:AQ95)</f>
        <v>0</v>
      </c>
      <c r="AR96" s="43" t="n">
        <f aca="false">SUM(AR92:AR95)</f>
        <v>0</v>
      </c>
      <c r="AS96" s="43" t="n">
        <f aca="false">SUM(AS92:AS95)</f>
        <v>0</v>
      </c>
      <c r="AT96" s="43" t="n">
        <f aca="false">SUM(AT92:AT95)</f>
        <v>0</v>
      </c>
      <c r="AU96" s="43" t="n">
        <f aca="false">SUM(AU92:AU95)</f>
        <v>0</v>
      </c>
      <c r="AV96" s="43" t="n">
        <f aca="false">SUM(AV92:AV95)</f>
        <v>0</v>
      </c>
      <c r="AW96" s="43" t="n">
        <f aca="false">SUM(AW92:AW95)</f>
        <v>0</v>
      </c>
      <c r="AX96" s="43" t="n">
        <f aca="false">SUM(AX92:AX95)</f>
        <v>0</v>
      </c>
      <c r="AY96" s="43" t="n">
        <f aca="false">SUM(AY92:AY95)</f>
        <v>0</v>
      </c>
      <c r="AZ96" s="43" t="n">
        <f aca="false">SUM(AZ92:AZ95)</f>
        <v>0</v>
      </c>
      <c r="BA96" s="43" t="n">
        <f aca="false">SUM(BA92:BA95)</f>
        <v>0</v>
      </c>
      <c r="BB96" s="43" t="n">
        <f aca="false">SUM(BB92:BB95)</f>
        <v>0</v>
      </c>
      <c r="BC96" s="43" t="n">
        <f aca="false">SUM(BC92:BC95)</f>
        <v>0</v>
      </c>
      <c r="BD96" s="43" t="n">
        <f aca="false">SUM(BD92:BD95)</f>
        <v>0</v>
      </c>
      <c r="BE96" s="43" t="n">
        <f aca="false">SUM(BE92:BE95)</f>
        <v>0</v>
      </c>
      <c r="BF96" s="43" t="n">
        <f aca="false">SUM(BF92:BF95)</f>
        <v>0</v>
      </c>
      <c r="BG96" s="43" t="n">
        <f aca="false">SUM(BG92:BG95)</f>
        <v>0</v>
      </c>
      <c r="BH96" s="43" t="n">
        <f aca="false">SUM(BH92:BH95)</f>
        <v>0</v>
      </c>
      <c r="BI96" s="43" t="n">
        <f aca="false">SUM(BI92:BI95)</f>
        <v>0</v>
      </c>
      <c r="BJ96" s="43" t="n">
        <f aca="false">SUM(BJ92:BJ95)</f>
        <v>0</v>
      </c>
      <c r="BK96" s="43" t="n">
        <f aca="false">SUM(BK92:BK95)</f>
        <v>0</v>
      </c>
      <c r="BL96" s="43" t="n">
        <f aca="false">SUM(BL92:BL95)</f>
        <v>0</v>
      </c>
      <c r="BM96" s="43" t="n">
        <f aca="false">SUM(BM92:BM95)</f>
        <v>0</v>
      </c>
      <c r="BN96" s="43" t="n">
        <f aca="false">SUM(BN92:BN95)</f>
        <v>0</v>
      </c>
      <c r="BO96" s="43" t="n">
        <f aca="false">SUM(BO92:BO95)</f>
        <v>0</v>
      </c>
      <c r="BP96" s="43" t="n">
        <f aca="false">SUM(BP92:BP95)</f>
        <v>0</v>
      </c>
      <c r="BQ96" s="43" t="n">
        <f aca="false">SUM(BQ92:BQ95)</f>
        <v>0</v>
      </c>
      <c r="BR96" s="43" t="n">
        <f aca="false">SUM(BR92:BR95)</f>
        <v>0</v>
      </c>
      <c r="BS96" s="43" t="n">
        <f aca="false">SUM(BS92:BS95)</f>
        <v>0</v>
      </c>
      <c r="BT96" s="43" t="n">
        <f aca="false">SUM(BT92:BT95)</f>
        <v>0</v>
      </c>
      <c r="BU96" s="43" t="n">
        <f aca="false">SUM(BU92:BU95)</f>
        <v>0</v>
      </c>
      <c r="BV96" s="43" t="n">
        <f aca="false">SUM(BV92:BV95)</f>
        <v>0</v>
      </c>
      <c r="BW96" s="43" t="n">
        <f aca="false">SUM(BW92:BW95)</f>
        <v>0</v>
      </c>
      <c r="BX96" s="43" t="n">
        <f aca="false">SUM(BX92:BX95)</f>
        <v>0</v>
      </c>
      <c r="BY96" s="43" t="n">
        <f aca="false">SUM(BY92:BY95)</f>
        <v>0</v>
      </c>
      <c r="BZ96" s="43" t="n">
        <f aca="false">SUM(BZ92:BZ95)</f>
        <v>0</v>
      </c>
      <c r="CA96" s="43" t="n">
        <f aca="false">SUM(CA92:CA95)</f>
        <v>0</v>
      </c>
      <c r="CB96" s="43" t="n">
        <f aca="false">SUM(CB92:CB95)</f>
        <v>0</v>
      </c>
      <c r="CC96" s="43" t="n">
        <f aca="false">SUM(CC92:CC95)</f>
        <v>0</v>
      </c>
      <c r="CD96" s="43" t="n">
        <f aca="false">SUM(CD92:CD95)</f>
        <v>0</v>
      </c>
      <c r="CE96" s="43" t="n">
        <f aca="false">SUM(CE92:CE95)</f>
        <v>0</v>
      </c>
      <c r="CF96" s="43" t="n">
        <f aca="false">SUM(CF92:CF95)</f>
        <v>0</v>
      </c>
      <c r="CG96" s="43" t="n">
        <f aca="false">SUM(CG92:CG95)</f>
        <v>0</v>
      </c>
      <c r="CH96" s="43" t="n">
        <f aca="false">SUM(CH92:CH95)</f>
        <v>0</v>
      </c>
      <c r="CI96" s="43" t="n">
        <f aca="false">SUM(CI92:CI95)</f>
        <v>0</v>
      </c>
      <c r="CJ96" s="43" t="n">
        <f aca="false">SUM(CJ92:CJ95)</f>
        <v>0</v>
      </c>
      <c r="CK96" s="43" t="n">
        <f aca="false">SUM(CK92:CK95)</f>
        <v>0</v>
      </c>
      <c r="CL96" s="43" t="n">
        <f aca="false">SUM(CL92:CL95)</f>
        <v>0</v>
      </c>
      <c r="CM96" s="43" t="n">
        <f aca="false">SUM(CM92:CM95)</f>
        <v>0</v>
      </c>
      <c r="CN96" s="43" t="n">
        <f aca="false">SUM(CN92:CN95)</f>
        <v>0</v>
      </c>
      <c r="CO96" s="43" t="n">
        <f aca="false">SUM(CO92:CO95)</f>
        <v>0</v>
      </c>
      <c r="CP96" s="43" t="n">
        <f aca="false">SUM(CP92:CP95)</f>
        <v>0</v>
      </c>
      <c r="CQ96" s="43" t="n">
        <f aca="false">SUM(CQ92:CQ95)</f>
        <v>0</v>
      </c>
      <c r="CR96" s="43" t="n">
        <f aca="false">SUM(CR92:CR95)</f>
        <v>0</v>
      </c>
      <c r="CS96" s="43" t="n">
        <f aca="false">SUM(CS92:CS95)</f>
        <v>0</v>
      </c>
      <c r="CT96" s="43" t="n">
        <f aca="false">SUM(CT92:CT95)</f>
        <v>0</v>
      </c>
      <c r="CU96" s="43" t="n">
        <f aca="false">SUM(CU92:CU95)</f>
        <v>0</v>
      </c>
      <c r="CV96" s="43" t="n">
        <f aca="false">SUM(CV92:CV95)</f>
        <v>0</v>
      </c>
      <c r="CW96" s="43" t="n">
        <f aca="false">SUM(CW92:CW95)</f>
        <v>0</v>
      </c>
      <c r="CX96" s="43" t="n">
        <f aca="false">SUM(CX92:CX95)</f>
        <v>0</v>
      </c>
      <c r="CY96" s="43" t="n">
        <f aca="false">SUM(CY92:CY95)</f>
        <v>0</v>
      </c>
      <c r="CZ96" s="43" t="n">
        <f aca="false">SUM(CZ92:CZ95)</f>
        <v>0</v>
      </c>
      <c r="DA96" s="43" t="n">
        <f aca="false">SUM(DA92:DA95)</f>
        <v>0</v>
      </c>
      <c r="DB96" s="43" t="n">
        <f aca="false">SUM(DB92:DB95)</f>
        <v>0</v>
      </c>
      <c r="DC96" s="43" t="n">
        <f aca="false">SUM(DC92:DC95)</f>
        <v>0</v>
      </c>
      <c r="DD96" s="43" t="n">
        <f aca="false">SUM(DD92:DD95)</f>
        <v>0</v>
      </c>
      <c r="DE96" s="43" t="n">
        <f aca="false">SUM(DE92:DE95)</f>
        <v>0</v>
      </c>
      <c r="DF96" s="43" t="n">
        <f aca="false">SUM(DF92:DF95)</f>
        <v>0</v>
      </c>
      <c r="DG96" s="43" t="n">
        <f aca="false">SUM(DG92:DG95)</f>
        <v>0</v>
      </c>
      <c r="DH96" s="43" t="n">
        <f aca="false">SUM(DH92:DH95)</f>
        <v>0</v>
      </c>
      <c r="DI96" s="43" t="n">
        <f aca="false">SUM(DI92:DI95)</f>
        <v>0</v>
      </c>
      <c r="DJ96" s="43" t="n">
        <f aca="false">SUM(DJ92:DJ95)</f>
        <v>0</v>
      </c>
      <c r="DK96" s="43" t="n">
        <f aca="false">SUM(DK92:DK95)</f>
        <v>0</v>
      </c>
      <c r="DL96" s="43" t="n">
        <f aca="false">SUM(DL92:DL95)</f>
        <v>0</v>
      </c>
      <c r="DM96" s="43" t="n">
        <f aca="false">SUM(DM92:DM95)</f>
        <v>0</v>
      </c>
      <c r="DN96" s="43" t="n">
        <f aca="false">SUM(DN92:DN95)</f>
        <v>0</v>
      </c>
      <c r="DO96" s="43" t="n">
        <f aca="false">SUM(DO92:DO95)</f>
        <v>0</v>
      </c>
      <c r="DP96" s="43" t="n">
        <f aca="false">SUM(DP92:DP95)</f>
        <v>0</v>
      </c>
      <c r="DQ96" s="43" t="n">
        <f aca="false">SUM(DQ92:DQ95)</f>
        <v>0</v>
      </c>
      <c r="DR96" s="43" t="n">
        <f aca="false">SUM(DR92:DR95)</f>
        <v>0</v>
      </c>
      <c r="DS96" s="43" t="n">
        <f aca="false">SUM(DS92:DS95)</f>
        <v>0</v>
      </c>
      <c r="DT96" s="43" t="n">
        <f aca="false">SUM(DT92:DT95)</f>
        <v>0</v>
      </c>
      <c r="DU96" s="43" t="n">
        <f aca="false">SUM(DU92:DU95)</f>
        <v>0</v>
      </c>
      <c r="DV96" s="43" t="n">
        <f aca="false">SUM(DV92:DV95)</f>
        <v>0</v>
      </c>
      <c r="DW96" s="43" t="n">
        <f aca="false">SUM(DW92:DW95)</f>
        <v>0</v>
      </c>
      <c r="DX96" s="43" t="n">
        <f aca="false">SUM(DX92:DX95)</f>
        <v>0</v>
      </c>
      <c r="DY96" s="43" t="n">
        <f aca="false">SUM(DY92:DY95)</f>
        <v>0</v>
      </c>
      <c r="DZ96" s="43" t="n">
        <f aca="false">SUM(DZ92:DZ95)</f>
        <v>0</v>
      </c>
      <c r="EA96" s="43" t="n">
        <f aca="false">SUM(EA92:EA95)</f>
        <v>0</v>
      </c>
      <c r="EB96" s="43" t="n">
        <f aca="false">SUM(EB92:EB95)</f>
        <v>0</v>
      </c>
      <c r="EC96" s="43" t="n">
        <f aca="false">SUM(EC92:EC95)</f>
        <v>0</v>
      </c>
      <c r="ED96" s="43" t="n">
        <f aca="false">SUM(ED92:ED95)</f>
        <v>0</v>
      </c>
      <c r="EE96" s="43" t="n">
        <f aca="false">SUM(EE92:EE95)</f>
        <v>0</v>
      </c>
      <c r="EF96" s="43" t="n">
        <f aca="false">SUM(EF92:EF95)</f>
        <v>0</v>
      </c>
      <c r="EG96" s="43" t="n">
        <f aca="false">SUM(EG92:EG95)</f>
        <v>0</v>
      </c>
      <c r="EH96" s="43" t="n">
        <f aca="false">SUM(EH92:EH95)</f>
        <v>0</v>
      </c>
      <c r="EI96" s="43" t="n">
        <f aca="false">SUM(EI92:EI95)</f>
        <v>0</v>
      </c>
      <c r="EJ96" s="43" t="n">
        <f aca="false">SUM(EJ92:EJ95)</f>
        <v>0</v>
      </c>
      <c r="EK96" s="43" t="n">
        <f aca="false">SUM(EK92:EK95)</f>
        <v>0</v>
      </c>
      <c r="EL96" s="43" t="n">
        <f aca="false">SUM(EL92:EL95)</f>
        <v>0</v>
      </c>
      <c r="EM96" s="43" t="n">
        <f aca="false">SUM(EM92:EM95)</f>
        <v>0</v>
      </c>
      <c r="EN96" s="43" t="n">
        <f aca="false">SUM(EN92:EN95)</f>
        <v>0</v>
      </c>
      <c r="EO96" s="43" t="n">
        <f aca="false">SUM(EO92:EO95)</f>
        <v>0</v>
      </c>
    </row>
    <row r="97" customFormat="false" ht="15" hidden="false" customHeight="false" outlineLevel="0" collapsed="false">
      <c r="C97" s="0" t="s">
        <v>402</v>
      </c>
      <c r="D97" s="11" t="s">
        <v>33</v>
      </c>
      <c r="J97" s="43" t="n">
        <f aca="false">-In_CIT*(MAX(0,J91)+J94)</f>
        <v>-0</v>
      </c>
      <c r="K97" s="43" t="n">
        <f aca="false">-In_CIT*(MAX(0,K91)+K94)</f>
        <v>-0</v>
      </c>
      <c r="L97" s="43" t="n">
        <f aca="false">-In_CIT*(MAX(0,L91)+L94)</f>
        <v>-0</v>
      </c>
      <c r="M97" s="43" t="n">
        <f aca="false">-In_CIT*(MAX(0,M91)+M94)</f>
        <v>-0</v>
      </c>
      <c r="N97" s="43" t="n">
        <f aca="false">-In_CIT*(MAX(0,N91)+N94)</f>
        <v>-0</v>
      </c>
      <c r="O97" s="43" t="n">
        <f aca="false">-In_CIT*(MAX(0,O91)+O94)</f>
        <v>-0</v>
      </c>
      <c r="P97" s="43" t="n">
        <f aca="false">-In_CIT*(MAX(0,P91)+P94)</f>
        <v>-0</v>
      </c>
      <c r="Q97" s="43" t="n">
        <f aca="false">-In_CIT*(MAX(0,Q91)+Q94)</f>
        <v>-0</v>
      </c>
      <c r="R97" s="43" t="n">
        <f aca="false">-In_CIT*(MAX(0,R91)+R94)</f>
        <v>-0</v>
      </c>
      <c r="S97" s="43" t="n">
        <f aca="false">-In_CIT*(MAX(0,S91)+S94)</f>
        <v>-0</v>
      </c>
      <c r="T97" s="43" t="n">
        <f aca="false">-In_CIT*(MAX(0,T91)+T94)</f>
        <v>-0</v>
      </c>
      <c r="U97" s="43" t="n">
        <f aca="false">-In_CIT*(MAX(0,U91)+U94)</f>
        <v>-0</v>
      </c>
      <c r="V97" s="43" t="n">
        <f aca="false">-In_CIT*(MAX(0,V91)+V94)</f>
        <v>-0</v>
      </c>
      <c r="W97" s="43" t="n">
        <f aca="false">-In_CIT*(MAX(0,W91)+W94)</f>
        <v>-0</v>
      </c>
      <c r="X97" s="43" t="n">
        <f aca="false">-In_CIT*(MAX(0,X91)+X94)</f>
        <v>-0</v>
      </c>
      <c r="Y97" s="43" t="n">
        <f aca="false">-In_CIT*(MAX(0,Y91)+Y94)</f>
        <v>-0</v>
      </c>
      <c r="Z97" s="43" t="n">
        <f aca="false">-In_CIT*(MAX(0,Z91)+Z94)</f>
        <v>-11.6371873165938</v>
      </c>
      <c r="AA97" s="43" t="n">
        <f aca="false">-In_CIT*(MAX(0,AA91)+AA94)</f>
        <v>-11.5239358607375</v>
      </c>
      <c r="AB97" s="43" t="n">
        <f aca="false">-In_CIT*(MAX(0,AB91)+AB94)</f>
        <v>-12.3143511267296</v>
      </c>
      <c r="AC97" s="43" t="n">
        <f aca="false">-In_CIT*(MAX(0,AC91)+AC94)</f>
        <v>-13.1159796872041</v>
      </c>
      <c r="AD97" s="43" t="n">
        <f aca="false">-In_CIT*(MAX(0,AD91)+AD94)</f>
        <v>-13.092183006957</v>
      </c>
      <c r="AE97" s="43" t="n">
        <f aca="false">-In_CIT*(MAX(0,AE91)+AE94)</f>
        <v>-13.4916816387468</v>
      </c>
      <c r="AF97" s="43" t="n">
        <f aca="false">-In_CIT*(MAX(0,AF91)+AF94)</f>
        <v>-13.8011638174567</v>
      </c>
      <c r="AG97" s="43" t="n">
        <f aca="false">-In_CIT*(MAX(0,AG91)+AG94)</f>
        <v>-14.6225344702301</v>
      </c>
      <c r="AH97" s="43" t="n">
        <f aca="false">-In_CIT*(MAX(0,AH91)+AH94)</f>
        <v>-14.6137200853692</v>
      </c>
      <c r="AI97" s="43" t="n">
        <f aca="false">-In_CIT*(MAX(0,AI91)+AI94)</f>
        <v>-14.510447784727</v>
      </c>
      <c r="AJ97" s="43" t="n">
        <f aca="false">-In_CIT*(MAX(0,AJ91)+AJ94)</f>
        <v>-16.2764334835764</v>
      </c>
      <c r="AK97" s="43" t="n">
        <f aca="false">-In_CIT*(MAX(0,AK91)+AK94)</f>
        <v>-17.1354668695041</v>
      </c>
      <c r="AL97" s="43" t="n">
        <f aca="false">-In_CIT*(MAX(0,AL91)+AL94)</f>
        <v>-34.2990493489834</v>
      </c>
      <c r="AM97" s="43" t="n">
        <f aca="false">-In_CIT*(MAX(0,AM91)+AM94)</f>
        <v>-34.0656760241161</v>
      </c>
      <c r="AN97" s="43" t="n">
        <f aca="false">-In_CIT*(MAX(0,AN91)+AN94)</f>
        <v>-35.7901241958382</v>
      </c>
      <c r="AO97" s="43" t="n">
        <f aca="false">-In_CIT*(MAX(0,AO91)+AO94)</f>
        <v>-37.5379584309453</v>
      </c>
      <c r="AP97" s="43" t="n">
        <f aca="false">-In_CIT*(MAX(0,AP91)+AP94)</f>
        <v>-37.5859274428867</v>
      </c>
      <c r="AQ97" s="43" t="n">
        <f aca="false">-In_CIT*(MAX(0,AQ91)+AQ94)</f>
        <v>-37.3647876732752</v>
      </c>
      <c r="AR97" s="43" t="n">
        <f aca="false">-In_CIT*(MAX(0,AR91)+AR94)</f>
        <v>-39.1311983739251</v>
      </c>
      <c r="AS97" s="43" t="n">
        <f aca="false">-In_CIT*(MAX(0,AS91)+AS94)</f>
        <v>-40.9214657063525</v>
      </c>
      <c r="AT97" s="43" t="n">
        <f aca="false">-In_CIT*(MAX(0,AT91)+AT94)</f>
        <v>-41.0028953440413</v>
      </c>
      <c r="AU97" s="43" t="n">
        <f aca="false">-In_CIT*(MAX(0,AU91)+AU94)</f>
        <v>-41.8535553065657</v>
      </c>
      <c r="AV97" s="43" t="n">
        <f aca="false">-In_CIT*(MAX(0,AV91)+AV94)</f>
        <v>-42.6206720779757</v>
      </c>
      <c r="AW97" s="43" t="n">
        <f aca="false">-In_CIT*(MAX(0,AW91)+AW94)</f>
        <v>-44.455004941896</v>
      </c>
      <c r="AX97" s="43" t="n">
        <f aca="false">-In_CIT*(MAX(0,AX91)+AX94)</f>
        <v>-44.5717365302973</v>
      </c>
      <c r="AY97" s="43" t="n">
        <f aca="false">-In_CIT*(MAX(0,AY91)+AY94)</f>
        <v>-44.3795040698837</v>
      </c>
      <c r="AZ97" s="43" t="n">
        <f aca="false">-In_CIT*(MAX(0,AZ91)+AZ94)</f>
        <v>-46.2343917215839</v>
      </c>
      <c r="BA97" s="43" t="n">
        <f aca="false">-In_CIT*(MAX(0,BA91)+BA94)</f>
        <v>-48.1141336366857</v>
      </c>
      <c r="BB97" s="43" t="n">
        <f aca="false">-In_CIT*(MAX(0,BB91)+BB94)</f>
        <v>-48.2677235941326</v>
      </c>
      <c r="BC97" s="43" t="n">
        <f aca="false">-In_CIT*(MAX(0,BC91)+BC94)</f>
        <v>-48.0921301790078</v>
      </c>
      <c r="BD97" s="43" t="n">
        <f aca="false">-In_CIT*(MAX(0,BD91)+BD94)</f>
        <v>-49.9934886747724</v>
      </c>
      <c r="BE97" s="43" t="n">
        <f aca="false">-In_CIT*(MAX(0,BE91)+BE94)</f>
        <v>-51.9202280500872</v>
      </c>
      <c r="BF97" s="43" t="n">
        <f aca="false">-In_CIT*(MAX(0,BF91)+BF94)</f>
        <v>-52.1124881850927</v>
      </c>
      <c r="BG97" s="43" t="n">
        <f aca="false">-In_CIT*(MAX(0,BG91)+BG94)</f>
        <v>-51.9551486426544</v>
      </c>
      <c r="BH97" s="43" t="n">
        <f aca="false">-In_CIT*(MAX(0,BH91)+BH94)</f>
        <v>-53.9046201223337</v>
      </c>
      <c r="BI97" s="43" t="n">
        <f aca="false">-In_CIT*(MAX(0,BI91)+BI94)</f>
        <v>-55.8800194916429</v>
      </c>
      <c r="BJ97" s="43" t="n">
        <f aca="false">-In_CIT*(MAX(0,BJ91)+BJ94)</f>
        <v>-56.112844429344</v>
      </c>
      <c r="BK97" s="43" t="n">
        <f aca="false">-In_CIT*(MAX(0,BK91)+BK94)</f>
        <v>-57.0516176695181</v>
      </c>
      <c r="BL97" s="43" t="n">
        <f aca="false">-In_CIT*(MAX(0,BL91)+BL94)</f>
        <v>-57.9903696974356</v>
      </c>
      <c r="BM97" s="43" t="n">
        <f aca="false">-In_CIT*(MAX(0,BM91)+BM94)</f>
        <v>-60.0163533780825</v>
      </c>
      <c r="BN97" s="43" t="n">
        <f aca="false">-In_CIT*(MAX(0,BN91)+BN94)</f>
        <v>-60.2919106410314</v>
      </c>
      <c r="BO97" s="43" t="n">
        <f aca="false">-In_CIT*(MAX(0,BO91)+BO94)</f>
        <v>-60.1764371838753</v>
      </c>
      <c r="BP97" s="43" t="n">
        <f aca="false">-In_CIT*(MAX(0,BP91)+BP94)</f>
        <v>-62.2275625141295</v>
      </c>
      <c r="BQ97" s="43" t="n">
        <f aca="false">-In_CIT*(MAX(0,BQ91)+BQ94)</f>
        <v>-64.3057769916147</v>
      </c>
      <c r="BR97" s="43" t="n">
        <f aca="false">-In_CIT*(MAX(0,BR91)+BR94)</f>
        <v>-64.6259612369458</v>
      </c>
      <c r="BS97" s="43" t="n">
        <f aca="false">-In_CIT*(MAX(0,BS91)+BS94)</f>
        <v>-64.5340930350503</v>
      </c>
      <c r="BT97" s="43" t="n">
        <f aca="false">-In_CIT*(MAX(0,BT91)+BT94)</f>
        <v>-66.6387425991563</v>
      </c>
      <c r="BU97" s="43" t="n">
        <f aca="false">-In_CIT*(MAX(0,BU91)+BU94)</f>
        <v>-68.771095435962</v>
      </c>
      <c r="BV97" s="43" t="n">
        <f aca="false">-In_CIT*(MAX(0,BV91)+BV94)</f>
        <v>-69.1380739380397</v>
      </c>
      <c r="BW97" s="43" t="n">
        <f aca="false">-In_CIT*(MAX(0,BW91)+BW94)</f>
        <v>-69.071771493095</v>
      </c>
      <c r="BX97" s="43" t="n">
        <f aca="false">-In_CIT*(MAX(0,BX91)+BX94)</f>
        <v>-71.2319179861837</v>
      </c>
      <c r="BY97" s="43" t="n">
        <f aca="false">-In_CIT*(MAX(0,BY91)+BY94)</f>
        <v>-73.420406316796</v>
      </c>
      <c r="BZ97" s="43" t="n">
        <f aca="false">-In_CIT*(MAX(0,BZ91)+BZ94)</f>
        <v>-73.836445665697</v>
      </c>
      <c r="CA97" s="43" t="n">
        <f aca="false">-In_CIT*(MAX(0,CA91)+CA94)</f>
        <v>-74.8880840288834</v>
      </c>
      <c r="CB97" s="43" t="n">
        <f aca="false">-In_CIT*(MAX(0,CB91)+CB94)</f>
        <v>-76.0311891148146</v>
      </c>
      <c r="CC97" s="43" t="n">
        <f aca="false">-In_CIT*(MAX(0,CC91)+CC94)</f>
        <v>-78.2780892492369</v>
      </c>
      <c r="CD97" s="43" t="n">
        <f aca="false">-In_CIT*(MAX(0,CD91)+CD94)</f>
        <v>-78.7457474208443</v>
      </c>
      <c r="CE97" s="43" t="n">
        <f aca="false">-In_CIT*(MAX(0,CE91)+CE94)</f>
        <v>-78.7370395077897</v>
      </c>
      <c r="CF97" s="43" t="n">
        <f aca="false">-In_CIT*(MAX(0,CF91)+CF94)</f>
        <v>-81.0146654279693</v>
      </c>
      <c r="CG97" s="43" t="n">
        <f aca="false">-In_CIT*(MAX(0,CG91)+CG94)</f>
        <v>-83.3219904831389</v>
      </c>
      <c r="CH97" s="43" t="n">
        <f aca="false">-In_CIT*(MAX(0,CH91)+CH94)</f>
        <v>-83.8435683128753</v>
      </c>
      <c r="CI97" s="43" t="n">
        <f aca="false">-In_CIT*(MAX(0,CI91)+CI94)</f>
        <v>-83.8669162520548</v>
      </c>
      <c r="CJ97" s="43" t="n">
        <f aca="false">-In_CIT*(MAX(0,CJ91)+CJ94)</f>
        <v>-86.2065412176629</v>
      </c>
      <c r="CK97" s="43" t="n">
        <f aca="false">-In_CIT*(MAX(0,CK91)+CK94)</f>
        <v>-88.5765843281517</v>
      </c>
      <c r="CL97" s="43" t="n">
        <f aca="false">-In_CIT*(MAX(0,CL91)+CL94)</f>
        <v>-89.1546753689694</v>
      </c>
      <c r="CM97" s="43" t="n">
        <f aca="false">-In_CIT*(MAX(0,CM91)+CM94)</f>
        <v>-89.2124558194929</v>
      </c>
      <c r="CN97" s="43" t="n">
        <f aca="false">-In_CIT*(MAX(0,CN91)+CN94)</f>
        <v>-91.6164518827342</v>
      </c>
      <c r="CO97" s="43" t="n">
        <f aca="false">-In_CIT*(MAX(0,CO91)+CO94)</f>
        <v>-94.0516144129192</v>
      </c>
      <c r="CP97" s="43" t="n">
        <f aca="false">-In_CIT*(MAX(0,CP91)+CP94)</f>
        <v>-94.6889313709036</v>
      </c>
      <c r="CQ97" s="43" t="n">
        <f aca="false">-In_CIT*(MAX(0,CQ91)+CQ94)</f>
        <v>-95.8837296440872</v>
      </c>
      <c r="CR97" s="43" t="n">
        <f aca="false">-In_CIT*(MAX(0,CR91)+CR94)</f>
        <v>-97.2702729738203</v>
      </c>
      <c r="CS97" s="43" t="n">
        <f aca="false">-In_CIT*(MAX(0,CS91)+CS94)</f>
        <v>-99.7732558501612</v>
      </c>
      <c r="CT97" s="43" t="n">
        <f aca="false">-In_CIT*(MAX(0,CT91)+CT94)</f>
        <v>-100.472824427648</v>
      </c>
      <c r="CU97" s="43" t="n">
        <f aca="false">-In_CIT*(MAX(0,CU91)+CU94)</f>
        <v>-99.1604062678959</v>
      </c>
      <c r="CV97" s="43" t="n">
        <f aca="false">-In_CIT*(MAX(0,CV91)+CV94)</f>
        <v>-100.262188559761</v>
      </c>
      <c r="CW97" s="43" t="n">
        <f aca="false">-In_CIT*(MAX(0,CW91)+CW94)</f>
        <v>-101.363970851627</v>
      </c>
      <c r="CX97" s="43" t="n">
        <f aca="false">-In_CIT*(MAX(0,CX91)+CX94)</f>
        <v>-100.623957100119</v>
      </c>
      <c r="CY97" s="43" t="n">
        <f aca="false">-In_CIT*(MAX(0,CY91)+CY94)</f>
        <v>-99.2836379436211</v>
      </c>
      <c r="CZ97" s="43" t="n">
        <f aca="false">-In_CIT*(MAX(0,CZ91)+CZ94)</f>
        <v>-100.386789476328</v>
      </c>
      <c r="DA97" s="43" t="n">
        <f aca="false">-In_CIT*(MAX(0,DA91)+DA94)</f>
        <v>-101.489941009035</v>
      </c>
      <c r="DB97" s="43" t="n">
        <f aca="false">-In_CIT*(MAX(0,DB91)+DB94)</f>
        <v>-192.742883903582</v>
      </c>
      <c r="DC97" s="43" t="n">
        <f aca="false">-In_CIT*(MAX(0,DC91)+DC94)</f>
        <v>-189.374448869647</v>
      </c>
      <c r="DD97" s="43" t="n">
        <f aca="false">-In_CIT*(MAX(0,DD91)+DD94)</f>
        <v>-191.478609412643</v>
      </c>
      <c r="DE97" s="43" t="n">
        <f aca="false">-In_CIT*(MAX(0,DE91)+DE94)</f>
        <v>-193.582769955639</v>
      </c>
      <c r="DF97" s="43" t="n">
        <f aca="false">-In_CIT*(MAX(0,DF91)+DF94)</f>
        <v>-192.83399535705</v>
      </c>
      <c r="DG97" s="43" t="n">
        <f aca="false">-In_CIT*(MAX(0,DG91)+DG94)</f>
        <v>-191.541966452606</v>
      </c>
      <c r="DH97" s="43" t="n">
        <f aca="false">-In_CIT*(MAX(0,DH91)+DH94)</f>
        <v>-191.541966452606</v>
      </c>
      <c r="DI97" s="43" t="n">
        <f aca="false">-In_CIT*(MAX(0,DI91)+DI94)</f>
        <v>-193.646823226811</v>
      </c>
      <c r="DJ97" s="43" t="n">
        <f aca="false">-In_CIT*(MAX(0,DJ91)+DJ94)</f>
        <v>-192.89365581119</v>
      </c>
      <c r="DK97" s="43" t="n">
        <f aca="false">-In_CIT*(MAX(0,DK91)+DK94)</f>
        <v>-189.468038705429</v>
      </c>
      <c r="DL97" s="43" t="n">
        <f aca="false">-In_CIT*(MAX(0,DL91)+DL94)</f>
        <v>-191.57323913549</v>
      </c>
      <c r="DM97" s="43" t="n">
        <f aca="false">-In_CIT*(MAX(0,DM91)+DM94)</f>
        <v>-193.67843956555</v>
      </c>
      <c r="DN97" s="43" t="n">
        <f aca="false">-In_CIT*(MAX(0,DN91)+DN94)</f>
        <v>-192.920871627264</v>
      </c>
      <c r="DO97" s="43" t="n">
        <f aca="false">-In_CIT*(MAX(0,DO91)+DO94)</f>
        <v>-189.466238236397</v>
      </c>
      <c r="DP97" s="43" t="n">
        <f aca="false">-In_CIT*(MAX(0,DP91)+DP94)</f>
        <v>-191.571418661246</v>
      </c>
      <c r="DQ97" s="43" t="n">
        <f aca="false">-In_CIT*(MAX(0,DQ91)+DQ94)</f>
        <v>-193.676599086094</v>
      </c>
      <c r="DR97" s="43" t="n">
        <f aca="false">-In_CIT*(MAX(0,DR91)+DR94)</f>
        <v>-192.914623353757</v>
      </c>
      <c r="DS97" s="43" t="n">
        <f aca="false">-In_CIT*(MAX(0,DS91)+DS94)</f>
        <v>-189.430684664501</v>
      </c>
      <c r="DT97" s="43" t="n">
        <f aca="false">-In_CIT*(MAX(0,DT91)+DT94)</f>
        <v>-191.535470049663</v>
      </c>
      <c r="DU97" s="43" t="n">
        <f aca="false">-In_CIT*(MAX(0,DU91)+DU94)</f>
        <v>-193.640255434824</v>
      </c>
      <c r="DV97" s="43" t="n">
        <f aca="false">-In_CIT*(MAX(0,DV91)+DV94)</f>
        <v>-192.873865085063</v>
      </c>
      <c r="DW97" s="43" t="n">
        <f aca="false">-In_CIT*(MAX(0,DW91)+DW94)</f>
        <v>-191.464331490105</v>
      </c>
      <c r="DX97" s="43" t="n">
        <f aca="false">-In_CIT*(MAX(0,DX91)+DX94)</f>
        <v>-191.464331490105</v>
      </c>
      <c r="DY97" s="43" t="n">
        <f aca="false">-In_CIT*(MAX(0,DY91)+DY94)</f>
        <v>-193.568335132854</v>
      </c>
      <c r="DZ97" s="43" t="n">
        <f aca="false">-In_CIT*(MAX(0,DZ91)+DZ94)</f>
        <v>-192.797523804413</v>
      </c>
      <c r="EA97" s="43" t="n">
        <f aca="false">-In_CIT*(MAX(0,EA91)+EA94)</f>
        <v>-189.254090448061</v>
      </c>
      <c r="EB97" s="43" t="n">
        <f aca="false">-In_CIT*(MAX(0,EB91)+EB94)</f>
        <v>-191.356913675261</v>
      </c>
      <c r="EC97" s="43" t="n">
        <f aca="false">-In_CIT*(MAX(0,EC91)+EC94)</f>
        <v>-193.459736902462</v>
      </c>
      <c r="ED97" s="43" t="n">
        <f aca="false">-In_CIT*(MAX(0,ED91)+ED94)</f>
        <v>-192.684498710636</v>
      </c>
      <c r="EE97" s="43" t="n">
        <f aca="false">-In_CIT*(MAX(0,EE91)+EE94)</f>
        <v>-189.110867260062</v>
      </c>
      <c r="EF97" s="43" t="n">
        <f aca="false">-In_CIT*(MAX(0,EF91)+EF94)</f>
        <v>-191.212099118508</v>
      </c>
      <c r="EG97" s="43" t="n">
        <f aca="false">-In_CIT*(MAX(0,EG91)+EG94)</f>
        <v>-193.313330976953</v>
      </c>
      <c r="EH97" s="43" t="n">
        <f aca="false">-In_CIT*(MAX(0,EH91)+EH94)</f>
        <v>-192.533660528376</v>
      </c>
      <c r="EI97" s="43" t="n">
        <f aca="false">-In_CIT*(MAX(0,EI91)+EI94)</f>
        <v>-188.929524515436</v>
      </c>
      <c r="EJ97" s="43" t="n">
        <f aca="false">-In_CIT*(MAX(0,EJ91)+EJ94)</f>
        <v>-191.028741454496</v>
      </c>
      <c r="EK97" s="43" t="n">
        <f aca="false">-In_CIT*(MAX(0,EK91)+EK94)</f>
        <v>-193.127958393557</v>
      </c>
      <c r="EL97" s="43" t="n">
        <f aca="false">-In_CIT*(MAX(0,EL91)+EL94)</f>
        <v>-192.343850801338</v>
      </c>
      <c r="EM97" s="43" t="n">
        <f aca="false">-In_CIT*(MAX(0,EM91)+EM94)</f>
        <v>-190.805664722541</v>
      </c>
      <c r="EN97" s="43" t="n">
        <f aca="false">-In_CIT*(MAX(0,EN91)+EN94)</f>
        <v>-190.805664722541</v>
      </c>
      <c r="EO97" s="43" t="n">
        <f aca="false">-In_CIT*(MAX(0,EO91)+EO94)</f>
        <v>-192.902430268943</v>
      </c>
    </row>
    <row r="98" customFormat="false" ht="15" hidden="false" customHeight="false" outlineLevel="0" collapsed="false">
      <c r="C98" s="0" t="s">
        <v>403</v>
      </c>
      <c r="D98" s="11" t="s">
        <v>33</v>
      </c>
      <c r="I98" s="43" t="n">
        <f aca="false">SUM(J98:EO98)</f>
        <v>2.62720529775606E-008</v>
      </c>
      <c r="J98" s="43" t="n">
        <f aca="false">ABS(J97-J70)</f>
        <v>0</v>
      </c>
      <c r="K98" s="43" t="n">
        <f aca="false">ABS(K97-K70)</f>
        <v>0</v>
      </c>
      <c r="L98" s="43" t="n">
        <f aca="false">ABS(L97-L70)</f>
        <v>0</v>
      </c>
      <c r="M98" s="43" t="n">
        <f aca="false">ABS(M97-M70)</f>
        <v>0</v>
      </c>
      <c r="N98" s="43" t="n">
        <f aca="false">ABS(N97-N70)</f>
        <v>0</v>
      </c>
      <c r="O98" s="43" t="n">
        <f aca="false">ABS(O97-O70)</f>
        <v>0</v>
      </c>
      <c r="P98" s="43" t="n">
        <f aca="false">ABS(P97-P70)</f>
        <v>0</v>
      </c>
      <c r="Q98" s="43" t="n">
        <f aca="false">ABS(Q97-Q70)</f>
        <v>0</v>
      </c>
      <c r="R98" s="43" t="n">
        <f aca="false">ABS(R97-R70)</f>
        <v>0</v>
      </c>
      <c r="S98" s="43" t="n">
        <f aca="false">ABS(S97-S70)</f>
        <v>0</v>
      </c>
      <c r="T98" s="43" t="n">
        <f aca="false">ABS(T97-T70)</f>
        <v>0</v>
      </c>
      <c r="U98" s="43" t="n">
        <f aca="false">ABS(U97-U70)</f>
        <v>0</v>
      </c>
      <c r="V98" s="43" t="n">
        <f aca="false">ABS(V97-V70)</f>
        <v>0</v>
      </c>
      <c r="W98" s="43" t="n">
        <f aca="false">ABS(W97-W70)</f>
        <v>0</v>
      </c>
      <c r="X98" s="43" t="n">
        <f aca="false">ABS(X97-X70)</f>
        <v>0</v>
      </c>
      <c r="Y98" s="43" t="n">
        <f aca="false">ABS(Y97-Y70)</f>
        <v>0</v>
      </c>
      <c r="Z98" s="43" t="n">
        <f aca="false">ABS(Z97-Z70)</f>
        <v>0</v>
      </c>
      <c r="AA98" s="43" t="n">
        <f aca="false">ABS(AA97-AA70)</f>
        <v>8.46611669658159E-012</v>
      </c>
      <c r="AB98" s="43" t="n">
        <f aca="false">ABS(AB97-AB70)</f>
        <v>1.74757985860197E-011</v>
      </c>
      <c r="AC98" s="43" t="n">
        <f aca="false">ABS(AC97-AC70)</f>
        <v>2.72262212774876E-011</v>
      </c>
      <c r="AD98" s="43" t="n">
        <f aca="false">ABS(AD97-AD70)</f>
        <v>3.77138320573067E-011</v>
      </c>
      <c r="AE98" s="43" t="n">
        <f aca="false">ABS(AE97-AE70)</f>
        <v>4.88018514488431E-011</v>
      </c>
      <c r="AF98" s="43" t="n">
        <f aca="false">ABS(AF97-AF70)</f>
        <v>6.04547523153087E-011</v>
      </c>
      <c r="AG98" s="43" t="n">
        <f aca="false">ABS(AG97-AG70)</f>
        <v>7.27080617934917E-011</v>
      </c>
      <c r="AH98" s="43" t="n">
        <f aca="false">ABS(AH97-AH70)</f>
        <v>8.56097415180557E-011</v>
      </c>
      <c r="AI98" s="43" t="n">
        <f aca="false">ABS(AI97-AI70)</f>
        <v>9.90389992239216E-011</v>
      </c>
      <c r="AJ98" s="43" t="n">
        <f aca="false">ABS(AJ97-AJ70)</f>
        <v>1.12866160861813E-010</v>
      </c>
      <c r="AK98" s="43" t="n">
        <f aca="false">ABS(AK97-AK70)</f>
        <v>1.27361232671319E-010</v>
      </c>
      <c r="AL98" s="43" t="n">
        <f aca="false">ABS(AL97-AL70)</f>
        <v>2.84849477338867E-010</v>
      </c>
      <c r="AM98" s="43" t="n">
        <f aca="false">ABS(AM97-AM70)</f>
        <v>3.25940163747873E-010</v>
      </c>
      <c r="AN98" s="43" t="n">
        <f aca="false">ABS(AN97-AN70)</f>
        <v>3.66618735370139E-010</v>
      </c>
      <c r="AO98" s="43" t="n">
        <f aca="false">ABS(AO97-AO70)</f>
        <v>4.06998879043385E-010</v>
      </c>
      <c r="AP98" s="43" t="n">
        <f aca="false">ABS(AP97-AP70)</f>
        <v>4.46831904810097E-010</v>
      </c>
      <c r="AQ98" s="43" t="n">
        <f aca="false">ABS(AQ97-AQ70)</f>
        <v>4.85606221900525E-010</v>
      </c>
      <c r="AR98" s="43" t="n">
        <f aca="false">ABS(AR97-AR70)</f>
        <v>5.2285287210907E-010</v>
      </c>
      <c r="AS98" s="43" t="n">
        <f aca="false">ABS(AS97-AS70)</f>
        <v>5.58699753128167E-010</v>
      </c>
      <c r="AT98" s="43" t="n">
        <f aca="false">ABS(AT97-AT70)</f>
        <v>5.92933702137088E-010</v>
      </c>
      <c r="AU98" s="43" t="n">
        <f aca="false">ABS(AU97-AU70)</f>
        <v>6.25092866357591E-010</v>
      </c>
      <c r="AV98" s="43" t="n">
        <f aca="false">ABS(AV97-AV70)</f>
        <v>6.54928555832157E-010</v>
      </c>
      <c r="AW98" s="43" t="n">
        <f aca="false">ABS(AW97-AW70)</f>
        <v>6.82298662013636E-010</v>
      </c>
      <c r="AX98" s="43" t="n">
        <f aca="false">ABS(AX97-AX70)</f>
        <v>7.07203184902028E-010</v>
      </c>
      <c r="AY98" s="43" t="n">
        <f aca="false">ABS(AY97-AY70)</f>
        <v>7.29237115137948E-010</v>
      </c>
      <c r="AZ98" s="43" t="n">
        <f aca="false">ABS(AZ97-AZ70)</f>
        <v>7.48073603062949E-010</v>
      </c>
      <c r="BA98" s="43" t="n">
        <f aca="false">ABS(BA97-BA70)</f>
        <v>7.63940022352472E-010</v>
      </c>
      <c r="BB98" s="43" t="n">
        <f aca="false">ABS(BB97-BB70)</f>
        <v>7.7680084586973E-010</v>
      </c>
      <c r="BC98" s="43" t="n">
        <f aca="false">ABS(BC97-BC70)</f>
        <v>7.86322118528915E-010</v>
      </c>
      <c r="BD98" s="43" t="n">
        <f aca="false">ABS(BD97-BD70)</f>
        <v>7.92248044945154E-010</v>
      </c>
      <c r="BE98" s="43" t="n">
        <f aca="false">ABS(BE97-BE70)</f>
        <v>7.94962318195758E-010</v>
      </c>
      <c r="BF98" s="43" t="n">
        <f aca="false">ABS(BF97-BF70)</f>
        <v>7.94429411143938E-010</v>
      </c>
      <c r="BG98" s="43" t="n">
        <f aca="false">ABS(BG97-BG70)</f>
        <v>7.90485898960469E-010</v>
      </c>
      <c r="BH98" s="43" t="n">
        <f aca="false">ABS(BH97-BH70)</f>
        <v>7.8296125138877E-010</v>
      </c>
      <c r="BI98" s="43" t="n">
        <f aca="false">ABS(BI97-BI70)</f>
        <v>7.72303110352368E-010</v>
      </c>
      <c r="BJ98" s="43" t="n">
        <f aca="false">ABS(BJ97-BJ70)</f>
        <v>7.58639373543701E-010</v>
      </c>
      <c r="BK98" s="43" t="n">
        <f aca="false">ABS(BK97-BK70)</f>
        <v>7.41877670407121E-010</v>
      </c>
      <c r="BL98" s="43" t="n">
        <f aca="false">ABS(BL97-BL70)</f>
        <v>7.22074844361487E-010</v>
      </c>
      <c r="BM98" s="43" t="n">
        <f aca="false">ABS(BM97-BM70)</f>
        <v>6.99529323355819E-010</v>
      </c>
      <c r="BN98" s="43" t="n">
        <f aca="false">ABS(BN97-BN70)</f>
        <v>6.74553746193851E-010</v>
      </c>
      <c r="BO98" s="43" t="n">
        <f aca="false">ABS(BO97-BO70)</f>
        <v>6.47162323730299E-010</v>
      </c>
      <c r="BP98" s="43" t="n">
        <f aca="false">ABS(BP97-BP70)</f>
        <v>6.17340845110448E-010</v>
      </c>
      <c r="BQ98" s="43" t="n">
        <f aca="false">ABS(BQ97-BQ70)</f>
        <v>5.85757220505911E-010</v>
      </c>
      <c r="BR98" s="43" t="n">
        <f aca="false">ABS(BR97-BR70)</f>
        <v>5.52688561583636E-010</v>
      </c>
      <c r="BS98" s="43" t="n">
        <f aca="false">ABS(BS97-BS70)</f>
        <v>5.18184606335126E-010</v>
      </c>
      <c r="BT98" s="43" t="n">
        <f aca="false">ABS(BT97-BT70)</f>
        <v>4.82302198179241E-010</v>
      </c>
      <c r="BU98" s="43" t="n">
        <f aca="false">ABS(BU97-BU70)</f>
        <v>4.45751879851741E-010</v>
      </c>
      <c r="BV98" s="43" t="n">
        <f aca="false">ABS(BV97-BV70)</f>
        <v>4.08860501011077E-010</v>
      </c>
      <c r="BW98" s="43" t="n">
        <f aca="false">ABS(BW97-BW70)</f>
        <v>3.71699115930824E-010</v>
      </c>
      <c r="BX98" s="43" t="n">
        <f aca="false">ABS(BX97-BX70)</f>
        <v>3.34324568029842E-010</v>
      </c>
      <c r="BY98" s="43" t="n">
        <f aca="false">ABS(BY97-BY70)</f>
        <v>2.97461610898608E-010</v>
      </c>
      <c r="BZ98" s="43" t="n">
        <f aca="false">ABS(BZ97-BZ70)</f>
        <v>2.61437094195571E-010</v>
      </c>
      <c r="CA98" s="43" t="n">
        <f aca="false">ABS(CA97-CA70)</f>
        <v>2.26279439630162E-010</v>
      </c>
      <c r="CB98" s="43" t="n">
        <f aca="false">ABS(CB97-CB70)</f>
        <v>1.92272864296683E-010</v>
      </c>
      <c r="CC98" s="43" t="n">
        <f aca="false">ABS(CC97-CC70)</f>
        <v>1.59715796144155E-010</v>
      </c>
      <c r="CD98" s="43" t="n">
        <f aca="false">ABS(CD97-CD70)</f>
        <v>1.29062982523465E-010</v>
      </c>
      <c r="CE98" s="43" t="n">
        <f aca="false">ABS(CE97-CE70)</f>
        <v>1.00328634289326E-010</v>
      </c>
      <c r="CF98" s="43" t="n">
        <f aca="false">ABS(CF97-CF70)</f>
        <v>7.34985405870248E-011</v>
      </c>
      <c r="CG98" s="43" t="n">
        <f aca="false">ABS(CG97-CG70)</f>
        <v>4.91979790240293E-011</v>
      </c>
      <c r="CH98" s="43" t="n">
        <f aca="false">ABS(CH97-CH70)</f>
        <v>2.76259015663527E-011</v>
      </c>
      <c r="CI98" s="43" t="n">
        <f aca="false">ABS(CI97-CI70)</f>
        <v>8.72546479513403E-012</v>
      </c>
      <c r="CJ98" s="43" t="n">
        <f aca="false">ABS(CJ97-CJ70)</f>
        <v>7.58859641791787E-012</v>
      </c>
      <c r="CK98" s="43" t="n">
        <f aca="false">ABS(CK97-CK70)</f>
        <v>2.07904804483405E-011</v>
      </c>
      <c r="CL98" s="43" t="n">
        <f aca="false">ABS(CL97-CL70)</f>
        <v>3.07807113131275E-011</v>
      </c>
      <c r="CM98" s="43" t="n">
        <f aca="false">ABS(CM97-CM70)</f>
        <v>3.76729758500005E-011</v>
      </c>
      <c r="CN98" s="43" t="n">
        <f aca="false">ABS(CN97-CN70)</f>
        <v>4.17230694438331E-011</v>
      </c>
      <c r="CO98" s="43" t="n">
        <f aca="false">ABS(CO97-CO70)</f>
        <v>4.24620338890236E-011</v>
      </c>
      <c r="CP98" s="43" t="n">
        <f aca="false">ABS(CP97-CP70)</f>
        <v>3.99040800402872E-011</v>
      </c>
      <c r="CQ98" s="43" t="n">
        <f aca="false">ABS(CQ97-CQ70)</f>
        <v>3.42907924277824E-011</v>
      </c>
      <c r="CR98" s="43" t="n">
        <f aca="false">ABS(CR97-CR70)</f>
        <v>2.57784904533764E-011</v>
      </c>
      <c r="CS98" s="43" t="n">
        <f aca="false">ABS(CS97-CS70)</f>
        <v>1.43671741170692E-011</v>
      </c>
      <c r="CT98" s="43" t="n">
        <f aca="false">ABS(CT97-CT70)</f>
        <v>0</v>
      </c>
      <c r="CU98" s="43" t="n">
        <f aca="false">ABS(CU97-CU70)</f>
        <v>0</v>
      </c>
      <c r="CV98" s="43" t="n">
        <f aca="false">ABS(CV97-CV70)</f>
        <v>0</v>
      </c>
      <c r="CW98" s="43" t="n">
        <f aca="false">ABS(CW97-CW70)</f>
        <v>0</v>
      </c>
      <c r="CX98" s="43" t="n">
        <f aca="false">ABS(CX97-CX70)</f>
        <v>0</v>
      </c>
      <c r="CY98" s="43" t="n">
        <f aca="false">ABS(CY97-CY70)</f>
        <v>0</v>
      </c>
      <c r="CZ98" s="43" t="n">
        <f aca="false">ABS(CZ97-CZ70)</f>
        <v>0</v>
      </c>
      <c r="DA98" s="43" t="n">
        <f aca="false">ABS(DA97-DA70)</f>
        <v>0</v>
      </c>
      <c r="DB98" s="43" t="n">
        <f aca="false">ABS(DB97-DB70)</f>
        <v>0</v>
      </c>
      <c r="DC98" s="43" t="n">
        <f aca="false">ABS(DC97-DC70)</f>
        <v>0</v>
      </c>
      <c r="DD98" s="43" t="n">
        <f aca="false">ABS(DD97-DD70)</f>
        <v>0</v>
      </c>
      <c r="DE98" s="43" t="n">
        <f aca="false">ABS(DE97-DE70)</f>
        <v>0</v>
      </c>
      <c r="DF98" s="43" t="n">
        <f aca="false">ABS(DF97-DF70)</f>
        <v>0</v>
      </c>
      <c r="DG98" s="43" t="n">
        <f aca="false">ABS(DG97-DG70)</f>
        <v>0</v>
      </c>
      <c r="DH98" s="43" t="n">
        <f aca="false">ABS(DH97-DH70)</f>
        <v>0</v>
      </c>
      <c r="DI98" s="43" t="n">
        <f aca="false">ABS(DI97-DI70)</f>
        <v>0</v>
      </c>
      <c r="DJ98" s="43" t="n">
        <f aca="false">ABS(DJ97-DJ70)</f>
        <v>0</v>
      </c>
      <c r="DK98" s="43" t="n">
        <f aca="false">ABS(DK97-DK70)</f>
        <v>0</v>
      </c>
      <c r="DL98" s="43" t="n">
        <f aca="false">ABS(DL97-DL70)</f>
        <v>0</v>
      </c>
      <c r="DM98" s="43" t="n">
        <f aca="false">ABS(DM97-DM70)</f>
        <v>0</v>
      </c>
      <c r="DN98" s="43" t="n">
        <f aca="false">ABS(DN97-DN70)</f>
        <v>0</v>
      </c>
      <c r="DO98" s="43" t="n">
        <f aca="false">ABS(DO97-DO70)</f>
        <v>0</v>
      </c>
      <c r="DP98" s="43" t="n">
        <f aca="false">ABS(DP97-DP70)</f>
        <v>0</v>
      </c>
      <c r="DQ98" s="43" t="n">
        <f aca="false">ABS(DQ97-DQ70)</f>
        <v>0</v>
      </c>
      <c r="DR98" s="43" t="n">
        <f aca="false">ABS(DR97-DR70)</f>
        <v>0</v>
      </c>
      <c r="DS98" s="43" t="n">
        <f aca="false">ABS(DS97-DS70)</f>
        <v>0</v>
      </c>
      <c r="DT98" s="43" t="n">
        <f aca="false">ABS(DT97-DT70)</f>
        <v>0</v>
      </c>
      <c r="DU98" s="43" t="n">
        <f aca="false">ABS(DU97-DU70)</f>
        <v>0</v>
      </c>
      <c r="DV98" s="43" t="n">
        <f aca="false">ABS(DV97-DV70)</f>
        <v>0</v>
      </c>
      <c r="DW98" s="43" t="n">
        <f aca="false">ABS(DW97-DW70)</f>
        <v>0</v>
      </c>
      <c r="DX98" s="43" t="n">
        <f aca="false">ABS(DX97-DX70)</f>
        <v>0</v>
      </c>
      <c r="DY98" s="43" t="n">
        <f aca="false">ABS(DY97-DY70)</f>
        <v>0</v>
      </c>
      <c r="DZ98" s="43" t="n">
        <f aca="false">ABS(DZ97-DZ70)</f>
        <v>0</v>
      </c>
      <c r="EA98" s="43" t="n">
        <f aca="false">ABS(EA97-EA70)</f>
        <v>0</v>
      </c>
      <c r="EB98" s="43" t="n">
        <f aca="false">ABS(EB97-EB70)</f>
        <v>0</v>
      </c>
      <c r="EC98" s="43" t="n">
        <f aca="false">ABS(EC97-EC70)</f>
        <v>0</v>
      </c>
      <c r="ED98" s="43" t="n">
        <f aca="false">ABS(ED97-ED70)</f>
        <v>0</v>
      </c>
      <c r="EE98" s="43" t="n">
        <f aca="false">ABS(EE97-EE70)</f>
        <v>0</v>
      </c>
      <c r="EF98" s="43" t="n">
        <f aca="false">ABS(EF97-EF70)</f>
        <v>0</v>
      </c>
      <c r="EG98" s="43" t="n">
        <f aca="false">ABS(EG97-EG70)</f>
        <v>0</v>
      </c>
      <c r="EH98" s="43" t="n">
        <f aca="false">ABS(EH97-EH70)</f>
        <v>0</v>
      </c>
      <c r="EI98" s="43" t="n">
        <f aca="false">ABS(EI97-EI70)</f>
        <v>0</v>
      </c>
      <c r="EJ98" s="43" t="n">
        <f aca="false">ABS(EJ97-EJ70)</f>
        <v>0</v>
      </c>
      <c r="EK98" s="43" t="n">
        <f aca="false">ABS(EK97-EK70)</f>
        <v>0</v>
      </c>
      <c r="EL98" s="43" t="n">
        <f aca="false">ABS(EL97-EL70)</f>
        <v>0</v>
      </c>
      <c r="EM98" s="43" t="n">
        <f aca="false">ABS(EM97-EM70)</f>
        <v>0</v>
      </c>
      <c r="EN98" s="43" t="n">
        <f aca="false">ABS(EN97-EN70)</f>
        <v>0</v>
      </c>
      <c r="EO98" s="43" t="n">
        <f aca="false">ABS(EO97-EO70)</f>
        <v>0</v>
      </c>
    </row>
    <row r="100" customFormat="false" ht="15" hidden="false" customHeight="false" outlineLevel="0" collapsed="false">
      <c r="A100" s="9" t="s">
        <v>13</v>
      </c>
      <c r="B100" s="9"/>
      <c r="C100" s="9" t="s">
        <v>404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</row>
    <row r="101" customFormat="false" ht="15" hidden="false" customHeight="false" outlineLevel="0" collapsed="false">
      <c r="C101" s="0" t="s">
        <v>72</v>
      </c>
      <c r="D101" s="11" t="s">
        <v>33</v>
      </c>
      <c r="E101" s="43" t="n">
        <f aca="false">-($I35+$I36+$I37)</f>
        <v>5150</v>
      </c>
    </row>
    <row r="102" customFormat="false" ht="15" hidden="false" customHeight="false" outlineLevel="0" collapsed="false">
      <c r="C102" s="0" t="s">
        <v>73</v>
      </c>
      <c r="D102" s="11" t="s">
        <v>33</v>
      </c>
      <c r="E102" s="43" t="n">
        <f aca="false">-($I39+$I42+$E46)</f>
        <v>932.208819665979</v>
      </c>
    </row>
    <row r="103" customFormat="false" ht="15" hidden="false" customHeight="false" outlineLevel="0" collapsed="false">
      <c r="C103" s="0" t="s">
        <v>74</v>
      </c>
      <c r="D103" s="11" t="s">
        <v>33</v>
      </c>
      <c r="E103" s="43" t="n">
        <f aca="false">-$I52</f>
        <v>62737.5</v>
      </c>
    </row>
    <row r="104" customFormat="false" ht="15" hidden="false" customHeight="false" outlineLevel="0" collapsed="false">
      <c r="C104" s="0" t="s">
        <v>75</v>
      </c>
      <c r="D104" s="11" t="s">
        <v>33</v>
      </c>
      <c r="E104" s="43" t="n">
        <f aca="false">-$I45</f>
        <v>8154.82315068493</v>
      </c>
    </row>
    <row r="105" customFormat="false" ht="15" hidden="false" customHeight="false" outlineLevel="0" collapsed="false">
      <c r="C105" s="0" t="s">
        <v>76</v>
      </c>
      <c r="D105" s="11" t="s">
        <v>33</v>
      </c>
      <c r="E105" s="43" t="n">
        <f aca="false">-$I53</f>
        <v>1750</v>
      </c>
    </row>
    <row r="106" customFormat="false" ht="15" hidden="false" customHeight="false" outlineLevel="0" collapsed="false">
      <c r="C106" s="0" t="s">
        <v>77</v>
      </c>
      <c r="D106" s="11" t="s">
        <v>33</v>
      </c>
      <c r="E106" s="43" t="n">
        <f aca="false">$I81-$I84-$I85</f>
        <v>4383.42206349338</v>
      </c>
    </row>
    <row r="107" customFormat="false" ht="15" hidden="false" customHeight="false" outlineLevel="0" collapsed="false">
      <c r="C107" s="0" t="s">
        <v>78</v>
      </c>
      <c r="D107" s="11" t="s">
        <v>33</v>
      </c>
      <c r="E107" s="43" t="n">
        <f aca="false">-SUMIF($J$4:$EO$4,"&lt;="&amp;In_COD,$J67:$EO67)</f>
        <v>309.245634121894</v>
      </c>
    </row>
    <row r="108" customFormat="false" ht="15" hidden="false" customHeight="false" outlineLevel="0" collapsed="false">
      <c r="C108" s="21" t="s">
        <v>79</v>
      </c>
      <c r="D108" s="11" t="s">
        <v>33</v>
      </c>
      <c r="E108" s="54" t="n">
        <f aca="false">SUM($E101:$E107)</f>
        <v>83417.1996679662</v>
      </c>
    </row>
    <row r="109" customFormat="false" ht="15" hidden="false" customHeight="false" outlineLevel="0" collapsed="false">
      <c r="C109" s="0" t="s">
        <v>405</v>
      </c>
      <c r="D109" s="11" t="s">
        <v>33</v>
      </c>
      <c r="E109" s="43" t="n">
        <f aca="false">$E108-$E83</f>
        <v>22547.7891128959</v>
      </c>
      <c r="F109" s="43" t="n">
        <f aca="false">$E109+$E86</f>
        <v>23828.7989081969</v>
      </c>
    </row>
    <row r="110" customFormat="false" ht="15" hidden="false" customHeight="false" outlineLevel="0" collapsed="false">
      <c r="C110" s="0" t="s">
        <v>83</v>
      </c>
      <c r="D110" s="11" t="s">
        <v>53</v>
      </c>
      <c r="E110" s="44" t="n">
        <f aca="false">$E83/$E108</f>
        <v>0.729698560936532</v>
      </c>
    </row>
    <row r="112" customFormat="false" ht="15" hidden="false" customHeight="false" outlineLevel="0" collapsed="false">
      <c r="A112" s="9" t="s">
        <v>13</v>
      </c>
      <c r="B112" s="9"/>
      <c r="C112" s="9" t="s">
        <v>99</v>
      </c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</row>
    <row r="113" customFormat="false" ht="15" hidden="false" customHeight="false" outlineLevel="0" collapsed="false">
      <c r="C113" s="0" t="s">
        <v>406</v>
      </c>
      <c r="D113" s="11" t="s">
        <v>33</v>
      </c>
      <c r="I113" s="43" t="n">
        <f aca="false">SUM(J113:EO113)</f>
        <v>-22547.7891128959</v>
      </c>
      <c r="J113" s="43" t="n">
        <f aca="false">(J47+J54+J80+J84+J85+J67)*(J$4&lt;=In_COD)</f>
        <v>-4661.09904297242</v>
      </c>
      <c r="K113" s="43" t="n">
        <f aca="false">(K47+K54+K80+K84+K85+K67)*(K$4&lt;=In_COD)</f>
        <v>-699.203169476608</v>
      </c>
      <c r="L113" s="43" t="n">
        <f aca="false">(L47+L54+L80+L84+L85+L67)*(L$4&lt;=In_COD)</f>
        <v>-92.0040320318945</v>
      </c>
      <c r="M113" s="43" t="n">
        <f aca="false">(M47+M54+M80+M84+M85+M67)*(M$4&lt;=In_COD)</f>
        <v>-93.0150653509263</v>
      </c>
      <c r="N113" s="43" t="n">
        <f aca="false">(N47+N54+N80+N84+N85+N67)*(N$4&lt;=In_COD)</f>
        <v>-93.0150653509263</v>
      </c>
      <c r="O113" s="43" t="n">
        <f aca="false">(O47+O54+O80+O84+O85+O67)*(O$4&lt;=In_COD)</f>
        <v>-92.0040320318945</v>
      </c>
      <c r="P113" s="43" t="n">
        <f aca="false">(P47+P54+P80+P84+P85+P67)*(P$4&lt;=In_COD)</f>
        <v>-92.0040320318945</v>
      </c>
      <c r="Q113" s="43" t="n">
        <f aca="false">(Q47+Q54+Q80+Q84+Q85+Q67)*(Q$4&lt;=In_COD)</f>
        <v>-93.0150653509263</v>
      </c>
      <c r="R113" s="43" t="n">
        <f aca="false">(R47+R54+R80+R84+R85+R67)*(R$4&lt;=In_COD)</f>
        <v>-2837.18765443701</v>
      </c>
      <c r="S113" s="43" t="n">
        <f aca="false">(S47+S54+S80+S84+S85+S67)*(S$4&lt;=In_COD)</f>
        <v>-3351.30355525186</v>
      </c>
      <c r="T113" s="43" t="n">
        <f aca="false">(T47+T54+T80+T84+T85+T67)*(T$4&lt;=In_COD)</f>
        <v>-1710.9309114857</v>
      </c>
      <c r="U113" s="43" t="n">
        <f aca="false">(U47+U54+U80+U84+U85+U67)*(U$4&lt;=In_COD)</f>
        <v>-1715.53938283758</v>
      </c>
      <c r="V113" s="43" t="n">
        <f aca="false">(V47+V54+V80+V84+V85+V67)*(V$4&lt;=In_COD)</f>
        <v>-1701.19044892878</v>
      </c>
      <c r="W113" s="43" t="n">
        <f aca="false">(W47+W54+W80+W84+W85+W67)*(W$4&lt;=In_COD)</f>
        <v>-1651.11825745919</v>
      </c>
      <c r="X113" s="43" t="n">
        <f aca="false">(X47+X54+X80+X84+X85+X67)*(X$4&lt;=In_COD)</f>
        <v>-1655.57959140552</v>
      </c>
      <c r="Y113" s="43" t="n">
        <f aca="false">(Y47+Y54+Y80+Y84+Y85+Y67)*(Y$4&lt;=In_COD)</f>
        <v>-2009.57980649277</v>
      </c>
      <c r="Z113" s="43" t="n">
        <f aca="false">(Z47+Z54+Z80+Z84+Z85+Z67)*(Z$4&lt;=In_COD)</f>
        <v>0</v>
      </c>
      <c r="AA113" s="43" t="n">
        <f aca="false">(AA47+AA54+AA80+AA84+AA85+AA67)*(AA$4&lt;=In_COD)</f>
        <v>0</v>
      </c>
      <c r="AB113" s="43" t="n">
        <f aca="false">(AB47+AB54+AB80+AB84+AB85+AB67)*(AB$4&lt;=In_COD)</f>
        <v>0</v>
      </c>
      <c r="AC113" s="43" t="n">
        <f aca="false">(AC47+AC54+AC80+AC84+AC85+AC67)*(AC$4&lt;=In_COD)</f>
        <v>0</v>
      </c>
      <c r="AD113" s="43" t="n">
        <f aca="false">(AD47+AD54+AD80+AD84+AD85+AD67)*(AD$4&lt;=In_COD)</f>
        <v>0</v>
      </c>
      <c r="AE113" s="43" t="n">
        <f aca="false">(AE47+AE54+AE80+AE84+AE85+AE67)*(AE$4&lt;=In_COD)</f>
        <v>0</v>
      </c>
      <c r="AF113" s="43" t="n">
        <f aca="false">(AF47+AF54+AF80+AF84+AF85+AF67)*(AF$4&lt;=In_COD)</f>
        <v>0</v>
      </c>
      <c r="AG113" s="43" t="n">
        <f aca="false">(AG47+AG54+AG80+AG84+AG85+AG67)*(AG$4&lt;=In_COD)</f>
        <v>0</v>
      </c>
      <c r="AH113" s="43" t="n">
        <f aca="false">(AH47+AH54+AH80+AH84+AH85+AH67)*(AH$4&lt;=In_COD)</f>
        <v>0</v>
      </c>
      <c r="AI113" s="43" t="n">
        <f aca="false">(AI47+AI54+AI80+AI84+AI85+AI67)*(AI$4&lt;=In_COD)</f>
        <v>0</v>
      </c>
      <c r="AJ113" s="43" t="n">
        <f aca="false">(AJ47+AJ54+AJ80+AJ84+AJ85+AJ67)*(AJ$4&lt;=In_COD)</f>
        <v>0</v>
      </c>
      <c r="AK113" s="43" t="n">
        <f aca="false">(AK47+AK54+AK80+AK84+AK85+AK67)*(AK$4&lt;=In_COD)</f>
        <v>0</v>
      </c>
      <c r="AL113" s="43" t="n">
        <f aca="false">(AL47+AL54+AL80+AL84+AL85+AL67)*(AL$4&lt;=In_COD)</f>
        <v>0</v>
      </c>
      <c r="AM113" s="43" t="n">
        <f aca="false">(AM47+AM54+AM80+AM84+AM85+AM67)*(AM$4&lt;=In_COD)</f>
        <v>0</v>
      </c>
      <c r="AN113" s="43" t="n">
        <f aca="false">(AN47+AN54+AN80+AN84+AN85+AN67)*(AN$4&lt;=In_COD)</f>
        <v>0</v>
      </c>
      <c r="AO113" s="43" t="n">
        <f aca="false">(AO47+AO54+AO80+AO84+AO85+AO67)*(AO$4&lt;=In_COD)</f>
        <v>0</v>
      </c>
      <c r="AP113" s="43" t="n">
        <f aca="false">(AP47+AP54+AP80+AP84+AP85+AP67)*(AP$4&lt;=In_COD)</f>
        <v>0</v>
      </c>
      <c r="AQ113" s="43" t="n">
        <f aca="false">(AQ47+AQ54+AQ80+AQ84+AQ85+AQ67)*(AQ$4&lt;=In_COD)</f>
        <v>0</v>
      </c>
      <c r="AR113" s="43" t="n">
        <f aca="false">(AR47+AR54+AR80+AR84+AR85+AR67)*(AR$4&lt;=In_COD)</f>
        <v>0</v>
      </c>
      <c r="AS113" s="43" t="n">
        <f aca="false">(AS47+AS54+AS80+AS84+AS85+AS67)*(AS$4&lt;=In_COD)</f>
        <v>0</v>
      </c>
      <c r="AT113" s="43" t="n">
        <f aca="false">(AT47+AT54+AT80+AT84+AT85+AT67)*(AT$4&lt;=In_COD)</f>
        <v>0</v>
      </c>
      <c r="AU113" s="43" t="n">
        <f aca="false">(AU47+AU54+AU80+AU84+AU85+AU67)*(AU$4&lt;=In_COD)</f>
        <v>0</v>
      </c>
      <c r="AV113" s="43" t="n">
        <f aca="false">(AV47+AV54+AV80+AV84+AV85+AV67)*(AV$4&lt;=In_COD)</f>
        <v>0</v>
      </c>
      <c r="AW113" s="43" t="n">
        <f aca="false">(AW47+AW54+AW80+AW84+AW85+AW67)*(AW$4&lt;=In_COD)</f>
        <v>0</v>
      </c>
      <c r="AX113" s="43" t="n">
        <f aca="false">(AX47+AX54+AX80+AX84+AX85+AX67)*(AX$4&lt;=In_COD)</f>
        <v>0</v>
      </c>
      <c r="AY113" s="43" t="n">
        <f aca="false">(AY47+AY54+AY80+AY84+AY85+AY67)*(AY$4&lt;=In_COD)</f>
        <v>0</v>
      </c>
      <c r="AZ113" s="43" t="n">
        <f aca="false">(AZ47+AZ54+AZ80+AZ84+AZ85+AZ67)*(AZ$4&lt;=In_COD)</f>
        <v>0</v>
      </c>
      <c r="BA113" s="43" t="n">
        <f aca="false">(BA47+BA54+BA80+BA84+BA85+BA67)*(BA$4&lt;=In_COD)</f>
        <v>0</v>
      </c>
      <c r="BB113" s="43" t="n">
        <f aca="false">(BB47+BB54+BB80+BB84+BB85+BB67)*(BB$4&lt;=In_COD)</f>
        <v>0</v>
      </c>
      <c r="BC113" s="43" t="n">
        <f aca="false">(BC47+BC54+BC80+BC84+BC85+BC67)*(BC$4&lt;=In_COD)</f>
        <v>0</v>
      </c>
      <c r="BD113" s="43" t="n">
        <f aca="false">(BD47+BD54+BD80+BD84+BD85+BD67)*(BD$4&lt;=In_COD)</f>
        <v>0</v>
      </c>
      <c r="BE113" s="43" t="n">
        <f aca="false">(BE47+BE54+BE80+BE84+BE85+BE67)*(BE$4&lt;=In_COD)</f>
        <v>0</v>
      </c>
      <c r="BF113" s="43" t="n">
        <f aca="false">(BF47+BF54+BF80+BF84+BF85+BF67)*(BF$4&lt;=In_COD)</f>
        <v>0</v>
      </c>
      <c r="BG113" s="43" t="n">
        <f aca="false">(BG47+BG54+BG80+BG84+BG85+BG67)*(BG$4&lt;=In_COD)</f>
        <v>0</v>
      </c>
      <c r="BH113" s="43" t="n">
        <f aca="false">(BH47+BH54+BH80+BH84+BH85+BH67)*(BH$4&lt;=In_COD)</f>
        <v>0</v>
      </c>
      <c r="BI113" s="43" t="n">
        <f aca="false">(BI47+BI54+BI80+BI84+BI85+BI67)*(BI$4&lt;=In_COD)</f>
        <v>0</v>
      </c>
      <c r="BJ113" s="43" t="n">
        <f aca="false">(BJ47+BJ54+BJ80+BJ84+BJ85+BJ67)*(BJ$4&lt;=In_COD)</f>
        <v>0</v>
      </c>
      <c r="BK113" s="43" t="n">
        <f aca="false">(BK47+BK54+BK80+BK84+BK85+BK67)*(BK$4&lt;=In_COD)</f>
        <v>0</v>
      </c>
      <c r="BL113" s="43" t="n">
        <f aca="false">(BL47+BL54+BL80+BL84+BL85+BL67)*(BL$4&lt;=In_COD)</f>
        <v>0</v>
      </c>
      <c r="BM113" s="43" t="n">
        <f aca="false">(BM47+BM54+BM80+BM84+BM85+BM67)*(BM$4&lt;=In_COD)</f>
        <v>0</v>
      </c>
      <c r="BN113" s="43" t="n">
        <f aca="false">(BN47+BN54+BN80+BN84+BN85+BN67)*(BN$4&lt;=In_COD)</f>
        <v>0</v>
      </c>
      <c r="BO113" s="43" t="n">
        <f aca="false">(BO47+BO54+BO80+BO84+BO85+BO67)*(BO$4&lt;=In_COD)</f>
        <v>0</v>
      </c>
      <c r="BP113" s="43" t="n">
        <f aca="false">(BP47+BP54+BP80+BP84+BP85+BP67)*(BP$4&lt;=In_COD)</f>
        <v>0</v>
      </c>
      <c r="BQ113" s="43" t="n">
        <f aca="false">(BQ47+BQ54+BQ80+BQ84+BQ85+BQ67)*(BQ$4&lt;=In_COD)</f>
        <v>0</v>
      </c>
      <c r="BR113" s="43" t="n">
        <f aca="false">(BR47+BR54+BR80+BR84+BR85+BR67)*(BR$4&lt;=In_COD)</f>
        <v>0</v>
      </c>
      <c r="BS113" s="43" t="n">
        <f aca="false">(BS47+BS54+BS80+BS84+BS85+BS67)*(BS$4&lt;=In_COD)</f>
        <v>0</v>
      </c>
      <c r="BT113" s="43" t="n">
        <f aca="false">(BT47+BT54+BT80+BT84+BT85+BT67)*(BT$4&lt;=In_COD)</f>
        <v>0</v>
      </c>
      <c r="BU113" s="43" t="n">
        <f aca="false">(BU47+BU54+BU80+BU84+BU85+BU67)*(BU$4&lt;=In_COD)</f>
        <v>0</v>
      </c>
      <c r="BV113" s="43" t="n">
        <f aca="false">(BV47+BV54+BV80+BV84+BV85+BV67)*(BV$4&lt;=In_COD)</f>
        <v>0</v>
      </c>
      <c r="BW113" s="43" t="n">
        <f aca="false">(BW47+BW54+BW80+BW84+BW85+BW67)*(BW$4&lt;=In_COD)</f>
        <v>0</v>
      </c>
      <c r="BX113" s="43" t="n">
        <f aca="false">(BX47+BX54+BX80+BX84+BX85+BX67)*(BX$4&lt;=In_COD)</f>
        <v>0</v>
      </c>
      <c r="BY113" s="43" t="n">
        <f aca="false">(BY47+BY54+BY80+BY84+BY85+BY67)*(BY$4&lt;=In_COD)</f>
        <v>0</v>
      </c>
      <c r="BZ113" s="43" t="n">
        <f aca="false">(BZ47+BZ54+BZ80+BZ84+BZ85+BZ67)*(BZ$4&lt;=In_COD)</f>
        <v>0</v>
      </c>
      <c r="CA113" s="43" t="n">
        <f aca="false">(CA47+CA54+CA80+CA84+CA85+CA67)*(CA$4&lt;=In_COD)</f>
        <v>0</v>
      </c>
      <c r="CB113" s="43" t="n">
        <f aca="false">(CB47+CB54+CB80+CB84+CB85+CB67)*(CB$4&lt;=In_COD)</f>
        <v>0</v>
      </c>
      <c r="CC113" s="43" t="n">
        <f aca="false">(CC47+CC54+CC80+CC84+CC85+CC67)*(CC$4&lt;=In_COD)</f>
        <v>0</v>
      </c>
      <c r="CD113" s="43" t="n">
        <f aca="false">(CD47+CD54+CD80+CD84+CD85+CD67)*(CD$4&lt;=In_COD)</f>
        <v>0</v>
      </c>
      <c r="CE113" s="43" t="n">
        <f aca="false">(CE47+CE54+CE80+CE84+CE85+CE67)*(CE$4&lt;=In_COD)</f>
        <v>0</v>
      </c>
      <c r="CF113" s="43" t="n">
        <f aca="false">(CF47+CF54+CF80+CF84+CF85+CF67)*(CF$4&lt;=In_COD)</f>
        <v>0</v>
      </c>
      <c r="CG113" s="43" t="n">
        <f aca="false">(CG47+CG54+CG80+CG84+CG85+CG67)*(CG$4&lt;=In_COD)</f>
        <v>0</v>
      </c>
      <c r="CH113" s="43" t="n">
        <f aca="false">(CH47+CH54+CH80+CH84+CH85+CH67)*(CH$4&lt;=In_COD)</f>
        <v>0</v>
      </c>
      <c r="CI113" s="43" t="n">
        <f aca="false">(CI47+CI54+CI80+CI84+CI85+CI67)*(CI$4&lt;=In_COD)</f>
        <v>0</v>
      </c>
      <c r="CJ113" s="43" t="n">
        <f aca="false">(CJ47+CJ54+CJ80+CJ84+CJ85+CJ67)*(CJ$4&lt;=In_COD)</f>
        <v>0</v>
      </c>
      <c r="CK113" s="43" t="n">
        <f aca="false">(CK47+CK54+CK80+CK84+CK85+CK67)*(CK$4&lt;=In_COD)</f>
        <v>0</v>
      </c>
      <c r="CL113" s="43" t="n">
        <f aca="false">(CL47+CL54+CL80+CL84+CL85+CL67)*(CL$4&lt;=In_COD)</f>
        <v>0</v>
      </c>
      <c r="CM113" s="43" t="n">
        <f aca="false">(CM47+CM54+CM80+CM84+CM85+CM67)*(CM$4&lt;=In_COD)</f>
        <v>0</v>
      </c>
      <c r="CN113" s="43" t="n">
        <f aca="false">(CN47+CN54+CN80+CN84+CN85+CN67)*(CN$4&lt;=In_COD)</f>
        <v>0</v>
      </c>
      <c r="CO113" s="43" t="n">
        <f aca="false">(CO47+CO54+CO80+CO84+CO85+CO67)*(CO$4&lt;=In_COD)</f>
        <v>0</v>
      </c>
      <c r="CP113" s="43" t="n">
        <f aca="false">(CP47+CP54+CP80+CP84+CP85+CP67)*(CP$4&lt;=In_COD)</f>
        <v>0</v>
      </c>
      <c r="CQ113" s="43" t="n">
        <f aca="false">(CQ47+CQ54+CQ80+CQ84+CQ85+CQ67)*(CQ$4&lt;=In_COD)</f>
        <v>0</v>
      </c>
      <c r="CR113" s="43" t="n">
        <f aca="false">(CR47+CR54+CR80+CR84+CR85+CR67)*(CR$4&lt;=In_COD)</f>
        <v>0</v>
      </c>
      <c r="CS113" s="43" t="n">
        <f aca="false">(CS47+CS54+CS80+CS84+CS85+CS67)*(CS$4&lt;=In_COD)</f>
        <v>0</v>
      </c>
      <c r="CT113" s="43" t="n">
        <f aca="false">(CT47+CT54+CT80+CT84+CT85+CT67)*(CT$4&lt;=In_COD)</f>
        <v>0</v>
      </c>
      <c r="CU113" s="43" t="n">
        <f aca="false">(CU47+CU54+CU80+CU84+CU85+CU67)*(CU$4&lt;=In_COD)</f>
        <v>0</v>
      </c>
      <c r="CV113" s="43" t="n">
        <f aca="false">(CV47+CV54+CV80+CV84+CV85+CV67)*(CV$4&lt;=In_COD)</f>
        <v>0</v>
      </c>
      <c r="CW113" s="43" t="n">
        <f aca="false">(CW47+CW54+CW80+CW84+CW85+CW67)*(CW$4&lt;=In_COD)</f>
        <v>0</v>
      </c>
      <c r="CX113" s="43" t="n">
        <f aca="false">(CX47+CX54+CX80+CX84+CX85+CX67)*(CX$4&lt;=In_COD)</f>
        <v>0</v>
      </c>
      <c r="CY113" s="43" t="n">
        <f aca="false">(CY47+CY54+CY80+CY84+CY85+CY67)*(CY$4&lt;=In_COD)</f>
        <v>0</v>
      </c>
      <c r="CZ113" s="43" t="n">
        <f aca="false">(CZ47+CZ54+CZ80+CZ84+CZ85+CZ67)*(CZ$4&lt;=In_COD)</f>
        <v>0</v>
      </c>
      <c r="DA113" s="43" t="n">
        <f aca="false">(DA47+DA54+DA80+DA84+DA85+DA67)*(DA$4&lt;=In_COD)</f>
        <v>0</v>
      </c>
      <c r="DB113" s="43" t="n">
        <f aca="false">(DB47+DB54+DB80+DB84+DB85+DB67)*(DB$4&lt;=In_COD)</f>
        <v>0</v>
      </c>
      <c r="DC113" s="43" t="n">
        <f aca="false">(DC47+DC54+DC80+DC84+DC85+DC67)*(DC$4&lt;=In_COD)</f>
        <v>0</v>
      </c>
      <c r="DD113" s="43" t="n">
        <f aca="false">(DD47+DD54+DD80+DD84+DD85+DD67)*(DD$4&lt;=In_COD)</f>
        <v>0</v>
      </c>
      <c r="DE113" s="43" t="n">
        <f aca="false">(DE47+DE54+DE80+DE84+DE85+DE67)*(DE$4&lt;=In_COD)</f>
        <v>0</v>
      </c>
      <c r="DF113" s="43" t="n">
        <f aca="false">(DF47+DF54+DF80+DF84+DF85+DF67)*(DF$4&lt;=In_COD)</f>
        <v>0</v>
      </c>
      <c r="DG113" s="43" t="n">
        <f aca="false">(DG47+DG54+DG80+DG84+DG85+DG67)*(DG$4&lt;=In_COD)</f>
        <v>0</v>
      </c>
      <c r="DH113" s="43" t="n">
        <f aca="false">(DH47+DH54+DH80+DH84+DH85+DH67)*(DH$4&lt;=In_COD)</f>
        <v>0</v>
      </c>
      <c r="DI113" s="43" t="n">
        <f aca="false">(DI47+DI54+DI80+DI84+DI85+DI67)*(DI$4&lt;=In_COD)</f>
        <v>0</v>
      </c>
      <c r="DJ113" s="43" t="n">
        <f aca="false">(DJ47+DJ54+DJ80+DJ84+DJ85+DJ67)*(DJ$4&lt;=In_COD)</f>
        <v>0</v>
      </c>
      <c r="DK113" s="43" t="n">
        <f aca="false">(DK47+DK54+DK80+DK84+DK85+DK67)*(DK$4&lt;=In_COD)</f>
        <v>0</v>
      </c>
      <c r="DL113" s="43" t="n">
        <f aca="false">(DL47+DL54+DL80+DL84+DL85+DL67)*(DL$4&lt;=In_COD)</f>
        <v>0</v>
      </c>
      <c r="DM113" s="43" t="n">
        <f aca="false">(DM47+DM54+DM80+DM84+DM85+DM67)*(DM$4&lt;=In_COD)</f>
        <v>0</v>
      </c>
      <c r="DN113" s="43" t="n">
        <f aca="false">(DN47+DN54+DN80+DN84+DN85+DN67)*(DN$4&lt;=In_COD)</f>
        <v>0</v>
      </c>
      <c r="DO113" s="43" t="n">
        <f aca="false">(DO47+DO54+DO80+DO84+DO85+DO67)*(DO$4&lt;=In_COD)</f>
        <v>0</v>
      </c>
      <c r="DP113" s="43" t="n">
        <f aca="false">(DP47+DP54+DP80+DP84+DP85+DP67)*(DP$4&lt;=In_COD)</f>
        <v>0</v>
      </c>
      <c r="DQ113" s="43" t="n">
        <f aca="false">(DQ47+DQ54+DQ80+DQ84+DQ85+DQ67)*(DQ$4&lt;=In_COD)</f>
        <v>0</v>
      </c>
      <c r="DR113" s="43" t="n">
        <f aca="false">(DR47+DR54+DR80+DR84+DR85+DR67)*(DR$4&lt;=In_COD)</f>
        <v>0</v>
      </c>
      <c r="DS113" s="43" t="n">
        <f aca="false">(DS47+DS54+DS80+DS84+DS85+DS67)*(DS$4&lt;=In_COD)</f>
        <v>0</v>
      </c>
      <c r="DT113" s="43" t="n">
        <f aca="false">(DT47+DT54+DT80+DT84+DT85+DT67)*(DT$4&lt;=In_COD)</f>
        <v>0</v>
      </c>
      <c r="DU113" s="43" t="n">
        <f aca="false">(DU47+DU54+DU80+DU84+DU85+DU67)*(DU$4&lt;=In_COD)</f>
        <v>0</v>
      </c>
      <c r="DV113" s="43" t="n">
        <f aca="false">(DV47+DV54+DV80+DV84+DV85+DV67)*(DV$4&lt;=In_COD)</f>
        <v>0</v>
      </c>
      <c r="DW113" s="43" t="n">
        <f aca="false">(DW47+DW54+DW80+DW84+DW85+DW67)*(DW$4&lt;=In_COD)</f>
        <v>0</v>
      </c>
      <c r="DX113" s="43" t="n">
        <f aca="false">(DX47+DX54+DX80+DX84+DX85+DX67)*(DX$4&lt;=In_COD)</f>
        <v>0</v>
      </c>
      <c r="DY113" s="43" t="n">
        <f aca="false">(DY47+DY54+DY80+DY84+DY85+DY67)*(DY$4&lt;=In_COD)</f>
        <v>0</v>
      </c>
      <c r="DZ113" s="43" t="n">
        <f aca="false">(DZ47+DZ54+DZ80+DZ84+DZ85+DZ67)*(DZ$4&lt;=In_COD)</f>
        <v>0</v>
      </c>
      <c r="EA113" s="43" t="n">
        <f aca="false">(EA47+EA54+EA80+EA84+EA85+EA67)*(EA$4&lt;=In_COD)</f>
        <v>0</v>
      </c>
      <c r="EB113" s="43" t="n">
        <f aca="false">(EB47+EB54+EB80+EB84+EB85+EB67)*(EB$4&lt;=In_COD)</f>
        <v>0</v>
      </c>
      <c r="EC113" s="43" t="n">
        <f aca="false">(EC47+EC54+EC80+EC84+EC85+EC67)*(EC$4&lt;=In_COD)</f>
        <v>0</v>
      </c>
      <c r="ED113" s="43" t="n">
        <f aca="false">(ED47+ED54+ED80+ED84+ED85+ED67)*(ED$4&lt;=In_COD)</f>
        <v>0</v>
      </c>
      <c r="EE113" s="43" t="n">
        <f aca="false">(EE47+EE54+EE80+EE84+EE85+EE67)*(EE$4&lt;=In_COD)</f>
        <v>0</v>
      </c>
      <c r="EF113" s="43" t="n">
        <f aca="false">(EF47+EF54+EF80+EF84+EF85+EF67)*(EF$4&lt;=In_COD)</f>
        <v>0</v>
      </c>
      <c r="EG113" s="43" t="n">
        <f aca="false">(EG47+EG54+EG80+EG84+EG85+EG67)*(EG$4&lt;=In_COD)</f>
        <v>0</v>
      </c>
      <c r="EH113" s="43" t="n">
        <f aca="false">(EH47+EH54+EH80+EH84+EH85+EH67)*(EH$4&lt;=In_COD)</f>
        <v>0</v>
      </c>
      <c r="EI113" s="43" t="n">
        <f aca="false">(EI47+EI54+EI80+EI84+EI85+EI67)*(EI$4&lt;=In_COD)</f>
        <v>0</v>
      </c>
      <c r="EJ113" s="43" t="n">
        <f aca="false">(EJ47+EJ54+EJ80+EJ84+EJ85+EJ67)*(EJ$4&lt;=In_COD)</f>
        <v>0</v>
      </c>
      <c r="EK113" s="43" t="n">
        <f aca="false">(EK47+EK54+EK80+EK84+EK85+EK67)*(EK$4&lt;=In_COD)</f>
        <v>0</v>
      </c>
      <c r="EL113" s="43" t="n">
        <f aca="false">(EL47+EL54+EL80+EL84+EL85+EL67)*(EL$4&lt;=In_COD)</f>
        <v>0</v>
      </c>
      <c r="EM113" s="43" t="n">
        <f aca="false">(EM47+EM54+EM80+EM84+EM85+EM67)*(EM$4&lt;=In_COD)</f>
        <v>0</v>
      </c>
      <c r="EN113" s="43" t="n">
        <f aca="false">(EN47+EN54+EN80+EN84+EN85+EN67)*(EN$4&lt;=In_COD)</f>
        <v>0</v>
      </c>
      <c r="EO113" s="43" t="n">
        <f aca="false">(EO47+EO54+EO80+EO84+EO85+EO67)*(EO$4&lt;=In_COD)</f>
        <v>0</v>
      </c>
    </row>
    <row r="114" customFormat="false" ht="15" hidden="false" customHeight="false" outlineLevel="0" collapsed="false">
      <c r="C114" s="0" t="s">
        <v>100</v>
      </c>
      <c r="D114" s="11" t="s">
        <v>33</v>
      </c>
      <c r="E114" s="43" t="n">
        <f aca="false">IF($E29=1,In_COD_Price,In_COD_Price_CN)*In_Wind_MW</f>
        <v>122500</v>
      </c>
    </row>
    <row r="115" customFormat="false" ht="15" hidden="false" customHeight="false" outlineLevel="0" collapsed="false">
      <c r="C115" s="0" t="s">
        <v>101</v>
      </c>
      <c r="D115" s="11" t="s">
        <v>33</v>
      </c>
      <c r="E115" s="43" t="n">
        <f aca="false">$E114-$E83-In_Sale_Costs</f>
        <v>61130.5894449297</v>
      </c>
    </row>
    <row r="116" customFormat="false" ht="15" hidden="false" customHeight="false" outlineLevel="0" collapsed="false">
      <c r="C116" s="0" t="s">
        <v>102</v>
      </c>
      <c r="D116" s="11" t="s">
        <v>33</v>
      </c>
      <c r="E116" s="43" t="n">
        <f aca="false">-In_CIT*In_Sale_Gain_Taxed*MAX(0,$E115+$I113)</f>
        <v>-0</v>
      </c>
    </row>
    <row r="117" customFormat="false" ht="15" hidden="false" customHeight="false" outlineLevel="0" collapsed="false">
      <c r="C117" s="21" t="s">
        <v>407</v>
      </c>
      <c r="D117" s="11" t="s">
        <v>33</v>
      </c>
      <c r="I117" s="54" t="n">
        <f aca="false">SUM(J117:EO117)</f>
        <v>38582.8003320338</v>
      </c>
      <c r="J117" s="54" t="n">
        <f aca="false">J113+($E115+$E116)*J14</f>
        <v>-4661.09904297242</v>
      </c>
      <c r="K117" s="54" t="n">
        <f aca="false">K113+($E115+$E116)*K14</f>
        <v>-699.203169476608</v>
      </c>
      <c r="L117" s="54" t="n">
        <f aca="false">L113+($E115+$E116)*L14</f>
        <v>-92.0040320318945</v>
      </c>
      <c r="M117" s="54" t="n">
        <f aca="false">M113+($E115+$E116)*M14</f>
        <v>-93.0150653509263</v>
      </c>
      <c r="N117" s="54" t="n">
        <f aca="false">N113+($E115+$E116)*N14</f>
        <v>-93.0150653509263</v>
      </c>
      <c r="O117" s="54" t="n">
        <f aca="false">O113+($E115+$E116)*O14</f>
        <v>-92.0040320318945</v>
      </c>
      <c r="P117" s="54" t="n">
        <f aca="false">P113+($E115+$E116)*P14</f>
        <v>-92.0040320318945</v>
      </c>
      <c r="Q117" s="54" t="n">
        <f aca="false">Q113+($E115+$E116)*Q14</f>
        <v>-93.0150653509263</v>
      </c>
      <c r="R117" s="54" t="n">
        <f aca="false">R113+($E115+$E116)*R14</f>
        <v>-2837.18765443701</v>
      </c>
      <c r="S117" s="54" t="n">
        <f aca="false">S113+($E115+$E116)*S14</f>
        <v>-3351.30355525186</v>
      </c>
      <c r="T117" s="54" t="n">
        <f aca="false">T113+($E115+$E116)*T14</f>
        <v>-1710.9309114857</v>
      </c>
      <c r="U117" s="54" t="n">
        <f aca="false">U113+($E115+$E116)*U14</f>
        <v>-1715.53938283758</v>
      </c>
      <c r="V117" s="54" t="n">
        <f aca="false">V113+($E115+$E116)*V14</f>
        <v>-1701.19044892878</v>
      </c>
      <c r="W117" s="54" t="n">
        <f aca="false">W113+($E115+$E116)*W14</f>
        <v>-1651.11825745919</v>
      </c>
      <c r="X117" s="54" t="n">
        <f aca="false">X113+($E115+$E116)*X14</f>
        <v>-1655.57959140552</v>
      </c>
      <c r="Y117" s="54" t="n">
        <f aca="false">Y113+($E115+$E116)*Y14</f>
        <v>59121.0096384369</v>
      </c>
      <c r="Z117" s="54" t="n">
        <f aca="false">Z113+($E115+$E116)*Z14</f>
        <v>0</v>
      </c>
      <c r="AA117" s="54" t="n">
        <f aca="false">AA113+($E115+$E116)*AA14</f>
        <v>0</v>
      </c>
      <c r="AB117" s="54" t="n">
        <f aca="false">AB113+($E115+$E116)*AB14</f>
        <v>0</v>
      </c>
      <c r="AC117" s="54" t="n">
        <f aca="false">AC113+($E115+$E116)*AC14</f>
        <v>0</v>
      </c>
      <c r="AD117" s="54" t="n">
        <f aca="false">AD113+($E115+$E116)*AD14</f>
        <v>0</v>
      </c>
      <c r="AE117" s="54" t="n">
        <f aca="false">AE113+($E115+$E116)*AE14</f>
        <v>0</v>
      </c>
      <c r="AF117" s="54" t="n">
        <f aca="false">AF113+($E115+$E116)*AF14</f>
        <v>0</v>
      </c>
      <c r="AG117" s="54" t="n">
        <f aca="false">AG113+($E115+$E116)*AG14</f>
        <v>0</v>
      </c>
      <c r="AH117" s="54" t="n">
        <f aca="false">AH113+($E115+$E116)*AH14</f>
        <v>0</v>
      </c>
      <c r="AI117" s="54" t="n">
        <f aca="false">AI113+($E115+$E116)*AI14</f>
        <v>0</v>
      </c>
      <c r="AJ117" s="54" t="n">
        <f aca="false">AJ113+($E115+$E116)*AJ14</f>
        <v>0</v>
      </c>
      <c r="AK117" s="54" t="n">
        <f aca="false">AK113+($E115+$E116)*AK14</f>
        <v>0</v>
      </c>
      <c r="AL117" s="54" t="n">
        <f aca="false">AL113+($E115+$E116)*AL14</f>
        <v>0</v>
      </c>
      <c r="AM117" s="54" t="n">
        <f aca="false">AM113+($E115+$E116)*AM14</f>
        <v>0</v>
      </c>
      <c r="AN117" s="54" t="n">
        <f aca="false">AN113+($E115+$E116)*AN14</f>
        <v>0</v>
      </c>
      <c r="AO117" s="54" t="n">
        <f aca="false">AO113+($E115+$E116)*AO14</f>
        <v>0</v>
      </c>
      <c r="AP117" s="54" t="n">
        <f aca="false">AP113+($E115+$E116)*AP14</f>
        <v>0</v>
      </c>
      <c r="AQ117" s="54" t="n">
        <f aca="false">AQ113+($E115+$E116)*AQ14</f>
        <v>0</v>
      </c>
      <c r="AR117" s="54" t="n">
        <f aca="false">AR113+($E115+$E116)*AR14</f>
        <v>0</v>
      </c>
      <c r="AS117" s="54" t="n">
        <f aca="false">AS113+($E115+$E116)*AS14</f>
        <v>0</v>
      </c>
      <c r="AT117" s="54" t="n">
        <f aca="false">AT113+($E115+$E116)*AT14</f>
        <v>0</v>
      </c>
      <c r="AU117" s="54" t="n">
        <f aca="false">AU113+($E115+$E116)*AU14</f>
        <v>0</v>
      </c>
      <c r="AV117" s="54" t="n">
        <f aca="false">AV113+($E115+$E116)*AV14</f>
        <v>0</v>
      </c>
      <c r="AW117" s="54" t="n">
        <f aca="false">AW113+($E115+$E116)*AW14</f>
        <v>0</v>
      </c>
      <c r="AX117" s="54" t="n">
        <f aca="false">AX113+($E115+$E116)*AX14</f>
        <v>0</v>
      </c>
      <c r="AY117" s="54" t="n">
        <f aca="false">AY113+($E115+$E116)*AY14</f>
        <v>0</v>
      </c>
      <c r="AZ117" s="54" t="n">
        <f aca="false">AZ113+($E115+$E116)*AZ14</f>
        <v>0</v>
      </c>
      <c r="BA117" s="54" t="n">
        <f aca="false">BA113+($E115+$E116)*BA14</f>
        <v>0</v>
      </c>
      <c r="BB117" s="54" t="n">
        <f aca="false">BB113+($E115+$E116)*BB14</f>
        <v>0</v>
      </c>
      <c r="BC117" s="54" t="n">
        <f aca="false">BC113+($E115+$E116)*BC14</f>
        <v>0</v>
      </c>
      <c r="BD117" s="54" t="n">
        <f aca="false">BD113+($E115+$E116)*BD14</f>
        <v>0</v>
      </c>
      <c r="BE117" s="54" t="n">
        <f aca="false">BE113+($E115+$E116)*BE14</f>
        <v>0</v>
      </c>
      <c r="BF117" s="54" t="n">
        <f aca="false">BF113+($E115+$E116)*BF14</f>
        <v>0</v>
      </c>
      <c r="BG117" s="54" t="n">
        <f aca="false">BG113+($E115+$E116)*BG14</f>
        <v>0</v>
      </c>
      <c r="BH117" s="54" t="n">
        <f aca="false">BH113+($E115+$E116)*BH14</f>
        <v>0</v>
      </c>
      <c r="BI117" s="54" t="n">
        <f aca="false">BI113+($E115+$E116)*BI14</f>
        <v>0</v>
      </c>
      <c r="BJ117" s="54" t="n">
        <f aca="false">BJ113+($E115+$E116)*BJ14</f>
        <v>0</v>
      </c>
      <c r="BK117" s="54" t="n">
        <f aca="false">BK113+($E115+$E116)*BK14</f>
        <v>0</v>
      </c>
      <c r="BL117" s="54" t="n">
        <f aca="false">BL113+($E115+$E116)*BL14</f>
        <v>0</v>
      </c>
      <c r="BM117" s="54" t="n">
        <f aca="false">BM113+($E115+$E116)*BM14</f>
        <v>0</v>
      </c>
      <c r="BN117" s="54" t="n">
        <f aca="false">BN113+($E115+$E116)*BN14</f>
        <v>0</v>
      </c>
      <c r="BO117" s="54" t="n">
        <f aca="false">BO113+($E115+$E116)*BO14</f>
        <v>0</v>
      </c>
      <c r="BP117" s="54" t="n">
        <f aca="false">BP113+($E115+$E116)*BP14</f>
        <v>0</v>
      </c>
      <c r="BQ117" s="54" t="n">
        <f aca="false">BQ113+($E115+$E116)*BQ14</f>
        <v>0</v>
      </c>
      <c r="BR117" s="54" t="n">
        <f aca="false">BR113+($E115+$E116)*BR14</f>
        <v>0</v>
      </c>
      <c r="BS117" s="54" t="n">
        <f aca="false">BS113+($E115+$E116)*BS14</f>
        <v>0</v>
      </c>
      <c r="BT117" s="54" t="n">
        <f aca="false">BT113+($E115+$E116)*BT14</f>
        <v>0</v>
      </c>
      <c r="BU117" s="54" t="n">
        <f aca="false">BU113+($E115+$E116)*BU14</f>
        <v>0</v>
      </c>
      <c r="BV117" s="54" t="n">
        <f aca="false">BV113+($E115+$E116)*BV14</f>
        <v>0</v>
      </c>
      <c r="BW117" s="54" t="n">
        <f aca="false">BW113+($E115+$E116)*BW14</f>
        <v>0</v>
      </c>
      <c r="BX117" s="54" t="n">
        <f aca="false">BX113+($E115+$E116)*BX14</f>
        <v>0</v>
      </c>
      <c r="BY117" s="54" t="n">
        <f aca="false">BY113+($E115+$E116)*BY14</f>
        <v>0</v>
      </c>
      <c r="BZ117" s="54" t="n">
        <f aca="false">BZ113+($E115+$E116)*BZ14</f>
        <v>0</v>
      </c>
      <c r="CA117" s="54" t="n">
        <f aca="false">CA113+($E115+$E116)*CA14</f>
        <v>0</v>
      </c>
      <c r="CB117" s="54" t="n">
        <f aca="false">CB113+($E115+$E116)*CB14</f>
        <v>0</v>
      </c>
      <c r="CC117" s="54" t="n">
        <f aca="false">CC113+($E115+$E116)*CC14</f>
        <v>0</v>
      </c>
      <c r="CD117" s="54" t="n">
        <f aca="false">CD113+($E115+$E116)*CD14</f>
        <v>0</v>
      </c>
      <c r="CE117" s="54" t="n">
        <f aca="false">CE113+($E115+$E116)*CE14</f>
        <v>0</v>
      </c>
      <c r="CF117" s="54" t="n">
        <f aca="false">CF113+($E115+$E116)*CF14</f>
        <v>0</v>
      </c>
      <c r="CG117" s="54" t="n">
        <f aca="false">CG113+($E115+$E116)*CG14</f>
        <v>0</v>
      </c>
      <c r="CH117" s="54" t="n">
        <f aca="false">CH113+($E115+$E116)*CH14</f>
        <v>0</v>
      </c>
      <c r="CI117" s="54" t="n">
        <f aca="false">CI113+($E115+$E116)*CI14</f>
        <v>0</v>
      </c>
      <c r="CJ117" s="54" t="n">
        <f aca="false">CJ113+($E115+$E116)*CJ14</f>
        <v>0</v>
      </c>
      <c r="CK117" s="54" t="n">
        <f aca="false">CK113+($E115+$E116)*CK14</f>
        <v>0</v>
      </c>
      <c r="CL117" s="54" t="n">
        <f aca="false">CL113+($E115+$E116)*CL14</f>
        <v>0</v>
      </c>
      <c r="CM117" s="54" t="n">
        <f aca="false">CM113+($E115+$E116)*CM14</f>
        <v>0</v>
      </c>
      <c r="CN117" s="54" t="n">
        <f aca="false">CN113+($E115+$E116)*CN14</f>
        <v>0</v>
      </c>
      <c r="CO117" s="54" t="n">
        <f aca="false">CO113+($E115+$E116)*CO14</f>
        <v>0</v>
      </c>
      <c r="CP117" s="54" t="n">
        <f aca="false">CP113+($E115+$E116)*CP14</f>
        <v>0</v>
      </c>
      <c r="CQ117" s="54" t="n">
        <f aca="false">CQ113+($E115+$E116)*CQ14</f>
        <v>0</v>
      </c>
      <c r="CR117" s="54" t="n">
        <f aca="false">CR113+($E115+$E116)*CR14</f>
        <v>0</v>
      </c>
      <c r="CS117" s="54" t="n">
        <f aca="false">CS113+($E115+$E116)*CS14</f>
        <v>0</v>
      </c>
      <c r="CT117" s="54" t="n">
        <f aca="false">CT113+($E115+$E116)*CT14</f>
        <v>0</v>
      </c>
      <c r="CU117" s="54" t="n">
        <f aca="false">CU113+($E115+$E116)*CU14</f>
        <v>0</v>
      </c>
      <c r="CV117" s="54" t="n">
        <f aca="false">CV113+($E115+$E116)*CV14</f>
        <v>0</v>
      </c>
      <c r="CW117" s="54" t="n">
        <f aca="false">CW113+($E115+$E116)*CW14</f>
        <v>0</v>
      </c>
      <c r="CX117" s="54" t="n">
        <f aca="false">CX113+($E115+$E116)*CX14</f>
        <v>0</v>
      </c>
      <c r="CY117" s="54" t="n">
        <f aca="false">CY113+($E115+$E116)*CY14</f>
        <v>0</v>
      </c>
      <c r="CZ117" s="54" t="n">
        <f aca="false">CZ113+($E115+$E116)*CZ14</f>
        <v>0</v>
      </c>
      <c r="DA117" s="54" t="n">
        <f aca="false">DA113+($E115+$E116)*DA14</f>
        <v>0</v>
      </c>
      <c r="DB117" s="54" t="n">
        <f aca="false">DB113+($E115+$E116)*DB14</f>
        <v>0</v>
      </c>
      <c r="DC117" s="54" t="n">
        <f aca="false">DC113+($E115+$E116)*DC14</f>
        <v>0</v>
      </c>
      <c r="DD117" s="54" t="n">
        <f aca="false">DD113+($E115+$E116)*DD14</f>
        <v>0</v>
      </c>
      <c r="DE117" s="54" t="n">
        <f aca="false">DE113+($E115+$E116)*DE14</f>
        <v>0</v>
      </c>
      <c r="DF117" s="54" t="n">
        <f aca="false">DF113+($E115+$E116)*DF14</f>
        <v>0</v>
      </c>
      <c r="DG117" s="54" t="n">
        <f aca="false">DG113+($E115+$E116)*DG14</f>
        <v>0</v>
      </c>
      <c r="DH117" s="54" t="n">
        <f aca="false">DH113+($E115+$E116)*DH14</f>
        <v>0</v>
      </c>
      <c r="DI117" s="54" t="n">
        <f aca="false">DI113+($E115+$E116)*DI14</f>
        <v>0</v>
      </c>
      <c r="DJ117" s="54" t="n">
        <f aca="false">DJ113+($E115+$E116)*DJ14</f>
        <v>0</v>
      </c>
      <c r="DK117" s="54" t="n">
        <f aca="false">DK113+($E115+$E116)*DK14</f>
        <v>0</v>
      </c>
      <c r="DL117" s="54" t="n">
        <f aca="false">DL113+($E115+$E116)*DL14</f>
        <v>0</v>
      </c>
      <c r="DM117" s="54" t="n">
        <f aca="false">DM113+($E115+$E116)*DM14</f>
        <v>0</v>
      </c>
      <c r="DN117" s="54" t="n">
        <f aca="false">DN113+($E115+$E116)*DN14</f>
        <v>0</v>
      </c>
      <c r="DO117" s="54" t="n">
        <f aca="false">DO113+($E115+$E116)*DO14</f>
        <v>0</v>
      </c>
      <c r="DP117" s="54" t="n">
        <f aca="false">DP113+($E115+$E116)*DP14</f>
        <v>0</v>
      </c>
      <c r="DQ117" s="54" t="n">
        <f aca="false">DQ113+($E115+$E116)*DQ14</f>
        <v>0</v>
      </c>
      <c r="DR117" s="54" t="n">
        <f aca="false">DR113+($E115+$E116)*DR14</f>
        <v>0</v>
      </c>
      <c r="DS117" s="54" t="n">
        <f aca="false">DS113+($E115+$E116)*DS14</f>
        <v>0</v>
      </c>
      <c r="DT117" s="54" t="n">
        <f aca="false">DT113+($E115+$E116)*DT14</f>
        <v>0</v>
      </c>
      <c r="DU117" s="54" t="n">
        <f aca="false">DU113+($E115+$E116)*DU14</f>
        <v>0</v>
      </c>
      <c r="DV117" s="54" t="n">
        <f aca="false">DV113+($E115+$E116)*DV14</f>
        <v>0</v>
      </c>
      <c r="DW117" s="54" t="n">
        <f aca="false">DW113+($E115+$E116)*DW14</f>
        <v>0</v>
      </c>
      <c r="DX117" s="54" t="n">
        <f aca="false">DX113+($E115+$E116)*DX14</f>
        <v>0</v>
      </c>
      <c r="DY117" s="54" t="n">
        <f aca="false">DY113+($E115+$E116)*DY14</f>
        <v>0</v>
      </c>
      <c r="DZ117" s="54" t="n">
        <f aca="false">DZ113+($E115+$E116)*DZ14</f>
        <v>0</v>
      </c>
      <c r="EA117" s="54" t="n">
        <f aca="false">EA113+($E115+$E116)*EA14</f>
        <v>0</v>
      </c>
      <c r="EB117" s="54" t="n">
        <f aca="false">EB113+($E115+$E116)*EB14</f>
        <v>0</v>
      </c>
      <c r="EC117" s="54" t="n">
        <f aca="false">EC113+($E115+$E116)*EC14</f>
        <v>0</v>
      </c>
      <c r="ED117" s="54" t="n">
        <f aca="false">ED113+($E115+$E116)*ED14</f>
        <v>0</v>
      </c>
      <c r="EE117" s="54" t="n">
        <f aca="false">EE113+($E115+$E116)*EE14</f>
        <v>0</v>
      </c>
      <c r="EF117" s="54" t="n">
        <f aca="false">EF113+($E115+$E116)*EF14</f>
        <v>0</v>
      </c>
      <c r="EG117" s="54" t="n">
        <f aca="false">EG113+($E115+$E116)*EG14</f>
        <v>0</v>
      </c>
      <c r="EH117" s="54" t="n">
        <f aca="false">EH113+($E115+$E116)*EH14</f>
        <v>0</v>
      </c>
      <c r="EI117" s="54" t="n">
        <f aca="false">EI113+($E115+$E116)*EI14</f>
        <v>0</v>
      </c>
      <c r="EJ117" s="54" t="n">
        <f aca="false">EJ113+($E115+$E116)*EJ14</f>
        <v>0</v>
      </c>
      <c r="EK117" s="54" t="n">
        <f aca="false">EK113+($E115+$E116)*EK14</f>
        <v>0</v>
      </c>
      <c r="EL117" s="54" t="n">
        <f aca="false">EL113+($E115+$E116)*EL14</f>
        <v>0</v>
      </c>
      <c r="EM117" s="54" t="n">
        <f aca="false">EM113+($E115+$E116)*EM14</f>
        <v>0</v>
      </c>
      <c r="EN117" s="54" t="n">
        <f aca="false">EN113+($E115+$E116)*EN14</f>
        <v>0</v>
      </c>
      <c r="EO117" s="54" t="n">
        <f aca="false">EO113+($E115+$E116)*EO14</f>
        <v>0</v>
      </c>
    </row>
    <row r="118" customFormat="false" ht="15" hidden="false" customHeight="false" outlineLevel="0" collapsed="false">
      <c r="C118" s="21" t="s">
        <v>54</v>
      </c>
      <c r="D118" s="11" t="s">
        <v>53</v>
      </c>
      <c r="E118" s="27" t="n">
        <f aca="false">XIRR($J117:$EO117,$J$4:$EO$4)</f>
        <v>0.609860122902974</v>
      </c>
    </row>
    <row r="119" customFormat="false" ht="15" hidden="false" customHeight="false" outlineLevel="0" collapsed="false">
      <c r="C119" s="21" t="s">
        <v>56</v>
      </c>
      <c r="D119" s="11" t="s">
        <v>13</v>
      </c>
      <c r="E119" s="57" t="n">
        <f aca="false">($E115+$E116)/-$I113</f>
        <v>2.7111566965103</v>
      </c>
    </row>
    <row r="120" customFormat="false" ht="15" hidden="false" customHeight="false" outlineLevel="0" collapsed="false">
      <c r="C120" s="21" t="s">
        <v>59</v>
      </c>
      <c r="D120" s="11" t="s">
        <v>33</v>
      </c>
      <c r="E120" s="54" t="n">
        <f aca="false">XNPV(In_Discount_Rate,$J117:$EO117,$J$4:$EO$4)</f>
        <v>26489.9461134572</v>
      </c>
    </row>
    <row r="122" customFormat="false" ht="15" hidden="false" customHeight="false" outlineLevel="0" collapsed="false">
      <c r="A122" s="9" t="s">
        <v>13</v>
      </c>
      <c r="B122" s="9"/>
      <c r="C122" s="9" t="s">
        <v>408</v>
      </c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</row>
    <row r="123" customFormat="false" ht="15" hidden="false" customHeight="false" outlineLevel="0" collapsed="false">
      <c r="C123" s="0" t="s">
        <v>409</v>
      </c>
      <c r="D123" s="11" t="s">
        <v>33</v>
      </c>
      <c r="I123" s="43" t="n">
        <f aca="false">SUM(J123:EO123)</f>
        <v>161688.89188531</v>
      </c>
      <c r="J123" s="43" t="n">
        <f aca="false">J47+J54+J67+J97</f>
        <v>-4661.09904297242</v>
      </c>
      <c r="K123" s="43" t="n">
        <f aca="false">K47+K54+K67+K97</f>
        <v>-699.203169476608</v>
      </c>
      <c r="L123" s="43" t="n">
        <f aca="false">L47+L54+L67+L97</f>
        <v>-92.0040320318945</v>
      </c>
      <c r="M123" s="43" t="n">
        <f aca="false">M47+M54+M67+M97</f>
        <v>-93.0150653509263</v>
      </c>
      <c r="N123" s="43" t="n">
        <f aca="false">N47+N54+N67+N97</f>
        <v>-93.0150653509263</v>
      </c>
      <c r="O123" s="43" t="n">
        <f aca="false">O47+O54+O67+O97</f>
        <v>-92.0040320318945</v>
      </c>
      <c r="P123" s="43" t="n">
        <f aca="false">P47+P54+P67+P97</f>
        <v>-92.0040320318945</v>
      </c>
      <c r="Q123" s="43" t="n">
        <f aca="false">Q47+Q54+Q67+Q97</f>
        <v>-93.0150653509263</v>
      </c>
      <c r="R123" s="43" t="n">
        <f aca="false">R47+R54+R67+R97</f>
        <v>-7965.4571482027</v>
      </c>
      <c r="S123" s="43" t="n">
        <f aca="false">S47+S54+S67+S97</f>
        <v>-15948.0422944405</v>
      </c>
      <c r="T123" s="43" t="n">
        <f aca="false">T47+T54+T67+T97</f>
        <v>-7879.81046757503</v>
      </c>
      <c r="U123" s="43" t="n">
        <f aca="false">U47+U54+U67+U97</f>
        <v>-7966.40179139453</v>
      </c>
      <c r="V123" s="43" t="n">
        <f aca="false">V47+V54+V67+V97</f>
        <v>-7966.40179139453</v>
      </c>
      <c r="W123" s="43" t="n">
        <f aca="false">W47+W54+W67+W97</f>
        <v>-7794.16635391255</v>
      </c>
      <c r="X123" s="43" t="n">
        <f aca="false">X47+X54+X67+X97</f>
        <v>-7880.76820228936</v>
      </c>
      <c r="Y123" s="43" t="n">
        <f aca="false">Y47+Y54+Y67+Y97</f>
        <v>-9717.37005066617</v>
      </c>
      <c r="Z123" s="43" t="n">
        <f aca="false">Z47+Z54+Z67+Z97</f>
        <v>2030.02719390765</v>
      </c>
      <c r="AA123" s="43" t="n">
        <f aca="false">AA47+AA54+AA67+AA97</f>
        <v>1998.90039133082</v>
      </c>
      <c r="AB123" s="43" t="n">
        <f aca="false">AB47+AB54+AB67+AB97</f>
        <v>2020.44802414473</v>
      </c>
      <c r="AC123" s="43" t="n">
        <f aca="false">AC47+AC54+AC67+AC97</f>
        <v>2041.98444366416</v>
      </c>
      <c r="AD123" s="43" t="n">
        <f aca="false">AD47+AD54+AD67+AD97</f>
        <v>2034.64050563469</v>
      </c>
      <c r="AE123" s="43" t="n">
        <f aca="false">AE47+AE54+AE67+AE97</f>
        <v>2025.1414874458</v>
      </c>
      <c r="AF123" s="43" t="n">
        <f aca="false">AF47+AF54+AF67+AF97</f>
        <v>2024.83200526709</v>
      </c>
      <c r="AG123" s="43" t="n">
        <f aca="false">AG47+AG54+AG67+AG97</f>
        <v>2046.41319691195</v>
      </c>
      <c r="AH123" s="43" t="n">
        <f aca="false">AH47+AH54+AH67+AH97</f>
        <v>2039.00798689587</v>
      </c>
      <c r="AI123" s="43" t="n">
        <f aca="false">AI47+AI54+AI67+AI97</f>
        <v>2007.34477661411</v>
      </c>
      <c r="AJ123" s="43" t="n">
        <f aca="false">AJ47+AJ54+AJ67+AJ97</f>
        <v>2048.8428731713</v>
      </c>
      <c r="AK123" s="43" t="n">
        <f aca="false">AK47+AK54+AK67+AK97</f>
        <v>2070.67745853983</v>
      </c>
      <c r="AL123" s="43" t="n">
        <f aca="false">AL47+AL54+AL67+AL97</f>
        <v>2046.05340697076</v>
      </c>
      <c r="AM123" s="43" t="n">
        <f aca="false">AM47+AM54+AM67+AM97</f>
        <v>2013.79637151946</v>
      </c>
      <c r="AN123" s="43" t="n">
        <f aca="false">AN47+AN54+AN67+AN97</f>
        <v>2034.82594609823</v>
      </c>
      <c r="AO123" s="43" t="n">
        <f aca="false">AO47+AO54+AO67+AO97</f>
        <v>2055.8321346136</v>
      </c>
      <c r="AP123" s="43" t="n">
        <f aca="false">AP47+AP54+AP67+AP97</f>
        <v>2048.27709925134</v>
      </c>
      <c r="AQ123" s="43" t="n">
        <f aca="false">AQ47+AQ54+AQ67+AQ97</f>
        <v>2015.73858968932</v>
      </c>
      <c r="AR123" s="43" t="n">
        <f aca="false">AR47+AR54+AR67+AR97</f>
        <v>2036.78443873714</v>
      </c>
      <c r="AS123" s="43" t="n">
        <f aca="false">AS47+AS54+AS67+AS97</f>
        <v>2057.80643115319</v>
      </c>
      <c r="AT123" s="43" t="n">
        <f aca="false">AT47+AT54+AT67+AT97</f>
        <v>2050.17118785195</v>
      </c>
      <c r="AU123" s="43" t="n">
        <f aca="false">AU47+AU54+AU67+AU97</f>
        <v>2039.15742243298</v>
      </c>
      <c r="AV123" s="43" t="n">
        <f aca="false">AV47+AV54+AV67+AV97</f>
        <v>2038.39030566157</v>
      </c>
      <c r="AW123" s="43" t="n">
        <f aca="false">AW47+AW54+AW67+AW97</f>
        <v>2059.42422530029</v>
      </c>
      <c r="AX123" s="43" t="n">
        <f aca="false">AX47+AX54+AX67+AX97</f>
        <v>2051.70678529886</v>
      </c>
      <c r="AY123" s="43" t="n">
        <f aca="false">AY47+AY54+AY67+AY97</f>
        <v>2018.59345020764</v>
      </c>
      <c r="AZ123" s="43" t="n">
        <f aca="false">AZ47+AZ54+AZ67+AZ97</f>
        <v>2039.66048427013</v>
      </c>
      <c r="BA123" s="43" t="n">
        <f aca="false">BA47+BA54+BA67+BA97</f>
        <v>2060.70266406922</v>
      </c>
      <c r="BB123" s="43" t="n">
        <f aca="false">BB47+BB54+BB67+BB97</f>
        <v>2052.90132622831</v>
      </c>
      <c r="BC123" s="43" t="n">
        <f aca="false">BC47+BC54+BC67+BC97</f>
        <v>2019.49460803376</v>
      </c>
      <c r="BD123" s="43" t="n">
        <f aca="false">BD47+BD54+BD67+BD97</f>
        <v>2040.56643551813</v>
      </c>
      <c r="BE123" s="43" t="n">
        <f aca="false">BE47+BE54+BE67+BE97</f>
        <v>2061.61288212296</v>
      </c>
      <c r="BF123" s="43" t="n">
        <f aca="false">BF47+BF54+BF67+BF97</f>
        <v>2053.72569272983</v>
      </c>
      <c r="BG123" s="43" t="n">
        <f aca="false">BG47+BG54+BG67+BG97</f>
        <v>2020.02140801807</v>
      </c>
      <c r="BH123" s="43" t="n">
        <f aca="false">BH47+BH54+BH67+BH97</f>
        <v>2041.09389827907</v>
      </c>
      <c r="BI123" s="43" t="n">
        <f aca="false">BI47+BI54+BI67+BI97</f>
        <v>2062.14046065043</v>
      </c>
      <c r="BJ123" s="43" t="n">
        <f aca="false">BJ47+BJ54+BJ67+BJ97</f>
        <v>2054.1653860965</v>
      </c>
      <c r="BK123" s="43" t="n">
        <f aca="false">BK47+BK54+BK67+BK97</f>
        <v>2042.15123584106</v>
      </c>
      <c r="BL123" s="43" t="n">
        <f aca="false">BL47+BL54+BL67+BL97</f>
        <v>2041.21248381315</v>
      </c>
      <c r="BM123" s="43" t="n">
        <f aca="false">BM47+BM54+BM67+BM97</f>
        <v>2062.25466335789</v>
      </c>
      <c r="BN123" s="43" t="n">
        <f aca="false">BN47+BN54+BN67+BN97</f>
        <v>2054.18940016454</v>
      </c>
      <c r="BO123" s="43" t="n">
        <f aca="false">BO47+BO54+BO67+BO97</f>
        <v>2019.87677864859</v>
      </c>
      <c r="BP123" s="43" t="n">
        <f aca="false">BP47+BP54+BP67+BP97</f>
        <v>2040.93735571648</v>
      </c>
      <c r="BQ123" s="43" t="n">
        <f aca="false">BQ47+BQ54+BQ67+BQ97</f>
        <v>2061.97084363713</v>
      </c>
      <c r="BR123" s="43" t="n">
        <f aca="false">BR47+BR54+BR67+BR97</f>
        <v>2053.81336432771</v>
      </c>
      <c r="BS123" s="43" t="n">
        <f aca="false">BS47+BS54+BS67+BS97</f>
        <v>2019.18990801104</v>
      </c>
      <c r="BT123" s="43" t="n">
        <f aca="false">BT47+BT54+BT67+BT97</f>
        <v>2040.23774734745</v>
      </c>
      <c r="BU123" s="43" t="n">
        <f aca="false">BU47+BU54+BU67+BU97</f>
        <v>2061.25788341116</v>
      </c>
      <c r="BV123" s="43" t="n">
        <f aca="false">BV47+BV54+BV67+BV97</f>
        <v>2053.00589114028</v>
      </c>
      <c r="BW123" s="43" t="n">
        <f aca="false">BW47+BW54+BW67+BW97</f>
        <v>2018.0669279633</v>
      </c>
      <c r="BX123" s="43" t="n">
        <f aca="false">BX47+BX54+BX67+BX97</f>
        <v>2039.09721146417</v>
      </c>
      <c r="BY123" s="43" t="n">
        <f aca="false">BY47+BY54+BY67+BY97</f>
        <v>2060.09915312752</v>
      </c>
      <c r="BZ123" s="43" t="n">
        <f aca="false">BZ47+BZ54+BZ67+BZ97</f>
        <v>2051.75025509722</v>
      </c>
      <c r="CA123" s="43" t="n">
        <f aca="false">CA47+CA54+CA67+CA97</f>
        <v>2038.6260915135</v>
      </c>
      <c r="CB123" s="43" t="n">
        <f aca="false">CB47+CB54+CB67+CB97</f>
        <v>2037.48298642757</v>
      </c>
      <c r="CC123" s="43" t="n">
        <f aca="false">CC47+CC54+CC67+CC97</f>
        <v>2058.46151679361</v>
      </c>
      <c r="CD123" s="43" t="n">
        <f aca="false">CD47+CD54+CD67+CD97</f>
        <v>2050.01303230074</v>
      </c>
      <c r="CE123" s="43" t="n">
        <f aca="false">CE47+CE54+CE67+CE97</f>
        <v>2014.42830725169</v>
      </c>
      <c r="CF123" s="43" t="n">
        <f aca="false">CF47+CF54+CF67+CF97</f>
        <v>2035.40807407328</v>
      </c>
      <c r="CG123" s="43" t="n">
        <f aca="false">CG47+CG54+CG67+CG97</f>
        <v>2056.35814175988</v>
      </c>
      <c r="CH123" s="43" t="n">
        <f aca="false">CH47+CH54+CH67+CH97</f>
        <v>2047.8076508427</v>
      </c>
      <c r="CI123" s="43" t="n">
        <f aca="false">CI47+CI54+CI67+CI97</f>
        <v>2011.89256668766</v>
      </c>
      <c r="CJ123" s="43" t="n">
        <f aca="false">CJ47+CJ54+CJ67+CJ97</f>
        <v>2032.83915819916</v>
      </c>
      <c r="CK123" s="43" t="n">
        <f aca="false">CK47+CK54+CK67+CK97</f>
        <v>2053.75533156578</v>
      </c>
      <c r="CL123" s="43" t="n">
        <f aca="false">CL47+CL54+CL67+CL97</f>
        <v>2045.10012526929</v>
      </c>
      <c r="CM123" s="43" t="n">
        <f aca="false">CM47+CM54+CM67+CM97</f>
        <v>2008.84943972524</v>
      </c>
      <c r="CN123" s="43" t="n">
        <f aca="false">CN47+CN54+CN67+CN97</f>
        <v>2029.75724250138</v>
      </c>
      <c r="CO123" s="43" t="n">
        <f aca="false">CO47+CO54+CO67+CO97</f>
        <v>2050.63387881058</v>
      </c>
      <c r="CP123" s="43" t="n">
        <f aca="false">CP47+CP54+CP67+CP97</f>
        <v>2041.87113287724</v>
      </c>
      <c r="CQ123" s="43" t="n">
        <f aca="false">CQ47+CQ54+CQ67+CQ97</f>
        <v>2027.51338891028</v>
      </c>
      <c r="CR123" s="43" t="n">
        <f aca="false">CR47+CR54+CR67+CR97</f>
        <v>2026.12684558055</v>
      </c>
      <c r="CS123" s="43" t="n">
        <f aca="false">CS47+CS54+CS67+CS97</f>
        <v>2046.95789697403</v>
      </c>
      <c r="CT123" s="43" t="n">
        <f aca="false">CT47+CT54+CT67+CT97</f>
        <v>2038.08447813</v>
      </c>
      <c r="CU123" s="43" t="n">
        <f aca="false">CU47+CU54+CU67+CU97</f>
        <v>2002.59289432088</v>
      </c>
      <c r="CV123" s="43" t="n">
        <f aca="false">CV47+CV54+CV67+CV97</f>
        <v>2024.84392648</v>
      </c>
      <c r="CW123" s="43" t="n">
        <f aca="false">CW47+CW54+CW67+CW97</f>
        <v>2047.09495863912</v>
      </c>
      <c r="CX123" s="43" t="n">
        <f aca="false">CX47+CX54+CX67+CX97</f>
        <v>2039.61259737388</v>
      </c>
      <c r="CY123" s="43" t="n">
        <f aca="false">CY47+CY54+CY67+CY97</f>
        <v>2003.83890348655</v>
      </c>
      <c r="CZ123" s="43" t="n">
        <f aca="false">CZ47+CZ54+CZ67+CZ97</f>
        <v>2026.10378019196</v>
      </c>
      <c r="DA123" s="43" t="n">
        <f aca="false">DA47+DA54+DA67+DA97</f>
        <v>2048.36865689736</v>
      </c>
      <c r="DB123" s="43" t="n">
        <f aca="false">DB47+DB54+DB67+DB97</f>
        <v>1948.84471502511</v>
      </c>
      <c r="DC123" s="43" t="n">
        <f aca="false">DC47+DC54+DC67+DC97</f>
        <v>1914.78609412644</v>
      </c>
      <c r="DD123" s="43" t="n">
        <f aca="false">DD47+DD54+DD67+DD97</f>
        <v>1936.06149517229</v>
      </c>
      <c r="DE123" s="43" t="n">
        <f aca="false">DE47+DE54+DE67+DE97</f>
        <v>1957.33689621814</v>
      </c>
      <c r="DF123" s="43" t="n">
        <f aca="false">DF47+DF54+DF67+DF97</f>
        <v>1949.76595305462</v>
      </c>
      <c r="DG123" s="43" t="n">
        <f aca="false">DG47+DG54+DG67+DG97</f>
        <v>1936.70210524302</v>
      </c>
      <c r="DH123" s="43" t="n">
        <f aca="false">DH47+DH54+DH67+DH97</f>
        <v>1936.70210524302</v>
      </c>
      <c r="DI123" s="43" t="n">
        <f aca="false">DI47+DI54+DI67+DI97</f>
        <v>1957.98454595998</v>
      </c>
      <c r="DJ123" s="43" t="n">
        <f aca="false">DJ47+DJ54+DJ67+DJ97</f>
        <v>1950.36918653537</v>
      </c>
      <c r="DK123" s="43" t="n">
        <f aca="false">DK47+DK54+DK67+DK97</f>
        <v>1915.7323913549</v>
      </c>
      <c r="DL123" s="43" t="n">
        <f aca="false">DL47+DL54+DL67+DL97</f>
        <v>1937.0183068144</v>
      </c>
      <c r="DM123" s="43" t="n">
        <f aca="false">DM47+DM54+DM67+DM97</f>
        <v>1958.3042222739</v>
      </c>
      <c r="DN123" s="43" t="n">
        <f aca="false">DN47+DN54+DN67+DN97</f>
        <v>1950.64436867568</v>
      </c>
      <c r="DO123" s="43" t="n">
        <f aca="false">DO47+DO54+DO67+DO97</f>
        <v>1915.71418661246</v>
      </c>
      <c r="DP123" s="43" t="n">
        <f aca="false">DP47+DP54+DP67+DP97</f>
        <v>1936.99989979704</v>
      </c>
      <c r="DQ123" s="43" t="n">
        <f aca="false">DQ47+DQ54+DQ67+DQ97</f>
        <v>1958.28561298162</v>
      </c>
      <c r="DR123" s="43" t="n">
        <f aca="false">DR47+DR54+DR67+DR97</f>
        <v>1950.58119168799</v>
      </c>
      <c r="DS123" s="43" t="n">
        <f aca="false">DS47+DS54+DS67+DS97</f>
        <v>1915.35470049663</v>
      </c>
      <c r="DT123" s="43" t="n">
        <f aca="false">DT47+DT54+DT67+DT97</f>
        <v>1936.63641939104</v>
      </c>
      <c r="DU123" s="43" t="n">
        <f aca="false">DU47+DU54+DU67+DU97</f>
        <v>1957.91813828544</v>
      </c>
      <c r="DV123" s="43" t="n">
        <f aca="false">DV47+DV54+DV67+DV97</f>
        <v>1950.16908030453</v>
      </c>
      <c r="DW123" s="43" t="n">
        <f aca="false">DW47+DW54+DW67+DW97</f>
        <v>1935.91712951107</v>
      </c>
      <c r="DX123" s="43" t="n">
        <f aca="false">DX47+DX54+DX67+DX97</f>
        <v>1935.91712951107</v>
      </c>
      <c r="DY123" s="43" t="n">
        <f aca="false">DY47+DY54+DY67+DY97</f>
        <v>1957.19094412108</v>
      </c>
      <c r="DZ123" s="43" t="n">
        <f aca="false">DZ47+DZ54+DZ67+DZ97</f>
        <v>1949.39718513351</v>
      </c>
      <c r="EA123" s="43" t="n">
        <f aca="false">EA47+EA54+EA67+EA97</f>
        <v>1913.56913675262</v>
      </c>
      <c r="EB123" s="43" t="n">
        <f aca="false">EB47+EB54+EB67+EB97</f>
        <v>1934.83101604987</v>
      </c>
      <c r="EC123" s="43" t="n">
        <f aca="false">EC47+EC54+EC67+EC97</f>
        <v>1956.09289534712</v>
      </c>
      <c r="ED123" s="43" t="n">
        <f aca="false">ED47+ED54+ED67+ED97</f>
        <v>1948.25437585199</v>
      </c>
      <c r="EE123" s="43" t="n">
        <f aca="false">EE47+EE54+EE67+EE97</f>
        <v>1912.12099118508</v>
      </c>
      <c r="EF123" s="43" t="n">
        <f aca="false">EF47+EF54+EF67+EF97</f>
        <v>1933.36677997603</v>
      </c>
      <c r="EG123" s="43" t="n">
        <f aca="false">EG47+EG54+EG67+EG97</f>
        <v>1954.61256876697</v>
      </c>
      <c r="EH123" s="43" t="n">
        <f aca="false">EH47+EH54+EH67+EH97</f>
        <v>1946.72923423136</v>
      </c>
      <c r="EI123" s="43" t="n">
        <f aca="false">EI47+EI54+EI67+EI97</f>
        <v>1910.28741454497</v>
      </c>
      <c r="EJ123" s="43" t="n">
        <f aca="false">EJ47+EJ54+EJ67+EJ97</f>
        <v>1931.51283026213</v>
      </c>
      <c r="EK123" s="43" t="n">
        <f aca="false">EK47+EK54+EK67+EK97</f>
        <v>1952.7382459793</v>
      </c>
      <c r="EL123" s="43" t="n">
        <f aca="false">EL47+EL54+EL67+EL97</f>
        <v>1944.81004699132</v>
      </c>
      <c r="EM123" s="43" t="n">
        <f aca="false">EM47+EM54+EM67+EM97</f>
        <v>1929.25727663903</v>
      </c>
      <c r="EN123" s="43" t="n">
        <f aca="false">EN47+EN54+EN67+EN97</f>
        <v>1929.25727663903</v>
      </c>
      <c r="EO123" s="43" t="n">
        <f aca="false">EO47+EO54+EO67+EO97</f>
        <v>1950.45790605265</v>
      </c>
    </row>
    <row r="124" customFormat="false" ht="15" hidden="false" customHeight="false" outlineLevel="0" collapsed="false">
      <c r="C124" s="21" t="s">
        <v>70</v>
      </c>
      <c r="D124" s="11" t="s">
        <v>53</v>
      </c>
      <c r="E124" s="27" t="n">
        <f aca="false">XIRR($J123:$EO123,$J$4:$EO$4)</f>
        <v>0.0884140389577776</v>
      </c>
    </row>
    <row r="125" customFormat="false" ht="15" hidden="false" customHeight="false" outlineLevel="0" collapsed="false">
      <c r="C125" s="21" t="s">
        <v>410</v>
      </c>
      <c r="D125" s="11" t="s">
        <v>33</v>
      </c>
      <c r="I125" s="54" t="n">
        <f aca="false">SUM(J125:EO125)</f>
        <v>125480.298811613</v>
      </c>
      <c r="J125" s="54" t="n">
        <f aca="false">J47+J54+J80+J84+J85+J67+J78+J86+J97</f>
        <v>-4661.09904297242</v>
      </c>
      <c r="K125" s="54" t="n">
        <f aca="false">K47+K54+K80+K84+K85+K67+K78+K86+K97</f>
        <v>-699.203169476608</v>
      </c>
      <c r="L125" s="54" t="n">
        <f aca="false">L47+L54+L80+L84+L85+L67+L78+L86+L97</f>
        <v>-92.0040320318945</v>
      </c>
      <c r="M125" s="54" t="n">
        <f aca="false">M47+M54+M80+M84+M85+M67+M78+M86+M97</f>
        <v>-93.0150653509263</v>
      </c>
      <c r="N125" s="54" t="n">
        <f aca="false">N47+N54+N80+N84+N85+N67+N78+N86+N97</f>
        <v>-93.0150653509263</v>
      </c>
      <c r="O125" s="54" t="n">
        <f aca="false">O47+O54+O80+O84+O85+O67+O78+O86+O97</f>
        <v>-92.0040320318945</v>
      </c>
      <c r="P125" s="54" t="n">
        <f aca="false">P47+P54+P80+P84+P85+P67+P78+P86+P97</f>
        <v>-92.0040320318945</v>
      </c>
      <c r="Q125" s="54" t="n">
        <f aca="false">Q47+Q54+Q80+Q84+Q85+Q67+Q78+Q86+Q97</f>
        <v>-93.0150653509263</v>
      </c>
      <c r="R125" s="54" t="n">
        <f aca="false">R47+R54+R80+R84+R85+R67+R78+R86+R97</f>
        <v>-2837.18765443701</v>
      </c>
      <c r="S125" s="54" t="n">
        <f aca="false">S47+S54+S80+S84+S85+S67+S78+S86+S97</f>
        <v>-3351.30355525186</v>
      </c>
      <c r="T125" s="54" t="n">
        <f aca="false">T47+T54+T80+T84+T85+T67+T78+T86+T97</f>
        <v>-1710.9309114857</v>
      </c>
      <c r="U125" s="54" t="n">
        <f aca="false">U47+U54+U80+U84+U85+U67+U78+U86+U97</f>
        <v>-1715.53938283758</v>
      </c>
      <c r="V125" s="54" t="n">
        <f aca="false">V47+V54+V80+V84+V85+V67+V78+V86+V97</f>
        <v>-1701.19044892878</v>
      </c>
      <c r="W125" s="54" t="n">
        <f aca="false">W47+W54+W80+W84+W85+W67+W78+W86+W97</f>
        <v>-1651.11825745919</v>
      </c>
      <c r="X125" s="54" t="n">
        <f aca="false">X47+X54+X80+X84+X85+X67+X78+X86+X97</f>
        <v>-1655.57959140552</v>
      </c>
      <c r="Y125" s="54" t="n">
        <f aca="false">Y47+Y54+Y80+Y84+Y85+Y67+Y78+Y86+Y97</f>
        <v>-3290.58960179379</v>
      </c>
      <c r="Z125" s="54" t="n">
        <f aca="false">Z47+Z54+Z80+Z84+Z85+Z67+Z78+Z86+Z97</f>
        <v>749.017398606636</v>
      </c>
      <c r="AA125" s="54" t="n">
        <f aca="false">AA47+AA54+AA80+AA84+AA85+AA67+AA78+AA86+AA97</f>
        <v>737.532568864946</v>
      </c>
      <c r="AB125" s="54" t="n">
        <f aca="false">AB47+AB54+AB80+AB84+AB85+AB67+AB78+AB86+AB97</f>
        <v>745.482980526847</v>
      </c>
      <c r="AC125" s="54" t="n">
        <f aca="false">AC47+AC54+AC80+AC84+AC85+AC67+AC78+AC86+AC97</f>
        <v>753.429254829068</v>
      </c>
      <c r="AD125" s="54" t="n">
        <f aca="false">AD47+AD54+AD80+AD84+AD85+AD67+AD78+AD86+AD97</f>
        <v>750.719568291438</v>
      </c>
      <c r="AE125" s="54" t="n">
        <f aca="false">AE47+AE54+AE80+AE84+AE85+AE67+AE78+AE86+AE97</f>
        <v>747.214723669408</v>
      </c>
      <c r="AF125" s="54" t="n">
        <f aca="false">AF47+AF54+AF80+AF84+AF85+AF67+AF78+AF86+AF97</f>
        <v>747.100534294462</v>
      </c>
      <c r="AG125" s="54" t="n">
        <f aca="false">AG47+AG54+AG80+AG84+AG85+AG67+AG78+AG86+AG97</f>
        <v>755.063328129535</v>
      </c>
      <c r="AH125" s="54" t="n">
        <f aca="false">AH47+AH54+AH80+AH84+AH85+AH67+AH78+AH86+AH97</f>
        <v>752.331034119381</v>
      </c>
      <c r="AI125" s="54" t="n">
        <f aca="false">AI47+AI54+AI80+AI84+AI85+AI67+AI78+AI86+AI97</f>
        <v>740.648286485291</v>
      </c>
      <c r="AJ125" s="54" t="n">
        <f aca="false">AJ47+AJ54+AJ80+AJ84+AJ85+AJ67+AJ78+AJ86+AJ97</f>
        <v>755.959803702251</v>
      </c>
      <c r="AK125" s="54" t="n">
        <f aca="false">AK47+AK54+AK80+AK84+AK85+AK67+AK78+AK86+AK97</f>
        <v>764.016092002962</v>
      </c>
      <c r="AL125" s="54" t="n">
        <f aca="false">AL47+AL54+AL80+AL84+AL85+AL67+AL78+AL86+AL97</f>
        <v>754.930576742592</v>
      </c>
      <c r="AM125" s="54" t="n">
        <f aca="false">AM47+AM54+AM80+AM84+AM85+AM67+AM78+AM86+AM97</f>
        <v>743.028725943277</v>
      </c>
      <c r="AN125" s="54" t="n">
        <f aca="false">AN47+AN54+AN80+AN84+AN85+AN67+AN78+AN86+AN97</f>
        <v>750.787990100976</v>
      </c>
      <c r="AO125" s="54" t="n">
        <f aca="false">AO47+AO54+AO80+AO84+AO85+AO67+AO78+AO86+AO97</f>
        <v>758.538625522856</v>
      </c>
      <c r="AP125" s="54" t="n">
        <f aca="false">AP47+AP54+AP80+AP84+AP85+AP67+AP78+AP86+AP97</f>
        <v>755.751050582798</v>
      </c>
      <c r="AQ125" s="54" t="n">
        <f aca="false">AQ47+AQ54+AQ80+AQ84+AQ85+AQ67+AQ78+AQ86+AQ97</f>
        <v>743.745344521433</v>
      </c>
      <c r="AR125" s="54" t="n">
        <f aca="false">AR47+AR54+AR80+AR84+AR85+AR67+AR78+AR86+AR97</f>
        <v>751.510613456068</v>
      </c>
      <c r="AS125" s="54" t="n">
        <f aca="false">AS47+AS54+AS80+AS84+AS85+AS67+AS78+AS86+AS97</f>
        <v>759.267080029667</v>
      </c>
      <c r="AT125" s="54" t="n">
        <f aca="false">AT47+AT54+AT80+AT84+AT85+AT67+AT78+AT86+AT97</f>
        <v>756.449910834919</v>
      </c>
      <c r="AU125" s="54" t="n">
        <f aca="false">AU47+AU54+AU80+AU84+AU85+AU67+AU78+AU86+AU97</f>
        <v>752.386171222122</v>
      </c>
      <c r="AV125" s="54" t="n">
        <f aca="false">AV47+AV54+AV80+AV84+AV85+AV67+AV78+AV86+AV97</f>
        <v>752.103128802673</v>
      </c>
      <c r="AW125" s="54" t="n">
        <f aca="false">AW47+AW54+AW80+AW84+AW85+AW67+AW78+AW86+AW97</f>
        <v>759.863996153419</v>
      </c>
      <c r="AX125" s="54" t="n">
        <f aca="false">AX47+AX54+AX80+AX84+AX85+AX67+AX78+AX86+AX97</f>
        <v>757.016498912454</v>
      </c>
      <c r="AY125" s="54" t="n">
        <f aca="false">AY47+AY54+AY80+AY84+AY85+AY67+AY78+AY86+AY97</f>
        <v>744.79869996689</v>
      </c>
      <c r="AZ125" s="54" t="n">
        <f aca="false">AZ47+AZ54+AZ80+AZ84+AZ85+AZ67+AZ78+AZ86+AZ97</f>
        <v>752.571785518269</v>
      </c>
      <c r="BA125" s="54" t="n">
        <f aca="false">BA47+BA54+BA80+BA84+BA85+BA67+BA78+BA86+BA97</f>
        <v>760.335700613324</v>
      </c>
      <c r="BB125" s="54" t="n">
        <f aca="false">BB47+BB54+BB80+BB84+BB85+BB67+BB78+BB86+BB97</f>
        <v>757.457247658223</v>
      </c>
      <c r="BC125" s="54" t="n">
        <f aca="false">BC47+BC54+BC80+BC84+BC85+BC67+BC78+BC86+BC97</f>
        <v>745.131199399781</v>
      </c>
      <c r="BD125" s="54" t="n">
        <f aca="false">BD47+BD54+BD80+BD84+BD85+BD67+BD78+BD86+BD97</f>
        <v>752.906053575927</v>
      </c>
      <c r="BE125" s="54" t="n">
        <f aca="false">BE47+BE54+BE80+BE84+BE85+BE67+BE78+BE86+BE97</f>
        <v>760.671542990638</v>
      </c>
      <c r="BF125" s="54" t="n">
        <f aca="false">BF47+BF54+BF80+BF84+BF85+BF67+BF78+BF86+BF97</f>
        <v>757.761413461687</v>
      </c>
      <c r="BG125" s="54" t="n">
        <f aca="false">BG47+BG54+BG80+BG84+BG85+BG67+BG78+BG86+BG97</f>
        <v>745.325572339723</v>
      </c>
      <c r="BH125" s="54" t="n">
        <f aca="false">BH47+BH54+BH80+BH84+BH85+BH67+BH78+BH86+BH97</f>
        <v>753.100671059983</v>
      </c>
      <c r="BI125" s="54" t="n">
        <f aca="false">BI47+BI54+BI80+BI84+BI85+BI67+BI78+BI86+BI97</f>
        <v>760.866203188966</v>
      </c>
      <c r="BJ125" s="54" t="n">
        <f aca="false">BJ47+BJ54+BJ80+BJ84+BJ85+BJ67+BJ78+BJ86+BJ97</f>
        <v>757.923646747347</v>
      </c>
      <c r="BK125" s="54" t="n">
        <f aca="false">BK47+BK54+BK80+BK84+BK85+BK67+BK78+BK86+BK97</f>
        <v>753.490795996467</v>
      </c>
      <c r="BL125" s="54" t="n">
        <f aca="false">BL47+BL54+BL80+BL84+BL85+BL67+BL78+BL86+BL97</f>
        <v>753.144425463095</v>
      </c>
      <c r="BM125" s="54" t="n">
        <f aca="false">BM47+BM54+BM80+BM84+BM85+BM67+BM78+BM86+BM97</f>
        <v>760.908340464277</v>
      </c>
      <c r="BN125" s="54" t="n">
        <f aca="false">BN47+BN54+BN80+BN84+BN85+BN67+BN78+BN86+BN97</f>
        <v>757.93250719745</v>
      </c>
      <c r="BO125" s="54" t="n">
        <f aca="false">BO47+BO54+BO80+BO84+BO85+BO67+BO78+BO86+BO97</f>
        <v>745.272208564796</v>
      </c>
      <c r="BP125" s="54" t="n">
        <f aca="false">BP47+BP54+BP80+BP84+BP85+BP67+BP78+BP86+BP97</f>
        <v>753.042911684363</v>
      </c>
      <c r="BQ125" s="54" t="n">
        <f aca="false">BQ47+BQ54+BQ80+BQ84+BQ85+BQ67+BQ78+BQ86+BQ97</f>
        <v>760.803619744428</v>
      </c>
      <c r="BR125" s="54" t="n">
        <f aca="false">BR47+BR54+BR80+BR84+BR85+BR67+BR78+BR86+BR97</f>
        <v>757.793761576071</v>
      </c>
      <c r="BS125" s="54" t="n">
        <f aca="false">BS47+BS54+BS80+BS84+BS85+BS67+BS78+BS86+BS97</f>
        <v>745.018774492668</v>
      </c>
      <c r="BT125" s="54" t="n">
        <f aca="false">BT47+BT54+BT80+BT84+BT85+BT67+BT78+BT86+BT97</f>
        <v>752.784777782335</v>
      </c>
      <c r="BU125" s="54" t="n">
        <f aca="false">BU47+BU54+BU80+BU84+BU85+BU67+BU78+BU86+BU97</f>
        <v>760.540559419152</v>
      </c>
      <c r="BV125" s="54" t="n">
        <f aca="false">BV47+BV54+BV80+BV84+BV85+BV67+BV78+BV86+BV97</f>
        <v>757.495828884187</v>
      </c>
      <c r="BW125" s="54" t="n">
        <f aca="false">BW47+BW54+BW80+BW84+BW85+BW67+BW78+BW86+BW97</f>
        <v>744.604429504207</v>
      </c>
      <c r="BX125" s="54" t="n">
        <f aca="false">BX47+BX54+BX80+BX84+BX85+BX67+BX78+BX86+BX97</f>
        <v>752.363955232241</v>
      </c>
      <c r="BY125" s="54" t="n">
        <f aca="false">BY47+BY54+BY80+BY84+BY85+BY67+BY78+BY86+BY97</f>
        <v>760.113023696709</v>
      </c>
      <c r="BZ125" s="54" t="n">
        <f aca="false">BZ47+BZ54+BZ80+BZ84+BZ85+BZ67+BZ78+BZ86+BZ97</f>
        <v>757.032537926519</v>
      </c>
      <c r="CA125" s="54" t="n">
        <f aca="false">CA47+CA54+CA80+CA84+CA85+CA67+CA78+CA86+CA97</f>
        <v>752.190126506654</v>
      </c>
      <c r="CB125" s="54" t="n">
        <f aca="false">CB47+CB54+CB80+CB84+CB85+CB67+CB78+CB86+CB97</f>
        <v>751.768356000125</v>
      </c>
      <c r="CC125" s="54" t="n">
        <f aca="false">CC47+CC54+CC80+CC84+CC85+CC67+CC78+CC86+CC97</f>
        <v>759.508786418239</v>
      </c>
      <c r="CD125" s="54" t="n">
        <f aca="false">CD47+CD54+CD80+CD84+CD85+CD67+CD78+CD86+CD97</f>
        <v>756.391556316076</v>
      </c>
      <c r="CE125" s="54" t="n">
        <f aca="false">CE47+CE54+CE80+CE84+CE85+CE67+CE78+CE86+CE97</f>
        <v>743.261890730118</v>
      </c>
      <c r="CF125" s="54" t="n">
        <f aca="false">CF47+CF54+CF80+CF84+CF85+CF67+CF78+CF86+CF97</f>
        <v>751.002777362183</v>
      </c>
      <c r="CG125" s="54" t="n">
        <f aca="false">CG47+CG54+CG80+CG84+CG85+CG67+CG78+CG86+CG97</f>
        <v>758.732705929797</v>
      </c>
      <c r="CH125" s="54" t="n">
        <f aca="false">CH47+CH54+CH80+CH84+CH85+CH67+CH78+CH86+CH97</f>
        <v>755.57783860445</v>
      </c>
      <c r="CI125" s="54" t="n">
        <f aca="false">CI47+CI54+CI80+CI84+CI85+CI67+CI78+CI86+CI97</f>
        <v>742.326280701529</v>
      </c>
      <c r="CJ125" s="54" t="n">
        <f aca="false">CJ47+CJ54+CJ80+CJ84+CJ85+CJ67+CJ78+CJ86+CJ97</f>
        <v>750.054926667792</v>
      </c>
      <c r="CK125" s="54" t="n">
        <f aca="false">CK47+CK54+CK80+CK84+CK85+CK67+CK78+CK86+CK97</f>
        <v>757.77234927714</v>
      </c>
      <c r="CL125" s="54" t="n">
        <f aca="false">CL47+CL54+CL80+CL84+CL85+CL67+CL78+CL86+CL97</f>
        <v>754.578845207802</v>
      </c>
      <c r="CM125" s="54" t="n">
        <f aca="false">CM47+CM54+CM80+CM84+CM85+CM67+CM78+CM86+CM97</f>
        <v>741.203460747233</v>
      </c>
      <c r="CN125" s="54" t="n">
        <f aca="false">CN47+CN54+CN80+CN84+CN85+CN67+CN78+CN86+CN97</f>
        <v>748.917794866974</v>
      </c>
      <c r="CO125" s="54" t="n">
        <f aca="false">CO47+CO54+CO80+CO84+CO85+CO67+CO78+CO86+CO97</f>
        <v>756.620629522048</v>
      </c>
      <c r="CP125" s="54" t="n">
        <f aca="false">CP47+CP54+CP80+CP84+CP85+CP67+CP78+CP86+CP97</f>
        <v>753.387446644825</v>
      </c>
      <c r="CQ125" s="54" t="n">
        <f aca="false">CQ47+CQ54+CQ80+CQ84+CQ85+CQ67+CQ78+CQ86+CQ97</f>
        <v>748.089882125364</v>
      </c>
      <c r="CR125" s="54" t="n">
        <f aca="false">CR47+CR54+CR80+CR84+CR85+CR67+CR78+CR86+CR97</f>
        <v>747.578290418121</v>
      </c>
      <c r="CS125" s="54" t="n">
        <f aca="false">CS47+CS54+CS80+CS84+CS85+CS67+CS78+CS86+CS97</f>
        <v>2036.27410094683</v>
      </c>
      <c r="CT125" s="54" t="n">
        <f aca="false">CT47+CT54+CT80+CT84+CT85+CT67+CT78+CT86+CT97</f>
        <v>2038.08447813</v>
      </c>
      <c r="CU125" s="54" t="n">
        <f aca="false">CU47+CU54+CU80+CU84+CU85+CU67+CU78+CU86+CU97</f>
        <v>2002.59289432088</v>
      </c>
      <c r="CV125" s="54" t="n">
        <f aca="false">CV47+CV54+CV80+CV84+CV85+CV67+CV78+CV86+CV97</f>
        <v>2024.84392648</v>
      </c>
      <c r="CW125" s="54" t="n">
        <f aca="false">CW47+CW54+CW80+CW84+CW85+CW67+CW78+CW86+CW97</f>
        <v>2047.09495863912</v>
      </c>
      <c r="CX125" s="54" t="n">
        <f aca="false">CX47+CX54+CX80+CX84+CX85+CX67+CX78+CX86+CX97</f>
        <v>2039.61259737388</v>
      </c>
      <c r="CY125" s="54" t="n">
        <f aca="false">CY47+CY54+CY80+CY84+CY85+CY67+CY78+CY86+CY97</f>
        <v>2003.83890348655</v>
      </c>
      <c r="CZ125" s="54" t="n">
        <f aca="false">CZ47+CZ54+CZ80+CZ84+CZ85+CZ67+CZ78+CZ86+CZ97</f>
        <v>2026.10378019196</v>
      </c>
      <c r="DA125" s="54" t="n">
        <f aca="false">DA47+DA54+DA80+DA84+DA85+DA67+DA78+DA86+DA97</f>
        <v>2048.36865689736</v>
      </c>
      <c r="DB125" s="54" t="n">
        <f aca="false">DB47+DB54+DB80+DB84+DB85+DB67+DB78+DB86+DB97</f>
        <v>1948.84471502511</v>
      </c>
      <c r="DC125" s="54" t="n">
        <f aca="false">DC47+DC54+DC80+DC84+DC85+DC67+DC78+DC86+DC97</f>
        <v>1914.78609412644</v>
      </c>
      <c r="DD125" s="54" t="n">
        <f aca="false">DD47+DD54+DD80+DD84+DD85+DD67+DD78+DD86+DD97</f>
        <v>1936.06149517229</v>
      </c>
      <c r="DE125" s="54" t="n">
        <f aca="false">DE47+DE54+DE80+DE84+DE85+DE67+DE78+DE86+DE97</f>
        <v>1957.33689621814</v>
      </c>
      <c r="DF125" s="54" t="n">
        <f aca="false">DF47+DF54+DF80+DF84+DF85+DF67+DF78+DF86+DF97</f>
        <v>1949.76595305462</v>
      </c>
      <c r="DG125" s="54" t="n">
        <f aca="false">DG47+DG54+DG80+DG84+DG85+DG67+DG78+DG86+DG97</f>
        <v>1936.70210524302</v>
      </c>
      <c r="DH125" s="54" t="n">
        <f aca="false">DH47+DH54+DH80+DH84+DH85+DH67+DH78+DH86+DH97</f>
        <v>1936.70210524302</v>
      </c>
      <c r="DI125" s="54" t="n">
        <f aca="false">DI47+DI54+DI80+DI84+DI85+DI67+DI78+DI86+DI97</f>
        <v>1957.98454595998</v>
      </c>
      <c r="DJ125" s="54" t="n">
        <f aca="false">DJ47+DJ54+DJ80+DJ84+DJ85+DJ67+DJ78+DJ86+DJ97</f>
        <v>1950.36918653537</v>
      </c>
      <c r="DK125" s="54" t="n">
        <f aca="false">DK47+DK54+DK80+DK84+DK85+DK67+DK78+DK86+DK97</f>
        <v>1915.7323913549</v>
      </c>
      <c r="DL125" s="54" t="n">
        <f aca="false">DL47+DL54+DL80+DL84+DL85+DL67+DL78+DL86+DL97</f>
        <v>1937.0183068144</v>
      </c>
      <c r="DM125" s="54" t="n">
        <f aca="false">DM47+DM54+DM80+DM84+DM85+DM67+DM78+DM86+DM97</f>
        <v>1958.3042222739</v>
      </c>
      <c r="DN125" s="54" t="n">
        <f aca="false">DN47+DN54+DN80+DN84+DN85+DN67+DN78+DN86+DN97</f>
        <v>1950.64436867568</v>
      </c>
      <c r="DO125" s="54" t="n">
        <f aca="false">DO47+DO54+DO80+DO84+DO85+DO67+DO78+DO86+DO97</f>
        <v>1915.71418661246</v>
      </c>
      <c r="DP125" s="54" t="n">
        <f aca="false">DP47+DP54+DP80+DP84+DP85+DP67+DP78+DP86+DP97</f>
        <v>1936.99989979704</v>
      </c>
      <c r="DQ125" s="54" t="n">
        <f aca="false">DQ47+DQ54+DQ80+DQ84+DQ85+DQ67+DQ78+DQ86+DQ97</f>
        <v>1958.28561298162</v>
      </c>
      <c r="DR125" s="54" t="n">
        <f aca="false">DR47+DR54+DR80+DR84+DR85+DR67+DR78+DR86+DR97</f>
        <v>1950.58119168799</v>
      </c>
      <c r="DS125" s="54" t="n">
        <f aca="false">DS47+DS54+DS80+DS84+DS85+DS67+DS78+DS86+DS97</f>
        <v>1915.35470049663</v>
      </c>
      <c r="DT125" s="54" t="n">
        <f aca="false">DT47+DT54+DT80+DT84+DT85+DT67+DT78+DT86+DT97</f>
        <v>1936.63641939104</v>
      </c>
      <c r="DU125" s="54" t="n">
        <f aca="false">DU47+DU54+DU80+DU84+DU85+DU67+DU78+DU86+DU97</f>
        <v>1957.91813828544</v>
      </c>
      <c r="DV125" s="54" t="n">
        <f aca="false">DV47+DV54+DV80+DV84+DV85+DV67+DV78+DV86+DV97</f>
        <v>1950.16908030453</v>
      </c>
      <c r="DW125" s="54" t="n">
        <f aca="false">DW47+DW54+DW80+DW84+DW85+DW67+DW78+DW86+DW97</f>
        <v>1935.91712951107</v>
      </c>
      <c r="DX125" s="54" t="n">
        <f aca="false">DX47+DX54+DX80+DX84+DX85+DX67+DX78+DX86+DX97</f>
        <v>1935.91712951107</v>
      </c>
      <c r="DY125" s="54" t="n">
        <f aca="false">DY47+DY54+DY80+DY84+DY85+DY67+DY78+DY86+DY97</f>
        <v>1957.19094412108</v>
      </c>
      <c r="DZ125" s="54" t="n">
        <f aca="false">DZ47+DZ54+DZ80+DZ84+DZ85+DZ67+DZ78+DZ86+DZ97</f>
        <v>1949.39718513351</v>
      </c>
      <c r="EA125" s="54" t="n">
        <f aca="false">EA47+EA54+EA80+EA84+EA85+EA67+EA78+EA86+EA97</f>
        <v>1913.56913675262</v>
      </c>
      <c r="EB125" s="54" t="n">
        <f aca="false">EB47+EB54+EB80+EB84+EB85+EB67+EB78+EB86+EB97</f>
        <v>1934.83101604987</v>
      </c>
      <c r="EC125" s="54" t="n">
        <f aca="false">EC47+EC54+EC80+EC84+EC85+EC67+EC78+EC86+EC97</f>
        <v>1956.09289534712</v>
      </c>
      <c r="ED125" s="54" t="n">
        <f aca="false">ED47+ED54+ED80+ED84+ED85+ED67+ED78+ED86+ED97</f>
        <v>1948.25437585199</v>
      </c>
      <c r="EE125" s="54" t="n">
        <f aca="false">EE47+EE54+EE80+EE84+EE85+EE67+EE78+EE86+EE97</f>
        <v>1912.12099118508</v>
      </c>
      <c r="EF125" s="54" t="n">
        <f aca="false">EF47+EF54+EF80+EF84+EF85+EF67+EF78+EF86+EF97</f>
        <v>1933.36677997603</v>
      </c>
      <c r="EG125" s="54" t="n">
        <f aca="false">EG47+EG54+EG80+EG84+EG85+EG67+EG78+EG86+EG97</f>
        <v>1954.61256876697</v>
      </c>
      <c r="EH125" s="54" t="n">
        <f aca="false">EH47+EH54+EH80+EH84+EH85+EH67+EH78+EH86+EH97</f>
        <v>1946.72923423136</v>
      </c>
      <c r="EI125" s="54" t="n">
        <f aca="false">EI47+EI54+EI80+EI84+EI85+EI67+EI78+EI86+EI97</f>
        <v>1910.28741454497</v>
      </c>
      <c r="EJ125" s="54" t="n">
        <f aca="false">EJ47+EJ54+EJ80+EJ84+EJ85+EJ67+EJ78+EJ86+EJ97</f>
        <v>1931.51283026213</v>
      </c>
      <c r="EK125" s="54" t="n">
        <f aca="false">EK47+EK54+EK80+EK84+EK85+EK67+EK78+EK86+EK97</f>
        <v>1952.7382459793</v>
      </c>
      <c r="EL125" s="54" t="n">
        <f aca="false">EL47+EL54+EL80+EL84+EL85+EL67+EL78+EL86+EL97</f>
        <v>1944.81004699132</v>
      </c>
      <c r="EM125" s="54" t="n">
        <f aca="false">EM47+EM54+EM80+EM84+EM85+EM67+EM78+EM86+EM97</f>
        <v>1929.25727663903</v>
      </c>
      <c r="EN125" s="54" t="n">
        <f aca="false">EN47+EN54+EN80+EN84+EN85+EN67+EN78+EN86+EN97</f>
        <v>1929.25727663903</v>
      </c>
      <c r="EO125" s="54" t="n">
        <f aca="false">EO47+EO54+EO80+EO84+EO85+EO67+EO78+EO86+EO97</f>
        <v>1950.45790605265</v>
      </c>
    </row>
    <row r="126" customFormat="false" ht="15" hidden="false" customHeight="false" outlineLevel="0" collapsed="false">
      <c r="C126" s="21" t="s">
        <v>63</v>
      </c>
      <c r="D126" s="11" t="s">
        <v>53</v>
      </c>
      <c r="E126" s="27" t="n">
        <f aca="false">XIRR($J125:$EO125,$J$4:$EO$4)</f>
        <v>0.122239087401663</v>
      </c>
    </row>
    <row r="127" customFormat="false" ht="15" hidden="false" customHeight="false" outlineLevel="0" collapsed="false">
      <c r="C127" s="21" t="s">
        <v>65</v>
      </c>
      <c r="D127" s="11" t="s">
        <v>13</v>
      </c>
      <c r="E127" s="57" t="n">
        <f aca="false">SUMIF($J125:$EO125,"&gt;0")/-SUMIF($J125:$EO125,"&lt;0")</f>
        <v>6.26590951121959</v>
      </c>
    </row>
    <row r="128" customFormat="false" ht="15" hidden="false" customHeight="false" outlineLevel="0" collapsed="false">
      <c r="C128" s="21" t="s">
        <v>67</v>
      </c>
      <c r="D128" s="11" t="s">
        <v>33</v>
      </c>
      <c r="E128" s="54" t="n">
        <f aca="false">XNPV(In_Discount_Rate,$J125:$EO125,$J$4:$EO$4)</f>
        <v>13114.3168111505</v>
      </c>
    </row>
    <row r="130" customFormat="false" ht="15" hidden="false" customHeight="false" outlineLevel="0" collapsed="false">
      <c r="C130" s="37" t="s">
        <v>137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3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2" t="n">
        <v>2</v>
      </c>
      <c r="C1" s="13" t="s">
        <v>322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323</v>
      </c>
      <c r="D3" s="11" t="s">
        <v>36</v>
      </c>
      <c r="J3" s="41" t="n">
        <f aca="false">I$4+1</f>
        <v>46296</v>
      </c>
      <c r="K3" s="41" t="n">
        <f aca="false">J$4+1</f>
        <v>46388</v>
      </c>
      <c r="L3" s="41" t="n">
        <f aca="false">K$4+1</f>
        <v>46478</v>
      </c>
      <c r="M3" s="41" t="n">
        <f aca="false">L$4+1</f>
        <v>46569</v>
      </c>
      <c r="N3" s="41" t="n">
        <f aca="false">M$4+1</f>
        <v>46661</v>
      </c>
      <c r="O3" s="41" t="n">
        <f aca="false">N$4+1</f>
        <v>46753</v>
      </c>
      <c r="P3" s="41" t="n">
        <f aca="false">O$4+1</f>
        <v>46844</v>
      </c>
      <c r="Q3" s="41" t="n">
        <f aca="false">P$4+1</f>
        <v>46935</v>
      </c>
      <c r="R3" s="41" t="n">
        <f aca="false">Q$4+1</f>
        <v>47027</v>
      </c>
      <c r="S3" s="41" t="n">
        <f aca="false">R$4+1</f>
        <v>47119</v>
      </c>
      <c r="T3" s="41" t="n">
        <f aca="false">S$4+1</f>
        <v>47209</v>
      </c>
      <c r="U3" s="41" t="n">
        <f aca="false">T$4+1</f>
        <v>47300</v>
      </c>
      <c r="V3" s="41" t="n">
        <f aca="false">U$4+1</f>
        <v>47392</v>
      </c>
      <c r="W3" s="41" t="n">
        <f aca="false">V$4+1</f>
        <v>47484</v>
      </c>
      <c r="X3" s="41" t="n">
        <f aca="false">W$4+1</f>
        <v>47574</v>
      </c>
      <c r="Y3" s="41" t="n">
        <f aca="false">X$4+1</f>
        <v>47665</v>
      </c>
      <c r="Z3" s="41" t="n">
        <f aca="false">Y$4+1</f>
        <v>47757</v>
      </c>
      <c r="AA3" s="41" t="n">
        <f aca="false">Z$4+1</f>
        <v>47849</v>
      </c>
      <c r="AB3" s="41" t="n">
        <f aca="false">AA$4+1</f>
        <v>47939</v>
      </c>
      <c r="AC3" s="41" t="n">
        <f aca="false">AB$4+1</f>
        <v>48030</v>
      </c>
      <c r="AD3" s="41" t="n">
        <f aca="false">AC$4+1</f>
        <v>48122</v>
      </c>
      <c r="AE3" s="41" t="n">
        <f aca="false">AD$4+1</f>
        <v>48214</v>
      </c>
      <c r="AF3" s="41" t="n">
        <f aca="false">AE$4+1</f>
        <v>48305</v>
      </c>
      <c r="AG3" s="41" t="n">
        <f aca="false">AF$4+1</f>
        <v>48396</v>
      </c>
      <c r="AH3" s="41" t="n">
        <f aca="false">AG$4+1</f>
        <v>48488</v>
      </c>
      <c r="AI3" s="41" t="n">
        <f aca="false">AH$4+1</f>
        <v>48580</v>
      </c>
      <c r="AJ3" s="41" t="n">
        <f aca="false">AI$4+1</f>
        <v>48670</v>
      </c>
      <c r="AK3" s="41" t="n">
        <f aca="false">AJ$4+1</f>
        <v>48761</v>
      </c>
      <c r="AL3" s="41" t="n">
        <f aca="false">AK$4+1</f>
        <v>48853</v>
      </c>
      <c r="AM3" s="41" t="n">
        <f aca="false">AL$4+1</f>
        <v>48945</v>
      </c>
      <c r="AN3" s="41" t="n">
        <f aca="false">AM$4+1</f>
        <v>49035</v>
      </c>
      <c r="AO3" s="41" t="n">
        <f aca="false">AN$4+1</f>
        <v>49126</v>
      </c>
      <c r="AP3" s="41" t="n">
        <f aca="false">AO$4+1</f>
        <v>49218</v>
      </c>
      <c r="AQ3" s="41" t="n">
        <f aca="false">AP$4+1</f>
        <v>49310</v>
      </c>
      <c r="AR3" s="41" t="n">
        <f aca="false">AQ$4+1</f>
        <v>49400</v>
      </c>
      <c r="AS3" s="41" t="n">
        <f aca="false">AR$4+1</f>
        <v>49491</v>
      </c>
      <c r="AT3" s="41" t="n">
        <f aca="false">AS$4+1</f>
        <v>49583</v>
      </c>
      <c r="AU3" s="41" t="n">
        <f aca="false">AT$4+1</f>
        <v>49675</v>
      </c>
      <c r="AV3" s="41" t="n">
        <f aca="false">AU$4+1</f>
        <v>49766</v>
      </c>
      <c r="AW3" s="41" t="n">
        <f aca="false">AV$4+1</f>
        <v>49857</v>
      </c>
      <c r="AX3" s="41" t="n">
        <f aca="false">AW$4+1</f>
        <v>49949</v>
      </c>
      <c r="AY3" s="41" t="n">
        <f aca="false">AX$4+1</f>
        <v>50041</v>
      </c>
      <c r="AZ3" s="41" t="n">
        <f aca="false">AY$4+1</f>
        <v>50131</v>
      </c>
      <c r="BA3" s="41" t="n">
        <f aca="false">AZ$4+1</f>
        <v>50222</v>
      </c>
      <c r="BB3" s="41" t="n">
        <f aca="false">BA$4+1</f>
        <v>50314</v>
      </c>
      <c r="BC3" s="41" t="n">
        <f aca="false">BB$4+1</f>
        <v>50406</v>
      </c>
      <c r="BD3" s="41" t="n">
        <f aca="false">BC$4+1</f>
        <v>50496</v>
      </c>
      <c r="BE3" s="41" t="n">
        <f aca="false">BD$4+1</f>
        <v>50587</v>
      </c>
      <c r="BF3" s="41" t="n">
        <f aca="false">BE$4+1</f>
        <v>50679</v>
      </c>
      <c r="BG3" s="41" t="n">
        <f aca="false">BF$4+1</f>
        <v>50771</v>
      </c>
      <c r="BH3" s="41" t="n">
        <f aca="false">BG$4+1</f>
        <v>50861</v>
      </c>
      <c r="BI3" s="41" t="n">
        <f aca="false">BH$4+1</f>
        <v>50952</v>
      </c>
      <c r="BJ3" s="41" t="n">
        <f aca="false">BI$4+1</f>
        <v>51044</v>
      </c>
      <c r="BK3" s="41" t="n">
        <f aca="false">BJ$4+1</f>
        <v>51136</v>
      </c>
      <c r="BL3" s="41" t="n">
        <f aca="false">BK$4+1</f>
        <v>51227</v>
      </c>
      <c r="BM3" s="41" t="n">
        <f aca="false">BL$4+1</f>
        <v>51318</v>
      </c>
      <c r="BN3" s="41" t="n">
        <f aca="false">BM$4+1</f>
        <v>51410</v>
      </c>
      <c r="BO3" s="41" t="n">
        <f aca="false">BN$4+1</f>
        <v>51502</v>
      </c>
      <c r="BP3" s="41" t="n">
        <f aca="false">BO$4+1</f>
        <v>51592</v>
      </c>
      <c r="BQ3" s="41" t="n">
        <f aca="false">BP$4+1</f>
        <v>51683</v>
      </c>
      <c r="BR3" s="41" t="n">
        <f aca="false">BQ$4+1</f>
        <v>51775</v>
      </c>
      <c r="BS3" s="41" t="n">
        <f aca="false">BR$4+1</f>
        <v>51867</v>
      </c>
      <c r="BT3" s="41" t="n">
        <f aca="false">BS$4+1</f>
        <v>51957</v>
      </c>
      <c r="BU3" s="41" t="n">
        <f aca="false">BT$4+1</f>
        <v>52048</v>
      </c>
      <c r="BV3" s="41" t="n">
        <f aca="false">BU$4+1</f>
        <v>52140</v>
      </c>
      <c r="BW3" s="41" t="n">
        <f aca="false">BV$4+1</f>
        <v>52232</v>
      </c>
      <c r="BX3" s="41" t="n">
        <f aca="false">BW$4+1</f>
        <v>52322</v>
      </c>
      <c r="BY3" s="41" t="n">
        <f aca="false">BX$4+1</f>
        <v>52413</v>
      </c>
      <c r="BZ3" s="41" t="n">
        <f aca="false">BY$4+1</f>
        <v>52505</v>
      </c>
      <c r="CA3" s="41" t="n">
        <f aca="false">BZ$4+1</f>
        <v>52597</v>
      </c>
      <c r="CB3" s="41" t="n">
        <f aca="false">CA$4+1</f>
        <v>52688</v>
      </c>
      <c r="CC3" s="41" t="n">
        <f aca="false">CB$4+1</f>
        <v>52779</v>
      </c>
      <c r="CD3" s="41" t="n">
        <f aca="false">CC$4+1</f>
        <v>52871</v>
      </c>
      <c r="CE3" s="41" t="n">
        <f aca="false">CD$4+1</f>
        <v>52963</v>
      </c>
      <c r="CF3" s="41" t="n">
        <f aca="false">CE$4+1</f>
        <v>53053</v>
      </c>
      <c r="CG3" s="41" t="n">
        <f aca="false">CF$4+1</f>
        <v>53144</v>
      </c>
      <c r="CH3" s="41" t="n">
        <f aca="false">CG$4+1</f>
        <v>53236</v>
      </c>
      <c r="CI3" s="41" t="n">
        <f aca="false">CH$4+1</f>
        <v>53328</v>
      </c>
      <c r="CJ3" s="41" t="n">
        <f aca="false">CI$4+1</f>
        <v>53418</v>
      </c>
      <c r="CK3" s="41" t="n">
        <f aca="false">CJ$4+1</f>
        <v>53509</v>
      </c>
      <c r="CL3" s="41" t="n">
        <f aca="false">CK$4+1</f>
        <v>53601</v>
      </c>
      <c r="CM3" s="41" t="n">
        <f aca="false">CL$4+1</f>
        <v>53693</v>
      </c>
      <c r="CN3" s="41" t="n">
        <f aca="false">CM$4+1</f>
        <v>53783</v>
      </c>
      <c r="CO3" s="41" t="n">
        <f aca="false">CN$4+1</f>
        <v>53874</v>
      </c>
      <c r="CP3" s="41" t="n">
        <f aca="false">CO$4+1</f>
        <v>53966</v>
      </c>
      <c r="CQ3" s="41" t="n">
        <f aca="false">CP$4+1</f>
        <v>54058</v>
      </c>
      <c r="CR3" s="41" t="n">
        <f aca="false">CQ$4+1</f>
        <v>54149</v>
      </c>
      <c r="CS3" s="41" t="n">
        <f aca="false">CR$4+1</f>
        <v>54240</v>
      </c>
      <c r="CT3" s="41" t="n">
        <f aca="false">CS$4+1</f>
        <v>54332</v>
      </c>
      <c r="CU3" s="41" t="n">
        <f aca="false">CT$4+1</f>
        <v>54424</v>
      </c>
      <c r="CV3" s="41" t="n">
        <f aca="false">CU$4+1</f>
        <v>54514</v>
      </c>
      <c r="CW3" s="41" t="n">
        <f aca="false">CV$4+1</f>
        <v>54605</v>
      </c>
      <c r="CX3" s="41" t="n">
        <f aca="false">CW$4+1</f>
        <v>54697</v>
      </c>
      <c r="CY3" s="41" t="n">
        <f aca="false">CX$4+1</f>
        <v>54789</v>
      </c>
      <c r="CZ3" s="41" t="n">
        <f aca="false">CY$4+1</f>
        <v>54879</v>
      </c>
      <c r="DA3" s="41" t="n">
        <f aca="false">CZ$4+1</f>
        <v>54970</v>
      </c>
      <c r="DB3" s="41" t="n">
        <f aca="false">DA$4+1</f>
        <v>55062</v>
      </c>
      <c r="DC3" s="41" t="n">
        <f aca="false">DB$4+1</f>
        <v>55154</v>
      </c>
      <c r="DD3" s="41" t="n">
        <f aca="false">DC$4+1</f>
        <v>55244</v>
      </c>
      <c r="DE3" s="41" t="n">
        <f aca="false">DD$4+1</f>
        <v>55335</v>
      </c>
      <c r="DF3" s="41" t="n">
        <f aca="false">DE$4+1</f>
        <v>55427</v>
      </c>
      <c r="DG3" s="41" t="n">
        <f aca="false">DF$4+1</f>
        <v>55519</v>
      </c>
      <c r="DH3" s="41" t="n">
        <f aca="false">DG$4+1</f>
        <v>55610</v>
      </c>
      <c r="DI3" s="41" t="n">
        <f aca="false">DH$4+1</f>
        <v>55701</v>
      </c>
      <c r="DJ3" s="41" t="n">
        <f aca="false">DI$4+1</f>
        <v>55793</v>
      </c>
      <c r="DK3" s="41" t="n">
        <f aca="false">DJ$4+1</f>
        <v>55885</v>
      </c>
      <c r="DL3" s="41" t="n">
        <f aca="false">DK$4+1</f>
        <v>55975</v>
      </c>
      <c r="DM3" s="41" t="n">
        <f aca="false">DL$4+1</f>
        <v>56066</v>
      </c>
      <c r="DN3" s="41" t="n">
        <f aca="false">DM$4+1</f>
        <v>56158</v>
      </c>
      <c r="DO3" s="41" t="n">
        <f aca="false">DN$4+1</f>
        <v>56250</v>
      </c>
      <c r="DP3" s="41" t="n">
        <f aca="false">DO$4+1</f>
        <v>56340</v>
      </c>
      <c r="DQ3" s="41" t="n">
        <f aca="false">DP$4+1</f>
        <v>56431</v>
      </c>
      <c r="DR3" s="41" t="n">
        <f aca="false">DQ$4+1</f>
        <v>56523</v>
      </c>
      <c r="DS3" s="41" t="n">
        <f aca="false">DR$4+1</f>
        <v>56615</v>
      </c>
      <c r="DT3" s="41" t="n">
        <f aca="false">DS$4+1</f>
        <v>56705</v>
      </c>
      <c r="DU3" s="41" t="n">
        <f aca="false">DT$4+1</f>
        <v>56796</v>
      </c>
      <c r="DV3" s="41" t="n">
        <f aca="false">DU$4+1</f>
        <v>56888</v>
      </c>
      <c r="DW3" s="41" t="n">
        <f aca="false">DV$4+1</f>
        <v>56980</v>
      </c>
      <c r="DX3" s="41" t="n">
        <f aca="false">DW$4+1</f>
        <v>57071</v>
      </c>
      <c r="DY3" s="41" t="n">
        <f aca="false">DX$4+1</f>
        <v>57162</v>
      </c>
      <c r="DZ3" s="41" t="n">
        <f aca="false">DY$4+1</f>
        <v>57254</v>
      </c>
      <c r="EA3" s="41" t="n">
        <f aca="false">DZ$4+1</f>
        <v>57346</v>
      </c>
      <c r="EB3" s="41" t="n">
        <f aca="false">EA$4+1</f>
        <v>57436</v>
      </c>
      <c r="EC3" s="41" t="n">
        <f aca="false">EB$4+1</f>
        <v>57527</v>
      </c>
      <c r="ED3" s="41" t="n">
        <f aca="false">EC$4+1</f>
        <v>57619</v>
      </c>
      <c r="EE3" s="41" t="n">
        <f aca="false">ED$4+1</f>
        <v>57711</v>
      </c>
      <c r="EF3" s="41" t="n">
        <f aca="false">EE$4+1</f>
        <v>57801</v>
      </c>
      <c r="EG3" s="41" t="n">
        <f aca="false">EF$4+1</f>
        <v>57892</v>
      </c>
      <c r="EH3" s="41" t="n">
        <f aca="false">EG$4+1</f>
        <v>57984</v>
      </c>
      <c r="EI3" s="41" t="n">
        <f aca="false">EH$4+1</f>
        <v>58076</v>
      </c>
      <c r="EJ3" s="41" t="n">
        <f aca="false">EI$4+1</f>
        <v>58166</v>
      </c>
      <c r="EK3" s="41" t="n">
        <f aca="false">EJ$4+1</f>
        <v>58257</v>
      </c>
      <c r="EL3" s="41" t="n">
        <f aca="false">EK$4+1</f>
        <v>58349</v>
      </c>
      <c r="EM3" s="41" t="n">
        <f aca="false">EL$4+1</f>
        <v>58441</v>
      </c>
      <c r="EN3" s="41" t="n">
        <f aca="false">EM$4+1</f>
        <v>58532</v>
      </c>
      <c r="EO3" s="41" t="n">
        <f aca="false">EN$4+1</f>
        <v>58623</v>
      </c>
    </row>
    <row r="4" customFormat="false" ht="15" hidden="false" customHeight="false" outlineLevel="0" collapsed="false">
      <c r="C4" s="0" t="s">
        <v>324</v>
      </c>
      <c r="D4" s="11" t="s">
        <v>36</v>
      </c>
      <c r="I4" s="41" t="n">
        <f aca="false">In_Model_Start-1</f>
        <v>46295</v>
      </c>
      <c r="J4" s="51" t="n">
        <f aca="false">EOMONTH(J$3,Months_Per_Period-1)</f>
        <v>46387</v>
      </c>
      <c r="K4" s="51" t="n">
        <f aca="false">EOMONTH(K$3,Months_Per_Period-1)</f>
        <v>46477</v>
      </c>
      <c r="L4" s="51" t="n">
        <f aca="false">EOMONTH(L$3,Months_Per_Period-1)</f>
        <v>46568</v>
      </c>
      <c r="M4" s="51" t="n">
        <f aca="false">EOMONTH(M$3,Months_Per_Period-1)</f>
        <v>46660</v>
      </c>
      <c r="N4" s="51" t="n">
        <f aca="false">EOMONTH(N$3,Months_Per_Period-1)</f>
        <v>46752</v>
      </c>
      <c r="O4" s="51" t="n">
        <f aca="false">EOMONTH(O$3,Months_Per_Period-1)</f>
        <v>46843</v>
      </c>
      <c r="P4" s="51" t="n">
        <f aca="false">EOMONTH(P$3,Months_Per_Period-1)</f>
        <v>46934</v>
      </c>
      <c r="Q4" s="51" t="n">
        <f aca="false">EOMONTH(Q$3,Months_Per_Period-1)</f>
        <v>47026</v>
      </c>
      <c r="R4" s="51" t="n">
        <f aca="false">EOMONTH(R$3,Months_Per_Period-1)</f>
        <v>47118</v>
      </c>
      <c r="S4" s="51" t="n">
        <f aca="false">EOMONTH(S$3,Months_Per_Period-1)</f>
        <v>47208</v>
      </c>
      <c r="T4" s="51" t="n">
        <f aca="false">EOMONTH(T$3,Months_Per_Period-1)</f>
        <v>47299</v>
      </c>
      <c r="U4" s="51" t="n">
        <f aca="false">EOMONTH(U$3,Months_Per_Period-1)</f>
        <v>47391</v>
      </c>
      <c r="V4" s="51" t="n">
        <f aca="false">EOMONTH(V$3,Months_Per_Period-1)</f>
        <v>47483</v>
      </c>
      <c r="W4" s="51" t="n">
        <f aca="false">EOMONTH(W$3,Months_Per_Period-1)</f>
        <v>47573</v>
      </c>
      <c r="X4" s="51" t="n">
        <f aca="false">EOMONTH(X$3,Months_Per_Period-1)</f>
        <v>47664</v>
      </c>
      <c r="Y4" s="51" t="n">
        <f aca="false">EOMONTH(Y$3,Months_Per_Period-1)</f>
        <v>47756</v>
      </c>
      <c r="Z4" s="51" t="n">
        <f aca="false">EOMONTH(Z$3,Months_Per_Period-1)</f>
        <v>47848</v>
      </c>
      <c r="AA4" s="51" t="n">
        <f aca="false">EOMONTH(AA$3,Months_Per_Period-1)</f>
        <v>47938</v>
      </c>
      <c r="AB4" s="51" t="n">
        <f aca="false">EOMONTH(AB$3,Months_Per_Period-1)</f>
        <v>48029</v>
      </c>
      <c r="AC4" s="51" t="n">
        <f aca="false">EOMONTH(AC$3,Months_Per_Period-1)</f>
        <v>48121</v>
      </c>
      <c r="AD4" s="51" t="n">
        <f aca="false">EOMONTH(AD$3,Months_Per_Period-1)</f>
        <v>48213</v>
      </c>
      <c r="AE4" s="51" t="n">
        <f aca="false">EOMONTH(AE$3,Months_Per_Period-1)</f>
        <v>48304</v>
      </c>
      <c r="AF4" s="51" t="n">
        <f aca="false">EOMONTH(AF$3,Months_Per_Period-1)</f>
        <v>48395</v>
      </c>
      <c r="AG4" s="51" t="n">
        <f aca="false">EOMONTH(AG$3,Months_Per_Period-1)</f>
        <v>48487</v>
      </c>
      <c r="AH4" s="51" t="n">
        <f aca="false">EOMONTH(AH$3,Months_Per_Period-1)</f>
        <v>48579</v>
      </c>
      <c r="AI4" s="51" t="n">
        <f aca="false">EOMONTH(AI$3,Months_Per_Period-1)</f>
        <v>48669</v>
      </c>
      <c r="AJ4" s="51" t="n">
        <f aca="false">EOMONTH(AJ$3,Months_Per_Period-1)</f>
        <v>48760</v>
      </c>
      <c r="AK4" s="51" t="n">
        <f aca="false">EOMONTH(AK$3,Months_Per_Period-1)</f>
        <v>48852</v>
      </c>
      <c r="AL4" s="51" t="n">
        <f aca="false">EOMONTH(AL$3,Months_Per_Period-1)</f>
        <v>48944</v>
      </c>
      <c r="AM4" s="51" t="n">
        <f aca="false">EOMONTH(AM$3,Months_Per_Period-1)</f>
        <v>49034</v>
      </c>
      <c r="AN4" s="51" t="n">
        <f aca="false">EOMONTH(AN$3,Months_Per_Period-1)</f>
        <v>49125</v>
      </c>
      <c r="AO4" s="51" t="n">
        <f aca="false">EOMONTH(AO$3,Months_Per_Period-1)</f>
        <v>49217</v>
      </c>
      <c r="AP4" s="51" t="n">
        <f aca="false">EOMONTH(AP$3,Months_Per_Period-1)</f>
        <v>49309</v>
      </c>
      <c r="AQ4" s="51" t="n">
        <f aca="false">EOMONTH(AQ$3,Months_Per_Period-1)</f>
        <v>49399</v>
      </c>
      <c r="AR4" s="51" t="n">
        <f aca="false">EOMONTH(AR$3,Months_Per_Period-1)</f>
        <v>49490</v>
      </c>
      <c r="AS4" s="51" t="n">
        <f aca="false">EOMONTH(AS$3,Months_Per_Period-1)</f>
        <v>49582</v>
      </c>
      <c r="AT4" s="51" t="n">
        <f aca="false">EOMONTH(AT$3,Months_Per_Period-1)</f>
        <v>49674</v>
      </c>
      <c r="AU4" s="51" t="n">
        <f aca="false">EOMONTH(AU$3,Months_Per_Period-1)</f>
        <v>49765</v>
      </c>
      <c r="AV4" s="51" t="n">
        <f aca="false">EOMONTH(AV$3,Months_Per_Period-1)</f>
        <v>49856</v>
      </c>
      <c r="AW4" s="51" t="n">
        <f aca="false">EOMONTH(AW$3,Months_Per_Period-1)</f>
        <v>49948</v>
      </c>
      <c r="AX4" s="51" t="n">
        <f aca="false">EOMONTH(AX$3,Months_Per_Period-1)</f>
        <v>50040</v>
      </c>
      <c r="AY4" s="51" t="n">
        <f aca="false">EOMONTH(AY$3,Months_Per_Period-1)</f>
        <v>50130</v>
      </c>
      <c r="AZ4" s="51" t="n">
        <f aca="false">EOMONTH(AZ$3,Months_Per_Period-1)</f>
        <v>50221</v>
      </c>
      <c r="BA4" s="51" t="n">
        <f aca="false">EOMONTH(BA$3,Months_Per_Period-1)</f>
        <v>50313</v>
      </c>
      <c r="BB4" s="51" t="n">
        <f aca="false">EOMONTH(BB$3,Months_Per_Period-1)</f>
        <v>50405</v>
      </c>
      <c r="BC4" s="51" t="n">
        <f aca="false">EOMONTH(BC$3,Months_Per_Period-1)</f>
        <v>50495</v>
      </c>
      <c r="BD4" s="51" t="n">
        <f aca="false">EOMONTH(BD$3,Months_Per_Period-1)</f>
        <v>50586</v>
      </c>
      <c r="BE4" s="51" t="n">
        <f aca="false">EOMONTH(BE$3,Months_Per_Period-1)</f>
        <v>50678</v>
      </c>
      <c r="BF4" s="51" t="n">
        <f aca="false">EOMONTH(BF$3,Months_Per_Period-1)</f>
        <v>50770</v>
      </c>
      <c r="BG4" s="51" t="n">
        <f aca="false">EOMONTH(BG$3,Months_Per_Period-1)</f>
        <v>50860</v>
      </c>
      <c r="BH4" s="51" t="n">
        <f aca="false">EOMONTH(BH$3,Months_Per_Period-1)</f>
        <v>50951</v>
      </c>
      <c r="BI4" s="51" t="n">
        <f aca="false">EOMONTH(BI$3,Months_Per_Period-1)</f>
        <v>51043</v>
      </c>
      <c r="BJ4" s="51" t="n">
        <f aca="false">EOMONTH(BJ$3,Months_Per_Period-1)</f>
        <v>51135</v>
      </c>
      <c r="BK4" s="51" t="n">
        <f aca="false">EOMONTH(BK$3,Months_Per_Period-1)</f>
        <v>51226</v>
      </c>
      <c r="BL4" s="51" t="n">
        <f aca="false">EOMONTH(BL$3,Months_Per_Period-1)</f>
        <v>51317</v>
      </c>
      <c r="BM4" s="51" t="n">
        <f aca="false">EOMONTH(BM$3,Months_Per_Period-1)</f>
        <v>51409</v>
      </c>
      <c r="BN4" s="51" t="n">
        <f aca="false">EOMONTH(BN$3,Months_Per_Period-1)</f>
        <v>51501</v>
      </c>
      <c r="BO4" s="51" t="n">
        <f aca="false">EOMONTH(BO$3,Months_Per_Period-1)</f>
        <v>51591</v>
      </c>
      <c r="BP4" s="51" t="n">
        <f aca="false">EOMONTH(BP$3,Months_Per_Period-1)</f>
        <v>51682</v>
      </c>
      <c r="BQ4" s="51" t="n">
        <f aca="false">EOMONTH(BQ$3,Months_Per_Period-1)</f>
        <v>51774</v>
      </c>
      <c r="BR4" s="51" t="n">
        <f aca="false">EOMONTH(BR$3,Months_Per_Period-1)</f>
        <v>51866</v>
      </c>
      <c r="BS4" s="51" t="n">
        <f aca="false">EOMONTH(BS$3,Months_Per_Period-1)</f>
        <v>51956</v>
      </c>
      <c r="BT4" s="51" t="n">
        <f aca="false">EOMONTH(BT$3,Months_Per_Period-1)</f>
        <v>52047</v>
      </c>
      <c r="BU4" s="51" t="n">
        <f aca="false">EOMONTH(BU$3,Months_Per_Period-1)</f>
        <v>52139</v>
      </c>
      <c r="BV4" s="51" t="n">
        <f aca="false">EOMONTH(BV$3,Months_Per_Period-1)</f>
        <v>52231</v>
      </c>
      <c r="BW4" s="51" t="n">
        <f aca="false">EOMONTH(BW$3,Months_Per_Period-1)</f>
        <v>52321</v>
      </c>
      <c r="BX4" s="51" t="n">
        <f aca="false">EOMONTH(BX$3,Months_Per_Period-1)</f>
        <v>52412</v>
      </c>
      <c r="BY4" s="51" t="n">
        <f aca="false">EOMONTH(BY$3,Months_Per_Period-1)</f>
        <v>52504</v>
      </c>
      <c r="BZ4" s="51" t="n">
        <f aca="false">EOMONTH(BZ$3,Months_Per_Period-1)</f>
        <v>52596</v>
      </c>
      <c r="CA4" s="51" t="n">
        <f aca="false">EOMONTH(CA$3,Months_Per_Period-1)</f>
        <v>52687</v>
      </c>
      <c r="CB4" s="51" t="n">
        <f aca="false">EOMONTH(CB$3,Months_Per_Period-1)</f>
        <v>52778</v>
      </c>
      <c r="CC4" s="51" t="n">
        <f aca="false">EOMONTH(CC$3,Months_Per_Period-1)</f>
        <v>52870</v>
      </c>
      <c r="CD4" s="51" t="n">
        <f aca="false">EOMONTH(CD$3,Months_Per_Period-1)</f>
        <v>52962</v>
      </c>
      <c r="CE4" s="51" t="n">
        <f aca="false">EOMONTH(CE$3,Months_Per_Period-1)</f>
        <v>53052</v>
      </c>
      <c r="CF4" s="51" t="n">
        <f aca="false">EOMONTH(CF$3,Months_Per_Period-1)</f>
        <v>53143</v>
      </c>
      <c r="CG4" s="51" t="n">
        <f aca="false">EOMONTH(CG$3,Months_Per_Period-1)</f>
        <v>53235</v>
      </c>
      <c r="CH4" s="51" t="n">
        <f aca="false">EOMONTH(CH$3,Months_Per_Period-1)</f>
        <v>53327</v>
      </c>
      <c r="CI4" s="51" t="n">
        <f aca="false">EOMONTH(CI$3,Months_Per_Period-1)</f>
        <v>53417</v>
      </c>
      <c r="CJ4" s="51" t="n">
        <f aca="false">EOMONTH(CJ$3,Months_Per_Period-1)</f>
        <v>53508</v>
      </c>
      <c r="CK4" s="51" t="n">
        <f aca="false">EOMONTH(CK$3,Months_Per_Period-1)</f>
        <v>53600</v>
      </c>
      <c r="CL4" s="51" t="n">
        <f aca="false">EOMONTH(CL$3,Months_Per_Period-1)</f>
        <v>53692</v>
      </c>
      <c r="CM4" s="51" t="n">
        <f aca="false">EOMONTH(CM$3,Months_Per_Period-1)</f>
        <v>53782</v>
      </c>
      <c r="CN4" s="51" t="n">
        <f aca="false">EOMONTH(CN$3,Months_Per_Period-1)</f>
        <v>53873</v>
      </c>
      <c r="CO4" s="51" t="n">
        <f aca="false">EOMONTH(CO$3,Months_Per_Period-1)</f>
        <v>53965</v>
      </c>
      <c r="CP4" s="51" t="n">
        <f aca="false">EOMONTH(CP$3,Months_Per_Period-1)</f>
        <v>54057</v>
      </c>
      <c r="CQ4" s="51" t="n">
        <f aca="false">EOMONTH(CQ$3,Months_Per_Period-1)</f>
        <v>54148</v>
      </c>
      <c r="CR4" s="51" t="n">
        <f aca="false">EOMONTH(CR$3,Months_Per_Period-1)</f>
        <v>54239</v>
      </c>
      <c r="CS4" s="51" t="n">
        <f aca="false">EOMONTH(CS$3,Months_Per_Period-1)</f>
        <v>54331</v>
      </c>
      <c r="CT4" s="51" t="n">
        <f aca="false">EOMONTH(CT$3,Months_Per_Period-1)</f>
        <v>54423</v>
      </c>
      <c r="CU4" s="51" t="n">
        <f aca="false">EOMONTH(CU$3,Months_Per_Period-1)</f>
        <v>54513</v>
      </c>
      <c r="CV4" s="51" t="n">
        <f aca="false">EOMONTH(CV$3,Months_Per_Period-1)</f>
        <v>54604</v>
      </c>
      <c r="CW4" s="51" t="n">
        <f aca="false">EOMONTH(CW$3,Months_Per_Period-1)</f>
        <v>54696</v>
      </c>
      <c r="CX4" s="51" t="n">
        <f aca="false">EOMONTH(CX$3,Months_Per_Period-1)</f>
        <v>54788</v>
      </c>
      <c r="CY4" s="51" t="n">
        <f aca="false">EOMONTH(CY$3,Months_Per_Period-1)</f>
        <v>54878</v>
      </c>
      <c r="CZ4" s="51" t="n">
        <f aca="false">EOMONTH(CZ$3,Months_Per_Period-1)</f>
        <v>54969</v>
      </c>
      <c r="DA4" s="51" t="n">
        <f aca="false">EOMONTH(DA$3,Months_Per_Period-1)</f>
        <v>55061</v>
      </c>
      <c r="DB4" s="51" t="n">
        <f aca="false">EOMONTH(DB$3,Months_Per_Period-1)</f>
        <v>55153</v>
      </c>
      <c r="DC4" s="51" t="n">
        <f aca="false">EOMONTH(DC$3,Months_Per_Period-1)</f>
        <v>55243</v>
      </c>
      <c r="DD4" s="51" t="n">
        <f aca="false">EOMONTH(DD$3,Months_Per_Period-1)</f>
        <v>55334</v>
      </c>
      <c r="DE4" s="51" t="n">
        <f aca="false">EOMONTH(DE$3,Months_Per_Period-1)</f>
        <v>55426</v>
      </c>
      <c r="DF4" s="51" t="n">
        <f aca="false">EOMONTH(DF$3,Months_Per_Period-1)</f>
        <v>55518</v>
      </c>
      <c r="DG4" s="51" t="n">
        <f aca="false">EOMONTH(DG$3,Months_Per_Period-1)</f>
        <v>55609</v>
      </c>
      <c r="DH4" s="51" t="n">
        <f aca="false">EOMONTH(DH$3,Months_Per_Period-1)</f>
        <v>55700</v>
      </c>
      <c r="DI4" s="51" t="n">
        <f aca="false">EOMONTH(DI$3,Months_Per_Period-1)</f>
        <v>55792</v>
      </c>
      <c r="DJ4" s="51" t="n">
        <f aca="false">EOMONTH(DJ$3,Months_Per_Period-1)</f>
        <v>55884</v>
      </c>
      <c r="DK4" s="51" t="n">
        <f aca="false">EOMONTH(DK$3,Months_Per_Period-1)</f>
        <v>55974</v>
      </c>
      <c r="DL4" s="51" t="n">
        <f aca="false">EOMONTH(DL$3,Months_Per_Period-1)</f>
        <v>56065</v>
      </c>
      <c r="DM4" s="51" t="n">
        <f aca="false">EOMONTH(DM$3,Months_Per_Period-1)</f>
        <v>56157</v>
      </c>
      <c r="DN4" s="51" t="n">
        <f aca="false">EOMONTH(DN$3,Months_Per_Period-1)</f>
        <v>56249</v>
      </c>
      <c r="DO4" s="51" t="n">
        <f aca="false">EOMONTH(DO$3,Months_Per_Period-1)</f>
        <v>56339</v>
      </c>
      <c r="DP4" s="51" t="n">
        <f aca="false">EOMONTH(DP$3,Months_Per_Period-1)</f>
        <v>56430</v>
      </c>
      <c r="DQ4" s="51" t="n">
        <f aca="false">EOMONTH(DQ$3,Months_Per_Period-1)</f>
        <v>56522</v>
      </c>
      <c r="DR4" s="51" t="n">
        <f aca="false">EOMONTH(DR$3,Months_Per_Period-1)</f>
        <v>56614</v>
      </c>
      <c r="DS4" s="51" t="n">
        <f aca="false">EOMONTH(DS$3,Months_Per_Period-1)</f>
        <v>56704</v>
      </c>
      <c r="DT4" s="51" t="n">
        <f aca="false">EOMONTH(DT$3,Months_Per_Period-1)</f>
        <v>56795</v>
      </c>
      <c r="DU4" s="51" t="n">
        <f aca="false">EOMONTH(DU$3,Months_Per_Period-1)</f>
        <v>56887</v>
      </c>
      <c r="DV4" s="51" t="n">
        <f aca="false">EOMONTH(DV$3,Months_Per_Period-1)</f>
        <v>56979</v>
      </c>
      <c r="DW4" s="51" t="n">
        <f aca="false">EOMONTH(DW$3,Months_Per_Period-1)</f>
        <v>57070</v>
      </c>
      <c r="DX4" s="51" t="n">
        <f aca="false">EOMONTH(DX$3,Months_Per_Period-1)</f>
        <v>57161</v>
      </c>
      <c r="DY4" s="51" t="n">
        <f aca="false">EOMONTH(DY$3,Months_Per_Period-1)</f>
        <v>57253</v>
      </c>
      <c r="DZ4" s="51" t="n">
        <f aca="false">EOMONTH(DZ$3,Months_Per_Period-1)</f>
        <v>57345</v>
      </c>
      <c r="EA4" s="51" t="n">
        <f aca="false">EOMONTH(EA$3,Months_Per_Period-1)</f>
        <v>57435</v>
      </c>
      <c r="EB4" s="51" t="n">
        <f aca="false">EOMONTH(EB$3,Months_Per_Period-1)</f>
        <v>57526</v>
      </c>
      <c r="EC4" s="51" t="n">
        <f aca="false">EOMONTH(EC$3,Months_Per_Period-1)</f>
        <v>57618</v>
      </c>
      <c r="ED4" s="51" t="n">
        <f aca="false">EOMONTH(ED$3,Months_Per_Period-1)</f>
        <v>57710</v>
      </c>
      <c r="EE4" s="51" t="n">
        <f aca="false">EOMONTH(EE$3,Months_Per_Period-1)</f>
        <v>57800</v>
      </c>
      <c r="EF4" s="51" t="n">
        <f aca="false">EOMONTH(EF$3,Months_Per_Period-1)</f>
        <v>57891</v>
      </c>
      <c r="EG4" s="51" t="n">
        <f aca="false">EOMONTH(EG$3,Months_Per_Period-1)</f>
        <v>57983</v>
      </c>
      <c r="EH4" s="51" t="n">
        <f aca="false">EOMONTH(EH$3,Months_Per_Period-1)</f>
        <v>58075</v>
      </c>
      <c r="EI4" s="51" t="n">
        <f aca="false">EOMONTH(EI$3,Months_Per_Period-1)</f>
        <v>58165</v>
      </c>
      <c r="EJ4" s="51" t="n">
        <f aca="false">EOMONTH(EJ$3,Months_Per_Period-1)</f>
        <v>58256</v>
      </c>
      <c r="EK4" s="51" t="n">
        <f aca="false">EOMONTH(EK$3,Months_Per_Period-1)</f>
        <v>58348</v>
      </c>
      <c r="EL4" s="51" t="n">
        <f aca="false">EOMONTH(EL$3,Months_Per_Period-1)</f>
        <v>58440</v>
      </c>
      <c r="EM4" s="51" t="n">
        <f aca="false">EOMONTH(EM$3,Months_Per_Period-1)</f>
        <v>58531</v>
      </c>
      <c r="EN4" s="51" t="n">
        <f aca="false">EOMONTH(EN$3,Months_Per_Period-1)</f>
        <v>58622</v>
      </c>
      <c r="EO4" s="51" t="n">
        <f aca="false">EOMONTH(EO$3,Months_Per_Period-1)</f>
        <v>58714</v>
      </c>
    </row>
    <row r="5" customFormat="false" ht="15" hidden="false" customHeight="false" outlineLevel="0" collapsed="false">
      <c r="C5" s="0" t="s">
        <v>325</v>
      </c>
      <c r="D5" s="11" t="s">
        <v>155</v>
      </c>
      <c r="J5" s="39" t="n">
        <f aca="false">J$4-J$3+1</f>
        <v>92</v>
      </c>
      <c r="K5" s="39" t="n">
        <f aca="false">K$4-K$3+1</f>
        <v>90</v>
      </c>
      <c r="L5" s="39" t="n">
        <f aca="false">L$4-L$3+1</f>
        <v>91</v>
      </c>
      <c r="M5" s="39" t="n">
        <f aca="false">M$4-M$3+1</f>
        <v>92</v>
      </c>
      <c r="N5" s="39" t="n">
        <f aca="false">N$4-N$3+1</f>
        <v>92</v>
      </c>
      <c r="O5" s="39" t="n">
        <f aca="false">O$4-O$3+1</f>
        <v>91</v>
      </c>
      <c r="P5" s="39" t="n">
        <f aca="false">P$4-P$3+1</f>
        <v>91</v>
      </c>
      <c r="Q5" s="39" t="n">
        <f aca="false">Q$4-Q$3+1</f>
        <v>92</v>
      </c>
      <c r="R5" s="39" t="n">
        <f aca="false">R$4-R$3+1</f>
        <v>92</v>
      </c>
      <c r="S5" s="39" t="n">
        <f aca="false">S$4-S$3+1</f>
        <v>90</v>
      </c>
      <c r="T5" s="39" t="n">
        <f aca="false">T$4-T$3+1</f>
        <v>91</v>
      </c>
      <c r="U5" s="39" t="n">
        <f aca="false">U$4-U$3+1</f>
        <v>92</v>
      </c>
      <c r="V5" s="39" t="n">
        <f aca="false">V$4-V$3+1</f>
        <v>92</v>
      </c>
      <c r="W5" s="39" t="n">
        <f aca="false">W$4-W$3+1</f>
        <v>90</v>
      </c>
      <c r="X5" s="39" t="n">
        <f aca="false">X$4-X$3+1</f>
        <v>91</v>
      </c>
      <c r="Y5" s="39" t="n">
        <f aca="false">Y$4-Y$3+1</f>
        <v>92</v>
      </c>
      <c r="Z5" s="39" t="n">
        <f aca="false">Z$4-Z$3+1</f>
        <v>92</v>
      </c>
      <c r="AA5" s="39" t="n">
        <f aca="false">AA$4-AA$3+1</f>
        <v>90</v>
      </c>
      <c r="AB5" s="39" t="n">
        <f aca="false">AB$4-AB$3+1</f>
        <v>91</v>
      </c>
      <c r="AC5" s="39" t="n">
        <f aca="false">AC$4-AC$3+1</f>
        <v>92</v>
      </c>
      <c r="AD5" s="39" t="n">
        <f aca="false">AD$4-AD$3+1</f>
        <v>92</v>
      </c>
      <c r="AE5" s="39" t="n">
        <f aca="false">AE$4-AE$3+1</f>
        <v>91</v>
      </c>
      <c r="AF5" s="39" t="n">
        <f aca="false">AF$4-AF$3+1</f>
        <v>91</v>
      </c>
      <c r="AG5" s="39" t="n">
        <f aca="false">AG$4-AG$3+1</f>
        <v>92</v>
      </c>
      <c r="AH5" s="39" t="n">
        <f aca="false">AH$4-AH$3+1</f>
        <v>92</v>
      </c>
      <c r="AI5" s="39" t="n">
        <f aca="false">AI$4-AI$3+1</f>
        <v>90</v>
      </c>
      <c r="AJ5" s="39" t="n">
        <f aca="false">AJ$4-AJ$3+1</f>
        <v>91</v>
      </c>
      <c r="AK5" s="39" t="n">
        <f aca="false">AK$4-AK$3+1</f>
        <v>92</v>
      </c>
      <c r="AL5" s="39" t="n">
        <f aca="false">AL$4-AL$3+1</f>
        <v>92</v>
      </c>
      <c r="AM5" s="39" t="n">
        <f aca="false">AM$4-AM$3+1</f>
        <v>90</v>
      </c>
      <c r="AN5" s="39" t="n">
        <f aca="false">AN$4-AN$3+1</f>
        <v>91</v>
      </c>
      <c r="AO5" s="39" t="n">
        <f aca="false">AO$4-AO$3+1</f>
        <v>92</v>
      </c>
      <c r="AP5" s="39" t="n">
        <f aca="false">AP$4-AP$3+1</f>
        <v>92</v>
      </c>
      <c r="AQ5" s="39" t="n">
        <f aca="false">AQ$4-AQ$3+1</f>
        <v>90</v>
      </c>
      <c r="AR5" s="39" t="n">
        <f aca="false">AR$4-AR$3+1</f>
        <v>91</v>
      </c>
      <c r="AS5" s="39" t="n">
        <f aca="false">AS$4-AS$3+1</f>
        <v>92</v>
      </c>
      <c r="AT5" s="39" t="n">
        <f aca="false">AT$4-AT$3+1</f>
        <v>92</v>
      </c>
      <c r="AU5" s="39" t="n">
        <f aca="false">AU$4-AU$3+1</f>
        <v>91</v>
      </c>
      <c r="AV5" s="39" t="n">
        <f aca="false">AV$4-AV$3+1</f>
        <v>91</v>
      </c>
      <c r="AW5" s="39" t="n">
        <f aca="false">AW$4-AW$3+1</f>
        <v>92</v>
      </c>
      <c r="AX5" s="39" t="n">
        <f aca="false">AX$4-AX$3+1</f>
        <v>92</v>
      </c>
      <c r="AY5" s="39" t="n">
        <f aca="false">AY$4-AY$3+1</f>
        <v>90</v>
      </c>
      <c r="AZ5" s="39" t="n">
        <f aca="false">AZ$4-AZ$3+1</f>
        <v>91</v>
      </c>
      <c r="BA5" s="39" t="n">
        <f aca="false">BA$4-BA$3+1</f>
        <v>92</v>
      </c>
      <c r="BB5" s="39" t="n">
        <f aca="false">BB$4-BB$3+1</f>
        <v>92</v>
      </c>
      <c r="BC5" s="39" t="n">
        <f aca="false">BC$4-BC$3+1</f>
        <v>90</v>
      </c>
      <c r="BD5" s="39" t="n">
        <f aca="false">BD$4-BD$3+1</f>
        <v>91</v>
      </c>
      <c r="BE5" s="39" t="n">
        <f aca="false">BE$4-BE$3+1</f>
        <v>92</v>
      </c>
      <c r="BF5" s="39" t="n">
        <f aca="false">BF$4-BF$3+1</f>
        <v>92</v>
      </c>
      <c r="BG5" s="39" t="n">
        <f aca="false">BG$4-BG$3+1</f>
        <v>90</v>
      </c>
      <c r="BH5" s="39" t="n">
        <f aca="false">BH$4-BH$3+1</f>
        <v>91</v>
      </c>
      <c r="BI5" s="39" t="n">
        <f aca="false">BI$4-BI$3+1</f>
        <v>92</v>
      </c>
      <c r="BJ5" s="39" t="n">
        <f aca="false">BJ$4-BJ$3+1</f>
        <v>92</v>
      </c>
      <c r="BK5" s="39" t="n">
        <f aca="false">BK$4-BK$3+1</f>
        <v>91</v>
      </c>
      <c r="BL5" s="39" t="n">
        <f aca="false">BL$4-BL$3+1</f>
        <v>91</v>
      </c>
      <c r="BM5" s="39" t="n">
        <f aca="false">BM$4-BM$3+1</f>
        <v>92</v>
      </c>
      <c r="BN5" s="39" t="n">
        <f aca="false">BN$4-BN$3+1</f>
        <v>92</v>
      </c>
      <c r="BO5" s="39" t="n">
        <f aca="false">BO$4-BO$3+1</f>
        <v>90</v>
      </c>
      <c r="BP5" s="39" t="n">
        <f aca="false">BP$4-BP$3+1</f>
        <v>91</v>
      </c>
      <c r="BQ5" s="39" t="n">
        <f aca="false">BQ$4-BQ$3+1</f>
        <v>92</v>
      </c>
      <c r="BR5" s="39" t="n">
        <f aca="false">BR$4-BR$3+1</f>
        <v>92</v>
      </c>
      <c r="BS5" s="39" t="n">
        <f aca="false">BS$4-BS$3+1</f>
        <v>90</v>
      </c>
      <c r="BT5" s="39" t="n">
        <f aca="false">BT$4-BT$3+1</f>
        <v>91</v>
      </c>
      <c r="BU5" s="39" t="n">
        <f aca="false">BU$4-BU$3+1</f>
        <v>92</v>
      </c>
      <c r="BV5" s="39" t="n">
        <f aca="false">BV$4-BV$3+1</f>
        <v>92</v>
      </c>
      <c r="BW5" s="39" t="n">
        <f aca="false">BW$4-BW$3+1</f>
        <v>90</v>
      </c>
      <c r="BX5" s="39" t="n">
        <f aca="false">BX$4-BX$3+1</f>
        <v>91</v>
      </c>
      <c r="BY5" s="39" t="n">
        <f aca="false">BY$4-BY$3+1</f>
        <v>92</v>
      </c>
      <c r="BZ5" s="39" t="n">
        <f aca="false">BZ$4-BZ$3+1</f>
        <v>92</v>
      </c>
      <c r="CA5" s="39" t="n">
        <f aca="false">CA$4-CA$3+1</f>
        <v>91</v>
      </c>
      <c r="CB5" s="39" t="n">
        <f aca="false">CB$4-CB$3+1</f>
        <v>91</v>
      </c>
      <c r="CC5" s="39" t="n">
        <f aca="false">CC$4-CC$3+1</f>
        <v>92</v>
      </c>
      <c r="CD5" s="39" t="n">
        <f aca="false">CD$4-CD$3+1</f>
        <v>92</v>
      </c>
      <c r="CE5" s="39" t="n">
        <f aca="false">CE$4-CE$3+1</f>
        <v>90</v>
      </c>
      <c r="CF5" s="39" t="n">
        <f aca="false">CF$4-CF$3+1</f>
        <v>91</v>
      </c>
      <c r="CG5" s="39" t="n">
        <f aca="false">CG$4-CG$3+1</f>
        <v>92</v>
      </c>
      <c r="CH5" s="39" t="n">
        <f aca="false">CH$4-CH$3+1</f>
        <v>92</v>
      </c>
      <c r="CI5" s="39" t="n">
        <f aca="false">CI$4-CI$3+1</f>
        <v>90</v>
      </c>
      <c r="CJ5" s="39" t="n">
        <f aca="false">CJ$4-CJ$3+1</f>
        <v>91</v>
      </c>
      <c r="CK5" s="39" t="n">
        <f aca="false">CK$4-CK$3+1</f>
        <v>92</v>
      </c>
      <c r="CL5" s="39" t="n">
        <f aca="false">CL$4-CL$3+1</f>
        <v>92</v>
      </c>
      <c r="CM5" s="39" t="n">
        <f aca="false">CM$4-CM$3+1</f>
        <v>90</v>
      </c>
      <c r="CN5" s="39" t="n">
        <f aca="false">CN$4-CN$3+1</f>
        <v>91</v>
      </c>
      <c r="CO5" s="39" t="n">
        <f aca="false">CO$4-CO$3+1</f>
        <v>92</v>
      </c>
      <c r="CP5" s="39" t="n">
        <f aca="false">CP$4-CP$3+1</f>
        <v>92</v>
      </c>
      <c r="CQ5" s="39" t="n">
        <f aca="false">CQ$4-CQ$3+1</f>
        <v>91</v>
      </c>
      <c r="CR5" s="39" t="n">
        <f aca="false">CR$4-CR$3+1</f>
        <v>91</v>
      </c>
      <c r="CS5" s="39" t="n">
        <f aca="false">CS$4-CS$3+1</f>
        <v>92</v>
      </c>
      <c r="CT5" s="39" t="n">
        <f aca="false">CT$4-CT$3+1</f>
        <v>92</v>
      </c>
      <c r="CU5" s="39" t="n">
        <f aca="false">CU$4-CU$3+1</f>
        <v>90</v>
      </c>
      <c r="CV5" s="39" t="n">
        <f aca="false">CV$4-CV$3+1</f>
        <v>91</v>
      </c>
      <c r="CW5" s="39" t="n">
        <f aca="false">CW$4-CW$3+1</f>
        <v>92</v>
      </c>
      <c r="CX5" s="39" t="n">
        <f aca="false">CX$4-CX$3+1</f>
        <v>92</v>
      </c>
      <c r="CY5" s="39" t="n">
        <f aca="false">CY$4-CY$3+1</f>
        <v>90</v>
      </c>
      <c r="CZ5" s="39" t="n">
        <f aca="false">CZ$4-CZ$3+1</f>
        <v>91</v>
      </c>
      <c r="DA5" s="39" t="n">
        <f aca="false">DA$4-DA$3+1</f>
        <v>92</v>
      </c>
      <c r="DB5" s="39" t="n">
        <f aca="false">DB$4-DB$3+1</f>
        <v>92</v>
      </c>
      <c r="DC5" s="39" t="n">
        <f aca="false">DC$4-DC$3+1</f>
        <v>90</v>
      </c>
      <c r="DD5" s="39" t="n">
        <f aca="false">DD$4-DD$3+1</f>
        <v>91</v>
      </c>
      <c r="DE5" s="39" t="n">
        <f aca="false">DE$4-DE$3+1</f>
        <v>92</v>
      </c>
      <c r="DF5" s="39" t="n">
        <f aca="false">DF$4-DF$3+1</f>
        <v>92</v>
      </c>
      <c r="DG5" s="39" t="n">
        <f aca="false">DG$4-DG$3+1</f>
        <v>91</v>
      </c>
      <c r="DH5" s="39" t="n">
        <f aca="false">DH$4-DH$3+1</f>
        <v>91</v>
      </c>
      <c r="DI5" s="39" t="n">
        <f aca="false">DI$4-DI$3+1</f>
        <v>92</v>
      </c>
      <c r="DJ5" s="39" t="n">
        <f aca="false">DJ$4-DJ$3+1</f>
        <v>92</v>
      </c>
      <c r="DK5" s="39" t="n">
        <f aca="false">DK$4-DK$3+1</f>
        <v>90</v>
      </c>
      <c r="DL5" s="39" t="n">
        <f aca="false">DL$4-DL$3+1</f>
        <v>91</v>
      </c>
      <c r="DM5" s="39" t="n">
        <f aca="false">DM$4-DM$3+1</f>
        <v>92</v>
      </c>
      <c r="DN5" s="39" t="n">
        <f aca="false">DN$4-DN$3+1</f>
        <v>92</v>
      </c>
      <c r="DO5" s="39" t="n">
        <f aca="false">DO$4-DO$3+1</f>
        <v>90</v>
      </c>
      <c r="DP5" s="39" t="n">
        <f aca="false">DP$4-DP$3+1</f>
        <v>91</v>
      </c>
      <c r="DQ5" s="39" t="n">
        <f aca="false">DQ$4-DQ$3+1</f>
        <v>92</v>
      </c>
      <c r="DR5" s="39" t="n">
        <f aca="false">DR$4-DR$3+1</f>
        <v>92</v>
      </c>
      <c r="DS5" s="39" t="n">
        <f aca="false">DS$4-DS$3+1</f>
        <v>90</v>
      </c>
      <c r="DT5" s="39" t="n">
        <f aca="false">DT$4-DT$3+1</f>
        <v>91</v>
      </c>
      <c r="DU5" s="39" t="n">
        <f aca="false">DU$4-DU$3+1</f>
        <v>92</v>
      </c>
      <c r="DV5" s="39" t="n">
        <f aca="false">DV$4-DV$3+1</f>
        <v>92</v>
      </c>
      <c r="DW5" s="39" t="n">
        <f aca="false">DW$4-DW$3+1</f>
        <v>91</v>
      </c>
      <c r="DX5" s="39" t="n">
        <f aca="false">DX$4-DX$3+1</f>
        <v>91</v>
      </c>
      <c r="DY5" s="39" t="n">
        <f aca="false">DY$4-DY$3+1</f>
        <v>92</v>
      </c>
      <c r="DZ5" s="39" t="n">
        <f aca="false">DZ$4-DZ$3+1</f>
        <v>92</v>
      </c>
      <c r="EA5" s="39" t="n">
        <f aca="false">EA$4-EA$3+1</f>
        <v>90</v>
      </c>
      <c r="EB5" s="39" t="n">
        <f aca="false">EB$4-EB$3+1</f>
        <v>91</v>
      </c>
      <c r="EC5" s="39" t="n">
        <f aca="false">EC$4-EC$3+1</f>
        <v>92</v>
      </c>
      <c r="ED5" s="39" t="n">
        <f aca="false">ED$4-ED$3+1</f>
        <v>92</v>
      </c>
      <c r="EE5" s="39" t="n">
        <f aca="false">EE$4-EE$3+1</f>
        <v>90</v>
      </c>
      <c r="EF5" s="39" t="n">
        <f aca="false">EF$4-EF$3+1</f>
        <v>91</v>
      </c>
      <c r="EG5" s="39" t="n">
        <f aca="false">EG$4-EG$3+1</f>
        <v>92</v>
      </c>
      <c r="EH5" s="39" t="n">
        <f aca="false">EH$4-EH$3+1</f>
        <v>92</v>
      </c>
      <c r="EI5" s="39" t="n">
        <f aca="false">EI$4-EI$3+1</f>
        <v>90</v>
      </c>
      <c r="EJ5" s="39" t="n">
        <f aca="false">EJ$4-EJ$3+1</f>
        <v>91</v>
      </c>
      <c r="EK5" s="39" t="n">
        <f aca="false">EK$4-EK$3+1</f>
        <v>92</v>
      </c>
      <c r="EL5" s="39" t="n">
        <f aca="false">EL$4-EL$3+1</f>
        <v>92</v>
      </c>
      <c r="EM5" s="39" t="n">
        <f aca="false">EM$4-EM$3+1</f>
        <v>91</v>
      </c>
      <c r="EN5" s="39" t="n">
        <f aca="false">EN$4-EN$3+1</f>
        <v>91</v>
      </c>
      <c r="EO5" s="39" t="n">
        <f aca="false">EO$4-EO$3+1</f>
        <v>92</v>
      </c>
    </row>
    <row r="6" customFormat="false" ht="15" hidden="false" customHeight="false" outlineLevel="0" collapsed="false">
      <c r="C6" s="0" t="s">
        <v>326</v>
      </c>
      <c r="D6" s="11" t="s">
        <v>327</v>
      </c>
      <c r="J6" s="52" t="n">
        <f aca="false">J$5/Days_In_Year</f>
        <v>0.252054794520548</v>
      </c>
      <c r="K6" s="52" t="n">
        <f aca="false">K$5/Days_In_Year</f>
        <v>0.246575342465753</v>
      </c>
      <c r="L6" s="52" t="n">
        <f aca="false">L$5/Days_In_Year</f>
        <v>0.249315068493151</v>
      </c>
      <c r="M6" s="52" t="n">
        <f aca="false">M$5/Days_In_Year</f>
        <v>0.252054794520548</v>
      </c>
      <c r="N6" s="52" t="n">
        <f aca="false">N$5/Days_In_Year</f>
        <v>0.252054794520548</v>
      </c>
      <c r="O6" s="52" t="n">
        <f aca="false">O$5/Days_In_Year</f>
        <v>0.249315068493151</v>
      </c>
      <c r="P6" s="52" t="n">
        <f aca="false">P$5/Days_In_Year</f>
        <v>0.249315068493151</v>
      </c>
      <c r="Q6" s="52" t="n">
        <f aca="false">Q$5/Days_In_Year</f>
        <v>0.252054794520548</v>
      </c>
      <c r="R6" s="52" t="n">
        <f aca="false">R$5/Days_In_Year</f>
        <v>0.252054794520548</v>
      </c>
      <c r="S6" s="52" t="n">
        <f aca="false">S$5/Days_In_Year</f>
        <v>0.246575342465753</v>
      </c>
      <c r="T6" s="52" t="n">
        <f aca="false">T$5/Days_In_Year</f>
        <v>0.249315068493151</v>
      </c>
      <c r="U6" s="52" t="n">
        <f aca="false">U$5/Days_In_Year</f>
        <v>0.252054794520548</v>
      </c>
      <c r="V6" s="52" t="n">
        <f aca="false">V$5/Days_In_Year</f>
        <v>0.252054794520548</v>
      </c>
      <c r="W6" s="52" t="n">
        <f aca="false">W$5/Days_In_Year</f>
        <v>0.246575342465753</v>
      </c>
      <c r="X6" s="52" t="n">
        <f aca="false">X$5/Days_In_Year</f>
        <v>0.249315068493151</v>
      </c>
      <c r="Y6" s="52" t="n">
        <f aca="false">Y$5/Days_In_Year</f>
        <v>0.252054794520548</v>
      </c>
      <c r="Z6" s="52" t="n">
        <f aca="false">Z$5/Days_In_Year</f>
        <v>0.252054794520548</v>
      </c>
      <c r="AA6" s="52" t="n">
        <f aca="false">AA$5/Days_In_Year</f>
        <v>0.246575342465753</v>
      </c>
      <c r="AB6" s="52" t="n">
        <f aca="false">AB$5/Days_In_Year</f>
        <v>0.249315068493151</v>
      </c>
      <c r="AC6" s="52" t="n">
        <f aca="false">AC$5/Days_In_Year</f>
        <v>0.252054794520548</v>
      </c>
      <c r="AD6" s="52" t="n">
        <f aca="false">AD$5/Days_In_Year</f>
        <v>0.252054794520548</v>
      </c>
      <c r="AE6" s="52" t="n">
        <f aca="false">AE$5/Days_In_Year</f>
        <v>0.249315068493151</v>
      </c>
      <c r="AF6" s="52" t="n">
        <f aca="false">AF$5/Days_In_Year</f>
        <v>0.249315068493151</v>
      </c>
      <c r="AG6" s="52" t="n">
        <f aca="false">AG$5/Days_In_Year</f>
        <v>0.252054794520548</v>
      </c>
      <c r="AH6" s="52" t="n">
        <f aca="false">AH$5/Days_In_Year</f>
        <v>0.252054794520548</v>
      </c>
      <c r="AI6" s="52" t="n">
        <f aca="false">AI$5/Days_In_Year</f>
        <v>0.246575342465753</v>
      </c>
      <c r="AJ6" s="52" t="n">
        <f aca="false">AJ$5/Days_In_Year</f>
        <v>0.249315068493151</v>
      </c>
      <c r="AK6" s="52" t="n">
        <f aca="false">AK$5/Days_In_Year</f>
        <v>0.252054794520548</v>
      </c>
      <c r="AL6" s="52" t="n">
        <f aca="false">AL$5/Days_In_Year</f>
        <v>0.252054794520548</v>
      </c>
      <c r="AM6" s="52" t="n">
        <f aca="false">AM$5/Days_In_Year</f>
        <v>0.246575342465753</v>
      </c>
      <c r="AN6" s="52" t="n">
        <f aca="false">AN$5/Days_In_Year</f>
        <v>0.249315068493151</v>
      </c>
      <c r="AO6" s="52" t="n">
        <f aca="false">AO$5/Days_In_Year</f>
        <v>0.252054794520548</v>
      </c>
      <c r="AP6" s="52" t="n">
        <f aca="false">AP$5/Days_In_Year</f>
        <v>0.252054794520548</v>
      </c>
      <c r="AQ6" s="52" t="n">
        <f aca="false">AQ$5/Days_In_Year</f>
        <v>0.246575342465753</v>
      </c>
      <c r="AR6" s="52" t="n">
        <f aca="false">AR$5/Days_In_Year</f>
        <v>0.249315068493151</v>
      </c>
      <c r="AS6" s="52" t="n">
        <f aca="false">AS$5/Days_In_Year</f>
        <v>0.252054794520548</v>
      </c>
      <c r="AT6" s="52" t="n">
        <f aca="false">AT$5/Days_In_Year</f>
        <v>0.252054794520548</v>
      </c>
      <c r="AU6" s="52" t="n">
        <f aca="false">AU$5/Days_In_Year</f>
        <v>0.249315068493151</v>
      </c>
      <c r="AV6" s="52" t="n">
        <f aca="false">AV$5/Days_In_Year</f>
        <v>0.249315068493151</v>
      </c>
      <c r="AW6" s="52" t="n">
        <f aca="false">AW$5/Days_In_Year</f>
        <v>0.252054794520548</v>
      </c>
      <c r="AX6" s="52" t="n">
        <f aca="false">AX$5/Days_In_Year</f>
        <v>0.252054794520548</v>
      </c>
      <c r="AY6" s="52" t="n">
        <f aca="false">AY$5/Days_In_Year</f>
        <v>0.246575342465753</v>
      </c>
      <c r="AZ6" s="52" t="n">
        <f aca="false">AZ$5/Days_In_Year</f>
        <v>0.249315068493151</v>
      </c>
      <c r="BA6" s="52" t="n">
        <f aca="false">BA$5/Days_In_Year</f>
        <v>0.252054794520548</v>
      </c>
      <c r="BB6" s="52" t="n">
        <f aca="false">BB$5/Days_In_Year</f>
        <v>0.252054794520548</v>
      </c>
      <c r="BC6" s="52" t="n">
        <f aca="false">BC$5/Days_In_Year</f>
        <v>0.246575342465753</v>
      </c>
      <c r="BD6" s="52" t="n">
        <f aca="false">BD$5/Days_In_Year</f>
        <v>0.249315068493151</v>
      </c>
      <c r="BE6" s="52" t="n">
        <f aca="false">BE$5/Days_In_Year</f>
        <v>0.252054794520548</v>
      </c>
      <c r="BF6" s="52" t="n">
        <f aca="false">BF$5/Days_In_Year</f>
        <v>0.252054794520548</v>
      </c>
      <c r="BG6" s="52" t="n">
        <f aca="false">BG$5/Days_In_Year</f>
        <v>0.246575342465753</v>
      </c>
      <c r="BH6" s="52" t="n">
        <f aca="false">BH$5/Days_In_Year</f>
        <v>0.249315068493151</v>
      </c>
      <c r="BI6" s="52" t="n">
        <f aca="false">BI$5/Days_In_Year</f>
        <v>0.252054794520548</v>
      </c>
      <c r="BJ6" s="52" t="n">
        <f aca="false">BJ$5/Days_In_Year</f>
        <v>0.252054794520548</v>
      </c>
      <c r="BK6" s="52" t="n">
        <f aca="false">BK$5/Days_In_Year</f>
        <v>0.249315068493151</v>
      </c>
      <c r="BL6" s="52" t="n">
        <f aca="false">BL$5/Days_In_Year</f>
        <v>0.249315068493151</v>
      </c>
      <c r="BM6" s="52" t="n">
        <f aca="false">BM$5/Days_In_Year</f>
        <v>0.252054794520548</v>
      </c>
      <c r="BN6" s="52" t="n">
        <f aca="false">BN$5/Days_In_Year</f>
        <v>0.252054794520548</v>
      </c>
      <c r="BO6" s="52" t="n">
        <f aca="false">BO$5/Days_In_Year</f>
        <v>0.246575342465753</v>
      </c>
      <c r="BP6" s="52" t="n">
        <f aca="false">BP$5/Days_In_Year</f>
        <v>0.249315068493151</v>
      </c>
      <c r="BQ6" s="52" t="n">
        <f aca="false">BQ$5/Days_In_Year</f>
        <v>0.252054794520548</v>
      </c>
      <c r="BR6" s="52" t="n">
        <f aca="false">BR$5/Days_In_Year</f>
        <v>0.252054794520548</v>
      </c>
      <c r="BS6" s="52" t="n">
        <f aca="false">BS$5/Days_In_Year</f>
        <v>0.246575342465753</v>
      </c>
      <c r="BT6" s="52" t="n">
        <f aca="false">BT$5/Days_In_Year</f>
        <v>0.249315068493151</v>
      </c>
      <c r="BU6" s="52" t="n">
        <f aca="false">BU$5/Days_In_Year</f>
        <v>0.252054794520548</v>
      </c>
      <c r="BV6" s="52" t="n">
        <f aca="false">BV$5/Days_In_Year</f>
        <v>0.252054794520548</v>
      </c>
      <c r="BW6" s="52" t="n">
        <f aca="false">BW$5/Days_In_Year</f>
        <v>0.246575342465753</v>
      </c>
      <c r="BX6" s="52" t="n">
        <f aca="false">BX$5/Days_In_Year</f>
        <v>0.249315068493151</v>
      </c>
      <c r="BY6" s="52" t="n">
        <f aca="false">BY$5/Days_In_Year</f>
        <v>0.252054794520548</v>
      </c>
      <c r="BZ6" s="52" t="n">
        <f aca="false">BZ$5/Days_In_Year</f>
        <v>0.252054794520548</v>
      </c>
      <c r="CA6" s="52" t="n">
        <f aca="false">CA$5/Days_In_Year</f>
        <v>0.249315068493151</v>
      </c>
      <c r="CB6" s="52" t="n">
        <f aca="false">CB$5/Days_In_Year</f>
        <v>0.249315068493151</v>
      </c>
      <c r="CC6" s="52" t="n">
        <f aca="false">CC$5/Days_In_Year</f>
        <v>0.252054794520548</v>
      </c>
      <c r="CD6" s="52" t="n">
        <f aca="false">CD$5/Days_In_Year</f>
        <v>0.252054794520548</v>
      </c>
      <c r="CE6" s="52" t="n">
        <f aca="false">CE$5/Days_In_Year</f>
        <v>0.246575342465753</v>
      </c>
      <c r="CF6" s="52" t="n">
        <f aca="false">CF$5/Days_In_Year</f>
        <v>0.249315068493151</v>
      </c>
      <c r="CG6" s="52" t="n">
        <f aca="false">CG$5/Days_In_Year</f>
        <v>0.252054794520548</v>
      </c>
      <c r="CH6" s="52" t="n">
        <f aca="false">CH$5/Days_In_Year</f>
        <v>0.252054794520548</v>
      </c>
      <c r="CI6" s="52" t="n">
        <f aca="false">CI$5/Days_In_Year</f>
        <v>0.246575342465753</v>
      </c>
      <c r="CJ6" s="52" t="n">
        <f aca="false">CJ$5/Days_In_Year</f>
        <v>0.249315068493151</v>
      </c>
      <c r="CK6" s="52" t="n">
        <f aca="false">CK$5/Days_In_Year</f>
        <v>0.252054794520548</v>
      </c>
      <c r="CL6" s="52" t="n">
        <f aca="false">CL$5/Days_In_Year</f>
        <v>0.252054794520548</v>
      </c>
      <c r="CM6" s="52" t="n">
        <f aca="false">CM$5/Days_In_Year</f>
        <v>0.246575342465753</v>
      </c>
      <c r="CN6" s="52" t="n">
        <f aca="false">CN$5/Days_In_Year</f>
        <v>0.249315068493151</v>
      </c>
      <c r="CO6" s="52" t="n">
        <f aca="false">CO$5/Days_In_Year</f>
        <v>0.252054794520548</v>
      </c>
      <c r="CP6" s="52" t="n">
        <f aca="false">CP$5/Days_In_Year</f>
        <v>0.252054794520548</v>
      </c>
      <c r="CQ6" s="52" t="n">
        <f aca="false">CQ$5/Days_In_Year</f>
        <v>0.249315068493151</v>
      </c>
      <c r="CR6" s="52" t="n">
        <f aca="false">CR$5/Days_In_Year</f>
        <v>0.249315068493151</v>
      </c>
      <c r="CS6" s="52" t="n">
        <f aca="false">CS$5/Days_In_Year</f>
        <v>0.252054794520548</v>
      </c>
      <c r="CT6" s="52" t="n">
        <f aca="false">CT$5/Days_In_Year</f>
        <v>0.252054794520548</v>
      </c>
      <c r="CU6" s="52" t="n">
        <f aca="false">CU$5/Days_In_Year</f>
        <v>0.246575342465753</v>
      </c>
      <c r="CV6" s="52" t="n">
        <f aca="false">CV$5/Days_In_Year</f>
        <v>0.249315068493151</v>
      </c>
      <c r="CW6" s="52" t="n">
        <f aca="false">CW$5/Days_In_Year</f>
        <v>0.252054794520548</v>
      </c>
      <c r="CX6" s="52" t="n">
        <f aca="false">CX$5/Days_In_Year</f>
        <v>0.252054794520548</v>
      </c>
      <c r="CY6" s="52" t="n">
        <f aca="false">CY$5/Days_In_Year</f>
        <v>0.246575342465753</v>
      </c>
      <c r="CZ6" s="52" t="n">
        <f aca="false">CZ$5/Days_In_Year</f>
        <v>0.249315068493151</v>
      </c>
      <c r="DA6" s="52" t="n">
        <f aca="false">DA$5/Days_In_Year</f>
        <v>0.252054794520548</v>
      </c>
      <c r="DB6" s="52" t="n">
        <f aca="false">DB$5/Days_In_Year</f>
        <v>0.252054794520548</v>
      </c>
      <c r="DC6" s="52" t="n">
        <f aca="false">DC$5/Days_In_Year</f>
        <v>0.246575342465753</v>
      </c>
      <c r="DD6" s="52" t="n">
        <f aca="false">DD$5/Days_In_Year</f>
        <v>0.249315068493151</v>
      </c>
      <c r="DE6" s="52" t="n">
        <f aca="false">DE$5/Days_In_Year</f>
        <v>0.252054794520548</v>
      </c>
      <c r="DF6" s="52" t="n">
        <f aca="false">DF$5/Days_In_Year</f>
        <v>0.252054794520548</v>
      </c>
      <c r="DG6" s="52" t="n">
        <f aca="false">DG$5/Days_In_Year</f>
        <v>0.249315068493151</v>
      </c>
      <c r="DH6" s="52" t="n">
        <f aca="false">DH$5/Days_In_Year</f>
        <v>0.249315068493151</v>
      </c>
      <c r="DI6" s="52" t="n">
        <f aca="false">DI$5/Days_In_Year</f>
        <v>0.252054794520548</v>
      </c>
      <c r="DJ6" s="52" t="n">
        <f aca="false">DJ$5/Days_In_Year</f>
        <v>0.252054794520548</v>
      </c>
      <c r="DK6" s="52" t="n">
        <f aca="false">DK$5/Days_In_Year</f>
        <v>0.246575342465753</v>
      </c>
      <c r="DL6" s="52" t="n">
        <f aca="false">DL$5/Days_In_Year</f>
        <v>0.249315068493151</v>
      </c>
      <c r="DM6" s="52" t="n">
        <f aca="false">DM$5/Days_In_Year</f>
        <v>0.252054794520548</v>
      </c>
      <c r="DN6" s="52" t="n">
        <f aca="false">DN$5/Days_In_Year</f>
        <v>0.252054794520548</v>
      </c>
      <c r="DO6" s="52" t="n">
        <f aca="false">DO$5/Days_In_Year</f>
        <v>0.246575342465753</v>
      </c>
      <c r="DP6" s="52" t="n">
        <f aca="false">DP$5/Days_In_Year</f>
        <v>0.249315068493151</v>
      </c>
      <c r="DQ6" s="52" t="n">
        <f aca="false">DQ$5/Days_In_Year</f>
        <v>0.252054794520548</v>
      </c>
      <c r="DR6" s="52" t="n">
        <f aca="false">DR$5/Days_In_Year</f>
        <v>0.252054794520548</v>
      </c>
      <c r="DS6" s="52" t="n">
        <f aca="false">DS$5/Days_In_Year</f>
        <v>0.246575342465753</v>
      </c>
      <c r="DT6" s="52" t="n">
        <f aca="false">DT$5/Days_In_Year</f>
        <v>0.249315068493151</v>
      </c>
      <c r="DU6" s="52" t="n">
        <f aca="false">DU$5/Days_In_Year</f>
        <v>0.252054794520548</v>
      </c>
      <c r="DV6" s="52" t="n">
        <f aca="false">DV$5/Days_In_Year</f>
        <v>0.252054794520548</v>
      </c>
      <c r="DW6" s="52" t="n">
        <f aca="false">DW$5/Days_In_Year</f>
        <v>0.249315068493151</v>
      </c>
      <c r="DX6" s="52" t="n">
        <f aca="false">DX$5/Days_In_Year</f>
        <v>0.249315068493151</v>
      </c>
      <c r="DY6" s="52" t="n">
        <f aca="false">DY$5/Days_In_Year</f>
        <v>0.252054794520548</v>
      </c>
      <c r="DZ6" s="52" t="n">
        <f aca="false">DZ$5/Days_In_Year</f>
        <v>0.252054794520548</v>
      </c>
      <c r="EA6" s="52" t="n">
        <f aca="false">EA$5/Days_In_Year</f>
        <v>0.246575342465753</v>
      </c>
      <c r="EB6" s="52" t="n">
        <f aca="false">EB$5/Days_In_Year</f>
        <v>0.249315068493151</v>
      </c>
      <c r="EC6" s="52" t="n">
        <f aca="false">EC$5/Days_In_Year</f>
        <v>0.252054794520548</v>
      </c>
      <c r="ED6" s="52" t="n">
        <f aca="false">ED$5/Days_In_Year</f>
        <v>0.252054794520548</v>
      </c>
      <c r="EE6" s="52" t="n">
        <f aca="false">EE$5/Days_In_Year</f>
        <v>0.246575342465753</v>
      </c>
      <c r="EF6" s="52" t="n">
        <f aca="false">EF$5/Days_In_Year</f>
        <v>0.249315068493151</v>
      </c>
      <c r="EG6" s="52" t="n">
        <f aca="false">EG$5/Days_In_Year</f>
        <v>0.252054794520548</v>
      </c>
      <c r="EH6" s="52" t="n">
        <f aca="false">EH$5/Days_In_Year</f>
        <v>0.252054794520548</v>
      </c>
      <c r="EI6" s="52" t="n">
        <f aca="false">EI$5/Days_In_Year</f>
        <v>0.246575342465753</v>
      </c>
      <c r="EJ6" s="52" t="n">
        <f aca="false">EJ$5/Days_In_Year</f>
        <v>0.249315068493151</v>
      </c>
      <c r="EK6" s="52" t="n">
        <f aca="false">EK$5/Days_In_Year</f>
        <v>0.252054794520548</v>
      </c>
      <c r="EL6" s="52" t="n">
        <f aca="false">EL$5/Days_In_Year</f>
        <v>0.252054794520548</v>
      </c>
      <c r="EM6" s="52" t="n">
        <f aca="false">EM$5/Days_In_Year</f>
        <v>0.249315068493151</v>
      </c>
      <c r="EN6" s="52" t="n">
        <f aca="false">EN$5/Days_In_Year</f>
        <v>0.249315068493151</v>
      </c>
      <c r="EO6" s="52" t="n">
        <f aca="false">EO$5/Days_In_Year</f>
        <v>0.252054794520548</v>
      </c>
    </row>
    <row r="7" customFormat="false" ht="15" hidden="false" customHeight="false" outlineLevel="0" collapsed="false">
      <c r="C7" s="0" t="s">
        <v>328</v>
      </c>
      <c r="D7" s="11" t="s">
        <v>329</v>
      </c>
      <c r="J7" s="39" t="n">
        <f aca="false">YEAR(J$4)</f>
        <v>2026</v>
      </c>
      <c r="K7" s="39" t="n">
        <f aca="false">YEAR(K$4)</f>
        <v>2027</v>
      </c>
      <c r="L7" s="39" t="n">
        <f aca="false">YEAR(L$4)</f>
        <v>2027</v>
      </c>
      <c r="M7" s="39" t="n">
        <f aca="false">YEAR(M$4)</f>
        <v>2027</v>
      </c>
      <c r="N7" s="39" t="n">
        <f aca="false">YEAR(N$4)</f>
        <v>2027</v>
      </c>
      <c r="O7" s="39" t="n">
        <f aca="false">YEAR(O$4)</f>
        <v>2028</v>
      </c>
      <c r="P7" s="39" t="n">
        <f aca="false">YEAR(P$4)</f>
        <v>2028</v>
      </c>
      <c r="Q7" s="39" t="n">
        <f aca="false">YEAR(Q$4)</f>
        <v>2028</v>
      </c>
      <c r="R7" s="39" t="n">
        <f aca="false">YEAR(R$4)</f>
        <v>2028</v>
      </c>
      <c r="S7" s="39" t="n">
        <f aca="false">YEAR(S$4)</f>
        <v>2029</v>
      </c>
      <c r="T7" s="39" t="n">
        <f aca="false">YEAR(T$4)</f>
        <v>2029</v>
      </c>
      <c r="U7" s="39" t="n">
        <f aca="false">YEAR(U$4)</f>
        <v>2029</v>
      </c>
      <c r="V7" s="39" t="n">
        <f aca="false">YEAR(V$4)</f>
        <v>2029</v>
      </c>
      <c r="W7" s="39" t="n">
        <f aca="false">YEAR(W$4)</f>
        <v>2030</v>
      </c>
      <c r="X7" s="39" t="n">
        <f aca="false">YEAR(X$4)</f>
        <v>2030</v>
      </c>
      <c r="Y7" s="39" t="n">
        <f aca="false">YEAR(Y$4)</f>
        <v>2030</v>
      </c>
      <c r="Z7" s="39" t="n">
        <f aca="false">YEAR(Z$4)</f>
        <v>2030</v>
      </c>
      <c r="AA7" s="39" t="n">
        <f aca="false">YEAR(AA$4)</f>
        <v>2031</v>
      </c>
      <c r="AB7" s="39" t="n">
        <f aca="false">YEAR(AB$4)</f>
        <v>2031</v>
      </c>
      <c r="AC7" s="39" t="n">
        <f aca="false">YEAR(AC$4)</f>
        <v>2031</v>
      </c>
      <c r="AD7" s="39" t="n">
        <f aca="false">YEAR(AD$4)</f>
        <v>2031</v>
      </c>
      <c r="AE7" s="39" t="n">
        <f aca="false">YEAR(AE$4)</f>
        <v>2032</v>
      </c>
      <c r="AF7" s="39" t="n">
        <f aca="false">YEAR(AF$4)</f>
        <v>2032</v>
      </c>
      <c r="AG7" s="39" t="n">
        <f aca="false">YEAR(AG$4)</f>
        <v>2032</v>
      </c>
      <c r="AH7" s="39" t="n">
        <f aca="false">YEAR(AH$4)</f>
        <v>2032</v>
      </c>
      <c r="AI7" s="39" t="n">
        <f aca="false">YEAR(AI$4)</f>
        <v>2033</v>
      </c>
      <c r="AJ7" s="39" t="n">
        <f aca="false">YEAR(AJ$4)</f>
        <v>2033</v>
      </c>
      <c r="AK7" s="39" t="n">
        <f aca="false">YEAR(AK$4)</f>
        <v>2033</v>
      </c>
      <c r="AL7" s="39" t="n">
        <f aca="false">YEAR(AL$4)</f>
        <v>2033</v>
      </c>
      <c r="AM7" s="39" t="n">
        <f aca="false">YEAR(AM$4)</f>
        <v>2034</v>
      </c>
      <c r="AN7" s="39" t="n">
        <f aca="false">YEAR(AN$4)</f>
        <v>2034</v>
      </c>
      <c r="AO7" s="39" t="n">
        <f aca="false">YEAR(AO$4)</f>
        <v>2034</v>
      </c>
      <c r="AP7" s="39" t="n">
        <f aca="false">YEAR(AP$4)</f>
        <v>2034</v>
      </c>
      <c r="AQ7" s="39" t="n">
        <f aca="false">YEAR(AQ$4)</f>
        <v>2035</v>
      </c>
      <c r="AR7" s="39" t="n">
        <f aca="false">YEAR(AR$4)</f>
        <v>2035</v>
      </c>
      <c r="AS7" s="39" t="n">
        <f aca="false">YEAR(AS$4)</f>
        <v>2035</v>
      </c>
      <c r="AT7" s="39" t="n">
        <f aca="false">YEAR(AT$4)</f>
        <v>2035</v>
      </c>
      <c r="AU7" s="39" t="n">
        <f aca="false">YEAR(AU$4)</f>
        <v>2036</v>
      </c>
      <c r="AV7" s="39" t="n">
        <f aca="false">YEAR(AV$4)</f>
        <v>2036</v>
      </c>
      <c r="AW7" s="39" t="n">
        <f aca="false">YEAR(AW$4)</f>
        <v>2036</v>
      </c>
      <c r="AX7" s="39" t="n">
        <f aca="false">YEAR(AX$4)</f>
        <v>2036</v>
      </c>
      <c r="AY7" s="39" t="n">
        <f aca="false">YEAR(AY$4)</f>
        <v>2037</v>
      </c>
      <c r="AZ7" s="39" t="n">
        <f aca="false">YEAR(AZ$4)</f>
        <v>2037</v>
      </c>
      <c r="BA7" s="39" t="n">
        <f aca="false">YEAR(BA$4)</f>
        <v>2037</v>
      </c>
      <c r="BB7" s="39" t="n">
        <f aca="false">YEAR(BB$4)</f>
        <v>2037</v>
      </c>
      <c r="BC7" s="39" t="n">
        <f aca="false">YEAR(BC$4)</f>
        <v>2038</v>
      </c>
      <c r="BD7" s="39" t="n">
        <f aca="false">YEAR(BD$4)</f>
        <v>2038</v>
      </c>
      <c r="BE7" s="39" t="n">
        <f aca="false">YEAR(BE$4)</f>
        <v>2038</v>
      </c>
      <c r="BF7" s="39" t="n">
        <f aca="false">YEAR(BF$4)</f>
        <v>2038</v>
      </c>
      <c r="BG7" s="39" t="n">
        <f aca="false">YEAR(BG$4)</f>
        <v>2039</v>
      </c>
      <c r="BH7" s="39" t="n">
        <f aca="false">YEAR(BH$4)</f>
        <v>2039</v>
      </c>
      <c r="BI7" s="39" t="n">
        <f aca="false">YEAR(BI$4)</f>
        <v>2039</v>
      </c>
      <c r="BJ7" s="39" t="n">
        <f aca="false">YEAR(BJ$4)</f>
        <v>2039</v>
      </c>
      <c r="BK7" s="39" t="n">
        <f aca="false">YEAR(BK$4)</f>
        <v>2040</v>
      </c>
      <c r="BL7" s="39" t="n">
        <f aca="false">YEAR(BL$4)</f>
        <v>2040</v>
      </c>
      <c r="BM7" s="39" t="n">
        <f aca="false">YEAR(BM$4)</f>
        <v>2040</v>
      </c>
      <c r="BN7" s="39" t="n">
        <f aca="false">YEAR(BN$4)</f>
        <v>2040</v>
      </c>
      <c r="BO7" s="39" t="n">
        <f aca="false">YEAR(BO$4)</f>
        <v>2041</v>
      </c>
      <c r="BP7" s="39" t="n">
        <f aca="false">YEAR(BP$4)</f>
        <v>2041</v>
      </c>
      <c r="BQ7" s="39" t="n">
        <f aca="false">YEAR(BQ$4)</f>
        <v>2041</v>
      </c>
      <c r="BR7" s="39" t="n">
        <f aca="false">YEAR(BR$4)</f>
        <v>2041</v>
      </c>
      <c r="BS7" s="39" t="n">
        <f aca="false">YEAR(BS$4)</f>
        <v>2042</v>
      </c>
      <c r="BT7" s="39" t="n">
        <f aca="false">YEAR(BT$4)</f>
        <v>2042</v>
      </c>
      <c r="BU7" s="39" t="n">
        <f aca="false">YEAR(BU$4)</f>
        <v>2042</v>
      </c>
      <c r="BV7" s="39" t="n">
        <f aca="false">YEAR(BV$4)</f>
        <v>2042</v>
      </c>
      <c r="BW7" s="39" t="n">
        <f aca="false">YEAR(BW$4)</f>
        <v>2043</v>
      </c>
      <c r="BX7" s="39" t="n">
        <f aca="false">YEAR(BX$4)</f>
        <v>2043</v>
      </c>
      <c r="BY7" s="39" t="n">
        <f aca="false">YEAR(BY$4)</f>
        <v>2043</v>
      </c>
      <c r="BZ7" s="39" t="n">
        <f aca="false">YEAR(BZ$4)</f>
        <v>2043</v>
      </c>
      <c r="CA7" s="39" t="n">
        <f aca="false">YEAR(CA$4)</f>
        <v>2044</v>
      </c>
      <c r="CB7" s="39" t="n">
        <f aca="false">YEAR(CB$4)</f>
        <v>2044</v>
      </c>
      <c r="CC7" s="39" t="n">
        <f aca="false">YEAR(CC$4)</f>
        <v>2044</v>
      </c>
      <c r="CD7" s="39" t="n">
        <f aca="false">YEAR(CD$4)</f>
        <v>2044</v>
      </c>
      <c r="CE7" s="39" t="n">
        <f aca="false">YEAR(CE$4)</f>
        <v>2045</v>
      </c>
      <c r="CF7" s="39" t="n">
        <f aca="false">YEAR(CF$4)</f>
        <v>2045</v>
      </c>
      <c r="CG7" s="39" t="n">
        <f aca="false">YEAR(CG$4)</f>
        <v>2045</v>
      </c>
      <c r="CH7" s="39" t="n">
        <f aca="false">YEAR(CH$4)</f>
        <v>2045</v>
      </c>
      <c r="CI7" s="39" t="n">
        <f aca="false">YEAR(CI$4)</f>
        <v>2046</v>
      </c>
      <c r="CJ7" s="39" t="n">
        <f aca="false">YEAR(CJ$4)</f>
        <v>2046</v>
      </c>
      <c r="CK7" s="39" t="n">
        <f aca="false">YEAR(CK$4)</f>
        <v>2046</v>
      </c>
      <c r="CL7" s="39" t="n">
        <f aca="false">YEAR(CL$4)</f>
        <v>2046</v>
      </c>
      <c r="CM7" s="39" t="n">
        <f aca="false">YEAR(CM$4)</f>
        <v>2047</v>
      </c>
      <c r="CN7" s="39" t="n">
        <f aca="false">YEAR(CN$4)</f>
        <v>2047</v>
      </c>
      <c r="CO7" s="39" t="n">
        <f aca="false">YEAR(CO$4)</f>
        <v>2047</v>
      </c>
      <c r="CP7" s="39" t="n">
        <f aca="false">YEAR(CP$4)</f>
        <v>2047</v>
      </c>
      <c r="CQ7" s="39" t="n">
        <f aca="false">YEAR(CQ$4)</f>
        <v>2048</v>
      </c>
      <c r="CR7" s="39" t="n">
        <f aca="false">YEAR(CR$4)</f>
        <v>2048</v>
      </c>
      <c r="CS7" s="39" t="n">
        <f aca="false">YEAR(CS$4)</f>
        <v>2048</v>
      </c>
      <c r="CT7" s="39" t="n">
        <f aca="false">YEAR(CT$4)</f>
        <v>2048</v>
      </c>
      <c r="CU7" s="39" t="n">
        <f aca="false">YEAR(CU$4)</f>
        <v>2049</v>
      </c>
      <c r="CV7" s="39" t="n">
        <f aca="false">YEAR(CV$4)</f>
        <v>2049</v>
      </c>
      <c r="CW7" s="39" t="n">
        <f aca="false">YEAR(CW$4)</f>
        <v>2049</v>
      </c>
      <c r="CX7" s="39" t="n">
        <f aca="false">YEAR(CX$4)</f>
        <v>2049</v>
      </c>
      <c r="CY7" s="39" t="n">
        <f aca="false">YEAR(CY$4)</f>
        <v>2050</v>
      </c>
      <c r="CZ7" s="39" t="n">
        <f aca="false">YEAR(CZ$4)</f>
        <v>2050</v>
      </c>
      <c r="DA7" s="39" t="n">
        <f aca="false">YEAR(DA$4)</f>
        <v>2050</v>
      </c>
      <c r="DB7" s="39" t="n">
        <f aca="false">YEAR(DB$4)</f>
        <v>2050</v>
      </c>
      <c r="DC7" s="39" t="n">
        <f aca="false">YEAR(DC$4)</f>
        <v>2051</v>
      </c>
      <c r="DD7" s="39" t="n">
        <f aca="false">YEAR(DD$4)</f>
        <v>2051</v>
      </c>
      <c r="DE7" s="39" t="n">
        <f aca="false">YEAR(DE$4)</f>
        <v>2051</v>
      </c>
      <c r="DF7" s="39" t="n">
        <f aca="false">YEAR(DF$4)</f>
        <v>2051</v>
      </c>
      <c r="DG7" s="39" t="n">
        <f aca="false">YEAR(DG$4)</f>
        <v>2052</v>
      </c>
      <c r="DH7" s="39" t="n">
        <f aca="false">YEAR(DH$4)</f>
        <v>2052</v>
      </c>
      <c r="DI7" s="39" t="n">
        <f aca="false">YEAR(DI$4)</f>
        <v>2052</v>
      </c>
      <c r="DJ7" s="39" t="n">
        <f aca="false">YEAR(DJ$4)</f>
        <v>2052</v>
      </c>
      <c r="DK7" s="39" t="n">
        <f aca="false">YEAR(DK$4)</f>
        <v>2053</v>
      </c>
      <c r="DL7" s="39" t="n">
        <f aca="false">YEAR(DL$4)</f>
        <v>2053</v>
      </c>
      <c r="DM7" s="39" t="n">
        <f aca="false">YEAR(DM$4)</f>
        <v>2053</v>
      </c>
      <c r="DN7" s="39" t="n">
        <f aca="false">YEAR(DN$4)</f>
        <v>2053</v>
      </c>
      <c r="DO7" s="39" t="n">
        <f aca="false">YEAR(DO$4)</f>
        <v>2054</v>
      </c>
      <c r="DP7" s="39" t="n">
        <f aca="false">YEAR(DP$4)</f>
        <v>2054</v>
      </c>
      <c r="DQ7" s="39" t="n">
        <f aca="false">YEAR(DQ$4)</f>
        <v>2054</v>
      </c>
      <c r="DR7" s="39" t="n">
        <f aca="false">YEAR(DR$4)</f>
        <v>2054</v>
      </c>
      <c r="DS7" s="39" t="n">
        <f aca="false">YEAR(DS$4)</f>
        <v>2055</v>
      </c>
      <c r="DT7" s="39" t="n">
        <f aca="false">YEAR(DT$4)</f>
        <v>2055</v>
      </c>
      <c r="DU7" s="39" t="n">
        <f aca="false">YEAR(DU$4)</f>
        <v>2055</v>
      </c>
      <c r="DV7" s="39" t="n">
        <f aca="false">YEAR(DV$4)</f>
        <v>2055</v>
      </c>
      <c r="DW7" s="39" t="n">
        <f aca="false">YEAR(DW$4)</f>
        <v>2056</v>
      </c>
      <c r="DX7" s="39" t="n">
        <f aca="false">YEAR(DX$4)</f>
        <v>2056</v>
      </c>
      <c r="DY7" s="39" t="n">
        <f aca="false">YEAR(DY$4)</f>
        <v>2056</v>
      </c>
      <c r="DZ7" s="39" t="n">
        <f aca="false">YEAR(DZ$4)</f>
        <v>2056</v>
      </c>
      <c r="EA7" s="39" t="n">
        <f aca="false">YEAR(EA$4)</f>
        <v>2057</v>
      </c>
      <c r="EB7" s="39" t="n">
        <f aca="false">YEAR(EB$4)</f>
        <v>2057</v>
      </c>
      <c r="EC7" s="39" t="n">
        <f aca="false">YEAR(EC$4)</f>
        <v>2057</v>
      </c>
      <c r="ED7" s="39" t="n">
        <f aca="false">YEAR(ED$4)</f>
        <v>2057</v>
      </c>
      <c r="EE7" s="39" t="n">
        <f aca="false">YEAR(EE$4)</f>
        <v>2058</v>
      </c>
      <c r="EF7" s="39" t="n">
        <f aca="false">YEAR(EF$4)</f>
        <v>2058</v>
      </c>
      <c r="EG7" s="39" t="n">
        <f aca="false">YEAR(EG$4)</f>
        <v>2058</v>
      </c>
      <c r="EH7" s="39" t="n">
        <f aca="false">YEAR(EH$4)</f>
        <v>2058</v>
      </c>
      <c r="EI7" s="39" t="n">
        <f aca="false">YEAR(EI$4)</f>
        <v>2059</v>
      </c>
      <c r="EJ7" s="39" t="n">
        <f aca="false">YEAR(EJ$4)</f>
        <v>2059</v>
      </c>
      <c r="EK7" s="39" t="n">
        <f aca="false">YEAR(EK$4)</f>
        <v>2059</v>
      </c>
      <c r="EL7" s="39" t="n">
        <f aca="false">YEAR(EL$4)</f>
        <v>2059</v>
      </c>
      <c r="EM7" s="39" t="n">
        <f aca="false">YEAR(EM$4)</f>
        <v>2060</v>
      </c>
      <c r="EN7" s="39" t="n">
        <f aca="false">YEAR(EN$4)</f>
        <v>2060</v>
      </c>
      <c r="EO7" s="39" t="n">
        <f aca="false">YEAR(EO$4)</f>
        <v>2060</v>
      </c>
    </row>
    <row r="8" customFormat="false" ht="15" hidden="false" customHeight="false" outlineLevel="0" collapsed="false">
      <c r="C8" s="0" t="s">
        <v>330</v>
      </c>
      <c r="D8" s="11" t="s">
        <v>119</v>
      </c>
      <c r="J8" s="39" t="n">
        <f aca="false">I$8+1</f>
        <v>1</v>
      </c>
      <c r="K8" s="39" t="n">
        <f aca="false">J$8+1</f>
        <v>2</v>
      </c>
      <c r="L8" s="39" t="n">
        <f aca="false">K$8+1</f>
        <v>3</v>
      </c>
      <c r="M8" s="39" t="n">
        <f aca="false">L$8+1</f>
        <v>4</v>
      </c>
      <c r="N8" s="39" t="n">
        <f aca="false">M$8+1</f>
        <v>5</v>
      </c>
      <c r="O8" s="39" t="n">
        <f aca="false">N$8+1</f>
        <v>6</v>
      </c>
      <c r="P8" s="39" t="n">
        <f aca="false">O$8+1</f>
        <v>7</v>
      </c>
      <c r="Q8" s="39" t="n">
        <f aca="false">P$8+1</f>
        <v>8</v>
      </c>
      <c r="R8" s="39" t="n">
        <f aca="false">Q$8+1</f>
        <v>9</v>
      </c>
      <c r="S8" s="39" t="n">
        <f aca="false">R$8+1</f>
        <v>10</v>
      </c>
      <c r="T8" s="39" t="n">
        <f aca="false">S$8+1</f>
        <v>11</v>
      </c>
      <c r="U8" s="39" t="n">
        <f aca="false">T$8+1</f>
        <v>12</v>
      </c>
      <c r="V8" s="39" t="n">
        <f aca="false">U$8+1</f>
        <v>13</v>
      </c>
      <c r="W8" s="39" t="n">
        <f aca="false">V$8+1</f>
        <v>14</v>
      </c>
      <c r="X8" s="39" t="n">
        <f aca="false">W$8+1</f>
        <v>15</v>
      </c>
      <c r="Y8" s="39" t="n">
        <f aca="false">X$8+1</f>
        <v>16</v>
      </c>
      <c r="Z8" s="39" t="n">
        <f aca="false">Y$8+1</f>
        <v>17</v>
      </c>
      <c r="AA8" s="39" t="n">
        <f aca="false">Z$8+1</f>
        <v>18</v>
      </c>
      <c r="AB8" s="39" t="n">
        <f aca="false">AA$8+1</f>
        <v>19</v>
      </c>
      <c r="AC8" s="39" t="n">
        <f aca="false">AB$8+1</f>
        <v>20</v>
      </c>
      <c r="AD8" s="39" t="n">
        <f aca="false">AC$8+1</f>
        <v>21</v>
      </c>
      <c r="AE8" s="39" t="n">
        <f aca="false">AD$8+1</f>
        <v>22</v>
      </c>
      <c r="AF8" s="39" t="n">
        <f aca="false">AE$8+1</f>
        <v>23</v>
      </c>
      <c r="AG8" s="39" t="n">
        <f aca="false">AF$8+1</f>
        <v>24</v>
      </c>
      <c r="AH8" s="39" t="n">
        <f aca="false">AG$8+1</f>
        <v>25</v>
      </c>
      <c r="AI8" s="39" t="n">
        <f aca="false">AH$8+1</f>
        <v>26</v>
      </c>
      <c r="AJ8" s="39" t="n">
        <f aca="false">AI$8+1</f>
        <v>27</v>
      </c>
      <c r="AK8" s="39" t="n">
        <f aca="false">AJ$8+1</f>
        <v>28</v>
      </c>
      <c r="AL8" s="39" t="n">
        <f aca="false">AK$8+1</f>
        <v>29</v>
      </c>
      <c r="AM8" s="39" t="n">
        <f aca="false">AL$8+1</f>
        <v>30</v>
      </c>
      <c r="AN8" s="39" t="n">
        <f aca="false">AM$8+1</f>
        <v>31</v>
      </c>
      <c r="AO8" s="39" t="n">
        <f aca="false">AN$8+1</f>
        <v>32</v>
      </c>
      <c r="AP8" s="39" t="n">
        <f aca="false">AO$8+1</f>
        <v>33</v>
      </c>
      <c r="AQ8" s="39" t="n">
        <f aca="false">AP$8+1</f>
        <v>34</v>
      </c>
      <c r="AR8" s="39" t="n">
        <f aca="false">AQ$8+1</f>
        <v>35</v>
      </c>
      <c r="AS8" s="39" t="n">
        <f aca="false">AR$8+1</f>
        <v>36</v>
      </c>
      <c r="AT8" s="39" t="n">
        <f aca="false">AS$8+1</f>
        <v>37</v>
      </c>
      <c r="AU8" s="39" t="n">
        <f aca="false">AT$8+1</f>
        <v>38</v>
      </c>
      <c r="AV8" s="39" t="n">
        <f aca="false">AU$8+1</f>
        <v>39</v>
      </c>
      <c r="AW8" s="39" t="n">
        <f aca="false">AV$8+1</f>
        <v>40</v>
      </c>
      <c r="AX8" s="39" t="n">
        <f aca="false">AW$8+1</f>
        <v>41</v>
      </c>
      <c r="AY8" s="39" t="n">
        <f aca="false">AX$8+1</f>
        <v>42</v>
      </c>
      <c r="AZ8" s="39" t="n">
        <f aca="false">AY$8+1</f>
        <v>43</v>
      </c>
      <c r="BA8" s="39" t="n">
        <f aca="false">AZ$8+1</f>
        <v>44</v>
      </c>
      <c r="BB8" s="39" t="n">
        <f aca="false">BA$8+1</f>
        <v>45</v>
      </c>
      <c r="BC8" s="39" t="n">
        <f aca="false">BB$8+1</f>
        <v>46</v>
      </c>
      <c r="BD8" s="39" t="n">
        <f aca="false">BC$8+1</f>
        <v>47</v>
      </c>
      <c r="BE8" s="39" t="n">
        <f aca="false">BD$8+1</f>
        <v>48</v>
      </c>
      <c r="BF8" s="39" t="n">
        <f aca="false">BE$8+1</f>
        <v>49</v>
      </c>
      <c r="BG8" s="39" t="n">
        <f aca="false">BF$8+1</f>
        <v>50</v>
      </c>
      <c r="BH8" s="39" t="n">
        <f aca="false">BG$8+1</f>
        <v>51</v>
      </c>
      <c r="BI8" s="39" t="n">
        <f aca="false">BH$8+1</f>
        <v>52</v>
      </c>
      <c r="BJ8" s="39" t="n">
        <f aca="false">BI$8+1</f>
        <v>53</v>
      </c>
      <c r="BK8" s="39" t="n">
        <f aca="false">BJ$8+1</f>
        <v>54</v>
      </c>
      <c r="BL8" s="39" t="n">
        <f aca="false">BK$8+1</f>
        <v>55</v>
      </c>
      <c r="BM8" s="39" t="n">
        <f aca="false">BL$8+1</f>
        <v>56</v>
      </c>
      <c r="BN8" s="39" t="n">
        <f aca="false">BM$8+1</f>
        <v>57</v>
      </c>
      <c r="BO8" s="39" t="n">
        <f aca="false">BN$8+1</f>
        <v>58</v>
      </c>
      <c r="BP8" s="39" t="n">
        <f aca="false">BO$8+1</f>
        <v>59</v>
      </c>
      <c r="BQ8" s="39" t="n">
        <f aca="false">BP$8+1</f>
        <v>60</v>
      </c>
      <c r="BR8" s="39" t="n">
        <f aca="false">BQ$8+1</f>
        <v>61</v>
      </c>
      <c r="BS8" s="39" t="n">
        <f aca="false">BR$8+1</f>
        <v>62</v>
      </c>
      <c r="BT8" s="39" t="n">
        <f aca="false">BS$8+1</f>
        <v>63</v>
      </c>
      <c r="BU8" s="39" t="n">
        <f aca="false">BT$8+1</f>
        <v>64</v>
      </c>
      <c r="BV8" s="39" t="n">
        <f aca="false">BU$8+1</f>
        <v>65</v>
      </c>
      <c r="BW8" s="39" t="n">
        <f aca="false">BV$8+1</f>
        <v>66</v>
      </c>
      <c r="BX8" s="39" t="n">
        <f aca="false">BW$8+1</f>
        <v>67</v>
      </c>
      <c r="BY8" s="39" t="n">
        <f aca="false">BX$8+1</f>
        <v>68</v>
      </c>
      <c r="BZ8" s="39" t="n">
        <f aca="false">BY$8+1</f>
        <v>69</v>
      </c>
      <c r="CA8" s="39" t="n">
        <f aca="false">BZ$8+1</f>
        <v>70</v>
      </c>
      <c r="CB8" s="39" t="n">
        <f aca="false">CA$8+1</f>
        <v>71</v>
      </c>
      <c r="CC8" s="39" t="n">
        <f aca="false">CB$8+1</f>
        <v>72</v>
      </c>
      <c r="CD8" s="39" t="n">
        <f aca="false">CC$8+1</f>
        <v>73</v>
      </c>
      <c r="CE8" s="39" t="n">
        <f aca="false">CD$8+1</f>
        <v>74</v>
      </c>
      <c r="CF8" s="39" t="n">
        <f aca="false">CE$8+1</f>
        <v>75</v>
      </c>
      <c r="CG8" s="39" t="n">
        <f aca="false">CF$8+1</f>
        <v>76</v>
      </c>
      <c r="CH8" s="39" t="n">
        <f aca="false">CG$8+1</f>
        <v>77</v>
      </c>
      <c r="CI8" s="39" t="n">
        <f aca="false">CH$8+1</f>
        <v>78</v>
      </c>
      <c r="CJ8" s="39" t="n">
        <f aca="false">CI$8+1</f>
        <v>79</v>
      </c>
      <c r="CK8" s="39" t="n">
        <f aca="false">CJ$8+1</f>
        <v>80</v>
      </c>
      <c r="CL8" s="39" t="n">
        <f aca="false">CK$8+1</f>
        <v>81</v>
      </c>
      <c r="CM8" s="39" t="n">
        <f aca="false">CL$8+1</f>
        <v>82</v>
      </c>
      <c r="CN8" s="39" t="n">
        <f aca="false">CM$8+1</f>
        <v>83</v>
      </c>
      <c r="CO8" s="39" t="n">
        <f aca="false">CN$8+1</f>
        <v>84</v>
      </c>
      <c r="CP8" s="39" t="n">
        <f aca="false">CO$8+1</f>
        <v>85</v>
      </c>
      <c r="CQ8" s="39" t="n">
        <f aca="false">CP$8+1</f>
        <v>86</v>
      </c>
      <c r="CR8" s="39" t="n">
        <f aca="false">CQ$8+1</f>
        <v>87</v>
      </c>
      <c r="CS8" s="39" t="n">
        <f aca="false">CR$8+1</f>
        <v>88</v>
      </c>
      <c r="CT8" s="39" t="n">
        <f aca="false">CS$8+1</f>
        <v>89</v>
      </c>
      <c r="CU8" s="39" t="n">
        <f aca="false">CT$8+1</f>
        <v>90</v>
      </c>
      <c r="CV8" s="39" t="n">
        <f aca="false">CU$8+1</f>
        <v>91</v>
      </c>
      <c r="CW8" s="39" t="n">
        <f aca="false">CV$8+1</f>
        <v>92</v>
      </c>
      <c r="CX8" s="39" t="n">
        <f aca="false">CW$8+1</f>
        <v>93</v>
      </c>
      <c r="CY8" s="39" t="n">
        <f aca="false">CX$8+1</f>
        <v>94</v>
      </c>
      <c r="CZ8" s="39" t="n">
        <f aca="false">CY$8+1</f>
        <v>95</v>
      </c>
      <c r="DA8" s="39" t="n">
        <f aca="false">CZ$8+1</f>
        <v>96</v>
      </c>
      <c r="DB8" s="39" t="n">
        <f aca="false">DA$8+1</f>
        <v>97</v>
      </c>
      <c r="DC8" s="39" t="n">
        <f aca="false">DB$8+1</f>
        <v>98</v>
      </c>
      <c r="DD8" s="39" t="n">
        <f aca="false">DC$8+1</f>
        <v>99</v>
      </c>
      <c r="DE8" s="39" t="n">
        <f aca="false">DD$8+1</f>
        <v>100</v>
      </c>
      <c r="DF8" s="39" t="n">
        <f aca="false">DE$8+1</f>
        <v>101</v>
      </c>
      <c r="DG8" s="39" t="n">
        <f aca="false">DF$8+1</f>
        <v>102</v>
      </c>
      <c r="DH8" s="39" t="n">
        <f aca="false">DG$8+1</f>
        <v>103</v>
      </c>
      <c r="DI8" s="39" t="n">
        <f aca="false">DH$8+1</f>
        <v>104</v>
      </c>
      <c r="DJ8" s="39" t="n">
        <f aca="false">DI$8+1</f>
        <v>105</v>
      </c>
      <c r="DK8" s="39" t="n">
        <f aca="false">DJ$8+1</f>
        <v>106</v>
      </c>
      <c r="DL8" s="39" t="n">
        <f aca="false">DK$8+1</f>
        <v>107</v>
      </c>
      <c r="DM8" s="39" t="n">
        <f aca="false">DL$8+1</f>
        <v>108</v>
      </c>
      <c r="DN8" s="39" t="n">
        <f aca="false">DM$8+1</f>
        <v>109</v>
      </c>
      <c r="DO8" s="39" t="n">
        <f aca="false">DN$8+1</f>
        <v>110</v>
      </c>
      <c r="DP8" s="39" t="n">
        <f aca="false">DO$8+1</f>
        <v>111</v>
      </c>
      <c r="DQ8" s="39" t="n">
        <f aca="false">DP$8+1</f>
        <v>112</v>
      </c>
      <c r="DR8" s="39" t="n">
        <f aca="false">DQ$8+1</f>
        <v>113</v>
      </c>
      <c r="DS8" s="39" t="n">
        <f aca="false">DR$8+1</f>
        <v>114</v>
      </c>
      <c r="DT8" s="39" t="n">
        <f aca="false">DS$8+1</f>
        <v>115</v>
      </c>
      <c r="DU8" s="39" t="n">
        <f aca="false">DT$8+1</f>
        <v>116</v>
      </c>
      <c r="DV8" s="39" t="n">
        <f aca="false">DU$8+1</f>
        <v>117</v>
      </c>
      <c r="DW8" s="39" t="n">
        <f aca="false">DV$8+1</f>
        <v>118</v>
      </c>
      <c r="DX8" s="39" t="n">
        <f aca="false">DW$8+1</f>
        <v>119</v>
      </c>
      <c r="DY8" s="39" t="n">
        <f aca="false">DX$8+1</f>
        <v>120</v>
      </c>
      <c r="DZ8" s="39" t="n">
        <f aca="false">DY$8+1</f>
        <v>121</v>
      </c>
      <c r="EA8" s="39" t="n">
        <f aca="false">DZ$8+1</f>
        <v>122</v>
      </c>
      <c r="EB8" s="39" t="n">
        <f aca="false">EA$8+1</f>
        <v>123</v>
      </c>
      <c r="EC8" s="39" t="n">
        <f aca="false">EB$8+1</f>
        <v>124</v>
      </c>
      <c r="ED8" s="39" t="n">
        <f aca="false">EC$8+1</f>
        <v>125</v>
      </c>
      <c r="EE8" s="39" t="n">
        <f aca="false">ED$8+1</f>
        <v>126</v>
      </c>
      <c r="EF8" s="39" t="n">
        <f aca="false">EE$8+1</f>
        <v>127</v>
      </c>
      <c r="EG8" s="39" t="n">
        <f aca="false">EF$8+1</f>
        <v>128</v>
      </c>
      <c r="EH8" s="39" t="n">
        <f aca="false">EG$8+1</f>
        <v>129</v>
      </c>
      <c r="EI8" s="39" t="n">
        <f aca="false">EH$8+1</f>
        <v>130</v>
      </c>
      <c r="EJ8" s="39" t="n">
        <f aca="false">EI$8+1</f>
        <v>131</v>
      </c>
      <c r="EK8" s="39" t="n">
        <f aca="false">EJ$8+1</f>
        <v>132</v>
      </c>
      <c r="EL8" s="39" t="n">
        <f aca="false">EK$8+1</f>
        <v>133</v>
      </c>
      <c r="EM8" s="39" t="n">
        <f aca="false">EL$8+1</f>
        <v>134</v>
      </c>
      <c r="EN8" s="39" t="n">
        <f aca="false">EM$8+1</f>
        <v>135</v>
      </c>
      <c r="EO8" s="39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331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332</v>
      </c>
      <c r="D12" s="11" t="s">
        <v>327</v>
      </c>
      <c r="E12" s="41" t="n">
        <f aca="false">In_NTP+1</f>
        <v>47027</v>
      </c>
      <c r="F12" s="20" t="n">
        <f aca="false">In_COD</f>
        <v>47756</v>
      </c>
      <c r="I12" s="52" t="n">
        <f aca="false">SUM(J12:EO12)</f>
        <v>1</v>
      </c>
      <c r="J12" s="52" t="n">
        <f aca="false">MAX(0,MIN($F12,J$4)-MAX($E12,J$3)+1)/($F12-$E12+1)</f>
        <v>0</v>
      </c>
      <c r="K12" s="52" t="n">
        <f aca="false">MAX(0,MIN($F12,K$4)-MAX($E12,K$3)+1)/($F12-$E12+1)</f>
        <v>0</v>
      </c>
      <c r="L12" s="52" t="n">
        <f aca="false">MAX(0,MIN($F12,L$4)-MAX($E12,L$3)+1)/($F12-$E12+1)</f>
        <v>0</v>
      </c>
      <c r="M12" s="52" t="n">
        <f aca="false">MAX(0,MIN($F12,M$4)-MAX($E12,M$3)+1)/($F12-$E12+1)</f>
        <v>0</v>
      </c>
      <c r="N12" s="52" t="n">
        <f aca="false">MAX(0,MIN($F12,N$4)-MAX($E12,N$3)+1)/($F12-$E12+1)</f>
        <v>0</v>
      </c>
      <c r="O12" s="52" t="n">
        <f aca="false">MAX(0,MIN($F12,O$4)-MAX($E12,O$3)+1)/($F12-$E12+1)</f>
        <v>0</v>
      </c>
      <c r="P12" s="52" t="n">
        <f aca="false">MAX(0,MIN($F12,P$4)-MAX($E12,P$3)+1)/($F12-$E12+1)</f>
        <v>0</v>
      </c>
      <c r="Q12" s="52" t="n">
        <f aca="false">MAX(0,MIN($F12,Q$4)-MAX($E12,Q$3)+1)/($F12-$E12+1)</f>
        <v>0</v>
      </c>
      <c r="R12" s="52" t="n">
        <f aca="false">MAX(0,MIN($F12,R$4)-MAX($E12,R$3)+1)/($F12-$E12+1)</f>
        <v>0.126027397260274</v>
      </c>
      <c r="S12" s="52" t="n">
        <f aca="false">MAX(0,MIN($F12,S$4)-MAX($E12,S$3)+1)/($F12-$E12+1)</f>
        <v>0.123287671232877</v>
      </c>
      <c r="T12" s="52" t="n">
        <f aca="false">MAX(0,MIN($F12,T$4)-MAX($E12,T$3)+1)/($F12-$E12+1)</f>
        <v>0.124657534246575</v>
      </c>
      <c r="U12" s="52" t="n">
        <f aca="false">MAX(0,MIN($F12,U$4)-MAX($E12,U$3)+1)/($F12-$E12+1)</f>
        <v>0.126027397260274</v>
      </c>
      <c r="V12" s="52" t="n">
        <f aca="false">MAX(0,MIN($F12,V$4)-MAX($E12,V$3)+1)/($F12-$E12+1)</f>
        <v>0.126027397260274</v>
      </c>
      <c r="W12" s="52" t="n">
        <f aca="false">MAX(0,MIN($F12,W$4)-MAX($E12,W$3)+1)/($F12-$E12+1)</f>
        <v>0.123287671232877</v>
      </c>
      <c r="X12" s="52" t="n">
        <f aca="false">MAX(0,MIN($F12,X$4)-MAX($E12,X$3)+1)/($F12-$E12+1)</f>
        <v>0.124657534246575</v>
      </c>
      <c r="Y12" s="52" t="n">
        <f aca="false">MAX(0,MIN($F12,Y$4)-MAX($E12,Y$3)+1)/($F12-$E12+1)</f>
        <v>0.126027397260274</v>
      </c>
      <c r="Z12" s="52" t="n">
        <f aca="false">MAX(0,MIN($F12,Z$4)-MAX($E12,Z$3)+1)/($F12-$E12+1)</f>
        <v>0</v>
      </c>
      <c r="AA12" s="52" t="n">
        <f aca="false">MAX(0,MIN($F12,AA$4)-MAX($E12,AA$3)+1)/($F12-$E12+1)</f>
        <v>0</v>
      </c>
      <c r="AB12" s="52" t="n">
        <f aca="false">MAX(0,MIN($F12,AB$4)-MAX($E12,AB$3)+1)/($F12-$E12+1)</f>
        <v>0</v>
      </c>
      <c r="AC12" s="52" t="n">
        <f aca="false">MAX(0,MIN($F12,AC$4)-MAX($E12,AC$3)+1)/($F12-$E12+1)</f>
        <v>0</v>
      </c>
      <c r="AD12" s="52" t="n">
        <f aca="false">MAX(0,MIN($F12,AD$4)-MAX($E12,AD$3)+1)/($F12-$E12+1)</f>
        <v>0</v>
      </c>
      <c r="AE12" s="52" t="n">
        <f aca="false">MAX(0,MIN($F12,AE$4)-MAX($E12,AE$3)+1)/($F12-$E12+1)</f>
        <v>0</v>
      </c>
      <c r="AF12" s="52" t="n">
        <f aca="false">MAX(0,MIN($F12,AF$4)-MAX($E12,AF$3)+1)/($F12-$E12+1)</f>
        <v>0</v>
      </c>
      <c r="AG12" s="52" t="n">
        <f aca="false">MAX(0,MIN($F12,AG$4)-MAX($E12,AG$3)+1)/($F12-$E12+1)</f>
        <v>0</v>
      </c>
      <c r="AH12" s="52" t="n">
        <f aca="false">MAX(0,MIN($F12,AH$4)-MAX($E12,AH$3)+1)/($F12-$E12+1)</f>
        <v>0</v>
      </c>
      <c r="AI12" s="52" t="n">
        <f aca="false">MAX(0,MIN($F12,AI$4)-MAX($E12,AI$3)+1)/($F12-$E12+1)</f>
        <v>0</v>
      </c>
      <c r="AJ12" s="52" t="n">
        <f aca="false">MAX(0,MIN($F12,AJ$4)-MAX($E12,AJ$3)+1)/($F12-$E12+1)</f>
        <v>0</v>
      </c>
      <c r="AK12" s="52" t="n">
        <f aca="false">MAX(0,MIN($F12,AK$4)-MAX($E12,AK$3)+1)/($F12-$E12+1)</f>
        <v>0</v>
      </c>
      <c r="AL12" s="52" t="n">
        <f aca="false">MAX(0,MIN($F12,AL$4)-MAX($E12,AL$3)+1)/($F12-$E12+1)</f>
        <v>0</v>
      </c>
      <c r="AM12" s="52" t="n">
        <f aca="false">MAX(0,MIN($F12,AM$4)-MAX($E12,AM$3)+1)/($F12-$E12+1)</f>
        <v>0</v>
      </c>
      <c r="AN12" s="52" t="n">
        <f aca="false">MAX(0,MIN($F12,AN$4)-MAX($E12,AN$3)+1)/($F12-$E12+1)</f>
        <v>0</v>
      </c>
      <c r="AO12" s="52" t="n">
        <f aca="false">MAX(0,MIN($F12,AO$4)-MAX($E12,AO$3)+1)/($F12-$E12+1)</f>
        <v>0</v>
      </c>
      <c r="AP12" s="52" t="n">
        <f aca="false">MAX(0,MIN($F12,AP$4)-MAX($E12,AP$3)+1)/($F12-$E12+1)</f>
        <v>0</v>
      </c>
      <c r="AQ12" s="52" t="n">
        <f aca="false">MAX(0,MIN($F12,AQ$4)-MAX($E12,AQ$3)+1)/($F12-$E12+1)</f>
        <v>0</v>
      </c>
      <c r="AR12" s="52" t="n">
        <f aca="false">MAX(0,MIN($F12,AR$4)-MAX($E12,AR$3)+1)/($F12-$E12+1)</f>
        <v>0</v>
      </c>
      <c r="AS12" s="52" t="n">
        <f aca="false">MAX(0,MIN($F12,AS$4)-MAX($E12,AS$3)+1)/($F12-$E12+1)</f>
        <v>0</v>
      </c>
      <c r="AT12" s="52" t="n">
        <f aca="false">MAX(0,MIN($F12,AT$4)-MAX($E12,AT$3)+1)/($F12-$E12+1)</f>
        <v>0</v>
      </c>
      <c r="AU12" s="52" t="n">
        <f aca="false">MAX(0,MIN($F12,AU$4)-MAX($E12,AU$3)+1)/($F12-$E12+1)</f>
        <v>0</v>
      </c>
      <c r="AV12" s="52" t="n">
        <f aca="false">MAX(0,MIN($F12,AV$4)-MAX($E12,AV$3)+1)/($F12-$E12+1)</f>
        <v>0</v>
      </c>
      <c r="AW12" s="52" t="n">
        <f aca="false">MAX(0,MIN($F12,AW$4)-MAX($E12,AW$3)+1)/($F12-$E12+1)</f>
        <v>0</v>
      </c>
      <c r="AX12" s="52" t="n">
        <f aca="false">MAX(0,MIN($F12,AX$4)-MAX($E12,AX$3)+1)/($F12-$E12+1)</f>
        <v>0</v>
      </c>
      <c r="AY12" s="52" t="n">
        <f aca="false">MAX(0,MIN($F12,AY$4)-MAX($E12,AY$3)+1)/($F12-$E12+1)</f>
        <v>0</v>
      </c>
      <c r="AZ12" s="52" t="n">
        <f aca="false">MAX(0,MIN($F12,AZ$4)-MAX($E12,AZ$3)+1)/($F12-$E12+1)</f>
        <v>0</v>
      </c>
      <c r="BA12" s="52" t="n">
        <f aca="false">MAX(0,MIN($F12,BA$4)-MAX($E12,BA$3)+1)/($F12-$E12+1)</f>
        <v>0</v>
      </c>
      <c r="BB12" s="52" t="n">
        <f aca="false">MAX(0,MIN($F12,BB$4)-MAX($E12,BB$3)+1)/($F12-$E12+1)</f>
        <v>0</v>
      </c>
      <c r="BC12" s="52" t="n">
        <f aca="false">MAX(0,MIN($F12,BC$4)-MAX($E12,BC$3)+1)/($F12-$E12+1)</f>
        <v>0</v>
      </c>
      <c r="BD12" s="52" t="n">
        <f aca="false">MAX(0,MIN($F12,BD$4)-MAX($E12,BD$3)+1)/($F12-$E12+1)</f>
        <v>0</v>
      </c>
      <c r="BE12" s="52" t="n">
        <f aca="false">MAX(0,MIN($F12,BE$4)-MAX($E12,BE$3)+1)/($F12-$E12+1)</f>
        <v>0</v>
      </c>
      <c r="BF12" s="52" t="n">
        <f aca="false">MAX(0,MIN($F12,BF$4)-MAX($E12,BF$3)+1)/($F12-$E12+1)</f>
        <v>0</v>
      </c>
      <c r="BG12" s="52" t="n">
        <f aca="false">MAX(0,MIN($F12,BG$4)-MAX($E12,BG$3)+1)/($F12-$E12+1)</f>
        <v>0</v>
      </c>
      <c r="BH12" s="52" t="n">
        <f aca="false">MAX(0,MIN($F12,BH$4)-MAX($E12,BH$3)+1)/($F12-$E12+1)</f>
        <v>0</v>
      </c>
      <c r="BI12" s="52" t="n">
        <f aca="false">MAX(0,MIN($F12,BI$4)-MAX($E12,BI$3)+1)/($F12-$E12+1)</f>
        <v>0</v>
      </c>
      <c r="BJ12" s="52" t="n">
        <f aca="false">MAX(0,MIN($F12,BJ$4)-MAX($E12,BJ$3)+1)/($F12-$E12+1)</f>
        <v>0</v>
      </c>
      <c r="BK12" s="52" t="n">
        <f aca="false">MAX(0,MIN($F12,BK$4)-MAX($E12,BK$3)+1)/($F12-$E12+1)</f>
        <v>0</v>
      </c>
      <c r="BL12" s="52" t="n">
        <f aca="false">MAX(0,MIN($F12,BL$4)-MAX($E12,BL$3)+1)/($F12-$E12+1)</f>
        <v>0</v>
      </c>
      <c r="BM12" s="52" t="n">
        <f aca="false">MAX(0,MIN($F12,BM$4)-MAX($E12,BM$3)+1)/($F12-$E12+1)</f>
        <v>0</v>
      </c>
      <c r="BN12" s="52" t="n">
        <f aca="false">MAX(0,MIN($F12,BN$4)-MAX($E12,BN$3)+1)/($F12-$E12+1)</f>
        <v>0</v>
      </c>
      <c r="BO12" s="52" t="n">
        <f aca="false">MAX(0,MIN($F12,BO$4)-MAX($E12,BO$3)+1)/($F12-$E12+1)</f>
        <v>0</v>
      </c>
      <c r="BP12" s="52" t="n">
        <f aca="false">MAX(0,MIN($F12,BP$4)-MAX($E12,BP$3)+1)/($F12-$E12+1)</f>
        <v>0</v>
      </c>
      <c r="BQ12" s="52" t="n">
        <f aca="false">MAX(0,MIN($F12,BQ$4)-MAX($E12,BQ$3)+1)/($F12-$E12+1)</f>
        <v>0</v>
      </c>
      <c r="BR12" s="52" t="n">
        <f aca="false">MAX(0,MIN($F12,BR$4)-MAX($E12,BR$3)+1)/($F12-$E12+1)</f>
        <v>0</v>
      </c>
      <c r="BS12" s="52" t="n">
        <f aca="false">MAX(0,MIN($F12,BS$4)-MAX($E12,BS$3)+1)/($F12-$E12+1)</f>
        <v>0</v>
      </c>
      <c r="BT12" s="52" t="n">
        <f aca="false">MAX(0,MIN($F12,BT$4)-MAX($E12,BT$3)+1)/($F12-$E12+1)</f>
        <v>0</v>
      </c>
      <c r="BU12" s="52" t="n">
        <f aca="false">MAX(0,MIN($F12,BU$4)-MAX($E12,BU$3)+1)/($F12-$E12+1)</f>
        <v>0</v>
      </c>
      <c r="BV12" s="52" t="n">
        <f aca="false">MAX(0,MIN($F12,BV$4)-MAX($E12,BV$3)+1)/($F12-$E12+1)</f>
        <v>0</v>
      </c>
      <c r="BW12" s="52" t="n">
        <f aca="false">MAX(0,MIN($F12,BW$4)-MAX($E12,BW$3)+1)/($F12-$E12+1)</f>
        <v>0</v>
      </c>
      <c r="BX12" s="52" t="n">
        <f aca="false">MAX(0,MIN($F12,BX$4)-MAX($E12,BX$3)+1)/($F12-$E12+1)</f>
        <v>0</v>
      </c>
      <c r="BY12" s="52" t="n">
        <f aca="false">MAX(0,MIN($F12,BY$4)-MAX($E12,BY$3)+1)/($F12-$E12+1)</f>
        <v>0</v>
      </c>
      <c r="BZ12" s="52" t="n">
        <f aca="false">MAX(0,MIN($F12,BZ$4)-MAX($E12,BZ$3)+1)/($F12-$E12+1)</f>
        <v>0</v>
      </c>
      <c r="CA12" s="52" t="n">
        <f aca="false">MAX(0,MIN($F12,CA$4)-MAX($E12,CA$3)+1)/($F12-$E12+1)</f>
        <v>0</v>
      </c>
      <c r="CB12" s="52" t="n">
        <f aca="false">MAX(0,MIN($F12,CB$4)-MAX($E12,CB$3)+1)/($F12-$E12+1)</f>
        <v>0</v>
      </c>
      <c r="CC12" s="52" t="n">
        <f aca="false">MAX(0,MIN($F12,CC$4)-MAX($E12,CC$3)+1)/($F12-$E12+1)</f>
        <v>0</v>
      </c>
      <c r="CD12" s="52" t="n">
        <f aca="false">MAX(0,MIN($F12,CD$4)-MAX($E12,CD$3)+1)/($F12-$E12+1)</f>
        <v>0</v>
      </c>
      <c r="CE12" s="52" t="n">
        <f aca="false">MAX(0,MIN($F12,CE$4)-MAX($E12,CE$3)+1)/($F12-$E12+1)</f>
        <v>0</v>
      </c>
      <c r="CF12" s="52" t="n">
        <f aca="false">MAX(0,MIN($F12,CF$4)-MAX($E12,CF$3)+1)/($F12-$E12+1)</f>
        <v>0</v>
      </c>
      <c r="CG12" s="52" t="n">
        <f aca="false">MAX(0,MIN($F12,CG$4)-MAX($E12,CG$3)+1)/($F12-$E12+1)</f>
        <v>0</v>
      </c>
      <c r="CH12" s="52" t="n">
        <f aca="false">MAX(0,MIN($F12,CH$4)-MAX($E12,CH$3)+1)/($F12-$E12+1)</f>
        <v>0</v>
      </c>
      <c r="CI12" s="52" t="n">
        <f aca="false">MAX(0,MIN($F12,CI$4)-MAX($E12,CI$3)+1)/($F12-$E12+1)</f>
        <v>0</v>
      </c>
      <c r="CJ12" s="52" t="n">
        <f aca="false">MAX(0,MIN($F12,CJ$4)-MAX($E12,CJ$3)+1)/($F12-$E12+1)</f>
        <v>0</v>
      </c>
      <c r="CK12" s="52" t="n">
        <f aca="false">MAX(0,MIN($F12,CK$4)-MAX($E12,CK$3)+1)/($F12-$E12+1)</f>
        <v>0</v>
      </c>
      <c r="CL12" s="52" t="n">
        <f aca="false">MAX(0,MIN($F12,CL$4)-MAX($E12,CL$3)+1)/($F12-$E12+1)</f>
        <v>0</v>
      </c>
      <c r="CM12" s="52" t="n">
        <f aca="false">MAX(0,MIN($F12,CM$4)-MAX($E12,CM$3)+1)/($F12-$E12+1)</f>
        <v>0</v>
      </c>
      <c r="CN12" s="52" t="n">
        <f aca="false">MAX(0,MIN($F12,CN$4)-MAX($E12,CN$3)+1)/($F12-$E12+1)</f>
        <v>0</v>
      </c>
      <c r="CO12" s="52" t="n">
        <f aca="false">MAX(0,MIN($F12,CO$4)-MAX($E12,CO$3)+1)/($F12-$E12+1)</f>
        <v>0</v>
      </c>
      <c r="CP12" s="52" t="n">
        <f aca="false">MAX(0,MIN($F12,CP$4)-MAX($E12,CP$3)+1)/($F12-$E12+1)</f>
        <v>0</v>
      </c>
      <c r="CQ12" s="52" t="n">
        <f aca="false">MAX(0,MIN($F12,CQ$4)-MAX($E12,CQ$3)+1)/($F12-$E12+1)</f>
        <v>0</v>
      </c>
      <c r="CR12" s="52" t="n">
        <f aca="false">MAX(0,MIN($F12,CR$4)-MAX($E12,CR$3)+1)/($F12-$E12+1)</f>
        <v>0</v>
      </c>
      <c r="CS12" s="52" t="n">
        <f aca="false">MAX(0,MIN($F12,CS$4)-MAX($E12,CS$3)+1)/($F12-$E12+1)</f>
        <v>0</v>
      </c>
      <c r="CT12" s="52" t="n">
        <f aca="false">MAX(0,MIN($F12,CT$4)-MAX($E12,CT$3)+1)/($F12-$E12+1)</f>
        <v>0</v>
      </c>
      <c r="CU12" s="52" t="n">
        <f aca="false">MAX(0,MIN($F12,CU$4)-MAX($E12,CU$3)+1)/($F12-$E12+1)</f>
        <v>0</v>
      </c>
      <c r="CV12" s="52" t="n">
        <f aca="false">MAX(0,MIN($F12,CV$4)-MAX($E12,CV$3)+1)/($F12-$E12+1)</f>
        <v>0</v>
      </c>
      <c r="CW12" s="52" t="n">
        <f aca="false">MAX(0,MIN($F12,CW$4)-MAX($E12,CW$3)+1)/($F12-$E12+1)</f>
        <v>0</v>
      </c>
      <c r="CX12" s="52" t="n">
        <f aca="false">MAX(0,MIN($F12,CX$4)-MAX($E12,CX$3)+1)/($F12-$E12+1)</f>
        <v>0</v>
      </c>
      <c r="CY12" s="52" t="n">
        <f aca="false">MAX(0,MIN($F12,CY$4)-MAX($E12,CY$3)+1)/($F12-$E12+1)</f>
        <v>0</v>
      </c>
      <c r="CZ12" s="52" t="n">
        <f aca="false">MAX(0,MIN($F12,CZ$4)-MAX($E12,CZ$3)+1)/($F12-$E12+1)</f>
        <v>0</v>
      </c>
      <c r="DA12" s="52" t="n">
        <f aca="false">MAX(0,MIN($F12,DA$4)-MAX($E12,DA$3)+1)/($F12-$E12+1)</f>
        <v>0</v>
      </c>
      <c r="DB12" s="52" t="n">
        <f aca="false">MAX(0,MIN($F12,DB$4)-MAX($E12,DB$3)+1)/($F12-$E12+1)</f>
        <v>0</v>
      </c>
      <c r="DC12" s="52" t="n">
        <f aca="false">MAX(0,MIN($F12,DC$4)-MAX($E12,DC$3)+1)/($F12-$E12+1)</f>
        <v>0</v>
      </c>
      <c r="DD12" s="52" t="n">
        <f aca="false">MAX(0,MIN($F12,DD$4)-MAX($E12,DD$3)+1)/($F12-$E12+1)</f>
        <v>0</v>
      </c>
      <c r="DE12" s="52" t="n">
        <f aca="false">MAX(0,MIN($F12,DE$4)-MAX($E12,DE$3)+1)/($F12-$E12+1)</f>
        <v>0</v>
      </c>
      <c r="DF12" s="52" t="n">
        <f aca="false">MAX(0,MIN($F12,DF$4)-MAX($E12,DF$3)+1)/($F12-$E12+1)</f>
        <v>0</v>
      </c>
      <c r="DG12" s="52" t="n">
        <f aca="false">MAX(0,MIN($F12,DG$4)-MAX($E12,DG$3)+1)/($F12-$E12+1)</f>
        <v>0</v>
      </c>
      <c r="DH12" s="52" t="n">
        <f aca="false">MAX(0,MIN($F12,DH$4)-MAX($E12,DH$3)+1)/($F12-$E12+1)</f>
        <v>0</v>
      </c>
      <c r="DI12" s="52" t="n">
        <f aca="false">MAX(0,MIN($F12,DI$4)-MAX($E12,DI$3)+1)/($F12-$E12+1)</f>
        <v>0</v>
      </c>
      <c r="DJ12" s="52" t="n">
        <f aca="false">MAX(0,MIN($F12,DJ$4)-MAX($E12,DJ$3)+1)/($F12-$E12+1)</f>
        <v>0</v>
      </c>
      <c r="DK12" s="52" t="n">
        <f aca="false">MAX(0,MIN($F12,DK$4)-MAX($E12,DK$3)+1)/($F12-$E12+1)</f>
        <v>0</v>
      </c>
      <c r="DL12" s="52" t="n">
        <f aca="false">MAX(0,MIN($F12,DL$4)-MAX($E12,DL$3)+1)/($F12-$E12+1)</f>
        <v>0</v>
      </c>
      <c r="DM12" s="52" t="n">
        <f aca="false">MAX(0,MIN($F12,DM$4)-MAX($E12,DM$3)+1)/($F12-$E12+1)</f>
        <v>0</v>
      </c>
      <c r="DN12" s="52" t="n">
        <f aca="false">MAX(0,MIN($F12,DN$4)-MAX($E12,DN$3)+1)/($F12-$E12+1)</f>
        <v>0</v>
      </c>
      <c r="DO12" s="52" t="n">
        <f aca="false">MAX(0,MIN($F12,DO$4)-MAX($E12,DO$3)+1)/($F12-$E12+1)</f>
        <v>0</v>
      </c>
      <c r="DP12" s="52" t="n">
        <f aca="false">MAX(0,MIN($F12,DP$4)-MAX($E12,DP$3)+1)/($F12-$E12+1)</f>
        <v>0</v>
      </c>
      <c r="DQ12" s="52" t="n">
        <f aca="false">MAX(0,MIN($F12,DQ$4)-MAX($E12,DQ$3)+1)/($F12-$E12+1)</f>
        <v>0</v>
      </c>
      <c r="DR12" s="52" t="n">
        <f aca="false">MAX(0,MIN($F12,DR$4)-MAX($E12,DR$3)+1)/($F12-$E12+1)</f>
        <v>0</v>
      </c>
      <c r="DS12" s="52" t="n">
        <f aca="false">MAX(0,MIN($F12,DS$4)-MAX($E12,DS$3)+1)/($F12-$E12+1)</f>
        <v>0</v>
      </c>
      <c r="DT12" s="52" t="n">
        <f aca="false">MAX(0,MIN($F12,DT$4)-MAX($E12,DT$3)+1)/($F12-$E12+1)</f>
        <v>0</v>
      </c>
      <c r="DU12" s="52" t="n">
        <f aca="false">MAX(0,MIN($F12,DU$4)-MAX($E12,DU$3)+1)/($F12-$E12+1)</f>
        <v>0</v>
      </c>
      <c r="DV12" s="52" t="n">
        <f aca="false">MAX(0,MIN($F12,DV$4)-MAX($E12,DV$3)+1)/($F12-$E12+1)</f>
        <v>0</v>
      </c>
      <c r="DW12" s="52" t="n">
        <f aca="false">MAX(0,MIN($F12,DW$4)-MAX($E12,DW$3)+1)/($F12-$E12+1)</f>
        <v>0</v>
      </c>
      <c r="DX12" s="52" t="n">
        <f aca="false">MAX(0,MIN($F12,DX$4)-MAX($E12,DX$3)+1)/($F12-$E12+1)</f>
        <v>0</v>
      </c>
      <c r="DY12" s="52" t="n">
        <f aca="false">MAX(0,MIN($F12,DY$4)-MAX($E12,DY$3)+1)/($F12-$E12+1)</f>
        <v>0</v>
      </c>
      <c r="DZ12" s="52" t="n">
        <f aca="false">MAX(0,MIN($F12,DZ$4)-MAX($E12,DZ$3)+1)/($F12-$E12+1)</f>
        <v>0</v>
      </c>
      <c r="EA12" s="52" t="n">
        <f aca="false">MAX(0,MIN($F12,EA$4)-MAX($E12,EA$3)+1)/($F12-$E12+1)</f>
        <v>0</v>
      </c>
      <c r="EB12" s="52" t="n">
        <f aca="false">MAX(0,MIN($F12,EB$4)-MAX($E12,EB$3)+1)/($F12-$E12+1)</f>
        <v>0</v>
      </c>
      <c r="EC12" s="52" t="n">
        <f aca="false">MAX(0,MIN($F12,EC$4)-MAX($E12,EC$3)+1)/($F12-$E12+1)</f>
        <v>0</v>
      </c>
      <c r="ED12" s="52" t="n">
        <f aca="false">MAX(0,MIN($F12,ED$4)-MAX($E12,ED$3)+1)/($F12-$E12+1)</f>
        <v>0</v>
      </c>
      <c r="EE12" s="52" t="n">
        <f aca="false">MAX(0,MIN($F12,EE$4)-MAX($E12,EE$3)+1)/($F12-$E12+1)</f>
        <v>0</v>
      </c>
      <c r="EF12" s="52" t="n">
        <f aca="false">MAX(0,MIN($F12,EF$4)-MAX($E12,EF$3)+1)/($F12-$E12+1)</f>
        <v>0</v>
      </c>
      <c r="EG12" s="52" t="n">
        <f aca="false">MAX(0,MIN($F12,EG$4)-MAX($E12,EG$3)+1)/($F12-$E12+1)</f>
        <v>0</v>
      </c>
      <c r="EH12" s="52" t="n">
        <f aca="false">MAX(0,MIN($F12,EH$4)-MAX($E12,EH$3)+1)/($F12-$E12+1)</f>
        <v>0</v>
      </c>
      <c r="EI12" s="52" t="n">
        <f aca="false">MAX(0,MIN($F12,EI$4)-MAX($E12,EI$3)+1)/($F12-$E12+1)</f>
        <v>0</v>
      </c>
      <c r="EJ12" s="52" t="n">
        <f aca="false">MAX(0,MIN($F12,EJ$4)-MAX($E12,EJ$3)+1)/($F12-$E12+1)</f>
        <v>0</v>
      </c>
      <c r="EK12" s="52" t="n">
        <f aca="false">MAX(0,MIN($F12,EK$4)-MAX($E12,EK$3)+1)/($F12-$E12+1)</f>
        <v>0</v>
      </c>
      <c r="EL12" s="52" t="n">
        <f aca="false">MAX(0,MIN($F12,EL$4)-MAX($E12,EL$3)+1)/($F12-$E12+1)</f>
        <v>0</v>
      </c>
      <c r="EM12" s="52" t="n">
        <f aca="false">MAX(0,MIN($F12,EM$4)-MAX($E12,EM$3)+1)/($F12-$E12+1)</f>
        <v>0</v>
      </c>
      <c r="EN12" s="52" t="n">
        <f aca="false">MAX(0,MIN($F12,EN$4)-MAX($E12,EN$3)+1)/($F12-$E12+1)</f>
        <v>0</v>
      </c>
      <c r="EO12" s="52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333</v>
      </c>
      <c r="D13" s="11" t="s">
        <v>327</v>
      </c>
      <c r="E13" s="41" t="n">
        <f aca="false">In_Closing+1</f>
        <v>46388</v>
      </c>
      <c r="F13" s="20" t="n">
        <f aca="false">In_NTP</f>
        <v>47026</v>
      </c>
      <c r="I13" s="52" t="n">
        <f aca="false">SUM(J13:EO13)</f>
        <v>1</v>
      </c>
      <c r="J13" s="52" t="n">
        <f aca="false">MAX(0,MIN($F13,J$4)-MAX($E13,J$3)+1)/($F13-$E13+1)</f>
        <v>0</v>
      </c>
      <c r="K13" s="52" t="n">
        <f aca="false">MAX(0,MIN($F13,K$4)-MAX($E13,K$3)+1)/($F13-$E13+1)</f>
        <v>0.140845070422535</v>
      </c>
      <c r="L13" s="52" t="n">
        <f aca="false">MAX(0,MIN($F13,L$4)-MAX($E13,L$3)+1)/($F13-$E13+1)</f>
        <v>0.142410015649452</v>
      </c>
      <c r="M13" s="52" t="n">
        <f aca="false">MAX(0,MIN($F13,M$4)-MAX($E13,M$3)+1)/($F13-$E13+1)</f>
        <v>0.143974960876369</v>
      </c>
      <c r="N13" s="52" t="n">
        <f aca="false">MAX(0,MIN($F13,N$4)-MAX($E13,N$3)+1)/($F13-$E13+1)</f>
        <v>0.143974960876369</v>
      </c>
      <c r="O13" s="52" t="n">
        <f aca="false">MAX(0,MIN($F13,O$4)-MAX($E13,O$3)+1)/($F13-$E13+1)</f>
        <v>0.142410015649452</v>
      </c>
      <c r="P13" s="52" t="n">
        <f aca="false">MAX(0,MIN($F13,P$4)-MAX($E13,P$3)+1)/($F13-$E13+1)</f>
        <v>0.142410015649452</v>
      </c>
      <c r="Q13" s="52" t="n">
        <f aca="false">MAX(0,MIN($F13,Q$4)-MAX($E13,Q$3)+1)/($F13-$E13+1)</f>
        <v>0.143974960876369</v>
      </c>
      <c r="R13" s="52" t="n">
        <f aca="false">MAX(0,MIN($F13,R$4)-MAX($E13,R$3)+1)/($F13-$E13+1)</f>
        <v>0</v>
      </c>
      <c r="S13" s="52" t="n">
        <f aca="false">MAX(0,MIN($F13,S$4)-MAX($E13,S$3)+1)/($F13-$E13+1)</f>
        <v>0</v>
      </c>
      <c r="T13" s="52" t="n">
        <f aca="false">MAX(0,MIN($F13,T$4)-MAX($E13,T$3)+1)/($F13-$E13+1)</f>
        <v>0</v>
      </c>
      <c r="U13" s="52" t="n">
        <f aca="false">MAX(0,MIN($F13,U$4)-MAX($E13,U$3)+1)/($F13-$E13+1)</f>
        <v>0</v>
      </c>
      <c r="V13" s="52" t="n">
        <f aca="false">MAX(0,MIN($F13,V$4)-MAX($E13,V$3)+1)/($F13-$E13+1)</f>
        <v>0</v>
      </c>
      <c r="W13" s="52" t="n">
        <f aca="false">MAX(0,MIN($F13,W$4)-MAX($E13,W$3)+1)/($F13-$E13+1)</f>
        <v>0</v>
      </c>
      <c r="X13" s="52" t="n">
        <f aca="false">MAX(0,MIN($F13,X$4)-MAX($E13,X$3)+1)/($F13-$E13+1)</f>
        <v>0</v>
      </c>
      <c r="Y13" s="52" t="n">
        <f aca="false">MAX(0,MIN($F13,Y$4)-MAX($E13,Y$3)+1)/($F13-$E13+1)</f>
        <v>0</v>
      </c>
      <c r="Z13" s="52" t="n">
        <f aca="false">MAX(0,MIN($F13,Z$4)-MAX($E13,Z$3)+1)/($F13-$E13+1)</f>
        <v>0</v>
      </c>
      <c r="AA13" s="52" t="n">
        <f aca="false">MAX(0,MIN($F13,AA$4)-MAX($E13,AA$3)+1)/($F13-$E13+1)</f>
        <v>0</v>
      </c>
      <c r="AB13" s="52" t="n">
        <f aca="false">MAX(0,MIN($F13,AB$4)-MAX($E13,AB$3)+1)/($F13-$E13+1)</f>
        <v>0</v>
      </c>
      <c r="AC13" s="52" t="n">
        <f aca="false">MAX(0,MIN($F13,AC$4)-MAX($E13,AC$3)+1)/($F13-$E13+1)</f>
        <v>0</v>
      </c>
      <c r="AD13" s="52" t="n">
        <f aca="false">MAX(0,MIN($F13,AD$4)-MAX($E13,AD$3)+1)/($F13-$E13+1)</f>
        <v>0</v>
      </c>
      <c r="AE13" s="52" t="n">
        <f aca="false">MAX(0,MIN($F13,AE$4)-MAX($E13,AE$3)+1)/($F13-$E13+1)</f>
        <v>0</v>
      </c>
      <c r="AF13" s="52" t="n">
        <f aca="false">MAX(0,MIN($F13,AF$4)-MAX($E13,AF$3)+1)/($F13-$E13+1)</f>
        <v>0</v>
      </c>
      <c r="AG13" s="52" t="n">
        <f aca="false">MAX(0,MIN($F13,AG$4)-MAX($E13,AG$3)+1)/($F13-$E13+1)</f>
        <v>0</v>
      </c>
      <c r="AH13" s="52" t="n">
        <f aca="false">MAX(0,MIN($F13,AH$4)-MAX($E13,AH$3)+1)/($F13-$E13+1)</f>
        <v>0</v>
      </c>
      <c r="AI13" s="52" t="n">
        <f aca="false">MAX(0,MIN($F13,AI$4)-MAX($E13,AI$3)+1)/($F13-$E13+1)</f>
        <v>0</v>
      </c>
      <c r="AJ13" s="52" t="n">
        <f aca="false">MAX(0,MIN($F13,AJ$4)-MAX($E13,AJ$3)+1)/($F13-$E13+1)</f>
        <v>0</v>
      </c>
      <c r="AK13" s="52" t="n">
        <f aca="false">MAX(0,MIN($F13,AK$4)-MAX($E13,AK$3)+1)/($F13-$E13+1)</f>
        <v>0</v>
      </c>
      <c r="AL13" s="52" t="n">
        <f aca="false">MAX(0,MIN($F13,AL$4)-MAX($E13,AL$3)+1)/($F13-$E13+1)</f>
        <v>0</v>
      </c>
      <c r="AM13" s="52" t="n">
        <f aca="false">MAX(0,MIN($F13,AM$4)-MAX($E13,AM$3)+1)/($F13-$E13+1)</f>
        <v>0</v>
      </c>
      <c r="AN13" s="52" t="n">
        <f aca="false">MAX(0,MIN($F13,AN$4)-MAX($E13,AN$3)+1)/($F13-$E13+1)</f>
        <v>0</v>
      </c>
      <c r="AO13" s="52" t="n">
        <f aca="false">MAX(0,MIN($F13,AO$4)-MAX($E13,AO$3)+1)/($F13-$E13+1)</f>
        <v>0</v>
      </c>
      <c r="AP13" s="52" t="n">
        <f aca="false">MAX(0,MIN($F13,AP$4)-MAX($E13,AP$3)+1)/($F13-$E13+1)</f>
        <v>0</v>
      </c>
      <c r="AQ13" s="52" t="n">
        <f aca="false">MAX(0,MIN($F13,AQ$4)-MAX($E13,AQ$3)+1)/($F13-$E13+1)</f>
        <v>0</v>
      </c>
      <c r="AR13" s="52" t="n">
        <f aca="false">MAX(0,MIN($F13,AR$4)-MAX($E13,AR$3)+1)/($F13-$E13+1)</f>
        <v>0</v>
      </c>
      <c r="AS13" s="52" t="n">
        <f aca="false">MAX(0,MIN($F13,AS$4)-MAX($E13,AS$3)+1)/($F13-$E13+1)</f>
        <v>0</v>
      </c>
      <c r="AT13" s="52" t="n">
        <f aca="false">MAX(0,MIN($F13,AT$4)-MAX($E13,AT$3)+1)/($F13-$E13+1)</f>
        <v>0</v>
      </c>
      <c r="AU13" s="52" t="n">
        <f aca="false">MAX(0,MIN($F13,AU$4)-MAX($E13,AU$3)+1)/($F13-$E13+1)</f>
        <v>0</v>
      </c>
      <c r="AV13" s="52" t="n">
        <f aca="false">MAX(0,MIN($F13,AV$4)-MAX($E13,AV$3)+1)/($F13-$E13+1)</f>
        <v>0</v>
      </c>
      <c r="AW13" s="52" t="n">
        <f aca="false">MAX(0,MIN($F13,AW$4)-MAX($E13,AW$3)+1)/($F13-$E13+1)</f>
        <v>0</v>
      </c>
      <c r="AX13" s="52" t="n">
        <f aca="false">MAX(0,MIN($F13,AX$4)-MAX($E13,AX$3)+1)/($F13-$E13+1)</f>
        <v>0</v>
      </c>
      <c r="AY13" s="52" t="n">
        <f aca="false">MAX(0,MIN($F13,AY$4)-MAX($E13,AY$3)+1)/($F13-$E13+1)</f>
        <v>0</v>
      </c>
      <c r="AZ13" s="52" t="n">
        <f aca="false">MAX(0,MIN($F13,AZ$4)-MAX($E13,AZ$3)+1)/($F13-$E13+1)</f>
        <v>0</v>
      </c>
      <c r="BA13" s="52" t="n">
        <f aca="false">MAX(0,MIN($F13,BA$4)-MAX($E13,BA$3)+1)/($F13-$E13+1)</f>
        <v>0</v>
      </c>
      <c r="BB13" s="52" t="n">
        <f aca="false">MAX(0,MIN($F13,BB$4)-MAX($E13,BB$3)+1)/($F13-$E13+1)</f>
        <v>0</v>
      </c>
      <c r="BC13" s="52" t="n">
        <f aca="false">MAX(0,MIN($F13,BC$4)-MAX($E13,BC$3)+1)/($F13-$E13+1)</f>
        <v>0</v>
      </c>
      <c r="BD13" s="52" t="n">
        <f aca="false">MAX(0,MIN($F13,BD$4)-MAX($E13,BD$3)+1)/($F13-$E13+1)</f>
        <v>0</v>
      </c>
      <c r="BE13" s="52" t="n">
        <f aca="false">MAX(0,MIN($F13,BE$4)-MAX($E13,BE$3)+1)/($F13-$E13+1)</f>
        <v>0</v>
      </c>
      <c r="BF13" s="52" t="n">
        <f aca="false">MAX(0,MIN($F13,BF$4)-MAX($E13,BF$3)+1)/($F13-$E13+1)</f>
        <v>0</v>
      </c>
      <c r="BG13" s="52" t="n">
        <f aca="false">MAX(0,MIN($F13,BG$4)-MAX($E13,BG$3)+1)/($F13-$E13+1)</f>
        <v>0</v>
      </c>
      <c r="BH13" s="52" t="n">
        <f aca="false">MAX(0,MIN($F13,BH$4)-MAX($E13,BH$3)+1)/($F13-$E13+1)</f>
        <v>0</v>
      </c>
      <c r="BI13" s="52" t="n">
        <f aca="false">MAX(0,MIN($F13,BI$4)-MAX($E13,BI$3)+1)/($F13-$E13+1)</f>
        <v>0</v>
      </c>
      <c r="BJ13" s="52" t="n">
        <f aca="false">MAX(0,MIN($F13,BJ$4)-MAX($E13,BJ$3)+1)/($F13-$E13+1)</f>
        <v>0</v>
      </c>
      <c r="BK13" s="52" t="n">
        <f aca="false">MAX(0,MIN($F13,BK$4)-MAX($E13,BK$3)+1)/($F13-$E13+1)</f>
        <v>0</v>
      </c>
      <c r="BL13" s="52" t="n">
        <f aca="false">MAX(0,MIN($F13,BL$4)-MAX($E13,BL$3)+1)/($F13-$E13+1)</f>
        <v>0</v>
      </c>
      <c r="BM13" s="52" t="n">
        <f aca="false">MAX(0,MIN($F13,BM$4)-MAX($E13,BM$3)+1)/($F13-$E13+1)</f>
        <v>0</v>
      </c>
      <c r="BN13" s="52" t="n">
        <f aca="false">MAX(0,MIN($F13,BN$4)-MAX($E13,BN$3)+1)/($F13-$E13+1)</f>
        <v>0</v>
      </c>
      <c r="BO13" s="52" t="n">
        <f aca="false">MAX(0,MIN($F13,BO$4)-MAX($E13,BO$3)+1)/($F13-$E13+1)</f>
        <v>0</v>
      </c>
      <c r="BP13" s="52" t="n">
        <f aca="false">MAX(0,MIN($F13,BP$4)-MAX($E13,BP$3)+1)/($F13-$E13+1)</f>
        <v>0</v>
      </c>
      <c r="BQ13" s="52" t="n">
        <f aca="false">MAX(0,MIN($F13,BQ$4)-MAX($E13,BQ$3)+1)/($F13-$E13+1)</f>
        <v>0</v>
      </c>
      <c r="BR13" s="52" t="n">
        <f aca="false">MAX(0,MIN($F13,BR$4)-MAX($E13,BR$3)+1)/($F13-$E13+1)</f>
        <v>0</v>
      </c>
      <c r="BS13" s="52" t="n">
        <f aca="false">MAX(0,MIN($F13,BS$4)-MAX($E13,BS$3)+1)/($F13-$E13+1)</f>
        <v>0</v>
      </c>
      <c r="BT13" s="52" t="n">
        <f aca="false">MAX(0,MIN($F13,BT$4)-MAX($E13,BT$3)+1)/($F13-$E13+1)</f>
        <v>0</v>
      </c>
      <c r="BU13" s="52" t="n">
        <f aca="false">MAX(0,MIN($F13,BU$4)-MAX($E13,BU$3)+1)/($F13-$E13+1)</f>
        <v>0</v>
      </c>
      <c r="BV13" s="52" t="n">
        <f aca="false">MAX(0,MIN($F13,BV$4)-MAX($E13,BV$3)+1)/($F13-$E13+1)</f>
        <v>0</v>
      </c>
      <c r="BW13" s="52" t="n">
        <f aca="false">MAX(0,MIN($F13,BW$4)-MAX($E13,BW$3)+1)/($F13-$E13+1)</f>
        <v>0</v>
      </c>
      <c r="BX13" s="52" t="n">
        <f aca="false">MAX(0,MIN($F13,BX$4)-MAX($E13,BX$3)+1)/($F13-$E13+1)</f>
        <v>0</v>
      </c>
      <c r="BY13" s="52" t="n">
        <f aca="false">MAX(0,MIN($F13,BY$4)-MAX($E13,BY$3)+1)/($F13-$E13+1)</f>
        <v>0</v>
      </c>
      <c r="BZ13" s="52" t="n">
        <f aca="false">MAX(0,MIN($F13,BZ$4)-MAX($E13,BZ$3)+1)/($F13-$E13+1)</f>
        <v>0</v>
      </c>
      <c r="CA13" s="52" t="n">
        <f aca="false">MAX(0,MIN($F13,CA$4)-MAX($E13,CA$3)+1)/($F13-$E13+1)</f>
        <v>0</v>
      </c>
      <c r="CB13" s="52" t="n">
        <f aca="false">MAX(0,MIN($F13,CB$4)-MAX($E13,CB$3)+1)/($F13-$E13+1)</f>
        <v>0</v>
      </c>
      <c r="CC13" s="52" t="n">
        <f aca="false">MAX(0,MIN($F13,CC$4)-MAX($E13,CC$3)+1)/($F13-$E13+1)</f>
        <v>0</v>
      </c>
      <c r="CD13" s="52" t="n">
        <f aca="false">MAX(0,MIN($F13,CD$4)-MAX($E13,CD$3)+1)/($F13-$E13+1)</f>
        <v>0</v>
      </c>
      <c r="CE13" s="52" t="n">
        <f aca="false">MAX(0,MIN($F13,CE$4)-MAX($E13,CE$3)+1)/($F13-$E13+1)</f>
        <v>0</v>
      </c>
      <c r="CF13" s="52" t="n">
        <f aca="false">MAX(0,MIN($F13,CF$4)-MAX($E13,CF$3)+1)/($F13-$E13+1)</f>
        <v>0</v>
      </c>
      <c r="CG13" s="52" t="n">
        <f aca="false">MAX(0,MIN($F13,CG$4)-MAX($E13,CG$3)+1)/($F13-$E13+1)</f>
        <v>0</v>
      </c>
      <c r="CH13" s="52" t="n">
        <f aca="false">MAX(0,MIN($F13,CH$4)-MAX($E13,CH$3)+1)/($F13-$E13+1)</f>
        <v>0</v>
      </c>
      <c r="CI13" s="52" t="n">
        <f aca="false">MAX(0,MIN($F13,CI$4)-MAX($E13,CI$3)+1)/($F13-$E13+1)</f>
        <v>0</v>
      </c>
      <c r="CJ13" s="52" t="n">
        <f aca="false">MAX(0,MIN($F13,CJ$4)-MAX($E13,CJ$3)+1)/($F13-$E13+1)</f>
        <v>0</v>
      </c>
      <c r="CK13" s="52" t="n">
        <f aca="false">MAX(0,MIN($F13,CK$4)-MAX($E13,CK$3)+1)/($F13-$E13+1)</f>
        <v>0</v>
      </c>
      <c r="CL13" s="52" t="n">
        <f aca="false">MAX(0,MIN($F13,CL$4)-MAX($E13,CL$3)+1)/($F13-$E13+1)</f>
        <v>0</v>
      </c>
      <c r="CM13" s="52" t="n">
        <f aca="false">MAX(0,MIN($F13,CM$4)-MAX($E13,CM$3)+1)/($F13-$E13+1)</f>
        <v>0</v>
      </c>
      <c r="CN13" s="52" t="n">
        <f aca="false">MAX(0,MIN($F13,CN$4)-MAX($E13,CN$3)+1)/($F13-$E13+1)</f>
        <v>0</v>
      </c>
      <c r="CO13" s="52" t="n">
        <f aca="false">MAX(0,MIN($F13,CO$4)-MAX($E13,CO$3)+1)/($F13-$E13+1)</f>
        <v>0</v>
      </c>
      <c r="CP13" s="52" t="n">
        <f aca="false">MAX(0,MIN($F13,CP$4)-MAX($E13,CP$3)+1)/($F13-$E13+1)</f>
        <v>0</v>
      </c>
      <c r="CQ13" s="52" t="n">
        <f aca="false">MAX(0,MIN($F13,CQ$4)-MAX($E13,CQ$3)+1)/($F13-$E13+1)</f>
        <v>0</v>
      </c>
      <c r="CR13" s="52" t="n">
        <f aca="false">MAX(0,MIN($F13,CR$4)-MAX($E13,CR$3)+1)/($F13-$E13+1)</f>
        <v>0</v>
      </c>
      <c r="CS13" s="52" t="n">
        <f aca="false">MAX(0,MIN($F13,CS$4)-MAX($E13,CS$3)+1)/($F13-$E13+1)</f>
        <v>0</v>
      </c>
      <c r="CT13" s="52" t="n">
        <f aca="false">MAX(0,MIN($F13,CT$4)-MAX($E13,CT$3)+1)/($F13-$E13+1)</f>
        <v>0</v>
      </c>
      <c r="CU13" s="52" t="n">
        <f aca="false">MAX(0,MIN($F13,CU$4)-MAX($E13,CU$3)+1)/($F13-$E13+1)</f>
        <v>0</v>
      </c>
      <c r="CV13" s="52" t="n">
        <f aca="false">MAX(0,MIN($F13,CV$4)-MAX($E13,CV$3)+1)/($F13-$E13+1)</f>
        <v>0</v>
      </c>
      <c r="CW13" s="52" t="n">
        <f aca="false">MAX(0,MIN($F13,CW$4)-MAX($E13,CW$3)+1)/($F13-$E13+1)</f>
        <v>0</v>
      </c>
      <c r="CX13" s="52" t="n">
        <f aca="false">MAX(0,MIN($F13,CX$4)-MAX($E13,CX$3)+1)/($F13-$E13+1)</f>
        <v>0</v>
      </c>
      <c r="CY13" s="52" t="n">
        <f aca="false">MAX(0,MIN($F13,CY$4)-MAX($E13,CY$3)+1)/($F13-$E13+1)</f>
        <v>0</v>
      </c>
      <c r="CZ13" s="52" t="n">
        <f aca="false">MAX(0,MIN($F13,CZ$4)-MAX($E13,CZ$3)+1)/($F13-$E13+1)</f>
        <v>0</v>
      </c>
      <c r="DA13" s="52" t="n">
        <f aca="false">MAX(0,MIN($F13,DA$4)-MAX($E13,DA$3)+1)/($F13-$E13+1)</f>
        <v>0</v>
      </c>
      <c r="DB13" s="52" t="n">
        <f aca="false">MAX(0,MIN($F13,DB$4)-MAX($E13,DB$3)+1)/($F13-$E13+1)</f>
        <v>0</v>
      </c>
      <c r="DC13" s="52" t="n">
        <f aca="false">MAX(0,MIN($F13,DC$4)-MAX($E13,DC$3)+1)/($F13-$E13+1)</f>
        <v>0</v>
      </c>
      <c r="DD13" s="52" t="n">
        <f aca="false">MAX(0,MIN($F13,DD$4)-MAX($E13,DD$3)+1)/($F13-$E13+1)</f>
        <v>0</v>
      </c>
      <c r="DE13" s="52" t="n">
        <f aca="false">MAX(0,MIN($F13,DE$4)-MAX($E13,DE$3)+1)/($F13-$E13+1)</f>
        <v>0</v>
      </c>
      <c r="DF13" s="52" t="n">
        <f aca="false">MAX(0,MIN($F13,DF$4)-MAX($E13,DF$3)+1)/($F13-$E13+1)</f>
        <v>0</v>
      </c>
      <c r="DG13" s="52" t="n">
        <f aca="false">MAX(0,MIN($F13,DG$4)-MAX($E13,DG$3)+1)/($F13-$E13+1)</f>
        <v>0</v>
      </c>
      <c r="DH13" s="52" t="n">
        <f aca="false">MAX(0,MIN($F13,DH$4)-MAX($E13,DH$3)+1)/($F13-$E13+1)</f>
        <v>0</v>
      </c>
      <c r="DI13" s="52" t="n">
        <f aca="false">MAX(0,MIN($F13,DI$4)-MAX($E13,DI$3)+1)/($F13-$E13+1)</f>
        <v>0</v>
      </c>
      <c r="DJ13" s="52" t="n">
        <f aca="false">MAX(0,MIN($F13,DJ$4)-MAX($E13,DJ$3)+1)/($F13-$E13+1)</f>
        <v>0</v>
      </c>
      <c r="DK13" s="52" t="n">
        <f aca="false">MAX(0,MIN($F13,DK$4)-MAX($E13,DK$3)+1)/($F13-$E13+1)</f>
        <v>0</v>
      </c>
      <c r="DL13" s="52" t="n">
        <f aca="false">MAX(0,MIN($F13,DL$4)-MAX($E13,DL$3)+1)/($F13-$E13+1)</f>
        <v>0</v>
      </c>
      <c r="DM13" s="52" t="n">
        <f aca="false">MAX(0,MIN($F13,DM$4)-MAX($E13,DM$3)+1)/($F13-$E13+1)</f>
        <v>0</v>
      </c>
      <c r="DN13" s="52" t="n">
        <f aca="false">MAX(0,MIN($F13,DN$4)-MAX($E13,DN$3)+1)/($F13-$E13+1)</f>
        <v>0</v>
      </c>
      <c r="DO13" s="52" t="n">
        <f aca="false">MAX(0,MIN($F13,DO$4)-MAX($E13,DO$3)+1)/($F13-$E13+1)</f>
        <v>0</v>
      </c>
      <c r="DP13" s="52" t="n">
        <f aca="false">MAX(0,MIN($F13,DP$4)-MAX($E13,DP$3)+1)/($F13-$E13+1)</f>
        <v>0</v>
      </c>
      <c r="DQ13" s="52" t="n">
        <f aca="false">MAX(0,MIN($F13,DQ$4)-MAX($E13,DQ$3)+1)/($F13-$E13+1)</f>
        <v>0</v>
      </c>
      <c r="DR13" s="52" t="n">
        <f aca="false">MAX(0,MIN($F13,DR$4)-MAX($E13,DR$3)+1)/($F13-$E13+1)</f>
        <v>0</v>
      </c>
      <c r="DS13" s="52" t="n">
        <f aca="false">MAX(0,MIN($F13,DS$4)-MAX($E13,DS$3)+1)/($F13-$E13+1)</f>
        <v>0</v>
      </c>
      <c r="DT13" s="52" t="n">
        <f aca="false">MAX(0,MIN($F13,DT$4)-MAX($E13,DT$3)+1)/($F13-$E13+1)</f>
        <v>0</v>
      </c>
      <c r="DU13" s="52" t="n">
        <f aca="false">MAX(0,MIN($F13,DU$4)-MAX($E13,DU$3)+1)/($F13-$E13+1)</f>
        <v>0</v>
      </c>
      <c r="DV13" s="52" t="n">
        <f aca="false">MAX(0,MIN($F13,DV$4)-MAX($E13,DV$3)+1)/($F13-$E13+1)</f>
        <v>0</v>
      </c>
      <c r="DW13" s="52" t="n">
        <f aca="false">MAX(0,MIN($F13,DW$4)-MAX($E13,DW$3)+1)/($F13-$E13+1)</f>
        <v>0</v>
      </c>
      <c r="DX13" s="52" t="n">
        <f aca="false">MAX(0,MIN($F13,DX$4)-MAX($E13,DX$3)+1)/($F13-$E13+1)</f>
        <v>0</v>
      </c>
      <c r="DY13" s="52" t="n">
        <f aca="false">MAX(0,MIN($F13,DY$4)-MAX($E13,DY$3)+1)/($F13-$E13+1)</f>
        <v>0</v>
      </c>
      <c r="DZ13" s="52" t="n">
        <f aca="false">MAX(0,MIN($F13,DZ$4)-MAX($E13,DZ$3)+1)/($F13-$E13+1)</f>
        <v>0</v>
      </c>
      <c r="EA13" s="52" t="n">
        <f aca="false">MAX(0,MIN($F13,EA$4)-MAX($E13,EA$3)+1)/($F13-$E13+1)</f>
        <v>0</v>
      </c>
      <c r="EB13" s="52" t="n">
        <f aca="false">MAX(0,MIN($F13,EB$4)-MAX($E13,EB$3)+1)/($F13-$E13+1)</f>
        <v>0</v>
      </c>
      <c r="EC13" s="52" t="n">
        <f aca="false">MAX(0,MIN($F13,EC$4)-MAX($E13,EC$3)+1)/($F13-$E13+1)</f>
        <v>0</v>
      </c>
      <c r="ED13" s="52" t="n">
        <f aca="false">MAX(0,MIN($F13,ED$4)-MAX($E13,ED$3)+1)/($F13-$E13+1)</f>
        <v>0</v>
      </c>
      <c r="EE13" s="52" t="n">
        <f aca="false">MAX(0,MIN($F13,EE$4)-MAX($E13,EE$3)+1)/($F13-$E13+1)</f>
        <v>0</v>
      </c>
      <c r="EF13" s="52" t="n">
        <f aca="false">MAX(0,MIN($F13,EF$4)-MAX($E13,EF$3)+1)/($F13-$E13+1)</f>
        <v>0</v>
      </c>
      <c r="EG13" s="52" t="n">
        <f aca="false">MAX(0,MIN($F13,EG$4)-MAX($E13,EG$3)+1)/($F13-$E13+1)</f>
        <v>0</v>
      </c>
      <c r="EH13" s="52" t="n">
        <f aca="false">MAX(0,MIN($F13,EH$4)-MAX($E13,EH$3)+1)/($F13-$E13+1)</f>
        <v>0</v>
      </c>
      <c r="EI13" s="52" t="n">
        <f aca="false">MAX(0,MIN($F13,EI$4)-MAX($E13,EI$3)+1)/($F13-$E13+1)</f>
        <v>0</v>
      </c>
      <c r="EJ13" s="52" t="n">
        <f aca="false">MAX(0,MIN($F13,EJ$4)-MAX($E13,EJ$3)+1)/($F13-$E13+1)</f>
        <v>0</v>
      </c>
      <c r="EK13" s="52" t="n">
        <f aca="false">MAX(0,MIN($F13,EK$4)-MAX($E13,EK$3)+1)/($F13-$E13+1)</f>
        <v>0</v>
      </c>
      <c r="EL13" s="52" t="n">
        <f aca="false">MAX(0,MIN($F13,EL$4)-MAX($E13,EL$3)+1)/($F13-$E13+1)</f>
        <v>0</v>
      </c>
      <c r="EM13" s="52" t="n">
        <f aca="false">MAX(0,MIN($F13,EM$4)-MAX($E13,EM$3)+1)/($F13-$E13+1)</f>
        <v>0</v>
      </c>
      <c r="EN13" s="52" t="n">
        <f aca="false">MAX(0,MIN($F13,EN$4)-MAX($E13,EN$3)+1)/($F13-$E13+1)</f>
        <v>0</v>
      </c>
      <c r="EO13" s="52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35</v>
      </c>
      <c r="D14" s="11" t="s">
        <v>30</v>
      </c>
      <c r="E14" s="20" t="n">
        <f aca="false">In_COD</f>
        <v>47756</v>
      </c>
      <c r="I14" s="46" t="n">
        <f aca="false">SUM(J14:EO14)</f>
        <v>1</v>
      </c>
      <c r="J14" s="46" t="n">
        <f aca="false">N(AND(J$3&lt;=$E14,J$4&gt;=$E14))</f>
        <v>0</v>
      </c>
      <c r="K14" s="46" t="n">
        <f aca="false">N(AND(K$3&lt;=$E14,K$4&gt;=$E14))</f>
        <v>0</v>
      </c>
      <c r="L14" s="46" t="n">
        <f aca="false">N(AND(L$3&lt;=$E14,L$4&gt;=$E14))</f>
        <v>0</v>
      </c>
      <c r="M14" s="46" t="n">
        <f aca="false">N(AND(M$3&lt;=$E14,M$4&gt;=$E14))</f>
        <v>0</v>
      </c>
      <c r="N14" s="46" t="n">
        <f aca="false">N(AND(N$3&lt;=$E14,N$4&gt;=$E14))</f>
        <v>0</v>
      </c>
      <c r="O14" s="46" t="n">
        <f aca="false">N(AND(O$3&lt;=$E14,O$4&gt;=$E14))</f>
        <v>0</v>
      </c>
      <c r="P14" s="46" t="n">
        <f aca="false">N(AND(P$3&lt;=$E14,P$4&gt;=$E14))</f>
        <v>0</v>
      </c>
      <c r="Q14" s="46" t="n">
        <f aca="false">N(AND(Q$3&lt;=$E14,Q$4&gt;=$E14))</f>
        <v>0</v>
      </c>
      <c r="R14" s="46" t="n">
        <f aca="false">N(AND(R$3&lt;=$E14,R$4&gt;=$E14))</f>
        <v>0</v>
      </c>
      <c r="S14" s="46" t="n">
        <f aca="false">N(AND(S$3&lt;=$E14,S$4&gt;=$E14))</f>
        <v>0</v>
      </c>
      <c r="T14" s="46" t="n">
        <f aca="false">N(AND(T$3&lt;=$E14,T$4&gt;=$E14))</f>
        <v>0</v>
      </c>
      <c r="U14" s="46" t="n">
        <f aca="false">N(AND(U$3&lt;=$E14,U$4&gt;=$E14))</f>
        <v>0</v>
      </c>
      <c r="V14" s="46" t="n">
        <f aca="false">N(AND(V$3&lt;=$E14,V$4&gt;=$E14))</f>
        <v>0</v>
      </c>
      <c r="W14" s="46" t="n">
        <f aca="false">N(AND(W$3&lt;=$E14,W$4&gt;=$E14))</f>
        <v>0</v>
      </c>
      <c r="X14" s="46" t="n">
        <f aca="false">N(AND(X$3&lt;=$E14,X$4&gt;=$E14))</f>
        <v>0</v>
      </c>
      <c r="Y14" s="46" t="n">
        <f aca="false">N(AND(Y$3&lt;=$E14,Y$4&gt;=$E14))</f>
        <v>1</v>
      </c>
      <c r="Z14" s="46" t="n">
        <f aca="false">N(AND(Z$3&lt;=$E14,Z$4&gt;=$E14))</f>
        <v>0</v>
      </c>
      <c r="AA14" s="46" t="n">
        <f aca="false">N(AND(AA$3&lt;=$E14,AA$4&gt;=$E14))</f>
        <v>0</v>
      </c>
      <c r="AB14" s="46" t="n">
        <f aca="false">N(AND(AB$3&lt;=$E14,AB$4&gt;=$E14))</f>
        <v>0</v>
      </c>
      <c r="AC14" s="46" t="n">
        <f aca="false">N(AND(AC$3&lt;=$E14,AC$4&gt;=$E14))</f>
        <v>0</v>
      </c>
      <c r="AD14" s="46" t="n">
        <f aca="false">N(AND(AD$3&lt;=$E14,AD$4&gt;=$E14))</f>
        <v>0</v>
      </c>
      <c r="AE14" s="46" t="n">
        <f aca="false">N(AND(AE$3&lt;=$E14,AE$4&gt;=$E14))</f>
        <v>0</v>
      </c>
      <c r="AF14" s="46" t="n">
        <f aca="false">N(AND(AF$3&lt;=$E14,AF$4&gt;=$E14))</f>
        <v>0</v>
      </c>
      <c r="AG14" s="46" t="n">
        <f aca="false">N(AND(AG$3&lt;=$E14,AG$4&gt;=$E14))</f>
        <v>0</v>
      </c>
      <c r="AH14" s="46" t="n">
        <f aca="false">N(AND(AH$3&lt;=$E14,AH$4&gt;=$E14))</f>
        <v>0</v>
      </c>
      <c r="AI14" s="46" t="n">
        <f aca="false">N(AND(AI$3&lt;=$E14,AI$4&gt;=$E14))</f>
        <v>0</v>
      </c>
      <c r="AJ14" s="46" t="n">
        <f aca="false">N(AND(AJ$3&lt;=$E14,AJ$4&gt;=$E14))</f>
        <v>0</v>
      </c>
      <c r="AK14" s="46" t="n">
        <f aca="false">N(AND(AK$3&lt;=$E14,AK$4&gt;=$E14))</f>
        <v>0</v>
      </c>
      <c r="AL14" s="46" t="n">
        <f aca="false">N(AND(AL$3&lt;=$E14,AL$4&gt;=$E14))</f>
        <v>0</v>
      </c>
      <c r="AM14" s="46" t="n">
        <f aca="false">N(AND(AM$3&lt;=$E14,AM$4&gt;=$E14))</f>
        <v>0</v>
      </c>
      <c r="AN14" s="46" t="n">
        <f aca="false">N(AND(AN$3&lt;=$E14,AN$4&gt;=$E14))</f>
        <v>0</v>
      </c>
      <c r="AO14" s="46" t="n">
        <f aca="false">N(AND(AO$3&lt;=$E14,AO$4&gt;=$E14))</f>
        <v>0</v>
      </c>
      <c r="AP14" s="46" t="n">
        <f aca="false">N(AND(AP$3&lt;=$E14,AP$4&gt;=$E14))</f>
        <v>0</v>
      </c>
      <c r="AQ14" s="46" t="n">
        <f aca="false">N(AND(AQ$3&lt;=$E14,AQ$4&gt;=$E14))</f>
        <v>0</v>
      </c>
      <c r="AR14" s="46" t="n">
        <f aca="false">N(AND(AR$3&lt;=$E14,AR$4&gt;=$E14))</f>
        <v>0</v>
      </c>
      <c r="AS14" s="46" t="n">
        <f aca="false">N(AND(AS$3&lt;=$E14,AS$4&gt;=$E14))</f>
        <v>0</v>
      </c>
      <c r="AT14" s="46" t="n">
        <f aca="false">N(AND(AT$3&lt;=$E14,AT$4&gt;=$E14))</f>
        <v>0</v>
      </c>
      <c r="AU14" s="46" t="n">
        <f aca="false">N(AND(AU$3&lt;=$E14,AU$4&gt;=$E14))</f>
        <v>0</v>
      </c>
      <c r="AV14" s="46" t="n">
        <f aca="false">N(AND(AV$3&lt;=$E14,AV$4&gt;=$E14))</f>
        <v>0</v>
      </c>
      <c r="AW14" s="46" t="n">
        <f aca="false">N(AND(AW$3&lt;=$E14,AW$4&gt;=$E14))</f>
        <v>0</v>
      </c>
      <c r="AX14" s="46" t="n">
        <f aca="false">N(AND(AX$3&lt;=$E14,AX$4&gt;=$E14))</f>
        <v>0</v>
      </c>
      <c r="AY14" s="46" t="n">
        <f aca="false">N(AND(AY$3&lt;=$E14,AY$4&gt;=$E14))</f>
        <v>0</v>
      </c>
      <c r="AZ14" s="46" t="n">
        <f aca="false">N(AND(AZ$3&lt;=$E14,AZ$4&gt;=$E14))</f>
        <v>0</v>
      </c>
      <c r="BA14" s="46" t="n">
        <f aca="false">N(AND(BA$3&lt;=$E14,BA$4&gt;=$E14))</f>
        <v>0</v>
      </c>
      <c r="BB14" s="46" t="n">
        <f aca="false">N(AND(BB$3&lt;=$E14,BB$4&gt;=$E14))</f>
        <v>0</v>
      </c>
      <c r="BC14" s="46" t="n">
        <f aca="false">N(AND(BC$3&lt;=$E14,BC$4&gt;=$E14))</f>
        <v>0</v>
      </c>
      <c r="BD14" s="46" t="n">
        <f aca="false">N(AND(BD$3&lt;=$E14,BD$4&gt;=$E14))</f>
        <v>0</v>
      </c>
      <c r="BE14" s="46" t="n">
        <f aca="false">N(AND(BE$3&lt;=$E14,BE$4&gt;=$E14))</f>
        <v>0</v>
      </c>
      <c r="BF14" s="46" t="n">
        <f aca="false">N(AND(BF$3&lt;=$E14,BF$4&gt;=$E14))</f>
        <v>0</v>
      </c>
      <c r="BG14" s="46" t="n">
        <f aca="false">N(AND(BG$3&lt;=$E14,BG$4&gt;=$E14))</f>
        <v>0</v>
      </c>
      <c r="BH14" s="46" t="n">
        <f aca="false">N(AND(BH$3&lt;=$E14,BH$4&gt;=$E14))</f>
        <v>0</v>
      </c>
      <c r="BI14" s="46" t="n">
        <f aca="false">N(AND(BI$3&lt;=$E14,BI$4&gt;=$E14))</f>
        <v>0</v>
      </c>
      <c r="BJ14" s="46" t="n">
        <f aca="false">N(AND(BJ$3&lt;=$E14,BJ$4&gt;=$E14))</f>
        <v>0</v>
      </c>
      <c r="BK14" s="46" t="n">
        <f aca="false">N(AND(BK$3&lt;=$E14,BK$4&gt;=$E14))</f>
        <v>0</v>
      </c>
      <c r="BL14" s="46" t="n">
        <f aca="false">N(AND(BL$3&lt;=$E14,BL$4&gt;=$E14))</f>
        <v>0</v>
      </c>
      <c r="BM14" s="46" t="n">
        <f aca="false">N(AND(BM$3&lt;=$E14,BM$4&gt;=$E14))</f>
        <v>0</v>
      </c>
      <c r="BN14" s="46" t="n">
        <f aca="false">N(AND(BN$3&lt;=$E14,BN$4&gt;=$E14))</f>
        <v>0</v>
      </c>
      <c r="BO14" s="46" t="n">
        <f aca="false">N(AND(BO$3&lt;=$E14,BO$4&gt;=$E14))</f>
        <v>0</v>
      </c>
      <c r="BP14" s="46" t="n">
        <f aca="false">N(AND(BP$3&lt;=$E14,BP$4&gt;=$E14))</f>
        <v>0</v>
      </c>
      <c r="BQ14" s="46" t="n">
        <f aca="false">N(AND(BQ$3&lt;=$E14,BQ$4&gt;=$E14))</f>
        <v>0</v>
      </c>
      <c r="BR14" s="46" t="n">
        <f aca="false">N(AND(BR$3&lt;=$E14,BR$4&gt;=$E14))</f>
        <v>0</v>
      </c>
      <c r="BS14" s="46" t="n">
        <f aca="false">N(AND(BS$3&lt;=$E14,BS$4&gt;=$E14))</f>
        <v>0</v>
      </c>
      <c r="BT14" s="46" t="n">
        <f aca="false">N(AND(BT$3&lt;=$E14,BT$4&gt;=$E14))</f>
        <v>0</v>
      </c>
      <c r="BU14" s="46" t="n">
        <f aca="false">N(AND(BU$3&lt;=$E14,BU$4&gt;=$E14))</f>
        <v>0</v>
      </c>
      <c r="BV14" s="46" t="n">
        <f aca="false">N(AND(BV$3&lt;=$E14,BV$4&gt;=$E14))</f>
        <v>0</v>
      </c>
      <c r="BW14" s="46" t="n">
        <f aca="false">N(AND(BW$3&lt;=$E14,BW$4&gt;=$E14))</f>
        <v>0</v>
      </c>
      <c r="BX14" s="46" t="n">
        <f aca="false">N(AND(BX$3&lt;=$E14,BX$4&gt;=$E14))</f>
        <v>0</v>
      </c>
      <c r="BY14" s="46" t="n">
        <f aca="false">N(AND(BY$3&lt;=$E14,BY$4&gt;=$E14))</f>
        <v>0</v>
      </c>
      <c r="BZ14" s="46" t="n">
        <f aca="false">N(AND(BZ$3&lt;=$E14,BZ$4&gt;=$E14))</f>
        <v>0</v>
      </c>
      <c r="CA14" s="46" t="n">
        <f aca="false">N(AND(CA$3&lt;=$E14,CA$4&gt;=$E14))</f>
        <v>0</v>
      </c>
      <c r="CB14" s="46" t="n">
        <f aca="false">N(AND(CB$3&lt;=$E14,CB$4&gt;=$E14))</f>
        <v>0</v>
      </c>
      <c r="CC14" s="46" t="n">
        <f aca="false">N(AND(CC$3&lt;=$E14,CC$4&gt;=$E14))</f>
        <v>0</v>
      </c>
      <c r="CD14" s="46" t="n">
        <f aca="false">N(AND(CD$3&lt;=$E14,CD$4&gt;=$E14))</f>
        <v>0</v>
      </c>
      <c r="CE14" s="46" t="n">
        <f aca="false">N(AND(CE$3&lt;=$E14,CE$4&gt;=$E14))</f>
        <v>0</v>
      </c>
      <c r="CF14" s="46" t="n">
        <f aca="false">N(AND(CF$3&lt;=$E14,CF$4&gt;=$E14))</f>
        <v>0</v>
      </c>
      <c r="CG14" s="46" t="n">
        <f aca="false">N(AND(CG$3&lt;=$E14,CG$4&gt;=$E14))</f>
        <v>0</v>
      </c>
      <c r="CH14" s="46" t="n">
        <f aca="false">N(AND(CH$3&lt;=$E14,CH$4&gt;=$E14))</f>
        <v>0</v>
      </c>
      <c r="CI14" s="46" t="n">
        <f aca="false">N(AND(CI$3&lt;=$E14,CI$4&gt;=$E14))</f>
        <v>0</v>
      </c>
      <c r="CJ14" s="46" t="n">
        <f aca="false">N(AND(CJ$3&lt;=$E14,CJ$4&gt;=$E14))</f>
        <v>0</v>
      </c>
      <c r="CK14" s="46" t="n">
        <f aca="false">N(AND(CK$3&lt;=$E14,CK$4&gt;=$E14))</f>
        <v>0</v>
      </c>
      <c r="CL14" s="46" t="n">
        <f aca="false">N(AND(CL$3&lt;=$E14,CL$4&gt;=$E14))</f>
        <v>0</v>
      </c>
      <c r="CM14" s="46" t="n">
        <f aca="false">N(AND(CM$3&lt;=$E14,CM$4&gt;=$E14))</f>
        <v>0</v>
      </c>
      <c r="CN14" s="46" t="n">
        <f aca="false">N(AND(CN$3&lt;=$E14,CN$4&gt;=$E14))</f>
        <v>0</v>
      </c>
      <c r="CO14" s="46" t="n">
        <f aca="false">N(AND(CO$3&lt;=$E14,CO$4&gt;=$E14))</f>
        <v>0</v>
      </c>
      <c r="CP14" s="46" t="n">
        <f aca="false">N(AND(CP$3&lt;=$E14,CP$4&gt;=$E14))</f>
        <v>0</v>
      </c>
      <c r="CQ14" s="46" t="n">
        <f aca="false">N(AND(CQ$3&lt;=$E14,CQ$4&gt;=$E14))</f>
        <v>0</v>
      </c>
      <c r="CR14" s="46" t="n">
        <f aca="false">N(AND(CR$3&lt;=$E14,CR$4&gt;=$E14))</f>
        <v>0</v>
      </c>
      <c r="CS14" s="46" t="n">
        <f aca="false">N(AND(CS$3&lt;=$E14,CS$4&gt;=$E14))</f>
        <v>0</v>
      </c>
      <c r="CT14" s="46" t="n">
        <f aca="false">N(AND(CT$3&lt;=$E14,CT$4&gt;=$E14))</f>
        <v>0</v>
      </c>
      <c r="CU14" s="46" t="n">
        <f aca="false">N(AND(CU$3&lt;=$E14,CU$4&gt;=$E14))</f>
        <v>0</v>
      </c>
      <c r="CV14" s="46" t="n">
        <f aca="false">N(AND(CV$3&lt;=$E14,CV$4&gt;=$E14))</f>
        <v>0</v>
      </c>
      <c r="CW14" s="46" t="n">
        <f aca="false">N(AND(CW$3&lt;=$E14,CW$4&gt;=$E14))</f>
        <v>0</v>
      </c>
      <c r="CX14" s="46" t="n">
        <f aca="false">N(AND(CX$3&lt;=$E14,CX$4&gt;=$E14))</f>
        <v>0</v>
      </c>
      <c r="CY14" s="46" t="n">
        <f aca="false">N(AND(CY$3&lt;=$E14,CY$4&gt;=$E14))</f>
        <v>0</v>
      </c>
      <c r="CZ14" s="46" t="n">
        <f aca="false">N(AND(CZ$3&lt;=$E14,CZ$4&gt;=$E14))</f>
        <v>0</v>
      </c>
      <c r="DA14" s="46" t="n">
        <f aca="false">N(AND(DA$3&lt;=$E14,DA$4&gt;=$E14))</f>
        <v>0</v>
      </c>
      <c r="DB14" s="46" t="n">
        <f aca="false">N(AND(DB$3&lt;=$E14,DB$4&gt;=$E14))</f>
        <v>0</v>
      </c>
      <c r="DC14" s="46" t="n">
        <f aca="false">N(AND(DC$3&lt;=$E14,DC$4&gt;=$E14))</f>
        <v>0</v>
      </c>
      <c r="DD14" s="46" t="n">
        <f aca="false">N(AND(DD$3&lt;=$E14,DD$4&gt;=$E14))</f>
        <v>0</v>
      </c>
      <c r="DE14" s="46" t="n">
        <f aca="false">N(AND(DE$3&lt;=$E14,DE$4&gt;=$E14))</f>
        <v>0</v>
      </c>
      <c r="DF14" s="46" t="n">
        <f aca="false">N(AND(DF$3&lt;=$E14,DF$4&gt;=$E14))</f>
        <v>0</v>
      </c>
      <c r="DG14" s="46" t="n">
        <f aca="false">N(AND(DG$3&lt;=$E14,DG$4&gt;=$E14))</f>
        <v>0</v>
      </c>
      <c r="DH14" s="46" t="n">
        <f aca="false">N(AND(DH$3&lt;=$E14,DH$4&gt;=$E14))</f>
        <v>0</v>
      </c>
      <c r="DI14" s="46" t="n">
        <f aca="false">N(AND(DI$3&lt;=$E14,DI$4&gt;=$E14))</f>
        <v>0</v>
      </c>
      <c r="DJ14" s="46" t="n">
        <f aca="false">N(AND(DJ$3&lt;=$E14,DJ$4&gt;=$E14))</f>
        <v>0</v>
      </c>
      <c r="DK14" s="46" t="n">
        <f aca="false">N(AND(DK$3&lt;=$E14,DK$4&gt;=$E14))</f>
        <v>0</v>
      </c>
      <c r="DL14" s="46" t="n">
        <f aca="false">N(AND(DL$3&lt;=$E14,DL$4&gt;=$E14))</f>
        <v>0</v>
      </c>
      <c r="DM14" s="46" t="n">
        <f aca="false">N(AND(DM$3&lt;=$E14,DM$4&gt;=$E14))</f>
        <v>0</v>
      </c>
      <c r="DN14" s="46" t="n">
        <f aca="false">N(AND(DN$3&lt;=$E14,DN$4&gt;=$E14))</f>
        <v>0</v>
      </c>
      <c r="DO14" s="46" t="n">
        <f aca="false">N(AND(DO$3&lt;=$E14,DO$4&gt;=$E14))</f>
        <v>0</v>
      </c>
      <c r="DP14" s="46" t="n">
        <f aca="false">N(AND(DP$3&lt;=$E14,DP$4&gt;=$E14))</f>
        <v>0</v>
      </c>
      <c r="DQ14" s="46" t="n">
        <f aca="false">N(AND(DQ$3&lt;=$E14,DQ$4&gt;=$E14))</f>
        <v>0</v>
      </c>
      <c r="DR14" s="46" t="n">
        <f aca="false">N(AND(DR$3&lt;=$E14,DR$4&gt;=$E14))</f>
        <v>0</v>
      </c>
      <c r="DS14" s="46" t="n">
        <f aca="false">N(AND(DS$3&lt;=$E14,DS$4&gt;=$E14))</f>
        <v>0</v>
      </c>
      <c r="DT14" s="46" t="n">
        <f aca="false">N(AND(DT$3&lt;=$E14,DT$4&gt;=$E14))</f>
        <v>0</v>
      </c>
      <c r="DU14" s="46" t="n">
        <f aca="false">N(AND(DU$3&lt;=$E14,DU$4&gt;=$E14))</f>
        <v>0</v>
      </c>
      <c r="DV14" s="46" t="n">
        <f aca="false">N(AND(DV$3&lt;=$E14,DV$4&gt;=$E14))</f>
        <v>0</v>
      </c>
      <c r="DW14" s="46" t="n">
        <f aca="false">N(AND(DW$3&lt;=$E14,DW$4&gt;=$E14))</f>
        <v>0</v>
      </c>
      <c r="DX14" s="46" t="n">
        <f aca="false">N(AND(DX$3&lt;=$E14,DX$4&gt;=$E14))</f>
        <v>0</v>
      </c>
      <c r="DY14" s="46" t="n">
        <f aca="false">N(AND(DY$3&lt;=$E14,DY$4&gt;=$E14))</f>
        <v>0</v>
      </c>
      <c r="DZ14" s="46" t="n">
        <f aca="false">N(AND(DZ$3&lt;=$E14,DZ$4&gt;=$E14))</f>
        <v>0</v>
      </c>
      <c r="EA14" s="46" t="n">
        <f aca="false">N(AND(EA$3&lt;=$E14,EA$4&gt;=$E14))</f>
        <v>0</v>
      </c>
      <c r="EB14" s="46" t="n">
        <f aca="false">N(AND(EB$3&lt;=$E14,EB$4&gt;=$E14))</f>
        <v>0</v>
      </c>
      <c r="EC14" s="46" t="n">
        <f aca="false">N(AND(EC$3&lt;=$E14,EC$4&gt;=$E14))</f>
        <v>0</v>
      </c>
      <c r="ED14" s="46" t="n">
        <f aca="false">N(AND(ED$3&lt;=$E14,ED$4&gt;=$E14))</f>
        <v>0</v>
      </c>
      <c r="EE14" s="46" t="n">
        <f aca="false">N(AND(EE$3&lt;=$E14,EE$4&gt;=$E14))</f>
        <v>0</v>
      </c>
      <c r="EF14" s="46" t="n">
        <f aca="false">N(AND(EF$3&lt;=$E14,EF$4&gt;=$E14))</f>
        <v>0</v>
      </c>
      <c r="EG14" s="46" t="n">
        <f aca="false">N(AND(EG$3&lt;=$E14,EG$4&gt;=$E14))</f>
        <v>0</v>
      </c>
      <c r="EH14" s="46" t="n">
        <f aca="false">N(AND(EH$3&lt;=$E14,EH$4&gt;=$E14))</f>
        <v>0</v>
      </c>
      <c r="EI14" s="46" t="n">
        <f aca="false">N(AND(EI$3&lt;=$E14,EI$4&gt;=$E14))</f>
        <v>0</v>
      </c>
      <c r="EJ14" s="46" t="n">
        <f aca="false">N(AND(EJ$3&lt;=$E14,EJ$4&gt;=$E14))</f>
        <v>0</v>
      </c>
      <c r="EK14" s="46" t="n">
        <f aca="false">N(AND(EK$3&lt;=$E14,EK$4&gt;=$E14))</f>
        <v>0</v>
      </c>
      <c r="EL14" s="46" t="n">
        <f aca="false">N(AND(EL$3&lt;=$E14,EL$4&gt;=$E14))</f>
        <v>0</v>
      </c>
      <c r="EM14" s="46" t="n">
        <f aca="false">N(AND(EM$3&lt;=$E14,EM$4&gt;=$E14))</f>
        <v>0</v>
      </c>
      <c r="EN14" s="46" t="n">
        <f aca="false">N(AND(EN$3&lt;=$E14,EN$4&gt;=$E14))</f>
        <v>0</v>
      </c>
      <c r="EO14" s="46" t="n">
        <f aca="false">N(AND(EO$3&lt;=$E14,EO$4&gt;=$E14))</f>
        <v>0</v>
      </c>
    </row>
    <row r="15" customFormat="false" ht="15" hidden="false" customHeight="false" outlineLevel="0" collapsed="false">
      <c r="C15" s="0" t="s">
        <v>254</v>
      </c>
      <c r="D15" s="11" t="s">
        <v>30</v>
      </c>
      <c r="E15" s="41" t="n">
        <f aca="false">In_COD+1</f>
        <v>47757</v>
      </c>
      <c r="F15" s="41" t="n">
        <f aca="false">EDATE(In_COD,In_Life*Months_In_Year)</f>
        <v>58714</v>
      </c>
      <c r="J15" s="52" t="n">
        <f aca="false">MAX(0,(MIN($F15,J$4)-MAX($E15,J$3)+1)/J$5)</f>
        <v>0</v>
      </c>
      <c r="K15" s="52" t="n">
        <f aca="false">MAX(0,(MIN($F15,K$4)-MAX($E15,K$3)+1)/K$5)</f>
        <v>0</v>
      </c>
      <c r="L15" s="52" t="n">
        <f aca="false">MAX(0,(MIN($F15,L$4)-MAX($E15,L$3)+1)/L$5)</f>
        <v>0</v>
      </c>
      <c r="M15" s="52" t="n">
        <f aca="false">MAX(0,(MIN($F15,M$4)-MAX($E15,M$3)+1)/M$5)</f>
        <v>0</v>
      </c>
      <c r="N15" s="52" t="n">
        <f aca="false">MAX(0,(MIN($F15,N$4)-MAX($E15,N$3)+1)/N$5)</f>
        <v>0</v>
      </c>
      <c r="O15" s="52" t="n">
        <f aca="false">MAX(0,(MIN($F15,O$4)-MAX($E15,O$3)+1)/O$5)</f>
        <v>0</v>
      </c>
      <c r="P15" s="52" t="n">
        <f aca="false">MAX(0,(MIN($F15,P$4)-MAX($E15,P$3)+1)/P$5)</f>
        <v>0</v>
      </c>
      <c r="Q15" s="52" t="n">
        <f aca="false">MAX(0,(MIN($F15,Q$4)-MAX($E15,Q$3)+1)/Q$5)</f>
        <v>0</v>
      </c>
      <c r="R15" s="52" t="n">
        <f aca="false">MAX(0,(MIN($F15,R$4)-MAX($E15,R$3)+1)/R$5)</f>
        <v>0</v>
      </c>
      <c r="S15" s="52" t="n">
        <f aca="false">MAX(0,(MIN($F15,S$4)-MAX($E15,S$3)+1)/S$5)</f>
        <v>0</v>
      </c>
      <c r="T15" s="52" t="n">
        <f aca="false">MAX(0,(MIN($F15,T$4)-MAX($E15,T$3)+1)/T$5)</f>
        <v>0</v>
      </c>
      <c r="U15" s="52" t="n">
        <f aca="false">MAX(0,(MIN($F15,U$4)-MAX($E15,U$3)+1)/U$5)</f>
        <v>0</v>
      </c>
      <c r="V15" s="52" t="n">
        <f aca="false">MAX(0,(MIN($F15,V$4)-MAX($E15,V$3)+1)/V$5)</f>
        <v>0</v>
      </c>
      <c r="W15" s="52" t="n">
        <f aca="false">MAX(0,(MIN($F15,W$4)-MAX($E15,W$3)+1)/W$5)</f>
        <v>0</v>
      </c>
      <c r="X15" s="52" t="n">
        <f aca="false">MAX(0,(MIN($F15,X$4)-MAX($E15,X$3)+1)/X$5)</f>
        <v>0</v>
      </c>
      <c r="Y15" s="52" t="n">
        <f aca="false">MAX(0,(MIN($F15,Y$4)-MAX($E15,Y$3)+1)/Y$5)</f>
        <v>0</v>
      </c>
      <c r="Z15" s="52" t="n">
        <f aca="false">MAX(0,(MIN($F15,Z$4)-MAX($E15,Z$3)+1)/Z$5)</f>
        <v>1</v>
      </c>
      <c r="AA15" s="52" t="n">
        <f aca="false">MAX(0,(MIN($F15,AA$4)-MAX($E15,AA$3)+1)/AA$5)</f>
        <v>1</v>
      </c>
      <c r="AB15" s="52" t="n">
        <f aca="false">MAX(0,(MIN($F15,AB$4)-MAX($E15,AB$3)+1)/AB$5)</f>
        <v>1</v>
      </c>
      <c r="AC15" s="52" t="n">
        <f aca="false">MAX(0,(MIN($F15,AC$4)-MAX($E15,AC$3)+1)/AC$5)</f>
        <v>1</v>
      </c>
      <c r="AD15" s="52" t="n">
        <f aca="false">MAX(0,(MIN($F15,AD$4)-MAX($E15,AD$3)+1)/AD$5)</f>
        <v>1</v>
      </c>
      <c r="AE15" s="52" t="n">
        <f aca="false">MAX(0,(MIN($F15,AE$4)-MAX($E15,AE$3)+1)/AE$5)</f>
        <v>1</v>
      </c>
      <c r="AF15" s="52" t="n">
        <f aca="false">MAX(0,(MIN($F15,AF$4)-MAX($E15,AF$3)+1)/AF$5)</f>
        <v>1</v>
      </c>
      <c r="AG15" s="52" t="n">
        <f aca="false">MAX(0,(MIN($F15,AG$4)-MAX($E15,AG$3)+1)/AG$5)</f>
        <v>1</v>
      </c>
      <c r="AH15" s="52" t="n">
        <f aca="false">MAX(0,(MIN($F15,AH$4)-MAX($E15,AH$3)+1)/AH$5)</f>
        <v>1</v>
      </c>
      <c r="AI15" s="52" t="n">
        <f aca="false">MAX(0,(MIN($F15,AI$4)-MAX($E15,AI$3)+1)/AI$5)</f>
        <v>1</v>
      </c>
      <c r="AJ15" s="52" t="n">
        <f aca="false">MAX(0,(MIN($F15,AJ$4)-MAX($E15,AJ$3)+1)/AJ$5)</f>
        <v>1</v>
      </c>
      <c r="AK15" s="52" t="n">
        <f aca="false">MAX(0,(MIN($F15,AK$4)-MAX($E15,AK$3)+1)/AK$5)</f>
        <v>1</v>
      </c>
      <c r="AL15" s="52" t="n">
        <f aca="false">MAX(0,(MIN($F15,AL$4)-MAX($E15,AL$3)+1)/AL$5)</f>
        <v>1</v>
      </c>
      <c r="AM15" s="52" t="n">
        <f aca="false">MAX(0,(MIN($F15,AM$4)-MAX($E15,AM$3)+1)/AM$5)</f>
        <v>1</v>
      </c>
      <c r="AN15" s="52" t="n">
        <f aca="false">MAX(0,(MIN($F15,AN$4)-MAX($E15,AN$3)+1)/AN$5)</f>
        <v>1</v>
      </c>
      <c r="AO15" s="52" t="n">
        <f aca="false">MAX(0,(MIN($F15,AO$4)-MAX($E15,AO$3)+1)/AO$5)</f>
        <v>1</v>
      </c>
      <c r="AP15" s="52" t="n">
        <f aca="false">MAX(0,(MIN($F15,AP$4)-MAX($E15,AP$3)+1)/AP$5)</f>
        <v>1</v>
      </c>
      <c r="AQ15" s="52" t="n">
        <f aca="false">MAX(0,(MIN($F15,AQ$4)-MAX($E15,AQ$3)+1)/AQ$5)</f>
        <v>1</v>
      </c>
      <c r="AR15" s="52" t="n">
        <f aca="false">MAX(0,(MIN($F15,AR$4)-MAX($E15,AR$3)+1)/AR$5)</f>
        <v>1</v>
      </c>
      <c r="AS15" s="52" t="n">
        <f aca="false">MAX(0,(MIN($F15,AS$4)-MAX($E15,AS$3)+1)/AS$5)</f>
        <v>1</v>
      </c>
      <c r="AT15" s="52" t="n">
        <f aca="false">MAX(0,(MIN($F15,AT$4)-MAX($E15,AT$3)+1)/AT$5)</f>
        <v>1</v>
      </c>
      <c r="AU15" s="52" t="n">
        <f aca="false">MAX(0,(MIN($F15,AU$4)-MAX($E15,AU$3)+1)/AU$5)</f>
        <v>1</v>
      </c>
      <c r="AV15" s="52" t="n">
        <f aca="false">MAX(0,(MIN($F15,AV$4)-MAX($E15,AV$3)+1)/AV$5)</f>
        <v>1</v>
      </c>
      <c r="AW15" s="52" t="n">
        <f aca="false">MAX(0,(MIN($F15,AW$4)-MAX($E15,AW$3)+1)/AW$5)</f>
        <v>1</v>
      </c>
      <c r="AX15" s="52" t="n">
        <f aca="false">MAX(0,(MIN($F15,AX$4)-MAX($E15,AX$3)+1)/AX$5)</f>
        <v>1</v>
      </c>
      <c r="AY15" s="52" t="n">
        <f aca="false">MAX(0,(MIN($F15,AY$4)-MAX($E15,AY$3)+1)/AY$5)</f>
        <v>1</v>
      </c>
      <c r="AZ15" s="52" t="n">
        <f aca="false">MAX(0,(MIN($F15,AZ$4)-MAX($E15,AZ$3)+1)/AZ$5)</f>
        <v>1</v>
      </c>
      <c r="BA15" s="52" t="n">
        <f aca="false">MAX(0,(MIN($F15,BA$4)-MAX($E15,BA$3)+1)/BA$5)</f>
        <v>1</v>
      </c>
      <c r="BB15" s="52" t="n">
        <f aca="false">MAX(0,(MIN($F15,BB$4)-MAX($E15,BB$3)+1)/BB$5)</f>
        <v>1</v>
      </c>
      <c r="BC15" s="52" t="n">
        <f aca="false">MAX(0,(MIN($F15,BC$4)-MAX($E15,BC$3)+1)/BC$5)</f>
        <v>1</v>
      </c>
      <c r="BD15" s="52" t="n">
        <f aca="false">MAX(0,(MIN($F15,BD$4)-MAX($E15,BD$3)+1)/BD$5)</f>
        <v>1</v>
      </c>
      <c r="BE15" s="52" t="n">
        <f aca="false">MAX(0,(MIN($F15,BE$4)-MAX($E15,BE$3)+1)/BE$5)</f>
        <v>1</v>
      </c>
      <c r="BF15" s="52" t="n">
        <f aca="false">MAX(0,(MIN($F15,BF$4)-MAX($E15,BF$3)+1)/BF$5)</f>
        <v>1</v>
      </c>
      <c r="BG15" s="52" t="n">
        <f aca="false">MAX(0,(MIN($F15,BG$4)-MAX($E15,BG$3)+1)/BG$5)</f>
        <v>1</v>
      </c>
      <c r="BH15" s="52" t="n">
        <f aca="false">MAX(0,(MIN($F15,BH$4)-MAX($E15,BH$3)+1)/BH$5)</f>
        <v>1</v>
      </c>
      <c r="BI15" s="52" t="n">
        <f aca="false">MAX(0,(MIN($F15,BI$4)-MAX($E15,BI$3)+1)/BI$5)</f>
        <v>1</v>
      </c>
      <c r="BJ15" s="52" t="n">
        <f aca="false">MAX(0,(MIN($F15,BJ$4)-MAX($E15,BJ$3)+1)/BJ$5)</f>
        <v>1</v>
      </c>
      <c r="BK15" s="52" t="n">
        <f aca="false">MAX(0,(MIN($F15,BK$4)-MAX($E15,BK$3)+1)/BK$5)</f>
        <v>1</v>
      </c>
      <c r="BL15" s="52" t="n">
        <f aca="false">MAX(0,(MIN($F15,BL$4)-MAX($E15,BL$3)+1)/BL$5)</f>
        <v>1</v>
      </c>
      <c r="BM15" s="52" t="n">
        <f aca="false">MAX(0,(MIN($F15,BM$4)-MAX($E15,BM$3)+1)/BM$5)</f>
        <v>1</v>
      </c>
      <c r="BN15" s="52" t="n">
        <f aca="false">MAX(0,(MIN($F15,BN$4)-MAX($E15,BN$3)+1)/BN$5)</f>
        <v>1</v>
      </c>
      <c r="BO15" s="52" t="n">
        <f aca="false">MAX(0,(MIN($F15,BO$4)-MAX($E15,BO$3)+1)/BO$5)</f>
        <v>1</v>
      </c>
      <c r="BP15" s="52" t="n">
        <f aca="false">MAX(0,(MIN($F15,BP$4)-MAX($E15,BP$3)+1)/BP$5)</f>
        <v>1</v>
      </c>
      <c r="BQ15" s="52" t="n">
        <f aca="false">MAX(0,(MIN($F15,BQ$4)-MAX($E15,BQ$3)+1)/BQ$5)</f>
        <v>1</v>
      </c>
      <c r="BR15" s="52" t="n">
        <f aca="false">MAX(0,(MIN($F15,BR$4)-MAX($E15,BR$3)+1)/BR$5)</f>
        <v>1</v>
      </c>
      <c r="BS15" s="52" t="n">
        <f aca="false">MAX(0,(MIN($F15,BS$4)-MAX($E15,BS$3)+1)/BS$5)</f>
        <v>1</v>
      </c>
      <c r="BT15" s="52" t="n">
        <f aca="false">MAX(0,(MIN($F15,BT$4)-MAX($E15,BT$3)+1)/BT$5)</f>
        <v>1</v>
      </c>
      <c r="BU15" s="52" t="n">
        <f aca="false">MAX(0,(MIN($F15,BU$4)-MAX($E15,BU$3)+1)/BU$5)</f>
        <v>1</v>
      </c>
      <c r="BV15" s="52" t="n">
        <f aca="false">MAX(0,(MIN($F15,BV$4)-MAX($E15,BV$3)+1)/BV$5)</f>
        <v>1</v>
      </c>
      <c r="BW15" s="52" t="n">
        <f aca="false">MAX(0,(MIN($F15,BW$4)-MAX($E15,BW$3)+1)/BW$5)</f>
        <v>1</v>
      </c>
      <c r="BX15" s="52" t="n">
        <f aca="false">MAX(0,(MIN($F15,BX$4)-MAX($E15,BX$3)+1)/BX$5)</f>
        <v>1</v>
      </c>
      <c r="BY15" s="52" t="n">
        <f aca="false">MAX(0,(MIN($F15,BY$4)-MAX($E15,BY$3)+1)/BY$5)</f>
        <v>1</v>
      </c>
      <c r="BZ15" s="52" t="n">
        <f aca="false">MAX(0,(MIN($F15,BZ$4)-MAX($E15,BZ$3)+1)/BZ$5)</f>
        <v>1</v>
      </c>
      <c r="CA15" s="52" t="n">
        <f aca="false">MAX(0,(MIN($F15,CA$4)-MAX($E15,CA$3)+1)/CA$5)</f>
        <v>1</v>
      </c>
      <c r="CB15" s="52" t="n">
        <f aca="false">MAX(0,(MIN($F15,CB$4)-MAX($E15,CB$3)+1)/CB$5)</f>
        <v>1</v>
      </c>
      <c r="CC15" s="52" t="n">
        <f aca="false">MAX(0,(MIN($F15,CC$4)-MAX($E15,CC$3)+1)/CC$5)</f>
        <v>1</v>
      </c>
      <c r="CD15" s="52" t="n">
        <f aca="false">MAX(0,(MIN($F15,CD$4)-MAX($E15,CD$3)+1)/CD$5)</f>
        <v>1</v>
      </c>
      <c r="CE15" s="52" t="n">
        <f aca="false">MAX(0,(MIN($F15,CE$4)-MAX($E15,CE$3)+1)/CE$5)</f>
        <v>1</v>
      </c>
      <c r="CF15" s="52" t="n">
        <f aca="false">MAX(0,(MIN($F15,CF$4)-MAX($E15,CF$3)+1)/CF$5)</f>
        <v>1</v>
      </c>
      <c r="CG15" s="52" t="n">
        <f aca="false">MAX(0,(MIN($F15,CG$4)-MAX($E15,CG$3)+1)/CG$5)</f>
        <v>1</v>
      </c>
      <c r="CH15" s="52" t="n">
        <f aca="false">MAX(0,(MIN($F15,CH$4)-MAX($E15,CH$3)+1)/CH$5)</f>
        <v>1</v>
      </c>
      <c r="CI15" s="52" t="n">
        <f aca="false">MAX(0,(MIN($F15,CI$4)-MAX($E15,CI$3)+1)/CI$5)</f>
        <v>1</v>
      </c>
      <c r="CJ15" s="52" t="n">
        <f aca="false">MAX(0,(MIN($F15,CJ$4)-MAX($E15,CJ$3)+1)/CJ$5)</f>
        <v>1</v>
      </c>
      <c r="CK15" s="52" t="n">
        <f aca="false">MAX(0,(MIN($F15,CK$4)-MAX($E15,CK$3)+1)/CK$5)</f>
        <v>1</v>
      </c>
      <c r="CL15" s="52" t="n">
        <f aca="false">MAX(0,(MIN($F15,CL$4)-MAX($E15,CL$3)+1)/CL$5)</f>
        <v>1</v>
      </c>
      <c r="CM15" s="52" t="n">
        <f aca="false">MAX(0,(MIN($F15,CM$4)-MAX($E15,CM$3)+1)/CM$5)</f>
        <v>1</v>
      </c>
      <c r="CN15" s="52" t="n">
        <f aca="false">MAX(0,(MIN($F15,CN$4)-MAX($E15,CN$3)+1)/CN$5)</f>
        <v>1</v>
      </c>
      <c r="CO15" s="52" t="n">
        <f aca="false">MAX(0,(MIN($F15,CO$4)-MAX($E15,CO$3)+1)/CO$5)</f>
        <v>1</v>
      </c>
      <c r="CP15" s="52" t="n">
        <f aca="false">MAX(0,(MIN($F15,CP$4)-MAX($E15,CP$3)+1)/CP$5)</f>
        <v>1</v>
      </c>
      <c r="CQ15" s="52" t="n">
        <f aca="false">MAX(0,(MIN($F15,CQ$4)-MAX($E15,CQ$3)+1)/CQ$5)</f>
        <v>1</v>
      </c>
      <c r="CR15" s="52" t="n">
        <f aca="false">MAX(0,(MIN($F15,CR$4)-MAX($E15,CR$3)+1)/CR$5)</f>
        <v>1</v>
      </c>
      <c r="CS15" s="52" t="n">
        <f aca="false">MAX(0,(MIN($F15,CS$4)-MAX($E15,CS$3)+1)/CS$5)</f>
        <v>1</v>
      </c>
      <c r="CT15" s="52" t="n">
        <f aca="false">MAX(0,(MIN($F15,CT$4)-MAX($E15,CT$3)+1)/CT$5)</f>
        <v>1</v>
      </c>
      <c r="CU15" s="52" t="n">
        <f aca="false">MAX(0,(MIN($F15,CU$4)-MAX($E15,CU$3)+1)/CU$5)</f>
        <v>1</v>
      </c>
      <c r="CV15" s="52" t="n">
        <f aca="false">MAX(0,(MIN($F15,CV$4)-MAX($E15,CV$3)+1)/CV$5)</f>
        <v>1</v>
      </c>
      <c r="CW15" s="52" t="n">
        <f aca="false">MAX(0,(MIN($F15,CW$4)-MAX($E15,CW$3)+1)/CW$5)</f>
        <v>1</v>
      </c>
      <c r="CX15" s="52" t="n">
        <f aca="false">MAX(0,(MIN($F15,CX$4)-MAX($E15,CX$3)+1)/CX$5)</f>
        <v>1</v>
      </c>
      <c r="CY15" s="52" t="n">
        <f aca="false">MAX(0,(MIN($F15,CY$4)-MAX($E15,CY$3)+1)/CY$5)</f>
        <v>1</v>
      </c>
      <c r="CZ15" s="52" t="n">
        <f aca="false">MAX(0,(MIN($F15,CZ$4)-MAX($E15,CZ$3)+1)/CZ$5)</f>
        <v>1</v>
      </c>
      <c r="DA15" s="52" t="n">
        <f aca="false">MAX(0,(MIN($F15,DA$4)-MAX($E15,DA$3)+1)/DA$5)</f>
        <v>1</v>
      </c>
      <c r="DB15" s="52" t="n">
        <f aca="false">MAX(0,(MIN($F15,DB$4)-MAX($E15,DB$3)+1)/DB$5)</f>
        <v>1</v>
      </c>
      <c r="DC15" s="52" t="n">
        <f aca="false">MAX(0,(MIN($F15,DC$4)-MAX($E15,DC$3)+1)/DC$5)</f>
        <v>1</v>
      </c>
      <c r="DD15" s="52" t="n">
        <f aca="false">MAX(0,(MIN($F15,DD$4)-MAX($E15,DD$3)+1)/DD$5)</f>
        <v>1</v>
      </c>
      <c r="DE15" s="52" t="n">
        <f aca="false">MAX(0,(MIN($F15,DE$4)-MAX($E15,DE$3)+1)/DE$5)</f>
        <v>1</v>
      </c>
      <c r="DF15" s="52" t="n">
        <f aca="false">MAX(0,(MIN($F15,DF$4)-MAX($E15,DF$3)+1)/DF$5)</f>
        <v>1</v>
      </c>
      <c r="DG15" s="52" t="n">
        <f aca="false">MAX(0,(MIN($F15,DG$4)-MAX($E15,DG$3)+1)/DG$5)</f>
        <v>1</v>
      </c>
      <c r="DH15" s="52" t="n">
        <f aca="false">MAX(0,(MIN($F15,DH$4)-MAX($E15,DH$3)+1)/DH$5)</f>
        <v>1</v>
      </c>
      <c r="DI15" s="52" t="n">
        <f aca="false">MAX(0,(MIN($F15,DI$4)-MAX($E15,DI$3)+1)/DI$5)</f>
        <v>1</v>
      </c>
      <c r="DJ15" s="52" t="n">
        <f aca="false">MAX(0,(MIN($F15,DJ$4)-MAX($E15,DJ$3)+1)/DJ$5)</f>
        <v>1</v>
      </c>
      <c r="DK15" s="52" t="n">
        <f aca="false">MAX(0,(MIN($F15,DK$4)-MAX($E15,DK$3)+1)/DK$5)</f>
        <v>1</v>
      </c>
      <c r="DL15" s="52" t="n">
        <f aca="false">MAX(0,(MIN($F15,DL$4)-MAX($E15,DL$3)+1)/DL$5)</f>
        <v>1</v>
      </c>
      <c r="DM15" s="52" t="n">
        <f aca="false">MAX(0,(MIN($F15,DM$4)-MAX($E15,DM$3)+1)/DM$5)</f>
        <v>1</v>
      </c>
      <c r="DN15" s="52" t="n">
        <f aca="false">MAX(0,(MIN($F15,DN$4)-MAX($E15,DN$3)+1)/DN$5)</f>
        <v>1</v>
      </c>
      <c r="DO15" s="52" t="n">
        <f aca="false">MAX(0,(MIN($F15,DO$4)-MAX($E15,DO$3)+1)/DO$5)</f>
        <v>1</v>
      </c>
      <c r="DP15" s="52" t="n">
        <f aca="false">MAX(0,(MIN($F15,DP$4)-MAX($E15,DP$3)+1)/DP$5)</f>
        <v>1</v>
      </c>
      <c r="DQ15" s="52" t="n">
        <f aca="false">MAX(0,(MIN($F15,DQ$4)-MAX($E15,DQ$3)+1)/DQ$5)</f>
        <v>1</v>
      </c>
      <c r="DR15" s="52" t="n">
        <f aca="false">MAX(0,(MIN($F15,DR$4)-MAX($E15,DR$3)+1)/DR$5)</f>
        <v>1</v>
      </c>
      <c r="DS15" s="52" t="n">
        <f aca="false">MAX(0,(MIN($F15,DS$4)-MAX($E15,DS$3)+1)/DS$5)</f>
        <v>1</v>
      </c>
      <c r="DT15" s="52" t="n">
        <f aca="false">MAX(0,(MIN($F15,DT$4)-MAX($E15,DT$3)+1)/DT$5)</f>
        <v>1</v>
      </c>
      <c r="DU15" s="52" t="n">
        <f aca="false">MAX(0,(MIN($F15,DU$4)-MAX($E15,DU$3)+1)/DU$5)</f>
        <v>1</v>
      </c>
      <c r="DV15" s="52" t="n">
        <f aca="false">MAX(0,(MIN($F15,DV$4)-MAX($E15,DV$3)+1)/DV$5)</f>
        <v>1</v>
      </c>
      <c r="DW15" s="52" t="n">
        <f aca="false">MAX(0,(MIN($F15,DW$4)-MAX($E15,DW$3)+1)/DW$5)</f>
        <v>1</v>
      </c>
      <c r="DX15" s="52" t="n">
        <f aca="false">MAX(0,(MIN($F15,DX$4)-MAX($E15,DX$3)+1)/DX$5)</f>
        <v>1</v>
      </c>
      <c r="DY15" s="52" t="n">
        <f aca="false">MAX(0,(MIN($F15,DY$4)-MAX($E15,DY$3)+1)/DY$5)</f>
        <v>1</v>
      </c>
      <c r="DZ15" s="52" t="n">
        <f aca="false">MAX(0,(MIN($F15,DZ$4)-MAX($E15,DZ$3)+1)/DZ$5)</f>
        <v>1</v>
      </c>
      <c r="EA15" s="52" t="n">
        <f aca="false">MAX(0,(MIN($F15,EA$4)-MAX($E15,EA$3)+1)/EA$5)</f>
        <v>1</v>
      </c>
      <c r="EB15" s="52" t="n">
        <f aca="false">MAX(0,(MIN($F15,EB$4)-MAX($E15,EB$3)+1)/EB$5)</f>
        <v>1</v>
      </c>
      <c r="EC15" s="52" t="n">
        <f aca="false">MAX(0,(MIN($F15,EC$4)-MAX($E15,EC$3)+1)/EC$5)</f>
        <v>1</v>
      </c>
      <c r="ED15" s="52" t="n">
        <f aca="false">MAX(0,(MIN($F15,ED$4)-MAX($E15,ED$3)+1)/ED$5)</f>
        <v>1</v>
      </c>
      <c r="EE15" s="52" t="n">
        <f aca="false">MAX(0,(MIN($F15,EE$4)-MAX($E15,EE$3)+1)/EE$5)</f>
        <v>1</v>
      </c>
      <c r="EF15" s="52" t="n">
        <f aca="false">MAX(0,(MIN($F15,EF$4)-MAX($E15,EF$3)+1)/EF$5)</f>
        <v>1</v>
      </c>
      <c r="EG15" s="52" t="n">
        <f aca="false">MAX(0,(MIN($F15,EG$4)-MAX($E15,EG$3)+1)/EG$5)</f>
        <v>1</v>
      </c>
      <c r="EH15" s="52" t="n">
        <f aca="false">MAX(0,(MIN($F15,EH$4)-MAX($E15,EH$3)+1)/EH$5)</f>
        <v>1</v>
      </c>
      <c r="EI15" s="52" t="n">
        <f aca="false">MAX(0,(MIN($F15,EI$4)-MAX($E15,EI$3)+1)/EI$5)</f>
        <v>1</v>
      </c>
      <c r="EJ15" s="52" t="n">
        <f aca="false">MAX(0,(MIN($F15,EJ$4)-MAX($E15,EJ$3)+1)/EJ$5)</f>
        <v>1</v>
      </c>
      <c r="EK15" s="52" t="n">
        <f aca="false">MAX(0,(MIN($F15,EK$4)-MAX($E15,EK$3)+1)/EK$5)</f>
        <v>1</v>
      </c>
      <c r="EL15" s="52" t="n">
        <f aca="false">MAX(0,(MIN($F15,EL$4)-MAX($E15,EL$3)+1)/EL$5)</f>
        <v>1</v>
      </c>
      <c r="EM15" s="52" t="n">
        <f aca="false">MAX(0,(MIN($F15,EM$4)-MAX($E15,EM$3)+1)/EM$5)</f>
        <v>1</v>
      </c>
      <c r="EN15" s="52" t="n">
        <f aca="false">MAX(0,(MIN($F15,EN$4)-MAX($E15,EN$3)+1)/EN$5)</f>
        <v>1</v>
      </c>
      <c r="EO15" s="52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334</v>
      </c>
      <c r="D16" s="11" t="s">
        <v>30</v>
      </c>
      <c r="E16" s="41" t="n">
        <f aca="false">In_NTP+1</f>
        <v>47027</v>
      </c>
      <c r="F16" s="41" t="n">
        <f aca="false">EDATE(In_COD,In_Life*Months_In_Year)</f>
        <v>58714</v>
      </c>
      <c r="J16" s="52" t="n">
        <f aca="false">MAX(0,(MIN($F16,J$4)-MAX($E16,J$3)+1)/J$5)</f>
        <v>0</v>
      </c>
      <c r="K16" s="52" t="n">
        <f aca="false">MAX(0,(MIN($F16,K$4)-MAX($E16,K$3)+1)/K$5)</f>
        <v>0</v>
      </c>
      <c r="L16" s="52" t="n">
        <f aca="false">MAX(0,(MIN($F16,L$4)-MAX($E16,L$3)+1)/L$5)</f>
        <v>0</v>
      </c>
      <c r="M16" s="52" t="n">
        <f aca="false">MAX(0,(MIN($F16,M$4)-MAX($E16,M$3)+1)/M$5)</f>
        <v>0</v>
      </c>
      <c r="N16" s="52" t="n">
        <f aca="false">MAX(0,(MIN($F16,N$4)-MAX($E16,N$3)+1)/N$5)</f>
        <v>0</v>
      </c>
      <c r="O16" s="52" t="n">
        <f aca="false">MAX(0,(MIN($F16,O$4)-MAX($E16,O$3)+1)/O$5)</f>
        <v>0</v>
      </c>
      <c r="P16" s="52" t="n">
        <f aca="false">MAX(0,(MIN($F16,P$4)-MAX($E16,P$3)+1)/P$5)</f>
        <v>0</v>
      </c>
      <c r="Q16" s="52" t="n">
        <f aca="false">MAX(0,(MIN($F16,Q$4)-MAX($E16,Q$3)+1)/Q$5)</f>
        <v>0</v>
      </c>
      <c r="R16" s="52" t="n">
        <f aca="false">MAX(0,(MIN($F16,R$4)-MAX($E16,R$3)+1)/R$5)</f>
        <v>1</v>
      </c>
      <c r="S16" s="52" t="n">
        <f aca="false">MAX(0,(MIN($F16,S$4)-MAX($E16,S$3)+1)/S$5)</f>
        <v>1</v>
      </c>
      <c r="T16" s="52" t="n">
        <f aca="false">MAX(0,(MIN($F16,T$4)-MAX($E16,T$3)+1)/T$5)</f>
        <v>1</v>
      </c>
      <c r="U16" s="52" t="n">
        <f aca="false">MAX(0,(MIN($F16,U$4)-MAX($E16,U$3)+1)/U$5)</f>
        <v>1</v>
      </c>
      <c r="V16" s="52" t="n">
        <f aca="false">MAX(0,(MIN($F16,V$4)-MAX($E16,V$3)+1)/V$5)</f>
        <v>1</v>
      </c>
      <c r="W16" s="52" t="n">
        <f aca="false">MAX(0,(MIN($F16,W$4)-MAX($E16,W$3)+1)/W$5)</f>
        <v>1</v>
      </c>
      <c r="X16" s="52" t="n">
        <f aca="false">MAX(0,(MIN($F16,X$4)-MAX($E16,X$3)+1)/X$5)</f>
        <v>1</v>
      </c>
      <c r="Y16" s="52" t="n">
        <f aca="false">MAX(0,(MIN($F16,Y$4)-MAX($E16,Y$3)+1)/Y$5)</f>
        <v>1</v>
      </c>
      <c r="Z16" s="52" t="n">
        <f aca="false">MAX(0,(MIN($F16,Z$4)-MAX($E16,Z$3)+1)/Z$5)</f>
        <v>1</v>
      </c>
      <c r="AA16" s="52" t="n">
        <f aca="false">MAX(0,(MIN($F16,AA$4)-MAX($E16,AA$3)+1)/AA$5)</f>
        <v>1</v>
      </c>
      <c r="AB16" s="52" t="n">
        <f aca="false">MAX(0,(MIN($F16,AB$4)-MAX($E16,AB$3)+1)/AB$5)</f>
        <v>1</v>
      </c>
      <c r="AC16" s="52" t="n">
        <f aca="false">MAX(0,(MIN($F16,AC$4)-MAX($E16,AC$3)+1)/AC$5)</f>
        <v>1</v>
      </c>
      <c r="AD16" s="52" t="n">
        <f aca="false">MAX(0,(MIN($F16,AD$4)-MAX($E16,AD$3)+1)/AD$5)</f>
        <v>1</v>
      </c>
      <c r="AE16" s="52" t="n">
        <f aca="false">MAX(0,(MIN($F16,AE$4)-MAX($E16,AE$3)+1)/AE$5)</f>
        <v>1</v>
      </c>
      <c r="AF16" s="52" t="n">
        <f aca="false">MAX(0,(MIN($F16,AF$4)-MAX($E16,AF$3)+1)/AF$5)</f>
        <v>1</v>
      </c>
      <c r="AG16" s="52" t="n">
        <f aca="false">MAX(0,(MIN($F16,AG$4)-MAX($E16,AG$3)+1)/AG$5)</f>
        <v>1</v>
      </c>
      <c r="AH16" s="52" t="n">
        <f aca="false">MAX(0,(MIN($F16,AH$4)-MAX($E16,AH$3)+1)/AH$5)</f>
        <v>1</v>
      </c>
      <c r="AI16" s="52" t="n">
        <f aca="false">MAX(0,(MIN($F16,AI$4)-MAX($E16,AI$3)+1)/AI$5)</f>
        <v>1</v>
      </c>
      <c r="AJ16" s="52" t="n">
        <f aca="false">MAX(0,(MIN($F16,AJ$4)-MAX($E16,AJ$3)+1)/AJ$5)</f>
        <v>1</v>
      </c>
      <c r="AK16" s="52" t="n">
        <f aca="false">MAX(0,(MIN($F16,AK$4)-MAX($E16,AK$3)+1)/AK$5)</f>
        <v>1</v>
      </c>
      <c r="AL16" s="52" t="n">
        <f aca="false">MAX(0,(MIN($F16,AL$4)-MAX($E16,AL$3)+1)/AL$5)</f>
        <v>1</v>
      </c>
      <c r="AM16" s="52" t="n">
        <f aca="false">MAX(0,(MIN($F16,AM$4)-MAX($E16,AM$3)+1)/AM$5)</f>
        <v>1</v>
      </c>
      <c r="AN16" s="52" t="n">
        <f aca="false">MAX(0,(MIN($F16,AN$4)-MAX($E16,AN$3)+1)/AN$5)</f>
        <v>1</v>
      </c>
      <c r="AO16" s="52" t="n">
        <f aca="false">MAX(0,(MIN($F16,AO$4)-MAX($E16,AO$3)+1)/AO$5)</f>
        <v>1</v>
      </c>
      <c r="AP16" s="52" t="n">
        <f aca="false">MAX(0,(MIN($F16,AP$4)-MAX($E16,AP$3)+1)/AP$5)</f>
        <v>1</v>
      </c>
      <c r="AQ16" s="52" t="n">
        <f aca="false">MAX(0,(MIN($F16,AQ$4)-MAX($E16,AQ$3)+1)/AQ$5)</f>
        <v>1</v>
      </c>
      <c r="AR16" s="52" t="n">
        <f aca="false">MAX(0,(MIN($F16,AR$4)-MAX($E16,AR$3)+1)/AR$5)</f>
        <v>1</v>
      </c>
      <c r="AS16" s="52" t="n">
        <f aca="false">MAX(0,(MIN($F16,AS$4)-MAX($E16,AS$3)+1)/AS$5)</f>
        <v>1</v>
      </c>
      <c r="AT16" s="52" t="n">
        <f aca="false">MAX(0,(MIN($F16,AT$4)-MAX($E16,AT$3)+1)/AT$5)</f>
        <v>1</v>
      </c>
      <c r="AU16" s="52" t="n">
        <f aca="false">MAX(0,(MIN($F16,AU$4)-MAX($E16,AU$3)+1)/AU$5)</f>
        <v>1</v>
      </c>
      <c r="AV16" s="52" t="n">
        <f aca="false">MAX(0,(MIN($F16,AV$4)-MAX($E16,AV$3)+1)/AV$5)</f>
        <v>1</v>
      </c>
      <c r="AW16" s="52" t="n">
        <f aca="false">MAX(0,(MIN($F16,AW$4)-MAX($E16,AW$3)+1)/AW$5)</f>
        <v>1</v>
      </c>
      <c r="AX16" s="52" t="n">
        <f aca="false">MAX(0,(MIN($F16,AX$4)-MAX($E16,AX$3)+1)/AX$5)</f>
        <v>1</v>
      </c>
      <c r="AY16" s="52" t="n">
        <f aca="false">MAX(0,(MIN($F16,AY$4)-MAX($E16,AY$3)+1)/AY$5)</f>
        <v>1</v>
      </c>
      <c r="AZ16" s="52" t="n">
        <f aca="false">MAX(0,(MIN($F16,AZ$4)-MAX($E16,AZ$3)+1)/AZ$5)</f>
        <v>1</v>
      </c>
      <c r="BA16" s="52" t="n">
        <f aca="false">MAX(0,(MIN($F16,BA$4)-MAX($E16,BA$3)+1)/BA$5)</f>
        <v>1</v>
      </c>
      <c r="BB16" s="52" t="n">
        <f aca="false">MAX(0,(MIN($F16,BB$4)-MAX($E16,BB$3)+1)/BB$5)</f>
        <v>1</v>
      </c>
      <c r="BC16" s="52" t="n">
        <f aca="false">MAX(0,(MIN($F16,BC$4)-MAX($E16,BC$3)+1)/BC$5)</f>
        <v>1</v>
      </c>
      <c r="BD16" s="52" t="n">
        <f aca="false">MAX(0,(MIN($F16,BD$4)-MAX($E16,BD$3)+1)/BD$5)</f>
        <v>1</v>
      </c>
      <c r="BE16" s="52" t="n">
        <f aca="false">MAX(0,(MIN($F16,BE$4)-MAX($E16,BE$3)+1)/BE$5)</f>
        <v>1</v>
      </c>
      <c r="BF16" s="52" t="n">
        <f aca="false">MAX(0,(MIN($F16,BF$4)-MAX($E16,BF$3)+1)/BF$5)</f>
        <v>1</v>
      </c>
      <c r="BG16" s="52" t="n">
        <f aca="false">MAX(0,(MIN($F16,BG$4)-MAX($E16,BG$3)+1)/BG$5)</f>
        <v>1</v>
      </c>
      <c r="BH16" s="52" t="n">
        <f aca="false">MAX(0,(MIN($F16,BH$4)-MAX($E16,BH$3)+1)/BH$5)</f>
        <v>1</v>
      </c>
      <c r="BI16" s="52" t="n">
        <f aca="false">MAX(0,(MIN($F16,BI$4)-MAX($E16,BI$3)+1)/BI$5)</f>
        <v>1</v>
      </c>
      <c r="BJ16" s="52" t="n">
        <f aca="false">MAX(0,(MIN($F16,BJ$4)-MAX($E16,BJ$3)+1)/BJ$5)</f>
        <v>1</v>
      </c>
      <c r="BK16" s="52" t="n">
        <f aca="false">MAX(0,(MIN($F16,BK$4)-MAX($E16,BK$3)+1)/BK$5)</f>
        <v>1</v>
      </c>
      <c r="BL16" s="52" t="n">
        <f aca="false">MAX(0,(MIN($F16,BL$4)-MAX($E16,BL$3)+1)/BL$5)</f>
        <v>1</v>
      </c>
      <c r="BM16" s="52" t="n">
        <f aca="false">MAX(0,(MIN($F16,BM$4)-MAX($E16,BM$3)+1)/BM$5)</f>
        <v>1</v>
      </c>
      <c r="BN16" s="52" t="n">
        <f aca="false">MAX(0,(MIN($F16,BN$4)-MAX($E16,BN$3)+1)/BN$5)</f>
        <v>1</v>
      </c>
      <c r="BO16" s="52" t="n">
        <f aca="false">MAX(0,(MIN($F16,BO$4)-MAX($E16,BO$3)+1)/BO$5)</f>
        <v>1</v>
      </c>
      <c r="BP16" s="52" t="n">
        <f aca="false">MAX(0,(MIN($F16,BP$4)-MAX($E16,BP$3)+1)/BP$5)</f>
        <v>1</v>
      </c>
      <c r="BQ16" s="52" t="n">
        <f aca="false">MAX(0,(MIN($F16,BQ$4)-MAX($E16,BQ$3)+1)/BQ$5)</f>
        <v>1</v>
      </c>
      <c r="BR16" s="52" t="n">
        <f aca="false">MAX(0,(MIN($F16,BR$4)-MAX($E16,BR$3)+1)/BR$5)</f>
        <v>1</v>
      </c>
      <c r="BS16" s="52" t="n">
        <f aca="false">MAX(0,(MIN($F16,BS$4)-MAX($E16,BS$3)+1)/BS$5)</f>
        <v>1</v>
      </c>
      <c r="BT16" s="52" t="n">
        <f aca="false">MAX(0,(MIN($F16,BT$4)-MAX($E16,BT$3)+1)/BT$5)</f>
        <v>1</v>
      </c>
      <c r="BU16" s="52" t="n">
        <f aca="false">MAX(0,(MIN($F16,BU$4)-MAX($E16,BU$3)+1)/BU$5)</f>
        <v>1</v>
      </c>
      <c r="BV16" s="52" t="n">
        <f aca="false">MAX(0,(MIN($F16,BV$4)-MAX($E16,BV$3)+1)/BV$5)</f>
        <v>1</v>
      </c>
      <c r="BW16" s="52" t="n">
        <f aca="false">MAX(0,(MIN($F16,BW$4)-MAX($E16,BW$3)+1)/BW$5)</f>
        <v>1</v>
      </c>
      <c r="BX16" s="52" t="n">
        <f aca="false">MAX(0,(MIN($F16,BX$4)-MAX($E16,BX$3)+1)/BX$5)</f>
        <v>1</v>
      </c>
      <c r="BY16" s="52" t="n">
        <f aca="false">MAX(0,(MIN($F16,BY$4)-MAX($E16,BY$3)+1)/BY$5)</f>
        <v>1</v>
      </c>
      <c r="BZ16" s="52" t="n">
        <f aca="false">MAX(0,(MIN($F16,BZ$4)-MAX($E16,BZ$3)+1)/BZ$5)</f>
        <v>1</v>
      </c>
      <c r="CA16" s="52" t="n">
        <f aca="false">MAX(0,(MIN($F16,CA$4)-MAX($E16,CA$3)+1)/CA$5)</f>
        <v>1</v>
      </c>
      <c r="CB16" s="52" t="n">
        <f aca="false">MAX(0,(MIN($F16,CB$4)-MAX($E16,CB$3)+1)/CB$5)</f>
        <v>1</v>
      </c>
      <c r="CC16" s="52" t="n">
        <f aca="false">MAX(0,(MIN($F16,CC$4)-MAX($E16,CC$3)+1)/CC$5)</f>
        <v>1</v>
      </c>
      <c r="CD16" s="52" t="n">
        <f aca="false">MAX(0,(MIN($F16,CD$4)-MAX($E16,CD$3)+1)/CD$5)</f>
        <v>1</v>
      </c>
      <c r="CE16" s="52" t="n">
        <f aca="false">MAX(0,(MIN($F16,CE$4)-MAX($E16,CE$3)+1)/CE$5)</f>
        <v>1</v>
      </c>
      <c r="CF16" s="52" t="n">
        <f aca="false">MAX(0,(MIN($F16,CF$4)-MAX($E16,CF$3)+1)/CF$5)</f>
        <v>1</v>
      </c>
      <c r="CG16" s="52" t="n">
        <f aca="false">MAX(0,(MIN($F16,CG$4)-MAX($E16,CG$3)+1)/CG$5)</f>
        <v>1</v>
      </c>
      <c r="CH16" s="52" t="n">
        <f aca="false">MAX(0,(MIN($F16,CH$4)-MAX($E16,CH$3)+1)/CH$5)</f>
        <v>1</v>
      </c>
      <c r="CI16" s="52" t="n">
        <f aca="false">MAX(0,(MIN($F16,CI$4)-MAX($E16,CI$3)+1)/CI$5)</f>
        <v>1</v>
      </c>
      <c r="CJ16" s="52" t="n">
        <f aca="false">MAX(0,(MIN($F16,CJ$4)-MAX($E16,CJ$3)+1)/CJ$5)</f>
        <v>1</v>
      </c>
      <c r="CK16" s="52" t="n">
        <f aca="false">MAX(0,(MIN($F16,CK$4)-MAX($E16,CK$3)+1)/CK$5)</f>
        <v>1</v>
      </c>
      <c r="CL16" s="52" t="n">
        <f aca="false">MAX(0,(MIN($F16,CL$4)-MAX($E16,CL$3)+1)/CL$5)</f>
        <v>1</v>
      </c>
      <c r="CM16" s="52" t="n">
        <f aca="false">MAX(0,(MIN($F16,CM$4)-MAX($E16,CM$3)+1)/CM$5)</f>
        <v>1</v>
      </c>
      <c r="CN16" s="52" t="n">
        <f aca="false">MAX(0,(MIN($F16,CN$4)-MAX($E16,CN$3)+1)/CN$5)</f>
        <v>1</v>
      </c>
      <c r="CO16" s="52" t="n">
        <f aca="false">MAX(0,(MIN($F16,CO$4)-MAX($E16,CO$3)+1)/CO$5)</f>
        <v>1</v>
      </c>
      <c r="CP16" s="52" t="n">
        <f aca="false">MAX(0,(MIN($F16,CP$4)-MAX($E16,CP$3)+1)/CP$5)</f>
        <v>1</v>
      </c>
      <c r="CQ16" s="52" t="n">
        <f aca="false">MAX(0,(MIN($F16,CQ$4)-MAX($E16,CQ$3)+1)/CQ$5)</f>
        <v>1</v>
      </c>
      <c r="CR16" s="52" t="n">
        <f aca="false">MAX(0,(MIN($F16,CR$4)-MAX($E16,CR$3)+1)/CR$5)</f>
        <v>1</v>
      </c>
      <c r="CS16" s="52" t="n">
        <f aca="false">MAX(0,(MIN($F16,CS$4)-MAX($E16,CS$3)+1)/CS$5)</f>
        <v>1</v>
      </c>
      <c r="CT16" s="52" t="n">
        <f aca="false">MAX(0,(MIN($F16,CT$4)-MAX($E16,CT$3)+1)/CT$5)</f>
        <v>1</v>
      </c>
      <c r="CU16" s="52" t="n">
        <f aca="false">MAX(0,(MIN($F16,CU$4)-MAX($E16,CU$3)+1)/CU$5)</f>
        <v>1</v>
      </c>
      <c r="CV16" s="52" t="n">
        <f aca="false">MAX(0,(MIN($F16,CV$4)-MAX($E16,CV$3)+1)/CV$5)</f>
        <v>1</v>
      </c>
      <c r="CW16" s="52" t="n">
        <f aca="false">MAX(0,(MIN($F16,CW$4)-MAX($E16,CW$3)+1)/CW$5)</f>
        <v>1</v>
      </c>
      <c r="CX16" s="52" t="n">
        <f aca="false">MAX(0,(MIN($F16,CX$4)-MAX($E16,CX$3)+1)/CX$5)</f>
        <v>1</v>
      </c>
      <c r="CY16" s="52" t="n">
        <f aca="false">MAX(0,(MIN($F16,CY$4)-MAX($E16,CY$3)+1)/CY$5)</f>
        <v>1</v>
      </c>
      <c r="CZ16" s="52" t="n">
        <f aca="false">MAX(0,(MIN($F16,CZ$4)-MAX($E16,CZ$3)+1)/CZ$5)</f>
        <v>1</v>
      </c>
      <c r="DA16" s="52" t="n">
        <f aca="false">MAX(0,(MIN($F16,DA$4)-MAX($E16,DA$3)+1)/DA$5)</f>
        <v>1</v>
      </c>
      <c r="DB16" s="52" t="n">
        <f aca="false">MAX(0,(MIN($F16,DB$4)-MAX($E16,DB$3)+1)/DB$5)</f>
        <v>1</v>
      </c>
      <c r="DC16" s="52" t="n">
        <f aca="false">MAX(0,(MIN($F16,DC$4)-MAX($E16,DC$3)+1)/DC$5)</f>
        <v>1</v>
      </c>
      <c r="DD16" s="52" t="n">
        <f aca="false">MAX(0,(MIN($F16,DD$4)-MAX($E16,DD$3)+1)/DD$5)</f>
        <v>1</v>
      </c>
      <c r="DE16" s="52" t="n">
        <f aca="false">MAX(0,(MIN($F16,DE$4)-MAX($E16,DE$3)+1)/DE$5)</f>
        <v>1</v>
      </c>
      <c r="DF16" s="52" t="n">
        <f aca="false">MAX(0,(MIN($F16,DF$4)-MAX($E16,DF$3)+1)/DF$5)</f>
        <v>1</v>
      </c>
      <c r="DG16" s="52" t="n">
        <f aca="false">MAX(0,(MIN($F16,DG$4)-MAX($E16,DG$3)+1)/DG$5)</f>
        <v>1</v>
      </c>
      <c r="DH16" s="52" t="n">
        <f aca="false">MAX(0,(MIN($F16,DH$4)-MAX($E16,DH$3)+1)/DH$5)</f>
        <v>1</v>
      </c>
      <c r="DI16" s="52" t="n">
        <f aca="false">MAX(0,(MIN($F16,DI$4)-MAX($E16,DI$3)+1)/DI$5)</f>
        <v>1</v>
      </c>
      <c r="DJ16" s="52" t="n">
        <f aca="false">MAX(0,(MIN($F16,DJ$4)-MAX($E16,DJ$3)+1)/DJ$5)</f>
        <v>1</v>
      </c>
      <c r="DK16" s="52" t="n">
        <f aca="false">MAX(0,(MIN($F16,DK$4)-MAX($E16,DK$3)+1)/DK$5)</f>
        <v>1</v>
      </c>
      <c r="DL16" s="52" t="n">
        <f aca="false">MAX(0,(MIN($F16,DL$4)-MAX($E16,DL$3)+1)/DL$5)</f>
        <v>1</v>
      </c>
      <c r="DM16" s="52" t="n">
        <f aca="false">MAX(0,(MIN($F16,DM$4)-MAX($E16,DM$3)+1)/DM$5)</f>
        <v>1</v>
      </c>
      <c r="DN16" s="52" t="n">
        <f aca="false">MAX(0,(MIN($F16,DN$4)-MAX($E16,DN$3)+1)/DN$5)</f>
        <v>1</v>
      </c>
      <c r="DO16" s="52" t="n">
        <f aca="false">MAX(0,(MIN($F16,DO$4)-MAX($E16,DO$3)+1)/DO$5)</f>
        <v>1</v>
      </c>
      <c r="DP16" s="52" t="n">
        <f aca="false">MAX(0,(MIN($F16,DP$4)-MAX($E16,DP$3)+1)/DP$5)</f>
        <v>1</v>
      </c>
      <c r="DQ16" s="52" t="n">
        <f aca="false">MAX(0,(MIN($F16,DQ$4)-MAX($E16,DQ$3)+1)/DQ$5)</f>
        <v>1</v>
      </c>
      <c r="DR16" s="52" t="n">
        <f aca="false">MAX(0,(MIN($F16,DR$4)-MAX($E16,DR$3)+1)/DR$5)</f>
        <v>1</v>
      </c>
      <c r="DS16" s="52" t="n">
        <f aca="false">MAX(0,(MIN($F16,DS$4)-MAX($E16,DS$3)+1)/DS$5)</f>
        <v>1</v>
      </c>
      <c r="DT16" s="52" t="n">
        <f aca="false">MAX(0,(MIN($F16,DT$4)-MAX($E16,DT$3)+1)/DT$5)</f>
        <v>1</v>
      </c>
      <c r="DU16" s="52" t="n">
        <f aca="false">MAX(0,(MIN($F16,DU$4)-MAX($E16,DU$3)+1)/DU$5)</f>
        <v>1</v>
      </c>
      <c r="DV16" s="52" t="n">
        <f aca="false">MAX(0,(MIN($F16,DV$4)-MAX($E16,DV$3)+1)/DV$5)</f>
        <v>1</v>
      </c>
      <c r="DW16" s="52" t="n">
        <f aca="false">MAX(0,(MIN($F16,DW$4)-MAX($E16,DW$3)+1)/DW$5)</f>
        <v>1</v>
      </c>
      <c r="DX16" s="52" t="n">
        <f aca="false">MAX(0,(MIN($F16,DX$4)-MAX($E16,DX$3)+1)/DX$5)</f>
        <v>1</v>
      </c>
      <c r="DY16" s="52" t="n">
        <f aca="false">MAX(0,(MIN($F16,DY$4)-MAX($E16,DY$3)+1)/DY$5)</f>
        <v>1</v>
      </c>
      <c r="DZ16" s="52" t="n">
        <f aca="false">MAX(0,(MIN($F16,DZ$4)-MAX($E16,DZ$3)+1)/DZ$5)</f>
        <v>1</v>
      </c>
      <c r="EA16" s="52" t="n">
        <f aca="false">MAX(0,(MIN($F16,EA$4)-MAX($E16,EA$3)+1)/EA$5)</f>
        <v>1</v>
      </c>
      <c r="EB16" s="52" t="n">
        <f aca="false">MAX(0,(MIN($F16,EB$4)-MAX($E16,EB$3)+1)/EB$5)</f>
        <v>1</v>
      </c>
      <c r="EC16" s="52" t="n">
        <f aca="false">MAX(0,(MIN($F16,EC$4)-MAX($E16,EC$3)+1)/EC$5)</f>
        <v>1</v>
      </c>
      <c r="ED16" s="52" t="n">
        <f aca="false">MAX(0,(MIN($F16,ED$4)-MAX($E16,ED$3)+1)/ED$5)</f>
        <v>1</v>
      </c>
      <c r="EE16" s="52" t="n">
        <f aca="false">MAX(0,(MIN($F16,EE$4)-MAX($E16,EE$3)+1)/EE$5)</f>
        <v>1</v>
      </c>
      <c r="EF16" s="52" t="n">
        <f aca="false">MAX(0,(MIN($F16,EF$4)-MAX($E16,EF$3)+1)/EF$5)</f>
        <v>1</v>
      </c>
      <c r="EG16" s="52" t="n">
        <f aca="false">MAX(0,(MIN($F16,EG$4)-MAX($E16,EG$3)+1)/EG$5)</f>
        <v>1</v>
      </c>
      <c r="EH16" s="52" t="n">
        <f aca="false">MAX(0,(MIN($F16,EH$4)-MAX($E16,EH$3)+1)/EH$5)</f>
        <v>1</v>
      </c>
      <c r="EI16" s="52" t="n">
        <f aca="false">MAX(0,(MIN($F16,EI$4)-MAX($E16,EI$3)+1)/EI$5)</f>
        <v>1</v>
      </c>
      <c r="EJ16" s="52" t="n">
        <f aca="false">MAX(0,(MIN($F16,EJ$4)-MAX($E16,EJ$3)+1)/EJ$5)</f>
        <v>1</v>
      </c>
      <c r="EK16" s="52" t="n">
        <f aca="false">MAX(0,(MIN($F16,EK$4)-MAX($E16,EK$3)+1)/EK$5)</f>
        <v>1</v>
      </c>
      <c r="EL16" s="52" t="n">
        <f aca="false">MAX(0,(MIN($F16,EL$4)-MAX($E16,EL$3)+1)/EL$5)</f>
        <v>1</v>
      </c>
      <c r="EM16" s="52" t="n">
        <f aca="false">MAX(0,(MIN($F16,EM$4)-MAX($E16,EM$3)+1)/EM$5)</f>
        <v>1</v>
      </c>
      <c r="EN16" s="52" t="n">
        <f aca="false">MAX(0,(MIN($F16,EN$4)-MAX($E16,EN$3)+1)/EN$5)</f>
        <v>1</v>
      </c>
      <c r="EO16" s="52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335</v>
      </c>
      <c r="D17" s="11" t="s">
        <v>30</v>
      </c>
      <c r="E17" s="41" t="n">
        <f aca="false">In_COD+1</f>
        <v>47757</v>
      </c>
      <c r="F17" s="41" t="n">
        <f aca="false">EDATE(In_COD,In_Debt_Tenor*Months_In_Year)</f>
        <v>54331</v>
      </c>
      <c r="J17" s="52" t="n">
        <f aca="false">MAX(0,(MIN($F17,J$4)-MAX($E17,J$3)+1)/J$5)</f>
        <v>0</v>
      </c>
      <c r="K17" s="52" t="n">
        <f aca="false">MAX(0,(MIN($F17,K$4)-MAX($E17,K$3)+1)/K$5)</f>
        <v>0</v>
      </c>
      <c r="L17" s="52" t="n">
        <f aca="false">MAX(0,(MIN($F17,L$4)-MAX($E17,L$3)+1)/L$5)</f>
        <v>0</v>
      </c>
      <c r="M17" s="52" t="n">
        <f aca="false">MAX(0,(MIN($F17,M$4)-MAX($E17,M$3)+1)/M$5)</f>
        <v>0</v>
      </c>
      <c r="N17" s="52" t="n">
        <f aca="false">MAX(0,(MIN($F17,N$4)-MAX($E17,N$3)+1)/N$5)</f>
        <v>0</v>
      </c>
      <c r="O17" s="52" t="n">
        <f aca="false">MAX(0,(MIN($F17,O$4)-MAX($E17,O$3)+1)/O$5)</f>
        <v>0</v>
      </c>
      <c r="P17" s="52" t="n">
        <f aca="false">MAX(0,(MIN($F17,P$4)-MAX($E17,P$3)+1)/P$5)</f>
        <v>0</v>
      </c>
      <c r="Q17" s="52" t="n">
        <f aca="false">MAX(0,(MIN($F17,Q$4)-MAX($E17,Q$3)+1)/Q$5)</f>
        <v>0</v>
      </c>
      <c r="R17" s="52" t="n">
        <f aca="false">MAX(0,(MIN($F17,R$4)-MAX($E17,R$3)+1)/R$5)</f>
        <v>0</v>
      </c>
      <c r="S17" s="52" t="n">
        <f aca="false">MAX(0,(MIN($F17,S$4)-MAX($E17,S$3)+1)/S$5)</f>
        <v>0</v>
      </c>
      <c r="T17" s="52" t="n">
        <f aca="false">MAX(0,(MIN($F17,T$4)-MAX($E17,T$3)+1)/T$5)</f>
        <v>0</v>
      </c>
      <c r="U17" s="52" t="n">
        <f aca="false">MAX(0,(MIN($F17,U$4)-MAX($E17,U$3)+1)/U$5)</f>
        <v>0</v>
      </c>
      <c r="V17" s="52" t="n">
        <f aca="false">MAX(0,(MIN($F17,V$4)-MAX($E17,V$3)+1)/V$5)</f>
        <v>0</v>
      </c>
      <c r="W17" s="52" t="n">
        <f aca="false">MAX(0,(MIN($F17,W$4)-MAX($E17,W$3)+1)/W$5)</f>
        <v>0</v>
      </c>
      <c r="X17" s="52" t="n">
        <f aca="false">MAX(0,(MIN($F17,X$4)-MAX($E17,X$3)+1)/X$5)</f>
        <v>0</v>
      </c>
      <c r="Y17" s="52" t="n">
        <f aca="false">MAX(0,(MIN($F17,Y$4)-MAX($E17,Y$3)+1)/Y$5)</f>
        <v>0</v>
      </c>
      <c r="Z17" s="52" t="n">
        <f aca="false">MAX(0,(MIN($F17,Z$4)-MAX($E17,Z$3)+1)/Z$5)</f>
        <v>1</v>
      </c>
      <c r="AA17" s="52" t="n">
        <f aca="false">MAX(0,(MIN($F17,AA$4)-MAX($E17,AA$3)+1)/AA$5)</f>
        <v>1</v>
      </c>
      <c r="AB17" s="52" t="n">
        <f aca="false">MAX(0,(MIN($F17,AB$4)-MAX($E17,AB$3)+1)/AB$5)</f>
        <v>1</v>
      </c>
      <c r="AC17" s="52" t="n">
        <f aca="false">MAX(0,(MIN($F17,AC$4)-MAX($E17,AC$3)+1)/AC$5)</f>
        <v>1</v>
      </c>
      <c r="AD17" s="52" t="n">
        <f aca="false">MAX(0,(MIN($F17,AD$4)-MAX($E17,AD$3)+1)/AD$5)</f>
        <v>1</v>
      </c>
      <c r="AE17" s="52" t="n">
        <f aca="false">MAX(0,(MIN($F17,AE$4)-MAX($E17,AE$3)+1)/AE$5)</f>
        <v>1</v>
      </c>
      <c r="AF17" s="52" t="n">
        <f aca="false">MAX(0,(MIN($F17,AF$4)-MAX($E17,AF$3)+1)/AF$5)</f>
        <v>1</v>
      </c>
      <c r="AG17" s="52" t="n">
        <f aca="false">MAX(0,(MIN($F17,AG$4)-MAX($E17,AG$3)+1)/AG$5)</f>
        <v>1</v>
      </c>
      <c r="AH17" s="52" t="n">
        <f aca="false">MAX(0,(MIN($F17,AH$4)-MAX($E17,AH$3)+1)/AH$5)</f>
        <v>1</v>
      </c>
      <c r="AI17" s="52" t="n">
        <f aca="false">MAX(0,(MIN($F17,AI$4)-MAX($E17,AI$3)+1)/AI$5)</f>
        <v>1</v>
      </c>
      <c r="AJ17" s="52" t="n">
        <f aca="false">MAX(0,(MIN($F17,AJ$4)-MAX($E17,AJ$3)+1)/AJ$5)</f>
        <v>1</v>
      </c>
      <c r="AK17" s="52" t="n">
        <f aca="false">MAX(0,(MIN($F17,AK$4)-MAX($E17,AK$3)+1)/AK$5)</f>
        <v>1</v>
      </c>
      <c r="AL17" s="52" t="n">
        <f aca="false">MAX(0,(MIN($F17,AL$4)-MAX($E17,AL$3)+1)/AL$5)</f>
        <v>1</v>
      </c>
      <c r="AM17" s="52" t="n">
        <f aca="false">MAX(0,(MIN($F17,AM$4)-MAX($E17,AM$3)+1)/AM$5)</f>
        <v>1</v>
      </c>
      <c r="AN17" s="52" t="n">
        <f aca="false">MAX(0,(MIN($F17,AN$4)-MAX($E17,AN$3)+1)/AN$5)</f>
        <v>1</v>
      </c>
      <c r="AO17" s="52" t="n">
        <f aca="false">MAX(0,(MIN($F17,AO$4)-MAX($E17,AO$3)+1)/AO$5)</f>
        <v>1</v>
      </c>
      <c r="AP17" s="52" t="n">
        <f aca="false">MAX(0,(MIN($F17,AP$4)-MAX($E17,AP$3)+1)/AP$5)</f>
        <v>1</v>
      </c>
      <c r="AQ17" s="52" t="n">
        <f aca="false">MAX(0,(MIN($F17,AQ$4)-MAX($E17,AQ$3)+1)/AQ$5)</f>
        <v>1</v>
      </c>
      <c r="AR17" s="52" t="n">
        <f aca="false">MAX(0,(MIN($F17,AR$4)-MAX($E17,AR$3)+1)/AR$5)</f>
        <v>1</v>
      </c>
      <c r="AS17" s="52" t="n">
        <f aca="false">MAX(0,(MIN($F17,AS$4)-MAX($E17,AS$3)+1)/AS$5)</f>
        <v>1</v>
      </c>
      <c r="AT17" s="52" t="n">
        <f aca="false">MAX(0,(MIN($F17,AT$4)-MAX($E17,AT$3)+1)/AT$5)</f>
        <v>1</v>
      </c>
      <c r="AU17" s="52" t="n">
        <f aca="false">MAX(0,(MIN($F17,AU$4)-MAX($E17,AU$3)+1)/AU$5)</f>
        <v>1</v>
      </c>
      <c r="AV17" s="52" t="n">
        <f aca="false">MAX(0,(MIN($F17,AV$4)-MAX($E17,AV$3)+1)/AV$5)</f>
        <v>1</v>
      </c>
      <c r="AW17" s="52" t="n">
        <f aca="false">MAX(0,(MIN($F17,AW$4)-MAX($E17,AW$3)+1)/AW$5)</f>
        <v>1</v>
      </c>
      <c r="AX17" s="52" t="n">
        <f aca="false">MAX(0,(MIN($F17,AX$4)-MAX($E17,AX$3)+1)/AX$5)</f>
        <v>1</v>
      </c>
      <c r="AY17" s="52" t="n">
        <f aca="false">MAX(0,(MIN($F17,AY$4)-MAX($E17,AY$3)+1)/AY$5)</f>
        <v>1</v>
      </c>
      <c r="AZ17" s="52" t="n">
        <f aca="false">MAX(0,(MIN($F17,AZ$4)-MAX($E17,AZ$3)+1)/AZ$5)</f>
        <v>1</v>
      </c>
      <c r="BA17" s="52" t="n">
        <f aca="false">MAX(0,(MIN($F17,BA$4)-MAX($E17,BA$3)+1)/BA$5)</f>
        <v>1</v>
      </c>
      <c r="BB17" s="52" t="n">
        <f aca="false">MAX(0,(MIN($F17,BB$4)-MAX($E17,BB$3)+1)/BB$5)</f>
        <v>1</v>
      </c>
      <c r="BC17" s="52" t="n">
        <f aca="false">MAX(0,(MIN($F17,BC$4)-MAX($E17,BC$3)+1)/BC$5)</f>
        <v>1</v>
      </c>
      <c r="BD17" s="52" t="n">
        <f aca="false">MAX(0,(MIN($F17,BD$4)-MAX($E17,BD$3)+1)/BD$5)</f>
        <v>1</v>
      </c>
      <c r="BE17" s="52" t="n">
        <f aca="false">MAX(0,(MIN($F17,BE$4)-MAX($E17,BE$3)+1)/BE$5)</f>
        <v>1</v>
      </c>
      <c r="BF17" s="52" t="n">
        <f aca="false">MAX(0,(MIN($F17,BF$4)-MAX($E17,BF$3)+1)/BF$5)</f>
        <v>1</v>
      </c>
      <c r="BG17" s="52" t="n">
        <f aca="false">MAX(0,(MIN($F17,BG$4)-MAX($E17,BG$3)+1)/BG$5)</f>
        <v>1</v>
      </c>
      <c r="BH17" s="52" t="n">
        <f aca="false">MAX(0,(MIN($F17,BH$4)-MAX($E17,BH$3)+1)/BH$5)</f>
        <v>1</v>
      </c>
      <c r="BI17" s="52" t="n">
        <f aca="false">MAX(0,(MIN($F17,BI$4)-MAX($E17,BI$3)+1)/BI$5)</f>
        <v>1</v>
      </c>
      <c r="BJ17" s="52" t="n">
        <f aca="false">MAX(0,(MIN($F17,BJ$4)-MAX($E17,BJ$3)+1)/BJ$5)</f>
        <v>1</v>
      </c>
      <c r="BK17" s="52" t="n">
        <f aca="false">MAX(0,(MIN($F17,BK$4)-MAX($E17,BK$3)+1)/BK$5)</f>
        <v>1</v>
      </c>
      <c r="BL17" s="52" t="n">
        <f aca="false">MAX(0,(MIN($F17,BL$4)-MAX($E17,BL$3)+1)/BL$5)</f>
        <v>1</v>
      </c>
      <c r="BM17" s="52" t="n">
        <f aca="false">MAX(0,(MIN($F17,BM$4)-MAX($E17,BM$3)+1)/BM$5)</f>
        <v>1</v>
      </c>
      <c r="BN17" s="52" t="n">
        <f aca="false">MAX(0,(MIN($F17,BN$4)-MAX($E17,BN$3)+1)/BN$5)</f>
        <v>1</v>
      </c>
      <c r="BO17" s="52" t="n">
        <f aca="false">MAX(0,(MIN($F17,BO$4)-MAX($E17,BO$3)+1)/BO$5)</f>
        <v>1</v>
      </c>
      <c r="BP17" s="52" t="n">
        <f aca="false">MAX(0,(MIN($F17,BP$4)-MAX($E17,BP$3)+1)/BP$5)</f>
        <v>1</v>
      </c>
      <c r="BQ17" s="52" t="n">
        <f aca="false">MAX(0,(MIN($F17,BQ$4)-MAX($E17,BQ$3)+1)/BQ$5)</f>
        <v>1</v>
      </c>
      <c r="BR17" s="52" t="n">
        <f aca="false">MAX(0,(MIN($F17,BR$4)-MAX($E17,BR$3)+1)/BR$5)</f>
        <v>1</v>
      </c>
      <c r="BS17" s="52" t="n">
        <f aca="false">MAX(0,(MIN($F17,BS$4)-MAX($E17,BS$3)+1)/BS$5)</f>
        <v>1</v>
      </c>
      <c r="BT17" s="52" t="n">
        <f aca="false">MAX(0,(MIN($F17,BT$4)-MAX($E17,BT$3)+1)/BT$5)</f>
        <v>1</v>
      </c>
      <c r="BU17" s="52" t="n">
        <f aca="false">MAX(0,(MIN($F17,BU$4)-MAX($E17,BU$3)+1)/BU$5)</f>
        <v>1</v>
      </c>
      <c r="BV17" s="52" t="n">
        <f aca="false">MAX(0,(MIN($F17,BV$4)-MAX($E17,BV$3)+1)/BV$5)</f>
        <v>1</v>
      </c>
      <c r="BW17" s="52" t="n">
        <f aca="false">MAX(0,(MIN($F17,BW$4)-MAX($E17,BW$3)+1)/BW$5)</f>
        <v>1</v>
      </c>
      <c r="BX17" s="52" t="n">
        <f aca="false">MAX(0,(MIN($F17,BX$4)-MAX($E17,BX$3)+1)/BX$5)</f>
        <v>1</v>
      </c>
      <c r="BY17" s="52" t="n">
        <f aca="false">MAX(0,(MIN($F17,BY$4)-MAX($E17,BY$3)+1)/BY$5)</f>
        <v>1</v>
      </c>
      <c r="BZ17" s="52" t="n">
        <f aca="false">MAX(0,(MIN($F17,BZ$4)-MAX($E17,BZ$3)+1)/BZ$5)</f>
        <v>1</v>
      </c>
      <c r="CA17" s="52" t="n">
        <f aca="false">MAX(0,(MIN($F17,CA$4)-MAX($E17,CA$3)+1)/CA$5)</f>
        <v>1</v>
      </c>
      <c r="CB17" s="52" t="n">
        <f aca="false">MAX(0,(MIN($F17,CB$4)-MAX($E17,CB$3)+1)/CB$5)</f>
        <v>1</v>
      </c>
      <c r="CC17" s="52" t="n">
        <f aca="false">MAX(0,(MIN($F17,CC$4)-MAX($E17,CC$3)+1)/CC$5)</f>
        <v>1</v>
      </c>
      <c r="CD17" s="52" t="n">
        <f aca="false">MAX(0,(MIN($F17,CD$4)-MAX($E17,CD$3)+1)/CD$5)</f>
        <v>1</v>
      </c>
      <c r="CE17" s="52" t="n">
        <f aca="false">MAX(0,(MIN($F17,CE$4)-MAX($E17,CE$3)+1)/CE$5)</f>
        <v>1</v>
      </c>
      <c r="CF17" s="52" t="n">
        <f aca="false">MAX(0,(MIN($F17,CF$4)-MAX($E17,CF$3)+1)/CF$5)</f>
        <v>1</v>
      </c>
      <c r="CG17" s="52" t="n">
        <f aca="false">MAX(0,(MIN($F17,CG$4)-MAX($E17,CG$3)+1)/CG$5)</f>
        <v>1</v>
      </c>
      <c r="CH17" s="52" t="n">
        <f aca="false">MAX(0,(MIN($F17,CH$4)-MAX($E17,CH$3)+1)/CH$5)</f>
        <v>1</v>
      </c>
      <c r="CI17" s="52" t="n">
        <f aca="false">MAX(0,(MIN($F17,CI$4)-MAX($E17,CI$3)+1)/CI$5)</f>
        <v>1</v>
      </c>
      <c r="CJ17" s="52" t="n">
        <f aca="false">MAX(0,(MIN($F17,CJ$4)-MAX($E17,CJ$3)+1)/CJ$5)</f>
        <v>1</v>
      </c>
      <c r="CK17" s="52" t="n">
        <f aca="false">MAX(0,(MIN($F17,CK$4)-MAX($E17,CK$3)+1)/CK$5)</f>
        <v>1</v>
      </c>
      <c r="CL17" s="52" t="n">
        <f aca="false">MAX(0,(MIN($F17,CL$4)-MAX($E17,CL$3)+1)/CL$5)</f>
        <v>1</v>
      </c>
      <c r="CM17" s="52" t="n">
        <f aca="false">MAX(0,(MIN($F17,CM$4)-MAX($E17,CM$3)+1)/CM$5)</f>
        <v>1</v>
      </c>
      <c r="CN17" s="52" t="n">
        <f aca="false">MAX(0,(MIN($F17,CN$4)-MAX($E17,CN$3)+1)/CN$5)</f>
        <v>1</v>
      </c>
      <c r="CO17" s="52" t="n">
        <f aca="false">MAX(0,(MIN($F17,CO$4)-MAX($E17,CO$3)+1)/CO$5)</f>
        <v>1</v>
      </c>
      <c r="CP17" s="52" t="n">
        <f aca="false">MAX(0,(MIN($F17,CP$4)-MAX($E17,CP$3)+1)/CP$5)</f>
        <v>1</v>
      </c>
      <c r="CQ17" s="52" t="n">
        <f aca="false">MAX(0,(MIN($F17,CQ$4)-MAX($E17,CQ$3)+1)/CQ$5)</f>
        <v>1</v>
      </c>
      <c r="CR17" s="52" t="n">
        <f aca="false">MAX(0,(MIN($F17,CR$4)-MAX($E17,CR$3)+1)/CR$5)</f>
        <v>1</v>
      </c>
      <c r="CS17" s="52" t="n">
        <f aca="false">MAX(0,(MIN($F17,CS$4)-MAX($E17,CS$3)+1)/CS$5)</f>
        <v>1</v>
      </c>
      <c r="CT17" s="52" t="n">
        <f aca="false">MAX(0,(MIN($F17,CT$4)-MAX($E17,CT$3)+1)/CT$5)</f>
        <v>0</v>
      </c>
      <c r="CU17" s="52" t="n">
        <f aca="false">MAX(0,(MIN($F17,CU$4)-MAX($E17,CU$3)+1)/CU$5)</f>
        <v>0</v>
      </c>
      <c r="CV17" s="52" t="n">
        <f aca="false">MAX(0,(MIN($F17,CV$4)-MAX($E17,CV$3)+1)/CV$5)</f>
        <v>0</v>
      </c>
      <c r="CW17" s="52" t="n">
        <f aca="false">MAX(0,(MIN($F17,CW$4)-MAX($E17,CW$3)+1)/CW$5)</f>
        <v>0</v>
      </c>
      <c r="CX17" s="52" t="n">
        <f aca="false">MAX(0,(MIN($F17,CX$4)-MAX($E17,CX$3)+1)/CX$5)</f>
        <v>0</v>
      </c>
      <c r="CY17" s="52" t="n">
        <f aca="false">MAX(0,(MIN($F17,CY$4)-MAX($E17,CY$3)+1)/CY$5)</f>
        <v>0</v>
      </c>
      <c r="CZ17" s="52" t="n">
        <f aca="false">MAX(0,(MIN($F17,CZ$4)-MAX($E17,CZ$3)+1)/CZ$5)</f>
        <v>0</v>
      </c>
      <c r="DA17" s="52" t="n">
        <f aca="false">MAX(0,(MIN($F17,DA$4)-MAX($E17,DA$3)+1)/DA$5)</f>
        <v>0</v>
      </c>
      <c r="DB17" s="52" t="n">
        <f aca="false">MAX(0,(MIN($F17,DB$4)-MAX($E17,DB$3)+1)/DB$5)</f>
        <v>0</v>
      </c>
      <c r="DC17" s="52" t="n">
        <f aca="false">MAX(0,(MIN($F17,DC$4)-MAX($E17,DC$3)+1)/DC$5)</f>
        <v>0</v>
      </c>
      <c r="DD17" s="52" t="n">
        <f aca="false">MAX(0,(MIN($F17,DD$4)-MAX($E17,DD$3)+1)/DD$5)</f>
        <v>0</v>
      </c>
      <c r="DE17" s="52" t="n">
        <f aca="false">MAX(0,(MIN($F17,DE$4)-MAX($E17,DE$3)+1)/DE$5)</f>
        <v>0</v>
      </c>
      <c r="DF17" s="52" t="n">
        <f aca="false">MAX(0,(MIN($F17,DF$4)-MAX($E17,DF$3)+1)/DF$5)</f>
        <v>0</v>
      </c>
      <c r="DG17" s="52" t="n">
        <f aca="false">MAX(0,(MIN($F17,DG$4)-MAX($E17,DG$3)+1)/DG$5)</f>
        <v>0</v>
      </c>
      <c r="DH17" s="52" t="n">
        <f aca="false">MAX(0,(MIN($F17,DH$4)-MAX($E17,DH$3)+1)/DH$5)</f>
        <v>0</v>
      </c>
      <c r="DI17" s="52" t="n">
        <f aca="false">MAX(0,(MIN($F17,DI$4)-MAX($E17,DI$3)+1)/DI$5)</f>
        <v>0</v>
      </c>
      <c r="DJ17" s="52" t="n">
        <f aca="false">MAX(0,(MIN($F17,DJ$4)-MAX($E17,DJ$3)+1)/DJ$5)</f>
        <v>0</v>
      </c>
      <c r="DK17" s="52" t="n">
        <f aca="false">MAX(0,(MIN($F17,DK$4)-MAX($E17,DK$3)+1)/DK$5)</f>
        <v>0</v>
      </c>
      <c r="DL17" s="52" t="n">
        <f aca="false">MAX(0,(MIN($F17,DL$4)-MAX($E17,DL$3)+1)/DL$5)</f>
        <v>0</v>
      </c>
      <c r="DM17" s="52" t="n">
        <f aca="false">MAX(0,(MIN($F17,DM$4)-MAX($E17,DM$3)+1)/DM$5)</f>
        <v>0</v>
      </c>
      <c r="DN17" s="52" t="n">
        <f aca="false">MAX(0,(MIN($F17,DN$4)-MAX($E17,DN$3)+1)/DN$5)</f>
        <v>0</v>
      </c>
      <c r="DO17" s="52" t="n">
        <f aca="false">MAX(0,(MIN($F17,DO$4)-MAX($E17,DO$3)+1)/DO$5)</f>
        <v>0</v>
      </c>
      <c r="DP17" s="52" t="n">
        <f aca="false">MAX(0,(MIN($F17,DP$4)-MAX($E17,DP$3)+1)/DP$5)</f>
        <v>0</v>
      </c>
      <c r="DQ17" s="52" t="n">
        <f aca="false">MAX(0,(MIN($F17,DQ$4)-MAX($E17,DQ$3)+1)/DQ$5)</f>
        <v>0</v>
      </c>
      <c r="DR17" s="52" t="n">
        <f aca="false">MAX(0,(MIN($F17,DR$4)-MAX($E17,DR$3)+1)/DR$5)</f>
        <v>0</v>
      </c>
      <c r="DS17" s="52" t="n">
        <f aca="false">MAX(0,(MIN($F17,DS$4)-MAX($E17,DS$3)+1)/DS$5)</f>
        <v>0</v>
      </c>
      <c r="DT17" s="52" t="n">
        <f aca="false">MAX(0,(MIN($F17,DT$4)-MAX($E17,DT$3)+1)/DT$5)</f>
        <v>0</v>
      </c>
      <c r="DU17" s="52" t="n">
        <f aca="false">MAX(0,(MIN($F17,DU$4)-MAX($E17,DU$3)+1)/DU$5)</f>
        <v>0</v>
      </c>
      <c r="DV17" s="52" t="n">
        <f aca="false">MAX(0,(MIN($F17,DV$4)-MAX($E17,DV$3)+1)/DV$5)</f>
        <v>0</v>
      </c>
      <c r="DW17" s="52" t="n">
        <f aca="false">MAX(0,(MIN($F17,DW$4)-MAX($E17,DW$3)+1)/DW$5)</f>
        <v>0</v>
      </c>
      <c r="DX17" s="52" t="n">
        <f aca="false">MAX(0,(MIN($F17,DX$4)-MAX($E17,DX$3)+1)/DX$5)</f>
        <v>0</v>
      </c>
      <c r="DY17" s="52" t="n">
        <f aca="false">MAX(0,(MIN($F17,DY$4)-MAX($E17,DY$3)+1)/DY$5)</f>
        <v>0</v>
      </c>
      <c r="DZ17" s="52" t="n">
        <f aca="false">MAX(0,(MIN($F17,DZ$4)-MAX($E17,DZ$3)+1)/DZ$5)</f>
        <v>0</v>
      </c>
      <c r="EA17" s="52" t="n">
        <f aca="false">MAX(0,(MIN($F17,EA$4)-MAX($E17,EA$3)+1)/EA$5)</f>
        <v>0</v>
      </c>
      <c r="EB17" s="52" t="n">
        <f aca="false">MAX(0,(MIN($F17,EB$4)-MAX($E17,EB$3)+1)/EB$5)</f>
        <v>0</v>
      </c>
      <c r="EC17" s="52" t="n">
        <f aca="false">MAX(0,(MIN($F17,EC$4)-MAX($E17,EC$3)+1)/EC$5)</f>
        <v>0</v>
      </c>
      <c r="ED17" s="52" t="n">
        <f aca="false">MAX(0,(MIN($F17,ED$4)-MAX($E17,ED$3)+1)/ED$5)</f>
        <v>0</v>
      </c>
      <c r="EE17" s="52" t="n">
        <f aca="false">MAX(0,(MIN($F17,EE$4)-MAX($E17,EE$3)+1)/EE$5)</f>
        <v>0</v>
      </c>
      <c r="EF17" s="52" t="n">
        <f aca="false">MAX(0,(MIN($F17,EF$4)-MAX($E17,EF$3)+1)/EF$5)</f>
        <v>0</v>
      </c>
      <c r="EG17" s="52" t="n">
        <f aca="false">MAX(0,(MIN($F17,EG$4)-MAX($E17,EG$3)+1)/EG$5)</f>
        <v>0</v>
      </c>
      <c r="EH17" s="52" t="n">
        <f aca="false">MAX(0,(MIN($F17,EH$4)-MAX($E17,EH$3)+1)/EH$5)</f>
        <v>0</v>
      </c>
      <c r="EI17" s="52" t="n">
        <f aca="false">MAX(0,(MIN($F17,EI$4)-MAX($E17,EI$3)+1)/EI$5)</f>
        <v>0</v>
      </c>
      <c r="EJ17" s="52" t="n">
        <f aca="false">MAX(0,(MIN($F17,EJ$4)-MAX($E17,EJ$3)+1)/EJ$5)</f>
        <v>0</v>
      </c>
      <c r="EK17" s="52" t="n">
        <f aca="false">MAX(0,(MIN($F17,EK$4)-MAX($E17,EK$3)+1)/EK$5)</f>
        <v>0</v>
      </c>
      <c r="EL17" s="52" t="n">
        <f aca="false">MAX(0,(MIN($F17,EL$4)-MAX($E17,EL$3)+1)/EL$5)</f>
        <v>0</v>
      </c>
      <c r="EM17" s="52" t="n">
        <f aca="false">MAX(0,(MIN($F17,EM$4)-MAX($E17,EM$3)+1)/EM$5)</f>
        <v>0</v>
      </c>
      <c r="EN17" s="52" t="n">
        <f aca="false">MAX(0,(MIN($F17,EN$4)-MAX($E17,EN$3)+1)/EN$5)</f>
        <v>0</v>
      </c>
      <c r="EO17" s="52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336</v>
      </c>
      <c r="D18" s="11" t="s">
        <v>30</v>
      </c>
      <c r="E18" s="41" t="n">
        <f aca="false">EDATE(In_COD,In_Debt_Tenor*Months_In_Year)</f>
        <v>54331</v>
      </c>
      <c r="I18" s="46" t="n">
        <f aca="false">SUM(J18:EO18)</f>
        <v>1</v>
      </c>
      <c r="J18" s="46" t="n">
        <f aca="false">N(AND(J$3&lt;=$E18,J$4&gt;=$E18))</f>
        <v>0</v>
      </c>
      <c r="K18" s="46" t="n">
        <f aca="false">N(AND(K$3&lt;=$E18,K$4&gt;=$E18))</f>
        <v>0</v>
      </c>
      <c r="L18" s="46" t="n">
        <f aca="false">N(AND(L$3&lt;=$E18,L$4&gt;=$E18))</f>
        <v>0</v>
      </c>
      <c r="M18" s="46" t="n">
        <f aca="false">N(AND(M$3&lt;=$E18,M$4&gt;=$E18))</f>
        <v>0</v>
      </c>
      <c r="N18" s="46" t="n">
        <f aca="false">N(AND(N$3&lt;=$E18,N$4&gt;=$E18))</f>
        <v>0</v>
      </c>
      <c r="O18" s="46" t="n">
        <f aca="false">N(AND(O$3&lt;=$E18,O$4&gt;=$E18))</f>
        <v>0</v>
      </c>
      <c r="P18" s="46" t="n">
        <f aca="false">N(AND(P$3&lt;=$E18,P$4&gt;=$E18))</f>
        <v>0</v>
      </c>
      <c r="Q18" s="46" t="n">
        <f aca="false">N(AND(Q$3&lt;=$E18,Q$4&gt;=$E18))</f>
        <v>0</v>
      </c>
      <c r="R18" s="46" t="n">
        <f aca="false">N(AND(R$3&lt;=$E18,R$4&gt;=$E18))</f>
        <v>0</v>
      </c>
      <c r="S18" s="46" t="n">
        <f aca="false">N(AND(S$3&lt;=$E18,S$4&gt;=$E18))</f>
        <v>0</v>
      </c>
      <c r="T18" s="46" t="n">
        <f aca="false">N(AND(T$3&lt;=$E18,T$4&gt;=$E18))</f>
        <v>0</v>
      </c>
      <c r="U18" s="46" t="n">
        <f aca="false">N(AND(U$3&lt;=$E18,U$4&gt;=$E18))</f>
        <v>0</v>
      </c>
      <c r="V18" s="46" t="n">
        <f aca="false">N(AND(V$3&lt;=$E18,V$4&gt;=$E18))</f>
        <v>0</v>
      </c>
      <c r="W18" s="46" t="n">
        <f aca="false">N(AND(W$3&lt;=$E18,W$4&gt;=$E18))</f>
        <v>0</v>
      </c>
      <c r="X18" s="46" t="n">
        <f aca="false">N(AND(X$3&lt;=$E18,X$4&gt;=$E18))</f>
        <v>0</v>
      </c>
      <c r="Y18" s="46" t="n">
        <f aca="false">N(AND(Y$3&lt;=$E18,Y$4&gt;=$E18))</f>
        <v>0</v>
      </c>
      <c r="Z18" s="46" t="n">
        <f aca="false">N(AND(Z$3&lt;=$E18,Z$4&gt;=$E18))</f>
        <v>0</v>
      </c>
      <c r="AA18" s="46" t="n">
        <f aca="false">N(AND(AA$3&lt;=$E18,AA$4&gt;=$E18))</f>
        <v>0</v>
      </c>
      <c r="AB18" s="46" t="n">
        <f aca="false">N(AND(AB$3&lt;=$E18,AB$4&gt;=$E18))</f>
        <v>0</v>
      </c>
      <c r="AC18" s="46" t="n">
        <f aca="false">N(AND(AC$3&lt;=$E18,AC$4&gt;=$E18))</f>
        <v>0</v>
      </c>
      <c r="AD18" s="46" t="n">
        <f aca="false">N(AND(AD$3&lt;=$E18,AD$4&gt;=$E18))</f>
        <v>0</v>
      </c>
      <c r="AE18" s="46" t="n">
        <f aca="false">N(AND(AE$3&lt;=$E18,AE$4&gt;=$E18))</f>
        <v>0</v>
      </c>
      <c r="AF18" s="46" t="n">
        <f aca="false">N(AND(AF$3&lt;=$E18,AF$4&gt;=$E18))</f>
        <v>0</v>
      </c>
      <c r="AG18" s="46" t="n">
        <f aca="false">N(AND(AG$3&lt;=$E18,AG$4&gt;=$E18))</f>
        <v>0</v>
      </c>
      <c r="AH18" s="46" t="n">
        <f aca="false">N(AND(AH$3&lt;=$E18,AH$4&gt;=$E18))</f>
        <v>0</v>
      </c>
      <c r="AI18" s="46" t="n">
        <f aca="false">N(AND(AI$3&lt;=$E18,AI$4&gt;=$E18))</f>
        <v>0</v>
      </c>
      <c r="AJ18" s="46" t="n">
        <f aca="false">N(AND(AJ$3&lt;=$E18,AJ$4&gt;=$E18))</f>
        <v>0</v>
      </c>
      <c r="AK18" s="46" t="n">
        <f aca="false">N(AND(AK$3&lt;=$E18,AK$4&gt;=$E18))</f>
        <v>0</v>
      </c>
      <c r="AL18" s="46" t="n">
        <f aca="false">N(AND(AL$3&lt;=$E18,AL$4&gt;=$E18))</f>
        <v>0</v>
      </c>
      <c r="AM18" s="46" t="n">
        <f aca="false">N(AND(AM$3&lt;=$E18,AM$4&gt;=$E18))</f>
        <v>0</v>
      </c>
      <c r="AN18" s="46" t="n">
        <f aca="false">N(AND(AN$3&lt;=$E18,AN$4&gt;=$E18))</f>
        <v>0</v>
      </c>
      <c r="AO18" s="46" t="n">
        <f aca="false">N(AND(AO$3&lt;=$E18,AO$4&gt;=$E18))</f>
        <v>0</v>
      </c>
      <c r="AP18" s="46" t="n">
        <f aca="false">N(AND(AP$3&lt;=$E18,AP$4&gt;=$E18))</f>
        <v>0</v>
      </c>
      <c r="AQ18" s="46" t="n">
        <f aca="false">N(AND(AQ$3&lt;=$E18,AQ$4&gt;=$E18))</f>
        <v>0</v>
      </c>
      <c r="AR18" s="46" t="n">
        <f aca="false">N(AND(AR$3&lt;=$E18,AR$4&gt;=$E18))</f>
        <v>0</v>
      </c>
      <c r="AS18" s="46" t="n">
        <f aca="false">N(AND(AS$3&lt;=$E18,AS$4&gt;=$E18))</f>
        <v>0</v>
      </c>
      <c r="AT18" s="46" t="n">
        <f aca="false">N(AND(AT$3&lt;=$E18,AT$4&gt;=$E18))</f>
        <v>0</v>
      </c>
      <c r="AU18" s="46" t="n">
        <f aca="false">N(AND(AU$3&lt;=$E18,AU$4&gt;=$E18))</f>
        <v>0</v>
      </c>
      <c r="AV18" s="46" t="n">
        <f aca="false">N(AND(AV$3&lt;=$E18,AV$4&gt;=$E18))</f>
        <v>0</v>
      </c>
      <c r="AW18" s="46" t="n">
        <f aca="false">N(AND(AW$3&lt;=$E18,AW$4&gt;=$E18))</f>
        <v>0</v>
      </c>
      <c r="AX18" s="46" t="n">
        <f aca="false">N(AND(AX$3&lt;=$E18,AX$4&gt;=$E18))</f>
        <v>0</v>
      </c>
      <c r="AY18" s="46" t="n">
        <f aca="false">N(AND(AY$3&lt;=$E18,AY$4&gt;=$E18))</f>
        <v>0</v>
      </c>
      <c r="AZ18" s="46" t="n">
        <f aca="false">N(AND(AZ$3&lt;=$E18,AZ$4&gt;=$E18))</f>
        <v>0</v>
      </c>
      <c r="BA18" s="46" t="n">
        <f aca="false">N(AND(BA$3&lt;=$E18,BA$4&gt;=$E18))</f>
        <v>0</v>
      </c>
      <c r="BB18" s="46" t="n">
        <f aca="false">N(AND(BB$3&lt;=$E18,BB$4&gt;=$E18))</f>
        <v>0</v>
      </c>
      <c r="BC18" s="46" t="n">
        <f aca="false">N(AND(BC$3&lt;=$E18,BC$4&gt;=$E18))</f>
        <v>0</v>
      </c>
      <c r="BD18" s="46" t="n">
        <f aca="false">N(AND(BD$3&lt;=$E18,BD$4&gt;=$E18))</f>
        <v>0</v>
      </c>
      <c r="BE18" s="46" t="n">
        <f aca="false">N(AND(BE$3&lt;=$E18,BE$4&gt;=$E18))</f>
        <v>0</v>
      </c>
      <c r="BF18" s="46" t="n">
        <f aca="false">N(AND(BF$3&lt;=$E18,BF$4&gt;=$E18))</f>
        <v>0</v>
      </c>
      <c r="BG18" s="46" t="n">
        <f aca="false">N(AND(BG$3&lt;=$E18,BG$4&gt;=$E18))</f>
        <v>0</v>
      </c>
      <c r="BH18" s="46" t="n">
        <f aca="false">N(AND(BH$3&lt;=$E18,BH$4&gt;=$E18))</f>
        <v>0</v>
      </c>
      <c r="BI18" s="46" t="n">
        <f aca="false">N(AND(BI$3&lt;=$E18,BI$4&gt;=$E18))</f>
        <v>0</v>
      </c>
      <c r="BJ18" s="46" t="n">
        <f aca="false">N(AND(BJ$3&lt;=$E18,BJ$4&gt;=$E18))</f>
        <v>0</v>
      </c>
      <c r="BK18" s="46" t="n">
        <f aca="false">N(AND(BK$3&lt;=$E18,BK$4&gt;=$E18))</f>
        <v>0</v>
      </c>
      <c r="BL18" s="46" t="n">
        <f aca="false">N(AND(BL$3&lt;=$E18,BL$4&gt;=$E18))</f>
        <v>0</v>
      </c>
      <c r="BM18" s="46" t="n">
        <f aca="false">N(AND(BM$3&lt;=$E18,BM$4&gt;=$E18))</f>
        <v>0</v>
      </c>
      <c r="BN18" s="46" t="n">
        <f aca="false">N(AND(BN$3&lt;=$E18,BN$4&gt;=$E18))</f>
        <v>0</v>
      </c>
      <c r="BO18" s="46" t="n">
        <f aca="false">N(AND(BO$3&lt;=$E18,BO$4&gt;=$E18))</f>
        <v>0</v>
      </c>
      <c r="BP18" s="46" t="n">
        <f aca="false">N(AND(BP$3&lt;=$E18,BP$4&gt;=$E18))</f>
        <v>0</v>
      </c>
      <c r="BQ18" s="46" t="n">
        <f aca="false">N(AND(BQ$3&lt;=$E18,BQ$4&gt;=$E18))</f>
        <v>0</v>
      </c>
      <c r="BR18" s="46" t="n">
        <f aca="false">N(AND(BR$3&lt;=$E18,BR$4&gt;=$E18))</f>
        <v>0</v>
      </c>
      <c r="BS18" s="46" t="n">
        <f aca="false">N(AND(BS$3&lt;=$E18,BS$4&gt;=$E18))</f>
        <v>0</v>
      </c>
      <c r="BT18" s="46" t="n">
        <f aca="false">N(AND(BT$3&lt;=$E18,BT$4&gt;=$E18))</f>
        <v>0</v>
      </c>
      <c r="BU18" s="46" t="n">
        <f aca="false">N(AND(BU$3&lt;=$E18,BU$4&gt;=$E18))</f>
        <v>0</v>
      </c>
      <c r="BV18" s="46" t="n">
        <f aca="false">N(AND(BV$3&lt;=$E18,BV$4&gt;=$E18))</f>
        <v>0</v>
      </c>
      <c r="BW18" s="46" t="n">
        <f aca="false">N(AND(BW$3&lt;=$E18,BW$4&gt;=$E18))</f>
        <v>0</v>
      </c>
      <c r="BX18" s="46" t="n">
        <f aca="false">N(AND(BX$3&lt;=$E18,BX$4&gt;=$E18))</f>
        <v>0</v>
      </c>
      <c r="BY18" s="46" t="n">
        <f aca="false">N(AND(BY$3&lt;=$E18,BY$4&gt;=$E18))</f>
        <v>0</v>
      </c>
      <c r="BZ18" s="46" t="n">
        <f aca="false">N(AND(BZ$3&lt;=$E18,BZ$4&gt;=$E18))</f>
        <v>0</v>
      </c>
      <c r="CA18" s="46" t="n">
        <f aca="false">N(AND(CA$3&lt;=$E18,CA$4&gt;=$E18))</f>
        <v>0</v>
      </c>
      <c r="CB18" s="46" t="n">
        <f aca="false">N(AND(CB$3&lt;=$E18,CB$4&gt;=$E18))</f>
        <v>0</v>
      </c>
      <c r="CC18" s="46" t="n">
        <f aca="false">N(AND(CC$3&lt;=$E18,CC$4&gt;=$E18))</f>
        <v>0</v>
      </c>
      <c r="CD18" s="46" t="n">
        <f aca="false">N(AND(CD$3&lt;=$E18,CD$4&gt;=$E18))</f>
        <v>0</v>
      </c>
      <c r="CE18" s="46" t="n">
        <f aca="false">N(AND(CE$3&lt;=$E18,CE$4&gt;=$E18))</f>
        <v>0</v>
      </c>
      <c r="CF18" s="46" t="n">
        <f aca="false">N(AND(CF$3&lt;=$E18,CF$4&gt;=$E18))</f>
        <v>0</v>
      </c>
      <c r="CG18" s="46" t="n">
        <f aca="false">N(AND(CG$3&lt;=$E18,CG$4&gt;=$E18))</f>
        <v>0</v>
      </c>
      <c r="CH18" s="46" t="n">
        <f aca="false">N(AND(CH$3&lt;=$E18,CH$4&gt;=$E18))</f>
        <v>0</v>
      </c>
      <c r="CI18" s="46" t="n">
        <f aca="false">N(AND(CI$3&lt;=$E18,CI$4&gt;=$E18))</f>
        <v>0</v>
      </c>
      <c r="CJ18" s="46" t="n">
        <f aca="false">N(AND(CJ$3&lt;=$E18,CJ$4&gt;=$E18))</f>
        <v>0</v>
      </c>
      <c r="CK18" s="46" t="n">
        <f aca="false">N(AND(CK$3&lt;=$E18,CK$4&gt;=$E18))</f>
        <v>0</v>
      </c>
      <c r="CL18" s="46" t="n">
        <f aca="false">N(AND(CL$3&lt;=$E18,CL$4&gt;=$E18))</f>
        <v>0</v>
      </c>
      <c r="CM18" s="46" t="n">
        <f aca="false">N(AND(CM$3&lt;=$E18,CM$4&gt;=$E18))</f>
        <v>0</v>
      </c>
      <c r="CN18" s="46" t="n">
        <f aca="false">N(AND(CN$3&lt;=$E18,CN$4&gt;=$E18))</f>
        <v>0</v>
      </c>
      <c r="CO18" s="46" t="n">
        <f aca="false">N(AND(CO$3&lt;=$E18,CO$4&gt;=$E18))</f>
        <v>0</v>
      </c>
      <c r="CP18" s="46" t="n">
        <f aca="false">N(AND(CP$3&lt;=$E18,CP$4&gt;=$E18))</f>
        <v>0</v>
      </c>
      <c r="CQ18" s="46" t="n">
        <f aca="false">N(AND(CQ$3&lt;=$E18,CQ$4&gt;=$E18))</f>
        <v>0</v>
      </c>
      <c r="CR18" s="46" t="n">
        <f aca="false">N(AND(CR$3&lt;=$E18,CR$4&gt;=$E18))</f>
        <v>0</v>
      </c>
      <c r="CS18" s="46" t="n">
        <f aca="false">N(AND(CS$3&lt;=$E18,CS$4&gt;=$E18))</f>
        <v>1</v>
      </c>
      <c r="CT18" s="46" t="n">
        <f aca="false">N(AND(CT$3&lt;=$E18,CT$4&gt;=$E18))</f>
        <v>0</v>
      </c>
      <c r="CU18" s="46" t="n">
        <f aca="false">N(AND(CU$3&lt;=$E18,CU$4&gt;=$E18))</f>
        <v>0</v>
      </c>
      <c r="CV18" s="46" t="n">
        <f aca="false">N(AND(CV$3&lt;=$E18,CV$4&gt;=$E18))</f>
        <v>0</v>
      </c>
      <c r="CW18" s="46" t="n">
        <f aca="false">N(AND(CW$3&lt;=$E18,CW$4&gt;=$E18))</f>
        <v>0</v>
      </c>
      <c r="CX18" s="46" t="n">
        <f aca="false">N(AND(CX$3&lt;=$E18,CX$4&gt;=$E18))</f>
        <v>0</v>
      </c>
      <c r="CY18" s="46" t="n">
        <f aca="false">N(AND(CY$3&lt;=$E18,CY$4&gt;=$E18))</f>
        <v>0</v>
      </c>
      <c r="CZ18" s="46" t="n">
        <f aca="false">N(AND(CZ$3&lt;=$E18,CZ$4&gt;=$E18))</f>
        <v>0</v>
      </c>
      <c r="DA18" s="46" t="n">
        <f aca="false">N(AND(DA$3&lt;=$E18,DA$4&gt;=$E18))</f>
        <v>0</v>
      </c>
      <c r="DB18" s="46" t="n">
        <f aca="false">N(AND(DB$3&lt;=$E18,DB$4&gt;=$E18))</f>
        <v>0</v>
      </c>
      <c r="DC18" s="46" t="n">
        <f aca="false">N(AND(DC$3&lt;=$E18,DC$4&gt;=$E18))</f>
        <v>0</v>
      </c>
      <c r="DD18" s="46" t="n">
        <f aca="false">N(AND(DD$3&lt;=$E18,DD$4&gt;=$E18))</f>
        <v>0</v>
      </c>
      <c r="DE18" s="46" t="n">
        <f aca="false">N(AND(DE$3&lt;=$E18,DE$4&gt;=$E18))</f>
        <v>0</v>
      </c>
      <c r="DF18" s="46" t="n">
        <f aca="false">N(AND(DF$3&lt;=$E18,DF$4&gt;=$E18))</f>
        <v>0</v>
      </c>
      <c r="DG18" s="46" t="n">
        <f aca="false">N(AND(DG$3&lt;=$E18,DG$4&gt;=$E18))</f>
        <v>0</v>
      </c>
      <c r="DH18" s="46" t="n">
        <f aca="false">N(AND(DH$3&lt;=$E18,DH$4&gt;=$E18))</f>
        <v>0</v>
      </c>
      <c r="DI18" s="46" t="n">
        <f aca="false">N(AND(DI$3&lt;=$E18,DI$4&gt;=$E18))</f>
        <v>0</v>
      </c>
      <c r="DJ18" s="46" t="n">
        <f aca="false">N(AND(DJ$3&lt;=$E18,DJ$4&gt;=$E18))</f>
        <v>0</v>
      </c>
      <c r="DK18" s="46" t="n">
        <f aca="false">N(AND(DK$3&lt;=$E18,DK$4&gt;=$E18))</f>
        <v>0</v>
      </c>
      <c r="DL18" s="46" t="n">
        <f aca="false">N(AND(DL$3&lt;=$E18,DL$4&gt;=$E18))</f>
        <v>0</v>
      </c>
      <c r="DM18" s="46" t="n">
        <f aca="false">N(AND(DM$3&lt;=$E18,DM$4&gt;=$E18))</f>
        <v>0</v>
      </c>
      <c r="DN18" s="46" t="n">
        <f aca="false">N(AND(DN$3&lt;=$E18,DN$4&gt;=$E18))</f>
        <v>0</v>
      </c>
      <c r="DO18" s="46" t="n">
        <f aca="false">N(AND(DO$3&lt;=$E18,DO$4&gt;=$E18))</f>
        <v>0</v>
      </c>
      <c r="DP18" s="46" t="n">
        <f aca="false">N(AND(DP$3&lt;=$E18,DP$4&gt;=$E18))</f>
        <v>0</v>
      </c>
      <c r="DQ18" s="46" t="n">
        <f aca="false">N(AND(DQ$3&lt;=$E18,DQ$4&gt;=$E18))</f>
        <v>0</v>
      </c>
      <c r="DR18" s="46" t="n">
        <f aca="false">N(AND(DR$3&lt;=$E18,DR$4&gt;=$E18))</f>
        <v>0</v>
      </c>
      <c r="DS18" s="46" t="n">
        <f aca="false">N(AND(DS$3&lt;=$E18,DS$4&gt;=$E18))</f>
        <v>0</v>
      </c>
      <c r="DT18" s="46" t="n">
        <f aca="false">N(AND(DT$3&lt;=$E18,DT$4&gt;=$E18))</f>
        <v>0</v>
      </c>
      <c r="DU18" s="46" t="n">
        <f aca="false">N(AND(DU$3&lt;=$E18,DU$4&gt;=$E18))</f>
        <v>0</v>
      </c>
      <c r="DV18" s="46" t="n">
        <f aca="false">N(AND(DV$3&lt;=$E18,DV$4&gt;=$E18))</f>
        <v>0</v>
      </c>
      <c r="DW18" s="46" t="n">
        <f aca="false">N(AND(DW$3&lt;=$E18,DW$4&gt;=$E18))</f>
        <v>0</v>
      </c>
      <c r="DX18" s="46" t="n">
        <f aca="false">N(AND(DX$3&lt;=$E18,DX$4&gt;=$E18))</f>
        <v>0</v>
      </c>
      <c r="DY18" s="46" t="n">
        <f aca="false">N(AND(DY$3&lt;=$E18,DY$4&gt;=$E18))</f>
        <v>0</v>
      </c>
      <c r="DZ18" s="46" t="n">
        <f aca="false">N(AND(DZ$3&lt;=$E18,DZ$4&gt;=$E18))</f>
        <v>0</v>
      </c>
      <c r="EA18" s="46" t="n">
        <f aca="false">N(AND(EA$3&lt;=$E18,EA$4&gt;=$E18))</f>
        <v>0</v>
      </c>
      <c r="EB18" s="46" t="n">
        <f aca="false">N(AND(EB$3&lt;=$E18,EB$4&gt;=$E18))</f>
        <v>0</v>
      </c>
      <c r="EC18" s="46" t="n">
        <f aca="false">N(AND(EC$3&lt;=$E18,EC$4&gt;=$E18))</f>
        <v>0</v>
      </c>
      <c r="ED18" s="46" t="n">
        <f aca="false">N(AND(ED$3&lt;=$E18,ED$4&gt;=$E18))</f>
        <v>0</v>
      </c>
      <c r="EE18" s="46" t="n">
        <f aca="false">N(AND(EE$3&lt;=$E18,EE$4&gt;=$E18))</f>
        <v>0</v>
      </c>
      <c r="EF18" s="46" t="n">
        <f aca="false">N(AND(EF$3&lt;=$E18,EF$4&gt;=$E18))</f>
        <v>0</v>
      </c>
      <c r="EG18" s="46" t="n">
        <f aca="false">N(AND(EG$3&lt;=$E18,EG$4&gt;=$E18))</f>
        <v>0</v>
      </c>
      <c r="EH18" s="46" t="n">
        <f aca="false">N(AND(EH$3&lt;=$E18,EH$4&gt;=$E18))</f>
        <v>0</v>
      </c>
      <c r="EI18" s="46" t="n">
        <f aca="false">N(AND(EI$3&lt;=$E18,EI$4&gt;=$E18))</f>
        <v>0</v>
      </c>
      <c r="EJ18" s="46" t="n">
        <f aca="false">N(AND(EJ$3&lt;=$E18,EJ$4&gt;=$E18))</f>
        <v>0</v>
      </c>
      <c r="EK18" s="46" t="n">
        <f aca="false">N(AND(EK$3&lt;=$E18,EK$4&gt;=$E18))</f>
        <v>0</v>
      </c>
      <c r="EL18" s="46" t="n">
        <f aca="false">N(AND(EL$3&lt;=$E18,EL$4&gt;=$E18))</f>
        <v>0</v>
      </c>
      <c r="EM18" s="46" t="n">
        <f aca="false">N(AND(EM$3&lt;=$E18,EM$4&gt;=$E18))</f>
        <v>0</v>
      </c>
      <c r="EN18" s="46" t="n">
        <f aca="false">N(AND(EN$3&lt;=$E18,EN$4&gt;=$E18))</f>
        <v>0</v>
      </c>
      <c r="EO18" s="46" t="n">
        <f aca="false">N(AND(EO$3&lt;=$E18,EO$4&gt;=$E18))</f>
        <v>0</v>
      </c>
    </row>
    <row r="19" customFormat="false" ht="15" hidden="false" customHeight="false" outlineLevel="0" collapsed="false">
      <c r="C19" s="0" t="s">
        <v>337</v>
      </c>
      <c r="D19" s="11" t="s">
        <v>327</v>
      </c>
      <c r="E19" s="41" t="n">
        <f aca="false">In_COD+1</f>
        <v>47757</v>
      </c>
      <c r="F19" s="41" t="n">
        <f aca="false">EDATE(In_COD,In_Dep_Years*Months_In_Year)</f>
        <v>55061</v>
      </c>
      <c r="I19" s="52" t="n">
        <f aca="false">SUM(J19:EO19)</f>
        <v>1</v>
      </c>
      <c r="J19" s="52" t="n">
        <f aca="false">MAX(0,MIN($F19,J$4)-MAX($E19,J$3)+1)/($F19-$E19+1)</f>
        <v>0</v>
      </c>
      <c r="K19" s="52" t="n">
        <f aca="false">MAX(0,MIN($F19,K$4)-MAX($E19,K$3)+1)/($F19-$E19+1)</f>
        <v>0</v>
      </c>
      <c r="L19" s="52" t="n">
        <f aca="false">MAX(0,MIN($F19,L$4)-MAX($E19,L$3)+1)/($F19-$E19+1)</f>
        <v>0</v>
      </c>
      <c r="M19" s="52" t="n">
        <f aca="false">MAX(0,MIN($F19,M$4)-MAX($E19,M$3)+1)/($F19-$E19+1)</f>
        <v>0</v>
      </c>
      <c r="N19" s="52" t="n">
        <f aca="false">MAX(0,MIN($F19,N$4)-MAX($E19,N$3)+1)/($F19-$E19+1)</f>
        <v>0</v>
      </c>
      <c r="O19" s="52" t="n">
        <f aca="false">MAX(0,MIN($F19,O$4)-MAX($E19,O$3)+1)/($F19-$E19+1)</f>
        <v>0</v>
      </c>
      <c r="P19" s="52" t="n">
        <f aca="false">MAX(0,MIN($F19,P$4)-MAX($E19,P$3)+1)/($F19-$E19+1)</f>
        <v>0</v>
      </c>
      <c r="Q19" s="52" t="n">
        <f aca="false">MAX(0,MIN($F19,Q$4)-MAX($E19,Q$3)+1)/($F19-$E19+1)</f>
        <v>0</v>
      </c>
      <c r="R19" s="52" t="n">
        <f aca="false">MAX(0,MIN($F19,R$4)-MAX($E19,R$3)+1)/($F19-$E19+1)</f>
        <v>0</v>
      </c>
      <c r="S19" s="52" t="n">
        <f aca="false">MAX(0,MIN($F19,S$4)-MAX($E19,S$3)+1)/($F19-$E19+1)</f>
        <v>0</v>
      </c>
      <c r="T19" s="52" t="n">
        <f aca="false">MAX(0,MIN($F19,T$4)-MAX($E19,T$3)+1)/($F19-$E19+1)</f>
        <v>0</v>
      </c>
      <c r="U19" s="52" t="n">
        <f aca="false">MAX(0,MIN($F19,U$4)-MAX($E19,U$3)+1)/($F19-$E19+1)</f>
        <v>0</v>
      </c>
      <c r="V19" s="52" t="n">
        <f aca="false">MAX(0,MIN($F19,V$4)-MAX($E19,V$3)+1)/($F19-$E19+1)</f>
        <v>0</v>
      </c>
      <c r="W19" s="52" t="n">
        <f aca="false">MAX(0,MIN($F19,W$4)-MAX($E19,W$3)+1)/($F19-$E19+1)</f>
        <v>0</v>
      </c>
      <c r="X19" s="52" t="n">
        <f aca="false">MAX(0,MIN($F19,X$4)-MAX($E19,X$3)+1)/($F19-$E19+1)</f>
        <v>0</v>
      </c>
      <c r="Y19" s="52" t="n">
        <f aca="false">MAX(0,MIN($F19,Y$4)-MAX($E19,Y$3)+1)/($F19-$E19+1)</f>
        <v>0</v>
      </c>
      <c r="Z19" s="52" t="n">
        <f aca="false">MAX(0,MIN($F19,Z$4)-MAX($E19,Z$3)+1)/($F19-$E19+1)</f>
        <v>0.0125941136208077</v>
      </c>
      <c r="AA19" s="52" t="n">
        <f aca="false">MAX(0,MIN($F19,AA$4)-MAX($E19,AA$3)+1)/($F19-$E19+1)</f>
        <v>0.0123203285420945</v>
      </c>
      <c r="AB19" s="52" t="n">
        <f aca="false">MAX(0,MIN($F19,AB$4)-MAX($E19,AB$3)+1)/($F19-$E19+1)</f>
        <v>0.0124572210814511</v>
      </c>
      <c r="AC19" s="52" t="n">
        <f aca="false">MAX(0,MIN($F19,AC$4)-MAX($E19,AC$3)+1)/($F19-$E19+1)</f>
        <v>0.0125941136208077</v>
      </c>
      <c r="AD19" s="52" t="n">
        <f aca="false">MAX(0,MIN($F19,AD$4)-MAX($E19,AD$3)+1)/($F19-$E19+1)</f>
        <v>0.0125941136208077</v>
      </c>
      <c r="AE19" s="52" t="n">
        <f aca="false">MAX(0,MIN($F19,AE$4)-MAX($E19,AE$3)+1)/($F19-$E19+1)</f>
        <v>0.0124572210814511</v>
      </c>
      <c r="AF19" s="52" t="n">
        <f aca="false">MAX(0,MIN($F19,AF$4)-MAX($E19,AF$3)+1)/($F19-$E19+1)</f>
        <v>0.0124572210814511</v>
      </c>
      <c r="AG19" s="52" t="n">
        <f aca="false">MAX(0,MIN($F19,AG$4)-MAX($E19,AG$3)+1)/($F19-$E19+1)</f>
        <v>0.0125941136208077</v>
      </c>
      <c r="AH19" s="52" t="n">
        <f aca="false">MAX(0,MIN($F19,AH$4)-MAX($E19,AH$3)+1)/($F19-$E19+1)</f>
        <v>0.0125941136208077</v>
      </c>
      <c r="AI19" s="52" t="n">
        <f aca="false">MAX(0,MIN($F19,AI$4)-MAX($E19,AI$3)+1)/($F19-$E19+1)</f>
        <v>0.0123203285420945</v>
      </c>
      <c r="AJ19" s="52" t="n">
        <f aca="false">MAX(0,MIN($F19,AJ$4)-MAX($E19,AJ$3)+1)/($F19-$E19+1)</f>
        <v>0.0124572210814511</v>
      </c>
      <c r="AK19" s="52" t="n">
        <f aca="false">MAX(0,MIN($F19,AK$4)-MAX($E19,AK$3)+1)/($F19-$E19+1)</f>
        <v>0.0125941136208077</v>
      </c>
      <c r="AL19" s="52" t="n">
        <f aca="false">MAX(0,MIN($F19,AL$4)-MAX($E19,AL$3)+1)/($F19-$E19+1)</f>
        <v>0.0125941136208077</v>
      </c>
      <c r="AM19" s="52" t="n">
        <f aca="false">MAX(0,MIN($F19,AM$4)-MAX($E19,AM$3)+1)/($F19-$E19+1)</f>
        <v>0.0123203285420945</v>
      </c>
      <c r="AN19" s="52" t="n">
        <f aca="false">MAX(0,MIN($F19,AN$4)-MAX($E19,AN$3)+1)/($F19-$E19+1)</f>
        <v>0.0124572210814511</v>
      </c>
      <c r="AO19" s="52" t="n">
        <f aca="false">MAX(0,MIN($F19,AO$4)-MAX($E19,AO$3)+1)/($F19-$E19+1)</f>
        <v>0.0125941136208077</v>
      </c>
      <c r="AP19" s="52" t="n">
        <f aca="false">MAX(0,MIN($F19,AP$4)-MAX($E19,AP$3)+1)/($F19-$E19+1)</f>
        <v>0.0125941136208077</v>
      </c>
      <c r="AQ19" s="52" t="n">
        <f aca="false">MAX(0,MIN($F19,AQ$4)-MAX($E19,AQ$3)+1)/($F19-$E19+1)</f>
        <v>0.0123203285420945</v>
      </c>
      <c r="AR19" s="52" t="n">
        <f aca="false">MAX(0,MIN($F19,AR$4)-MAX($E19,AR$3)+1)/($F19-$E19+1)</f>
        <v>0.0124572210814511</v>
      </c>
      <c r="AS19" s="52" t="n">
        <f aca="false">MAX(0,MIN($F19,AS$4)-MAX($E19,AS$3)+1)/($F19-$E19+1)</f>
        <v>0.0125941136208077</v>
      </c>
      <c r="AT19" s="52" t="n">
        <f aca="false">MAX(0,MIN($F19,AT$4)-MAX($E19,AT$3)+1)/($F19-$E19+1)</f>
        <v>0.0125941136208077</v>
      </c>
      <c r="AU19" s="52" t="n">
        <f aca="false">MAX(0,MIN($F19,AU$4)-MAX($E19,AU$3)+1)/($F19-$E19+1)</f>
        <v>0.0124572210814511</v>
      </c>
      <c r="AV19" s="52" t="n">
        <f aca="false">MAX(0,MIN($F19,AV$4)-MAX($E19,AV$3)+1)/($F19-$E19+1)</f>
        <v>0.0124572210814511</v>
      </c>
      <c r="AW19" s="52" t="n">
        <f aca="false">MAX(0,MIN($F19,AW$4)-MAX($E19,AW$3)+1)/($F19-$E19+1)</f>
        <v>0.0125941136208077</v>
      </c>
      <c r="AX19" s="52" t="n">
        <f aca="false">MAX(0,MIN($F19,AX$4)-MAX($E19,AX$3)+1)/($F19-$E19+1)</f>
        <v>0.0125941136208077</v>
      </c>
      <c r="AY19" s="52" t="n">
        <f aca="false">MAX(0,MIN($F19,AY$4)-MAX($E19,AY$3)+1)/($F19-$E19+1)</f>
        <v>0.0123203285420945</v>
      </c>
      <c r="AZ19" s="52" t="n">
        <f aca="false">MAX(0,MIN($F19,AZ$4)-MAX($E19,AZ$3)+1)/($F19-$E19+1)</f>
        <v>0.0124572210814511</v>
      </c>
      <c r="BA19" s="52" t="n">
        <f aca="false">MAX(0,MIN($F19,BA$4)-MAX($E19,BA$3)+1)/($F19-$E19+1)</f>
        <v>0.0125941136208077</v>
      </c>
      <c r="BB19" s="52" t="n">
        <f aca="false">MAX(0,MIN($F19,BB$4)-MAX($E19,BB$3)+1)/($F19-$E19+1)</f>
        <v>0.0125941136208077</v>
      </c>
      <c r="BC19" s="52" t="n">
        <f aca="false">MAX(0,MIN($F19,BC$4)-MAX($E19,BC$3)+1)/($F19-$E19+1)</f>
        <v>0.0123203285420945</v>
      </c>
      <c r="BD19" s="52" t="n">
        <f aca="false">MAX(0,MIN($F19,BD$4)-MAX($E19,BD$3)+1)/($F19-$E19+1)</f>
        <v>0.0124572210814511</v>
      </c>
      <c r="BE19" s="52" t="n">
        <f aca="false">MAX(0,MIN($F19,BE$4)-MAX($E19,BE$3)+1)/($F19-$E19+1)</f>
        <v>0.0125941136208077</v>
      </c>
      <c r="BF19" s="52" t="n">
        <f aca="false">MAX(0,MIN($F19,BF$4)-MAX($E19,BF$3)+1)/($F19-$E19+1)</f>
        <v>0.0125941136208077</v>
      </c>
      <c r="BG19" s="52" t="n">
        <f aca="false">MAX(0,MIN($F19,BG$4)-MAX($E19,BG$3)+1)/($F19-$E19+1)</f>
        <v>0.0123203285420945</v>
      </c>
      <c r="BH19" s="52" t="n">
        <f aca="false">MAX(0,MIN($F19,BH$4)-MAX($E19,BH$3)+1)/($F19-$E19+1)</f>
        <v>0.0124572210814511</v>
      </c>
      <c r="BI19" s="52" t="n">
        <f aca="false">MAX(0,MIN($F19,BI$4)-MAX($E19,BI$3)+1)/($F19-$E19+1)</f>
        <v>0.0125941136208077</v>
      </c>
      <c r="BJ19" s="52" t="n">
        <f aca="false">MAX(0,MIN($F19,BJ$4)-MAX($E19,BJ$3)+1)/($F19-$E19+1)</f>
        <v>0.0125941136208077</v>
      </c>
      <c r="BK19" s="52" t="n">
        <f aca="false">MAX(0,MIN($F19,BK$4)-MAX($E19,BK$3)+1)/($F19-$E19+1)</f>
        <v>0.0124572210814511</v>
      </c>
      <c r="BL19" s="52" t="n">
        <f aca="false">MAX(0,MIN($F19,BL$4)-MAX($E19,BL$3)+1)/($F19-$E19+1)</f>
        <v>0.0124572210814511</v>
      </c>
      <c r="BM19" s="52" t="n">
        <f aca="false">MAX(0,MIN($F19,BM$4)-MAX($E19,BM$3)+1)/($F19-$E19+1)</f>
        <v>0.0125941136208077</v>
      </c>
      <c r="BN19" s="52" t="n">
        <f aca="false">MAX(0,MIN($F19,BN$4)-MAX($E19,BN$3)+1)/($F19-$E19+1)</f>
        <v>0.0125941136208077</v>
      </c>
      <c r="BO19" s="52" t="n">
        <f aca="false">MAX(0,MIN($F19,BO$4)-MAX($E19,BO$3)+1)/($F19-$E19+1)</f>
        <v>0.0123203285420945</v>
      </c>
      <c r="BP19" s="52" t="n">
        <f aca="false">MAX(0,MIN($F19,BP$4)-MAX($E19,BP$3)+1)/($F19-$E19+1)</f>
        <v>0.0124572210814511</v>
      </c>
      <c r="BQ19" s="52" t="n">
        <f aca="false">MAX(0,MIN($F19,BQ$4)-MAX($E19,BQ$3)+1)/($F19-$E19+1)</f>
        <v>0.0125941136208077</v>
      </c>
      <c r="BR19" s="52" t="n">
        <f aca="false">MAX(0,MIN($F19,BR$4)-MAX($E19,BR$3)+1)/($F19-$E19+1)</f>
        <v>0.0125941136208077</v>
      </c>
      <c r="BS19" s="52" t="n">
        <f aca="false">MAX(0,MIN($F19,BS$4)-MAX($E19,BS$3)+1)/($F19-$E19+1)</f>
        <v>0.0123203285420945</v>
      </c>
      <c r="BT19" s="52" t="n">
        <f aca="false">MAX(0,MIN($F19,BT$4)-MAX($E19,BT$3)+1)/($F19-$E19+1)</f>
        <v>0.0124572210814511</v>
      </c>
      <c r="BU19" s="52" t="n">
        <f aca="false">MAX(0,MIN($F19,BU$4)-MAX($E19,BU$3)+1)/($F19-$E19+1)</f>
        <v>0.0125941136208077</v>
      </c>
      <c r="BV19" s="52" t="n">
        <f aca="false">MAX(0,MIN($F19,BV$4)-MAX($E19,BV$3)+1)/($F19-$E19+1)</f>
        <v>0.0125941136208077</v>
      </c>
      <c r="BW19" s="52" t="n">
        <f aca="false">MAX(0,MIN($F19,BW$4)-MAX($E19,BW$3)+1)/($F19-$E19+1)</f>
        <v>0.0123203285420945</v>
      </c>
      <c r="BX19" s="52" t="n">
        <f aca="false">MAX(0,MIN($F19,BX$4)-MAX($E19,BX$3)+1)/($F19-$E19+1)</f>
        <v>0.0124572210814511</v>
      </c>
      <c r="BY19" s="52" t="n">
        <f aca="false">MAX(0,MIN($F19,BY$4)-MAX($E19,BY$3)+1)/($F19-$E19+1)</f>
        <v>0.0125941136208077</v>
      </c>
      <c r="BZ19" s="52" t="n">
        <f aca="false">MAX(0,MIN($F19,BZ$4)-MAX($E19,BZ$3)+1)/($F19-$E19+1)</f>
        <v>0.0125941136208077</v>
      </c>
      <c r="CA19" s="52" t="n">
        <f aca="false">MAX(0,MIN($F19,CA$4)-MAX($E19,CA$3)+1)/($F19-$E19+1)</f>
        <v>0.0124572210814511</v>
      </c>
      <c r="CB19" s="52" t="n">
        <f aca="false">MAX(0,MIN($F19,CB$4)-MAX($E19,CB$3)+1)/($F19-$E19+1)</f>
        <v>0.0124572210814511</v>
      </c>
      <c r="CC19" s="52" t="n">
        <f aca="false">MAX(0,MIN($F19,CC$4)-MAX($E19,CC$3)+1)/($F19-$E19+1)</f>
        <v>0.0125941136208077</v>
      </c>
      <c r="CD19" s="52" t="n">
        <f aca="false">MAX(0,MIN($F19,CD$4)-MAX($E19,CD$3)+1)/($F19-$E19+1)</f>
        <v>0.0125941136208077</v>
      </c>
      <c r="CE19" s="52" t="n">
        <f aca="false">MAX(0,MIN($F19,CE$4)-MAX($E19,CE$3)+1)/($F19-$E19+1)</f>
        <v>0.0123203285420945</v>
      </c>
      <c r="CF19" s="52" t="n">
        <f aca="false">MAX(0,MIN($F19,CF$4)-MAX($E19,CF$3)+1)/($F19-$E19+1)</f>
        <v>0.0124572210814511</v>
      </c>
      <c r="CG19" s="52" t="n">
        <f aca="false">MAX(0,MIN($F19,CG$4)-MAX($E19,CG$3)+1)/($F19-$E19+1)</f>
        <v>0.0125941136208077</v>
      </c>
      <c r="CH19" s="52" t="n">
        <f aca="false">MAX(0,MIN($F19,CH$4)-MAX($E19,CH$3)+1)/($F19-$E19+1)</f>
        <v>0.0125941136208077</v>
      </c>
      <c r="CI19" s="52" t="n">
        <f aca="false">MAX(0,MIN($F19,CI$4)-MAX($E19,CI$3)+1)/($F19-$E19+1)</f>
        <v>0.0123203285420945</v>
      </c>
      <c r="CJ19" s="52" t="n">
        <f aca="false">MAX(0,MIN($F19,CJ$4)-MAX($E19,CJ$3)+1)/($F19-$E19+1)</f>
        <v>0.0124572210814511</v>
      </c>
      <c r="CK19" s="52" t="n">
        <f aca="false">MAX(0,MIN($F19,CK$4)-MAX($E19,CK$3)+1)/($F19-$E19+1)</f>
        <v>0.0125941136208077</v>
      </c>
      <c r="CL19" s="52" t="n">
        <f aca="false">MAX(0,MIN($F19,CL$4)-MAX($E19,CL$3)+1)/($F19-$E19+1)</f>
        <v>0.0125941136208077</v>
      </c>
      <c r="CM19" s="52" t="n">
        <f aca="false">MAX(0,MIN($F19,CM$4)-MAX($E19,CM$3)+1)/($F19-$E19+1)</f>
        <v>0.0123203285420945</v>
      </c>
      <c r="CN19" s="52" t="n">
        <f aca="false">MAX(0,MIN($F19,CN$4)-MAX($E19,CN$3)+1)/($F19-$E19+1)</f>
        <v>0.0124572210814511</v>
      </c>
      <c r="CO19" s="52" t="n">
        <f aca="false">MAX(0,MIN($F19,CO$4)-MAX($E19,CO$3)+1)/($F19-$E19+1)</f>
        <v>0.0125941136208077</v>
      </c>
      <c r="CP19" s="52" t="n">
        <f aca="false">MAX(0,MIN($F19,CP$4)-MAX($E19,CP$3)+1)/($F19-$E19+1)</f>
        <v>0.0125941136208077</v>
      </c>
      <c r="CQ19" s="52" t="n">
        <f aca="false">MAX(0,MIN($F19,CQ$4)-MAX($E19,CQ$3)+1)/($F19-$E19+1)</f>
        <v>0.0124572210814511</v>
      </c>
      <c r="CR19" s="52" t="n">
        <f aca="false">MAX(0,MIN($F19,CR$4)-MAX($E19,CR$3)+1)/($F19-$E19+1)</f>
        <v>0.0124572210814511</v>
      </c>
      <c r="CS19" s="52" t="n">
        <f aca="false">MAX(0,MIN($F19,CS$4)-MAX($E19,CS$3)+1)/($F19-$E19+1)</f>
        <v>0.0125941136208077</v>
      </c>
      <c r="CT19" s="52" t="n">
        <f aca="false">MAX(0,MIN($F19,CT$4)-MAX($E19,CT$3)+1)/($F19-$E19+1)</f>
        <v>0.0125941136208077</v>
      </c>
      <c r="CU19" s="52" t="n">
        <f aca="false">MAX(0,MIN($F19,CU$4)-MAX($E19,CU$3)+1)/($F19-$E19+1)</f>
        <v>0.0123203285420945</v>
      </c>
      <c r="CV19" s="52" t="n">
        <f aca="false">MAX(0,MIN($F19,CV$4)-MAX($E19,CV$3)+1)/($F19-$E19+1)</f>
        <v>0.0124572210814511</v>
      </c>
      <c r="CW19" s="52" t="n">
        <f aca="false">MAX(0,MIN($F19,CW$4)-MAX($E19,CW$3)+1)/($F19-$E19+1)</f>
        <v>0.0125941136208077</v>
      </c>
      <c r="CX19" s="52" t="n">
        <f aca="false">MAX(0,MIN($F19,CX$4)-MAX($E19,CX$3)+1)/($F19-$E19+1)</f>
        <v>0.0125941136208077</v>
      </c>
      <c r="CY19" s="52" t="n">
        <f aca="false">MAX(0,MIN($F19,CY$4)-MAX($E19,CY$3)+1)/($F19-$E19+1)</f>
        <v>0.0123203285420945</v>
      </c>
      <c r="CZ19" s="52" t="n">
        <f aca="false">MAX(0,MIN($F19,CZ$4)-MAX($E19,CZ$3)+1)/($F19-$E19+1)</f>
        <v>0.0124572210814511</v>
      </c>
      <c r="DA19" s="52" t="n">
        <f aca="false">MAX(0,MIN($F19,DA$4)-MAX($E19,DA$3)+1)/($F19-$E19+1)</f>
        <v>0.0125941136208077</v>
      </c>
      <c r="DB19" s="52" t="n">
        <f aca="false">MAX(0,MIN($F19,DB$4)-MAX($E19,DB$3)+1)/($F19-$E19+1)</f>
        <v>0</v>
      </c>
      <c r="DC19" s="52" t="n">
        <f aca="false">MAX(0,MIN($F19,DC$4)-MAX($E19,DC$3)+1)/($F19-$E19+1)</f>
        <v>0</v>
      </c>
      <c r="DD19" s="52" t="n">
        <f aca="false">MAX(0,MIN($F19,DD$4)-MAX($E19,DD$3)+1)/($F19-$E19+1)</f>
        <v>0</v>
      </c>
      <c r="DE19" s="52" t="n">
        <f aca="false">MAX(0,MIN($F19,DE$4)-MAX($E19,DE$3)+1)/($F19-$E19+1)</f>
        <v>0</v>
      </c>
      <c r="DF19" s="52" t="n">
        <f aca="false">MAX(0,MIN($F19,DF$4)-MAX($E19,DF$3)+1)/($F19-$E19+1)</f>
        <v>0</v>
      </c>
      <c r="DG19" s="52" t="n">
        <f aca="false">MAX(0,MIN($F19,DG$4)-MAX($E19,DG$3)+1)/($F19-$E19+1)</f>
        <v>0</v>
      </c>
      <c r="DH19" s="52" t="n">
        <f aca="false">MAX(0,MIN($F19,DH$4)-MAX($E19,DH$3)+1)/($F19-$E19+1)</f>
        <v>0</v>
      </c>
      <c r="DI19" s="52" t="n">
        <f aca="false">MAX(0,MIN($F19,DI$4)-MAX($E19,DI$3)+1)/($F19-$E19+1)</f>
        <v>0</v>
      </c>
      <c r="DJ19" s="52" t="n">
        <f aca="false">MAX(0,MIN($F19,DJ$4)-MAX($E19,DJ$3)+1)/($F19-$E19+1)</f>
        <v>0</v>
      </c>
      <c r="DK19" s="52" t="n">
        <f aca="false">MAX(0,MIN($F19,DK$4)-MAX($E19,DK$3)+1)/($F19-$E19+1)</f>
        <v>0</v>
      </c>
      <c r="DL19" s="52" t="n">
        <f aca="false">MAX(0,MIN($F19,DL$4)-MAX($E19,DL$3)+1)/($F19-$E19+1)</f>
        <v>0</v>
      </c>
      <c r="DM19" s="52" t="n">
        <f aca="false">MAX(0,MIN($F19,DM$4)-MAX($E19,DM$3)+1)/($F19-$E19+1)</f>
        <v>0</v>
      </c>
      <c r="DN19" s="52" t="n">
        <f aca="false">MAX(0,MIN($F19,DN$4)-MAX($E19,DN$3)+1)/($F19-$E19+1)</f>
        <v>0</v>
      </c>
      <c r="DO19" s="52" t="n">
        <f aca="false">MAX(0,MIN($F19,DO$4)-MAX($E19,DO$3)+1)/($F19-$E19+1)</f>
        <v>0</v>
      </c>
      <c r="DP19" s="52" t="n">
        <f aca="false">MAX(0,MIN($F19,DP$4)-MAX($E19,DP$3)+1)/($F19-$E19+1)</f>
        <v>0</v>
      </c>
      <c r="DQ19" s="52" t="n">
        <f aca="false">MAX(0,MIN($F19,DQ$4)-MAX($E19,DQ$3)+1)/($F19-$E19+1)</f>
        <v>0</v>
      </c>
      <c r="DR19" s="52" t="n">
        <f aca="false">MAX(0,MIN($F19,DR$4)-MAX($E19,DR$3)+1)/($F19-$E19+1)</f>
        <v>0</v>
      </c>
      <c r="DS19" s="52" t="n">
        <f aca="false">MAX(0,MIN($F19,DS$4)-MAX($E19,DS$3)+1)/($F19-$E19+1)</f>
        <v>0</v>
      </c>
      <c r="DT19" s="52" t="n">
        <f aca="false">MAX(0,MIN($F19,DT$4)-MAX($E19,DT$3)+1)/($F19-$E19+1)</f>
        <v>0</v>
      </c>
      <c r="DU19" s="52" t="n">
        <f aca="false">MAX(0,MIN($F19,DU$4)-MAX($E19,DU$3)+1)/($F19-$E19+1)</f>
        <v>0</v>
      </c>
      <c r="DV19" s="52" t="n">
        <f aca="false">MAX(0,MIN($F19,DV$4)-MAX($E19,DV$3)+1)/($F19-$E19+1)</f>
        <v>0</v>
      </c>
      <c r="DW19" s="52" t="n">
        <f aca="false">MAX(0,MIN($F19,DW$4)-MAX($E19,DW$3)+1)/($F19-$E19+1)</f>
        <v>0</v>
      </c>
      <c r="DX19" s="52" t="n">
        <f aca="false">MAX(0,MIN($F19,DX$4)-MAX($E19,DX$3)+1)/($F19-$E19+1)</f>
        <v>0</v>
      </c>
      <c r="DY19" s="52" t="n">
        <f aca="false">MAX(0,MIN($F19,DY$4)-MAX($E19,DY$3)+1)/($F19-$E19+1)</f>
        <v>0</v>
      </c>
      <c r="DZ19" s="52" t="n">
        <f aca="false">MAX(0,MIN($F19,DZ$4)-MAX($E19,DZ$3)+1)/($F19-$E19+1)</f>
        <v>0</v>
      </c>
      <c r="EA19" s="52" t="n">
        <f aca="false">MAX(0,MIN($F19,EA$4)-MAX($E19,EA$3)+1)/($F19-$E19+1)</f>
        <v>0</v>
      </c>
      <c r="EB19" s="52" t="n">
        <f aca="false">MAX(0,MIN($F19,EB$4)-MAX($E19,EB$3)+1)/($F19-$E19+1)</f>
        <v>0</v>
      </c>
      <c r="EC19" s="52" t="n">
        <f aca="false">MAX(0,MIN($F19,EC$4)-MAX($E19,EC$3)+1)/($F19-$E19+1)</f>
        <v>0</v>
      </c>
      <c r="ED19" s="52" t="n">
        <f aca="false">MAX(0,MIN($F19,ED$4)-MAX($E19,ED$3)+1)/($F19-$E19+1)</f>
        <v>0</v>
      </c>
      <c r="EE19" s="52" t="n">
        <f aca="false">MAX(0,MIN($F19,EE$4)-MAX($E19,EE$3)+1)/($F19-$E19+1)</f>
        <v>0</v>
      </c>
      <c r="EF19" s="52" t="n">
        <f aca="false">MAX(0,MIN($F19,EF$4)-MAX($E19,EF$3)+1)/($F19-$E19+1)</f>
        <v>0</v>
      </c>
      <c r="EG19" s="52" t="n">
        <f aca="false">MAX(0,MIN($F19,EG$4)-MAX($E19,EG$3)+1)/($F19-$E19+1)</f>
        <v>0</v>
      </c>
      <c r="EH19" s="52" t="n">
        <f aca="false">MAX(0,MIN($F19,EH$4)-MAX($E19,EH$3)+1)/($F19-$E19+1)</f>
        <v>0</v>
      </c>
      <c r="EI19" s="52" t="n">
        <f aca="false">MAX(0,MIN($F19,EI$4)-MAX($E19,EI$3)+1)/($F19-$E19+1)</f>
        <v>0</v>
      </c>
      <c r="EJ19" s="52" t="n">
        <f aca="false">MAX(0,MIN($F19,EJ$4)-MAX($E19,EJ$3)+1)/($F19-$E19+1)</f>
        <v>0</v>
      </c>
      <c r="EK19" s="52" t="n">
        <f aca="false">MAX(0,MIN($F19,EK$4)-MAX($E19,EK$3)+1)/($F19-$E19+1)</f>
        <v>0</v>
      </c>
      <c r="EL19" s="52" t="n">
        <f aca="false">MAX(0,MIN($F19,EL$4)-MAX($E19,EL$3)+1)/($F19-$E19+1)</f>
        <v>0</v>
      </c>
      <c r="EM19" s="52" t="n">
        <f aca="false">MAX(0,MIN($F19,EM$4)-MAX($E19,EM$3)+1)/($F19-$E19+1)</f>
        <v>0</v>
      </c>
      <c r="EN19" s="52" t="n">
        <f aca="false">MAX(0,MIN($F19,EN$4)-MAX($E19,EN$3)+1)/($F19-$E19+1)</f>
        <v>0</v>
      </c>
      <c r="EO19" s="52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338</v>
      </c>
      <c r="D20" s="11" t="s">
        <v>119</v>
      </c>
      <c r="J20" s="39" t="n">
        <f aca="false">ROUNDUP(YEARFRAC(In_COD,J$4),0)*(J$4&gt;In_COD)</f>
        <v>0</v>
      </c>
      <c r="K20" s="39" t="n">
        <f aca="false">ROUNDUP(YEARFRAC(In_COD,K$4),0)*(K$4&gt;In_COD)</f>
        <v>0</v>
      </c>
      <c r="L20" s="39" t="n">
        <f aca="false">ROUNDUP(YEARFRAC(In_COD,L$4),0)*(L$4&gt;In_COD)</f>
        <v>0</v>
      </c>
      <c r="M20" s="39" t="n">
        <f aca="false">ROUNDUP(YEARFRAC(In_COD,M$4),0)*(M$4&gt;In_COD)</f>
        <v>0</v>
      </c>
      <c r="N20" s="39" t="n">
        <f aca="false">ROUNDUP(YEARFRAC(In_COD,N$4),0)*(N$4&gt;In_COD)</f>
        <v>0</v>
      </c>
      <c r="O20" s="39" t="n">
        <f aca="false">ROUNDUP(YEARFRAC(In_COD,O$4),0)*(O$4&gt;In_COD)</f>
        <v>0</v>
      </c>
      <c r="P20" s="39" t="n">
        <f aca="false">ROUNDUP(YEARFRAC(In_COD,P$4),0)*(P$4&gt;In_COD)</f>
        <v>0</v>
      </c>
      <c r="Q20" s="39" t="n">
        <f aca="false">ROUNDUP(YEARFRAC(In_COD,Q$4),0)*(Q$4&gt;In_COD)</f>
        <v>0</v>
      </c>
      <c r="R20" s="39" t="n">
        <f aca="false">ROUNDUP(YEARFRAC(In_COD,R$4),0)*(R$4&gt;In_COD)</f>
        <v>0</v>
      </c>
      <c r="S20" s="39" t="n">
        <f aca="false">ROUNDUP(YEARFRAC(In_COD,S$4),0)*(S$4&gt;In_COD)</f>
        <v>0</v>
      </c>
      <c r="T20" s="39" t="n">
        <f aca="false">ROUNDUP(YEARFRAC(In_COD,T$4),0)*(T$4&gt;In_COD)</f>
        <v>0</v>
      </c>
      <c r="U20" s="39" t="n">
        <f aca="false">ROUNDUP(YEARFRAC(In_COD,U$4),0)*(U$4&gt;In_COD)</f>
        <v>0</v>
      </c>
      <c r="V20" s="39" t="n">
        <f aca="false">ROUNDUP(YEARFRAC(In_COD,V$4),0)*(V$4&gt;In_COD)</f>
        <v>0</v>
      </c>
      <c r="W20" s="39" t="n">
        <f aca="false">ROUNDUP(YEARFRAC(In_COD,W$4),0)*(W$4&gt;In_COD)</f>
        <v>0</v>
      </c>
      <c r="X20" s="39" t="n">
        <f aca="false">ROUNDUP(YEARFRAC(In_COD,X$4),0)*(X$4&gt;In_COD)</f>
        <v>0</v>
      </c>
      <c r="Y20" s="39" t="n">
        <f aca="false">ROUNDUP(YEARFRAC(In_COD,Y$4),0)*(Y$4&gt;In_COD)</f>
        <v>0</v>
      </c>
      <c r="Z20" s="39" t="n">
        <f aca="false">ROUNDUP(YEARFRAC(In_COD,Z$4),0)*(Z$4&gt;In_COD)</f>
        <v>1</v>
      </c>
      <c r="AA20" s="39" t="n">
        <f aca="false">ROUNDUP(YEARFRAC(In_COD,AA$4),0)*(AA$4&gt;In_COD)</f>
        <v>1</v>
      </c>
      <c r="AB20" s="39" t="n">
        <f aca="false">ROUNDUP(YEARFRAC(In_COD,AB$4),0)*(AB$4&gt;In_COD)</f>
        <v>1</v>
      </c>
      <c r="AC20" s="39" t="n">
        <f aca="false">ROUNDUP(YEARFRAC(In_COD,AC$4),0)*(AC$4&gt;In_COD)</f>
        <v>1</v>
      </c>
      <c r="AD20" s="39" t="n">
        <f aca="false">ROUNDUP(YEARFRAC(In_COD,AD$4),0)*(AD$4&gt;In_COD)</f>
        <v>2</v>
      </c>
      <c r="AE20" s="39" t="n">
        <f aca="false">ROUNDUP(YEARFRAC(In_COD,AE$4),0)*(AE$4&gt;In_COD)</f>
        <v>2</v>
      </c>
      <c r="AF20" s="39" t="n">
        <f aca="false">ROUNDUP(YEARFRAC(In_COD,AF$4),0)*(AF$4&gt;In_COD)</f>
        <v>2</v>
      </c>
      <c r="AG20" s="39" t="n">
        <f aca="false">ROUNDUP(YEARFRAC(In_COD,AG$4),0)*(AG$4&gt;In_COD)</f>
        <v>2</v>
      </c>
      <c r="AH20" s="39" t="n">
        <f aca="false">ROUNDUP(YEARFRAC(In_COD,AH$4),0)*(AH$4&gt;In_COD)</f>
        <v>3</v>
      </c>
      <c r="AI20" s="39" t="n">
        <f aca="false">ROUNDUP(YEARFRAC(In_COD,AI$4),0)*(AI$4&gt;In_COD)</f>
        <v>3</v>
      </c>
      <c r="AJ20" s="39" t="n">
        <f aca="false">ROUNDUP(YEARFRAC(In_COD,AJ$4),0)*(AJ$4&gt;In_COD)</f>
        <v>3</v>
      </c>
      <c r="AK20" s="39" t="n">
        <f aca="false">ROUNDUP(YEARFRAC(In_COD,AK$4),0)*(AK$4&gt;In_COD)</f>
        <v>3</v>
      </c>
      <c r="AL20" s="39" t="n">
        <f aca="false">ROUNDUP(YEARFRAC(In_COD,AL$4),0)*(AL$4&gt;In_COD)</f>
        <v>4</v>
      </c>
      <c r="AM20" s="39" t="n">
        <f aca="false">ROUNDUP(YEARFRAC(In_COD,AM$4),0)*(AM$4&gt;In_COD)</f>
        <v>4</v>
      </c>
      <c r="AN20" s="39" t="n">
        <f aca="false">ROUNDUP(YEARFRAC(In_COD,AN$4),0)*(AN$4&gt;In_COD)</f>
        <v>4</v>
      </c>
      <c r="AO20" s="39" t="n">
        <f aca="false">ROUNDUP(YEARFRAC(In_COD,AO$4),0)*(AO$4&gt;In_COD)</f>
        <v>4</v>
      </c>
      <c r="AP20" s="39" t="n">
        <f aca="false">ROUNDUP(YEARFRAC(In_COD,AP$4),0)*(AP$4&gt;In_COD)</f>
        <v>5</v>
      </c>
      <c r="AQ20" s="39" t="n">
        <f aca="false">ROUNDUP(YEARFRAC(In_COD,AQ$4),0)*(AQ$4&gt;In_COD)</f>
        <v>5</v>
      </c>
      <c r="AR20" s="39" t="n">
        <f aca="false">ROUNDUP(YEARFRAC(In_COD,AR$4),0)*(AR$4&gt;In_COD)</f>
        <v>5</v>
      </c>
      <c r="AS20" s="39" t="n">
        <f aca="false">ROUNDUP(YEARFRAC(In_COD,AS$4),0)*(AS$4&gt;In_COD)</f>
        <v>5</v>
      </c>
      <c r="AT20" s="39" t="n">
        <f aca="false">ROUNDUP(YEARFRAC(In_COD,AT$4),0)*(AT$4&gt;In_COD)</f>
        <v>6</v>
      </c>
      <c r="AU20" s="39" t="n">
        <f aca="false">ROUNDUP(YEARFRAC(In_COD,AU$4),0)*(AU$4&gt;In_COD)</f>
        <v>6</v>
      </c>
      <c r="AV20" s="39" t="n">
        <f aca="false">ROUNDUP(YEARFRAC(In_COD,AV$4),0)*(AV$4&gt;In_COD)</f>
        <v>6</v>
      </c>
      <c r="AW20" s="39" t="n">
        <f aca="false">ROUNDUP(YEARFRAC(In_COD,AW$4),0)*(AW$4&gt;In_COD)</f>
        <v>6</v>
      </c>
      <c r="AX20" s="39" t="n">
        <f aca="false">ROUNDUP(YEARFRAC(In_COD,AX$4),0)*(AX$4&gt;In_COD)</f>
        <v>7</v>
      </c>
      <c r="AY20" s="39" t="n">
        <f aca="false">ROUNDUP(YEARFRAC(In_COD,AY$4),0)*(AY$4&gt;In_COD)</f>
        <v>7</v>
      </c>
      <c r="AZ20" s="39" t="n">
        <f aca="false">ROUNDUP(YEARFRAC(In_COD,AZ$4),0)*(AZ$4&gt;In_COD)</f>
        <v>7</v>
      </c>
      <c r="BA20" s="39" t="n">
        <f aca="false">ROUNDUP(YEARFRAC(In_COD,BA$4),0)*(BA$4&gt;In_COD)</f>
        <v>7</v>
      </c>
      <c r="BB20" s="39" t="n">
        <f aca="false">ROUNDUP(YEARFRAC(In_COD,BB$4),0)*(BB$4&gt;In_COD)</f>
        <v>8</v>
      </c>
      <c r="BC20" s="39" t="n">
        <f aca="false">ROUNDUP(YEARFRAC(In_COD,BC$4),0)*(BC$4&gt;In_COD)</f>
        <v>8</v>
      </c>
      <c r="BD20" s="39" t="n">
        <f aca="false">ROUNDUP(YEARFRAC(In_COD,BD$4),0)*(BD$4&gt;In_COD)</f>
        <v>8</v>
      </c>
      <c r="BE20" s="39" t="n">
        <f aca="false">ROUNDUP(YEARFRAC(In_COD,BE$4),0)*(BE$4&gt;In_COD)</f>
        <v>8</v>
      </c>
      <c r="BF20" s="39" t="n">
        <f aca="false">ROUNDUP(YEARFRAC(In_COD,BF$4),0)*(BF$4&gt;In_COD)</f>
        <v>9</v>
      </c>
      <c r="BG20" s="39" t="n">
        <f aca="false">ROUNDUP(YEARFRAC(In_COD,BG$4),0)*(BG$4&gt;In_COD)</f>
        <v>9</v>
      </c>
      <c r="BH20" s="39" t="n">
        <f aca="false">ROUNDUP(YEARFRAC(In_COD,BH$4),0)*(BH$4&gt;In_COD)</f>
        <v>9</v>
      </c>
      <c r="BI20" s="39" t="n">
        <f aca="false">ROUNDUP(YEARFRAC(In_COD,BI$4),0)*(BI$4&gt;In_COD)</f>
        <v>9</v>
      </c>
      <c r="BJ20" s="39" t="n">
        <f aca="false">ROUNDUP(YEARFRAC(In_COD,BJ$4),0)*(BJ$4&gt;In_COD)</f>
        <v>10</v>
      </c>
      <c r="BK20" s="39" t="n">
        <f aca="false">ROUNDUP(YEARFRAC(In_COD,BK$4),0)*(BK$4&gt;In_COD)</f>
        <v>10</v>
      </c>
      <c r="BL20" s="39" t="n">
        <f aca="false">ROUNDUP(YEARFRAC(In_COD,BL$4),0)*(BL$4&gt;In_COD)</f>
        <v>10</v>
      </c>
      <c r="BM20" s="39" t="n">
        <f aca="false">ROUNDUP(YEARFRAC(In_COD,BM$4),0)*(BM$4&gt;In_COD)</f>
        <v>10</v>
      </c>
      <c r="BN20" s="39" t="n">
        <f aca="false">ROUNDUP(YEARFRAC(In_COD,BN$4),0)*(BN$4&gt;In_COD)</f>
        <v>11</v>
      </c>
      <c r="BO20" s="39" t="n">
        <f aca="false">ROUNDUP(YEARFRAC(In_COD,BO$4),0)*(BO$4&gt;In_COD)</f>
        <v>11</v>
      </c>
      <c r="BP20" s="39" t="n">
        <f aca="false">ROUNDUP(YEARFRAC(In_COD,BP$4),0)*(BP$4&gt;In_COD)</f>
        <v>11</v>
      </c>
      <c r="BQ20" s="39" t="n">
        <f aca="false">ROUNDUP(YEARFRAC(In_COD,BQ$4),0)*(BQ$4&gt;In_COD)</f>
        <v>11</v>
      </c>
      <c r="BR20" s="39" t="n">
        <f aca="false">ROUNDUP(YEARFRAC(In_COD,BR$4),0)*(BR$4&gt;In_COD)</f>
        <v>12</v>
      </c>
      <c r="BS20" s="39" t="n">
        <f aca="false">ROUNDUP(YEARFRAC(In_COD,BS$4),0)*(BS$4&gt;In_COD)</f>
        <v>12</v>
      </c>
      <c r="BT20" s="39" t="n">
        <f aca="false">ROUNDUP(YEARFRAC(In_COD,BT$4),0)*(BT$4&gt;In_COD)</f>
        <v>12</v>
      </c>
      <c r="BU20" s="39" t="n">
        <f aca="false">ROUNDUP(YEARFRAC(In_COD,BU$4),0)*(BU$4&gt;In_COD)</f>
        <v>12</v>
      </c>
      <c r="BV20" s="39" t="n">
        <f aca="false">ROUNDUP(YEARFRAC(In_COD,BV$4),0)*(BV$4&gt;In_COD)</f>
        <v>13</v>
      </c>
      <c r="BW20" s="39" t="n">
        <f aca="false">ROUNDUP(YEARFRAC(In_COD,BW$4),0)*(BW$4&gt;In_COD)</f>
        <v>13</v>
      </c>
      <c r="BX20" s="39" t="n">
        <f aca="false">ROUNDUP(YEARFRAC(In_COD,BX$4),0)*(BX$4&gt;In_COD)</f>
        <v>13</v>
      </c>
      <c r="BY20" s="39" t="n">
        <f aca="false">ROUNDUP(YEARFRAC(In_COD,BY$4),0)*(BY$4&gt;In_COD)</f>
        <v>13</v>
      </c>
      <c r="BZ20" s="39" t="n">
        <f aca="false">ROUNDUP(YEARFRAC(In_COD,BZ$4),0)*(BZ$4&gt;In_COD)</f>
        <v>14</v>
      </c>
      <c r="CA20" s="39" t="n">
        <f aca="false">ROUNDUP(YEARFRAC(In_COD,CA$4),0)*(CA$4&gt;In_COD)</f>
        <v>14</v>
      </c>
      <c r="CB20" s="39" t="n">
        <f aca="false">ROUNDUP(YEARFRAC(In_COD,CB$4),0)*(CB$4&gt;In_COD)</f>
        <v>14</v>
      </c>
      <c r="CC20" s="39" t="n">
        <f aca="false">ROUNDUP(YEARFRAC(In_COD,CC$4),0)*(CC$4&gt;In_COD)</f>
        <v>14</v>
      </c>
      <c r="CD20" s="39" t="n">
        <f aca="false">ROUNDUP(YEARFRAC(In_COD,CD$4),0)*(CD$4&gt;In_COD)</f>
        <v>15</v>
      </c>
      <c r="CE20" s="39" t="n">
        <f aca="false">ROUNDUP(YEARFRAC(In_COD,CE$4),0)*(CE$4&gt;In_COD)</f>
        <v>15</v>
      </c>
      <c r="CF20" s="39" t="n">
        <f aca="false">ROUNDUP(YEARFRAC(In_COD,CF$4),0)*(CF$4&gt;In_COD)</f>
        <v>15</v>
      </c>
      <c r="CG20" s="39" t="n">
        <f aca="false">ROUNDUP(YEARFRAC(In_COD,CG$4),0)*(CG$4&gt;In_COD)</f>
        <v>15</v>
      </c>
      <c r="CH20" s="39" t="n">
        <f aca="false">ROUNDUP(YEARFRAC(In_COD,CH$4),0)*(CH$4&gt;In_COD)</f>
        <v>16</v>
      </c>
      <c r="CI20" s="39" t="n">
        <f aca="false">ROUNDUP(YEARFRAC(In_COD,CI$4),0)*(CI$4&gt;In_COD)</f>
        <v>16</v>
      </c>
      <c r="CJ20" s="39" t="n">
        <f aca="false">ROUNDUP(YEARFRAC(In_COD,CJ$4),0)*(CJ$4&gt;In_COD)</f>
        <v>16</v>
      </c>
      <c r="CK20" s="39" t="n">
        <f aca="false">ROUNDUP(YEARFRAC(In_COD,CK$4),0)*(CK$4&gt;In_COD)</f>
        <v>16</v>
      </c>
      <c r="CL20" s="39" t="n">
        <f aca="false">ROUNDUP(YEARFRAC(In_COD,CL$4),0)*(CL$4&gt;In_COD)</f>
        <v>17</v>
      </c>
      <c r="CM20" s="39" t="n">
        <f aca="false">ROUNDUP(YEARFRAC(In_COD,CM$4),0)*(CM$4&gt;In_COD)</f>
        <v>17</v>
      </c>
      <c r="CN20" s="39" t="n">
        <f aca="false">ROUNDUP(YEARFRAC(In_COD,CN$4),0)*(CN$4&gt;In_COD)</f>
        <v>17</v>
      </c>
      <c r="CO20" s="39" t="n">
        <f aca="false">ROUNDUP(YEARFRAC(In_COD,CO$4),0)*(CO$4&gt;In_COD)</f>
        <v>17</v>
      </c>
      <c r="CP20" s="39" t="n">
        <f aca="false">ROUNDUP(YEARFRAC(In_COD,CP$4),0)*(CP$4&gt;In_COD)</f>
        <v>18</v>
      </c>
      <c r="CQ20" s="39" t="n">
        <f aca="false">ROUNDUP(YEARFRAC(In_COD,CQ$4),0)*(CQ$4&gt;In_COD)</f>
        <v>18</v>
      </c>
      <c r="CR20" s="39" t="n">
        <f aca="false">ROUNDUP(YEARFRAC(In_COD,CR$4),0)*(CR$4&gt;In_COD)</f>
        <v>18</v>
      </c>
      <c r="CS20" s="39" t="n">
        <f aca="false">ROUNDUP(YEARFRAC(In_COD,CS$4),0)*(CS$4&gt;In_COD)</f>
        <v>18</v>
      </c>
      <c r="CT20" s="39" t="n">
        <f aca="false">ROUNDUP(YEARFRAC(In_COD,CT$4),0)*(CT$4&gt;In_COD)</f>
        <v>19</v>
      </c>
      <c r="CU20" s="39" t="n">
        <f aca="false">ROUNDUP(YEARFRAC(In_COD,CU$4),0)*(CU$4&gt;In_COD)</f>
        <v>19</v>
      </c>
      <c r="CV20" s="39" t="n">
        <f aca="false">ROUNDUP(YEARFRAC(In_COD,CV$4),0)*(CV$4&gt;In_COD)</f>
        <v>19</v>
      </c>
      <c r="CW20" s="39" t="n">
        <f aca="false">ROUNDUP(YEARFRAC(In_COD,CW$4),0)*(CW$4&gt;In_COD)</f>
        <v>19</v>
      </c>
      <c r="CX20" s="39" t="n">
        <f aca="false">ROUNDUP(YEARFRAC(In_COD,CX$4),0)*(CX$4&gt;In_COD)</f>
        <v>20</v>
      </c>
      <c r="CY20" s="39" t="n">
        <f aca="false">ROUNDUP(YEARFRAC(In_COD,CY$4),0)*(CY$4&gt;In_COD)</f>
        <v>20</v>
      </c>
      <c r="CZ20" s="39" t="n">
        <f aca="false">ROUNDUP(YEARFRAC(In_COD,CZ$4),0)*(CZ$4&gt;In_COD)</f>
        <v>20</v>
      </c>
      <c r="DA20" s="39" t="n">
        <f aca="false">ROUNDUP(YEARFRAC(In_COD,DA$4),0)*(DA$4&gt;In_COD)</f>
        <v>20</v>
      </c>
      <c r="DB20" s="39" t="n">
        <f aca="false">ROUNDUP(YEARFRAC(In_COD,DB$4),0)*(DB$4&gt;In_COD)</f>
        <v>21</v>
      </c>
      <c r="DC20" s="39" t="n">
        <f aca="false">ROUNDUP(YEARFRAC(In_COD,DC$4),0)*(DC$4&gt;In_COD)</f>
        <v>21</v>
      </c>
      <c r="DD20" s="39" t="n">
        <f aca="false">ROUNDUP(YEARFRAC(In_COD,DD$4),0)*(DD$4&gt;In_COD)</f>
        <v>21</v>
      </c>
      <c r="DE20" s="39" t="n">
        <f aca="false">ROUNDUP(YEARFRAC(In_COD,DE$4),0)*(DE$4&gt;In_COD)</f>
        <v>21</v>
      </c>
      <c r="DF20" s="39" t="n">
        <f aca="false">ROUNDUP(YEARFRAC(In_COD,DF$4),0)*(DF$4&gt;In_COD)</f>
        <v>22</v>
      </c>
      <c r="DG20" s="39" t="n">
        <f aca="false">ROUNDUP(YEARFRAC(In_COD,DG$4),0)*(DG$4&gt;In_COD)</f>
        <v>22</v>
      </c>
      <c r="DH20" s="39" t="n">
        <f aca="false">ROUNDUP(YEARFRAC(In_COD,DH$4),0)*(DH$4&gt;In_COD)</f>
        <v>22</v>
      </c>
      <c r="DI20" s="39" t="n">
        <f aca="false">ROUNDUP(YEARFRAC(In_COD,DI$4),0)*(DI$4&gt;In_COD)</f>
        <v>22</v>
      </c>
      <c r="DJ20" s="39" t="n">
        <f aca="false">ROUNDUP(YEARFRAC(In_COD,DJ$4),0)*(DJ$4&gt;In_COD)</f>
        <v>23</v>
      </c>
      <c r="DK20" s="39" t="n">
        <f aca="false">ROUNDUP(YEARFRAC(In_COD,DK$4),0)*(DK$4&gt;In_COD)</f>
        <v>23</v>
      </c>
      <c r="DL20" s="39" t="n">
        <f aca="false">ROUNDUP(YEARFRAC(In_COD,DL$4),0)*(DL$4&gt;In_COD)</f>
        <v>23</v>
      </c>
      <c r="DM20" s="39" t="n">
        <f aca="false">ROUNDUP(YEARFRAC(In_COD,DM$4),0)*(DM$4&gt;In_COD)</f>
        <v>23</v>
      </c>
      <c r="DN20" s="39" t="n">
        <f aca="false">ROUNDUP(YEARFRAC(In_COD,DN$4),0)*(DN$4&gt;In_COD)</f>
        <v>24</v>
      </c>
      <c r="DO20" s="39" t="n">
        <f aca="false">ROUNDUP(YEARFRAC(In_COD,DO$4),0)*(DO$4&gt;In_COD)</f>
        <v>24</v>
      </c>
      <c r="DP20" s="39" t="n">
        <f aca="false">ROUNDUP(YEARFRAC(In_COD,DP$4),0)*(DP$4&gt;In_COD)</f>
        <v>24</v>
      </c>
      <c r="DQ20" s="39" t="n">
        <f aca="false">ROUNDUP(YEARFRAC(In_COD,DQ$4),0)*(DQ$4&gt;In_COD)</f>
        <v>24</v>
      </c>
      <c r="DR20" s="39" t="n">
        <f aca="false">ROUNDUP(YEARFRAC(In_COD,DR$4),0)*(DR$4&gt;In_COD)</f>
        <v>25</v>
      </c>
      <c r="DS20" s="39" t="n">
        <f aca="false">ROUNDUP(YEARFRAC(In_COD,DS$4),0)*(DS$4&gt;In_COD)</f>
        <v>25</v>
      </c>
      <c r="DT20" s="39" t="n">
        <f aca="false">ROUNDUP(YEARFRAC(In_COD,DT$4),0)*(DT$4&gt;In_COD)</f>
        <v>25</v>
      </c>
      <c r="DU20" s="39" t="n">
        <f aca="false">ROUNDUP(YEARFRAC(In_COD,DU$4),0)*(DU$4&gt;In_COD)</f>
        <v>25</v>
      </c>
      <c r="DV20" s="39" t="n">
        <f aca="false">ROUNDUP(YEARFRAC(In_COD,DV$4),0)*(DV$4&gt;In_COD)</f>
        <v>26</v>
      </c>
      <c r="DW20" s="39" t="n">
        <f aca="false">ROUNDUP(YEARFRAC(In_COD,DW$4),0)*(DW$4&gt;In_COD)</f>
        <v>26</v>
      </c>
      <c r="DX20" s="39" t="n">
        <f aca="false">ROUNDUP(YEARFRAC(In_COD,DX$4),0)*(DX$4&gt;In_COD)</f>
        <v>26</v>
      </c>
      <c r="DY20" s="39" t="n">
        <f aca="false">ROUNDUP(YEARFRAC(In_COD,DY$4),0)*(DY$4&gt;In_COD)</f>
        <v>26</v>
      </c>
      <c r="DZ20" s="39" t="n">
        <f aca="false">ROUNDUP(YEARFRAC(In_COD,DZ$4),0)*(DZ$4&gt;In_COD)</f>
        <v>27</v>
      </c>
      <c r="EA20" s="39" t="n">
        <f aca="false">ROUNDUP(YEARFRAC(In_COD,EA$4),0)*(EA$4&gt;In_COD)</f>
        <v>27</v>
      </c>
      <c r="EB20" s="39" t="n">
        <f aca="false">ROUNDUP(YEARFRAC(In_COD,EB$4),0)*(EB$4&gt;In_COD)</f>
        <v>27</v>
      </c>
      <c r="EC20" s="39" t="n">
        <f aca="false">ROUNDUP(YEARFRAC(In_COD,EC$4),0)*(EC$4&gt;In_COD)</f>
        <v>27</v>
      </c>
      <c r="ED20" s="39" t="n">
        <f aca="false">ROUNDUP(YEARFRAC(In_COD,ED$4),0)*(ED$4&gt;In_COD)</f>
        <v>28</v>
      </c>
      <c r="EE20" s="39" t="n">
        <f aca="false">ROUNDUP(YEARFRAC(In_COD,EE$4),0)*(EE$4&gt;In_COD)</f>
        <v>28</v>
      </c>
      <c r="EF20" s="39" t="n">
        <f aca="false">ROUNDUP(YEARFRAC(In_COD,EF$4),0)*(EF$4&gt;In_COD)</f>
        <v>28</v>
      </c>
      <c r="EG20" s="39" t="n">
        <f aca="false">ROUNDUP(YEARFRAC(In_COD,EG$4),0)*(EG$4&gt;In_COD)</f>
        <v>28</v>
      </c>
      <c r="EH20" s="39" t="n">
        <f aca="false">ROUNDUP(YEARFRAC(In_COD,EH$4),0)*(EH$4&gt;In_COD)</f>
        <v>29</v>
      </c>
      <c r="EI20" s="39" t="n">
        <f aca="false">ROUNDUP(YEARFRAC(In_COD,EI$4),0)*(EI$4&gt;In_COD)</f>
        <v>29</v>
      </c>
      <c r="EJ20" s="39" t="n">
        <f aca="false">ROUNDUP(YEARFRAC(In_COD,EJ$4),0)*(EJ$4&gt;In_COD)</f>
        <v>29</v>
      </c>
      <c r="EK20" s="39" t="n">
        <f aca="false">ROUNDUP(YEARFRAC(In_COD,EK$4),0)*(EK$4&gt;In_COD)</f>
        <v>29</v>
      </c>
      <c r="EL20" s="39" t="n">
        <f aca="false">ROUNDUP(YEARFRAC(In_COD,EL$4),0)*(EL$4&gt;In_COD)</f>
        <v>30</v>
      </c>
      <c r="EM20" s="39" t="n">
        <f aca="false">ROUNDUP(YEARFRAC(In_COD,EM$4),0)*(EM$4&gt;In_COD)</f>
        <v>30</v>
      </c>
      <c r="EN20" s="39" t="n">
        <f aca="false">ROUNDUP(YEARFRAC(In_COD,EN$4),0)*(EN$4&gt;In_COD)</f>
        <v>30</v>
      </c>
      <c r="EO20" s="39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339</v>
      </c>
      <c r="D21" s="11" t="s">
        <v>327</v>
      </c>
      <c r="E21" s="52" t="n">
        <f aca="false">SUMIF($J$4:$EO$4,In_COD,$J21:$EO21)</f>
        <v>1.21988954770292</v>
      </c>
      <c r="F21" s="53" t="n">
        <f aca="false">In_Debt_Rate*Months_Per_Period/Months_In_Year</f>
        <v>0.0125</v>
      </c>
      <c r="J21" s="52" t="n">
        <f aca="false">(1+$F21)^J$8</f>
        <v>1.0125</v>
      </c>
      <c r="K21" s="52" t="n">
        <f aca="false">(1+$F21)^K$8</f>
        <v>1.02515625</v>
      </c>
      <c r="L21" s="52" t="n">
        <f aca="false">(1+$F21)^L$8</f>
        <v>1.037970703125</v>
      </c>
      <c r="M21" s="52" t="n">
        <f aca="false">(1+$F21)^M$8</f>
        <v>1.05094533691406</v>
      </c>
      <c r="N21" s="52" t="n">
        <f aca="false">(1+$F21)^N$8</f>
        <v>1.06408215362549</v>
      </c>
      <c r="O21" s="52" t="n">
        <f aca="false">(1+$F21)^O$8</f>
        <v>1.07738318054581</v>
      </c>
      <c r="P21" s="52" t="n">
        <f aca="false">(1+$F21)^P$8</f>
        <v>1.09085047030263</v>
      </c>
      <c r="Q21" s="52" t="n">
        <f aca="false">(1+$F21)^Q$8</f>
        <v>1.10448610118141</v>
      </c>
      <c r="R21" s="52" t="n">
        <f aca="false">(1+$F21)^R$8</f>
        <v>1.11829217744618</v>
      </c>
      <c r="S21" s="52" t="n">
        <f aca="false">(1+$F21)^S$8</f>
        <v>1.13227082966426</v>
      </c>
      <c r="T21" s="52" t="n">
        <f aca="false">(1+$F21)^T$8</f>
        <v>1.14642421503506</v>
      </c>
      <c r="U21" s="52" t="n">
        <f aca="false">(1+$F21)^U$8</f>
        <v>1.160754517723</v>
      </c>
      <c r="V21" s="52" t="n">
        <f aca="false">(1+$F21)^V$8</f>
        <v>1.17526394919454</v>
      </c>
      <c r="W21" s="52" t="n">
        <f aca="false">(1+$F21)^W$8</f>
        <v>1.18995474855947</v>
      </c>
      <c r="X21" s="52" t="n">
        <f aca="false">(1+$F21)^X$8</f>
        <v>1.20482918291646</v>
      </c>
      <c r="Y21" s="52" t="n">
        <f aca="false">(1+$F21)^Y$8</f>
        <v>1.21988954770292</v>
      </c>
      <c r="Z21" s="52" t="n">
        <f aca="false">(1+$F21)^Z$8</f>
        <v>1.2351381670492</v>
      </c>
      <c r="AA21" s="52" t="n">
        <f aca="false">(1+$F21)^AA$8</f>
        <v>1.25057739413732</v>
      </c>
      <c r="AB21" s="52" t="n">
        <f aca="false">(1+$F21)^AB$8</f>
        <v>1.26620961156403</v>
      </c>
      <c r="AC21" s="52" t="n">
        <f aca="false">(1+$F21)^AC$8</f>
        <v>1.28203723170858</v>
      </c>
      <c r="AD21" s="52" t="n">
        <f aca="false">(1+$F21)^AD$8</f>
        <v>1.29806269710494</v>
      </c>
      <c r="AE21" s="52" t="n">
        <f aca="false">(1+$F21)^AE$8</f>
        <v>1.31428848081875</v>
      </c>
      <c r="AF21" s="52" t="n">
        <f aca="false">(1+$F21)^AF$8</f>
        <v>1.33071708682899</v>
      </c>
      <c r="AG21" s="52" t="n">
        <f aca="false">(1+$F21)^AG$8</f>
        <v>1.34735105041435</v>
      </c>
      <c r="AH21" s="52" t="n">
        <f aca="false">(1+$F21)^AH$8</f>
        <v>1.36419293854453</v>
      </c>
      <c r="AI21" s="52" t="n">
        <f aca="false">(1+$F21)^AI$8</f>
        <v>1.38124535027634</v>
      </c>
      <c r="AJ21" s="52" t="n">
        <f aca="false">(1+$F21)^AJ$8</f>
        <v>1.39851091715479</v>
      </c>
      <c r="AK21" s="52" t="n">
        <f aca="false">(1+$F21)^AK$8</f>
        <v>1.41599230361922</v>
      </c>
      <c r="AL21" s="52" t="n">
        <f aca="false">(1+$F21)^AL$8</f>
        <v>1.43369220741447</v>
      </c>
      <c r="AM21" s="52" t="n">
        <f aca="false">(1+$F21)^AM$8</f>
        <v>1.45161336000715</v>
      </c>
      <c r="AN21" s="52" t="n">
        <f aca="false">(1+$F21)^AN$8</f>
        <v>1.46975852700724</v>
      </c>
      <c r="AO21" s="52" t="n">
        <f aca="false">(1+$F21)^AO$8</f>
        <v>1.48813050859483</v>
      </c>
      <c r="AP21" s="52" t="n">
        <f aca="false">(1+$F21)^AP$8</f>
        <v>1.50673213995226</v>
      </c>
      <c r="AQ21" s="52" t="n">
        <f aca="false">(1+$F21)^AQ$8</f>
        <v>1.52556629170166</v>
      </c>
      <c r="AR21" s="52" t="n">
        <f aca="false">(1+$F21)^AR$8</f>
        <v>1.54463587034793</v>
      </c>
      <c r="AS21" s="52" t="n">
        <f aca="false">(1+$F21)^AS$8</f>
        <v>1.56394381872728</v>
      </c>
      <c r="AT21" s="52" t="n">
        <f aca="false">(1+$F21)^AT$8</f>
        <v>1.58349311646137</v>
      </c>
      <c r="AU21" s="52" t="n">
        <f aca="false">(1+$F21)^AU$8</f>
        <v>1.60328678041714</v>
      </c>
      <c r="AV21" s="52" t="n">
        <f aca="false">(1+$F21)^AV$8</f>
        <v>1.62332786517236</v>
      </c>
      <c r="AW21" s="52" t="n">
        <f aca="false">(1+$F21)^AW$8</f>
        <v>1.64361946348701</v>
      </c>
      <c r="AX21" s="52" t="n">
        <f aca="false">(1+$F21)^AX$8</f>
        <v>1.6641647067806</v>
      </c>
      <c r="AY21" s="52" t="n">
        <f aca="false">(1+$F21)^AY$8</f>
        <v>1.68496676561536</v>
      </c>
      <c r="AZ21" s="52" t="n">
        <f aca="false">(1+$F21)^AZ$8</f>
        <v>1.70602885018555</v>
      </c>
      <c r="BA21" s="52" t="n">
        <f aca="false">(1+$F21)^BA$8</f>
        <v>1.72735421081287</v>
      </c>
      <c r="BB21" s="52" t="n">
        <f aca="false">(1+$F21)^BB$8</f>
        <v>1.74894613844803</v>
      </c>
      <c r="BC21" s="52" t="n">
        <f aca="false">(1+$F21)^BC$8</f>
        <v>1.77080796517863</v>
      </c>
      <c r="BD21" s="52" t="n">
        <f aca="false">(1+$F21)^BD$8</f>
        <v>1.79294306474336</v>
      </c>
      <c r="BE21" s="52" t="n">
        <f aca="false">(1+$F21)^BE$8</f>
        <v>1.81535485305265</v>
      </c>
      <c r="BF21" s="52" t="n">
        <f aca="false">(1+$F21)^BF$8</f>
        <v>1.83804678871581</v>
      </c>
      <c r="BG21" s="52" t="n">
        <f aca="false">(1+$F21)^BG$8</f>
        <v>1.86102237357476</v>
      </c>
      <c r="BH21" s="52" t="n">
        <f aca="false">(1+$F21)^BH$8</f>
        <v>1.88428515324444</v>
      </c>
      <c r="BI21" s="52" t="n">
        <f aca="false">(1+$F21)^BI$8</f>
        <v>1.90783871766</v>
      </c>
      <c r="BJ21" s="52" t="n">
        <f aca="false">(1+$F21)^BJ$8</f>
        <v>1.93168670163075</v>
      </c>
      <c r="BK21" s="52" t="n">
        <f aca="false">(1+$F21)^BK$8</f>
        <v>1.95583278540113</v>
      </c>
      <c r="BL21" s="52" t="n">
        <f aca="false">(1+$F21)^BL$8</f>
        <v>1.98028069521865</v>
      </c>
      <c r="BM21" s="52" t="n">
        <f aca="false">(1+$F21)^BM$8</f>
        <v>2.00503420390888</v>
      </c>
      <c r="BN21" s="52" t="n">
        <f aca="false">(1+$F21)^BN$8</f>
        <v>2.03009713145774</v>
      </c>
      <c r="BO21" s="52" t="n">
        <f aca="false">(1+$F21)^BO$8</f>
        <v>2.05547334560096</v>
      </c>
      <c r="BP21" s="52" t="n">
        <f aca="false">(1+$F21)^BP$8</f>
        <v>2.08116676242097</v>
      </c>
      <c r="BQ21" s="52" t="n">
        <f aca="false">(1+$F21)^BQ$8</f>
        <v>2.10718134695124</v>
      </c>
      <c r="BR21" s="52" t="n">
        <f aca="false">(1+$F21)^BR$8</f>
        <v>2.13352111378813</v>
      </c>
      <c r="BS21" s="52" t="n">
        <f aca="false">(1+$F21)^BS$8</f>
        <v>2.16019012771048</v>
      </c>
      <c r="BT21" s="52" t="n">
        <f aca="false">(1+$F21)^BT$8</f>
        <v>2.18719250430686</v>
      </c>
      <c r="BU21" s="52" t="n">
        <f aca="false">(1+$F21)^BU$8</f>
        <v>2.21453241061069</v>
      </c>
      <c r="BV21" s="52" t="n">
        <f aca="false">(1+$F21)^BV$8</f>
        <v>2.24221406574333</v>
      </c>
      <c r="BW21" s="52" t="n">
        <f aca="false">(1+$F21)^BW$8</f>
        <v>2.27024174156512</v>
      </c>
      <c r="BX21" s="52" t="n">
        <f aca="false">(1+$F21)^BX$8</f>
        <v>2.29861976333468</v>
      </c>
      <c r="BY21" s="52" t="n">
        <f aca="false">(1+$F21)^BY$8</f>
        <v>2.32735251037637</v>
      </c>
      <c r="BZ21" s="52" t="n">
        <f aca="false">(1+$F21)^BZ$8</f>
        <v>2.35644441675607</v>
      </c>
      <c r="CA21" s="52" t="n">
        <f aca="false">(1+$F21)^CA$8</f>
        <v>2.38589997196552</v>
      </c>
      <c r="CB21" s="52" t="n">
        <f aca="false">(1+$F21)^CB$8</f>
        <v>2.41572372161509</v>
      </c>
      <c r="CC21" s="52" t="n">
        <f aca="false">(1+$F21)^CC$8</f>
        <v>2.44592026813528</v>
      </c>
      <c r="CD21" s="52" t="n">
        <f aca="false">(1+$F21)^CD$8</f>
        <v>2.47649427148697</v>
      </c>
      <c r="CE21" s="52" t="n">
        <f aca="false">(1+$F21)^CE$8</f>
        <v>2.50745044988056</v>
      </c>
      <c r="CF21" s="52" t="n">
        <f aca="false">(1+$F21)^CF$8</f>
        <v>2.53879358050406</v>
      </c>
      <c r="CG21" s="52" t="n">
        <f aca="false">(1+$F21)^CG$8</f>
        <v>2.57052850026036</v>
      </c>
      <c r="CH21" s="52" t="n">
        <f aca="false">(1+$F21)^CH$8</f>
        <v>2.60266010651362</v>
      </c>
      <c r="CI21" s="52" t="n">
        <f aca="false">(1+$F21)^CI$8</f>
        <v>2.63519335784504</v>
      </c>
      <c r="CJ21" s="52" t="n">
        <f aca="false">(1+$F21)^CJ$8</f>
        <v>2.6681332748181</v>
      </c>
      <c r="CK21" s="52" t="n">
        <f aca="false">(1+$F21)^CK$8</f>
        <v>2.70148494075333</v>
      </c>
      <c r="CL21" s="52" t="n">
        <f aca="false">(1+$F21)^CL$8</f>
        <v>2.73525350251274</v>
      </c>
      <c r="CM21" s="52" t="n">
        <f aca="false">(1+$F21)^CM$8</f>
        <v>2.76944417129415</v>
      </c>
      <c r="CN21" s="52" t="n">
        <f aca="false">(1+$F21)^CN$8</f>
        <v>2.80406222343533</v>
      </c>
      <c r="CO21" s="52" t="n">
        <f aca="false">(1+$F21)^CO$8</f>
        <v>2.83911300122827</v>
      </c>
      <c r="CP21" s="52" t="n">
        <f aca="false">(1+$F21)^CP$8</f>
        <v>2.87460191374363</v>
      </c>
      <c r="CQ21" s="52" t="n">
        <f aca="false">(1+$F21)^CQ$8</f>
        <v>2.91053443766542</v>
      </c>
      <c r="CR21" s="52" t="n">
        <f aca="false">(1+$F21)^CR$8</f>
        <v>2.94691611813624</v>
      </c>
      <c r="CS21" s="52" t="n">
        <f aca="false">(1+$F21)^CS$8</f>
        <v>2.98375256961294</v>
      </c>
      <c r="CT21" s="52" t="n">
        <f aca="false">(1+$F21)^CT$8</f>
        <v>3.0210494767331</v>
      </c>
      <c r="CU21" s="52" t="n">
        <f aca="false">(1+$F21)^CU$8</f>
        <v>3.05881259519227</v>
      </c>
      <c r="CV21" s="52" t="n">
        <f aca="false">(1+$F21)^CV$8</f>
        <v>3.09704775263217</v>
      </c>
      <c r="CW21" s="52" t="n">
        <f aca="false">(1+$F21)^CW$8</f>
        <v>3.13576084954007</v>
      </c>
      <c r="CX21" s="52" t="n">
        <f aca="false">(1+$F21)^CX$8</f>
        <v>3.17495786015932</v>
      </c>
      <c r="CY21" s="52" t="n">
        <f aca="false">(1+$F21)^CY$8</f>
        <v>3.21464483341131</v>
      </c>
      <c r="CZ21" s="52" t="n">
        <f aca="false">(1+$F21)^CZ$8</f>
        <v>3.25482789382895</v>
      </c>
      <c r="DA21" s="52" t="n">
        <f aca="false">(1+$F21)^DA$8</f>
        <v>3.29551324250182</v>
      </c>
      <c r="DB21" s="52" t="n">
        <f aca="false">(1+$F21)^DB$8</f>
        <v>3.33670715803309</v>
      </c>
      <c r="DC21" s="52" t="n">
        <f aca="false">(1+$F21)^DC$8</f>
        <v>3.3784159975085</v>
      </c>
      <c r="DD21" s="52" t="n">
        <f aca="false">(1+$F21)^DD$8</f>
        <v>3.42064619747736</v>
      </c>
      <c r="DE21" s="52" t="n">
        <f aca="false">(1+$F21)^DE$8</f>
        <v>3.46340427494583</v>
      </c>
      <c r="DF21" s="52" t="n">
        <f aca="false">(1+$F21)^DF$8</f>
        <v>3.50669682838265</v>
      </c>
      <c r="DG21" s="52" t="n">
        <f aca="false">(1+$F21)^DG$8</f>
        <v>3.55053053873743</v>
      </c>
      <c r="DH21" s="52" t="n">
        <f aca="false">(1+$F21)^DH$8</f>
        <v>3.59491217047165</v>
      </c>
      <c r="DI21" s="52" t="n">
        <f aca="false">(1+$F21)^DI$8</f>
        <v>3.63984857260254</v>
      </c>
      <c r="DJ21" s="52" t="n">
        <f aca="false">(1+$F21)^DJ$8</f>
        <v>3.68534667976008</v>
      </c>
      <c r="DK21" s="52" t="n">
        <f aca="false">(1+$F21)^DK$8</f>
        <v>3.73141351325708</v>
      </c>
      <c r="DL21" s="52" t="n">
        <f aca="false">(1+$F21)^DL$8</f>
        <v>3.77805618217279</v>
      </c>
      <c r="DM21" s="52" t="n">
        <f aca="false">(1+$F21)^DM$8</f>
        <v>3.82528188444995</v>
      </c>
      <c r="DN21" s="52" t="n">
        <f aca="false">(1+$F21)^DN$8</f>
        <v>3.87309790800557</v>
      </c>
      <c r="DO21" s="52" t="n">
        <f aca="false">(1+$F21)^DO$8</f>
        <v>3.92151163185564</v>
      </c>
      <c r="DP21" s="52" t="n">
        <f aca="false">(1+$F21)^DP$8</f>
        <v>3.97053052725384</v>
      </c>
      <c r="DQ21" s="52" t="n">
        <f aca="false">(1+$F21)^DQ$8</f>
        <v>4.02016215884451</v>
      </c>
      <c r="DR21" s="52" t="n">
        <f aca="false">(1+$F21)^DR$8</f>
        <v>4.07041418583007</v>
      </c>
      <c r="DS21" s="52" t="n">
        <f aca="false">(1+$F21)^DS$8</f>
        <v>4.12129436315294</v>
      </c>
      <c r="DT21" s="52" t="n">
        <f aca="false">(1+$F21)^DT$8</f>
        <v>4.17281054269235</v>
      </c>
      <c r="DU21" s="52" t="n">
        <f aca="false">(1+$F21)^DU$8</f>
        <v>4.22497067447601</v>
      </c>
      <c r="DV21" s="52" t="n">
        <f aca="false">(1+$F21)^DV$8</f>
        <v>4.27778280790696</v>
      </c>
      <c r="DW21" s="52" t="n">
        <f aca="false">(1+$F21)^DW$8</f>
        <v>4.3312550930058</v>
      </c>
      <c r="DX21" s="52" t="n">
        <f aca="false">(1+$F21)^DX$8</f>
        <v>4.38539578166837</v>
      </c>
      <c r="DY21" s="52" t="n">
        <f aca="false">(1+$F21)^DY$8</f>
        <v>4.44021322893922</v>
      </c>
      <c r="DZ21" s="52" t="n">
        <f aca="false">(1+$F21)^DZ$8</f>
        <v>4.49571589430096</v>
      </c>
      <c r="EA21" s="52" t="n">
        <f aca="false">(1+$F21)^EA$8</f>
        <v>4.55191234297972</v>
      </c>
      <c r="EB21" s="52" t="n">
        <f aca="false">(1+$F21)^EB$8</f>
        <v>4.60881124726697</v>
      </c>
      <c r="EC21" s="52" t="n">
        <f aca="false">(1+$F21)^EC$8</f>
        <v>4.66642138785781</v>
      </c>
      <c r="ED21" s="52" t="n">
        <f aca="false">(1+$F21)^ED$8</f>
        <v>4.72475165520603</v>
      </c>
      <c r="EE21" s="52" t="n">
        <f aca="false">(1+$F21)^EE$8</f>
        <v>4.78381105089611</v>
      </c>
      <c r="EF21" s="52" t="n">
        <f aca="false">(1+$F21)^EF$8</f>
        <v>4.84360868903231</v>
      </c>
      <c r="EG21" s="52" t="n">
        <f aca="false">(1+$F21)^EG$8</f>
        <v>4.90415379764521</v>
      </c>
      <c r="EH21" s="52" t="n">
        <f aca="false">(1+$F21)^EH$8</f>
        <v>4.96545572011577</v>
      </c>
      <c r="EI21" s="52" t="n">
        <f aca="false">(1+$F21)^EI$8</f>
        <v>5.02752391661722</v>
      </c>
      <c r="EJ21" s="52" t="n">
        <f aca="false">(1+$F21)^EJ$8</f>
        <v>5.09036796557494</v>
      </c>
      <c r="EK21" s="52" t="n">
        <f aca="false">(1+$F21)^EK$8</f>
        <v>5.15399756514462</v>
      </c>
      <c r="EL21" s="52" t="n">
        <f aca="false">(1+$F21)^EL$8</f>
        <v>5.21842253470893</v>
      </c>
      <c r="EM21" s="52" t="n">
        <f aca="false">(1+$F21)^EM$8</f>
        <v>5.28365281639279</v>
      </c>
      <c r="EN21" s="52" t="n">
        <f aca="false">(1+$F21)^EN$8</f>
        <v>5.3496984765977</v>
      </c>
      <c r="EO21" s="52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340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341</v>
      </c>
      <c r="D24" s="11" t="s">
        <v>19</v>
      </c>
      <c r="E24" s="25" t="n">
        <f aca="false">INDEX(Dash_Municipal,1,$A$1)</f>
        <v>35</v>
      </c>
      <c r="F24" s="25" t="n">
        <f aca="false">INDEX(Osz1_Pts,1+SUMPRODUCT((Osz1_LB&lt;$E24)+(Osz1_LB=$E24)*Osz1_Incl))*Osz1_W</f>
        <v>11</v>
      </c>
    </row>
    <row r="25" customFormat="false" ht="15" hidden="false" customHeight="false" outlineLevel="0" collapsed="false">
      <c r="C25" s="0" t="s">
        <v>342</v>
      </c>
      <c r="D25" s="11" t="s">
        <v>24</v>
      </c>
      <c r="E25" s="25" t="n">
        <f aca="false">INDEX(Dash_Community,1,$A$1)</f>
        <v>2.5</v>
      </c>
      <c r="F25" s="25" t="n">
        <f aca="false">INDEX(Osz2_Pts,1+SUMPRODUCT((Osz2_LB&lt;$E25)+(Osz2_LB=$E25)*Osz2_Incl))*Osz2_W</f>
        <v>6</v>
      </c>
    </row>
    <row r="26" customFormat="false" ht="15" hidden="false" customHeight="false" outlineLevel="0" collapsed="false">
      <c r="C26" s="0" t="s">
        <v>343</v>
      </c>
      <c r="D26" s="11" t="s">
        <v>30</v>
      </c>
      <c r="E26" s="46" t="n">
        <f aca="false">INDEX(Dash_Partial,1,$A$1)</f>
        <v>0</v>
      </c>
      <c r="F26" s="25" t="n">
        <f aca="false">$E26*Osz5_Pts*Osz5_W</f>
        <v>0</v>
      </c>
    </row>
    <row r="27" customFormat="false" ht="15" hidden="false" customHeight="false" outlineLevel="0" collapsed="false">
      <c r="C27" s="0" t="s">
        <v>344</v>
      </c>
      <c r="D27" s="11" t="s">
        <v>13</v>
      </c>
      <c r="E27" s="50" t="n">
        <f aca="false">INDEX(Dash_PB_Mult,1,$A$1)</f>
        <v>1</v>
      </c>
      <c r="F27" s="25" t="n">
        <f aca="false">INDEX(Osz6_Pts,1+SUMPRODUCT((Osz6_LB&lt;$E27)+(Osz6_LB=$E27)*Osz6_Incl))*Osz6_W</f>
        <v>0</v>
      </c>
    </row>
    <row r="28" customFormat="false" ht="15" hidden="false" customHeight="false" outlineLevel="0" collapsed="false">
      <c r="C28" s="0" t="s">
        <v>345</v>
      </c>
      <c r="D28" s="11" t="s">
        <v>30</v>
      </c>
      <c r="E28" s="46" t="n">
        <f aca="false">INDEX(Dash_Shared,1,$A$1)</f>
        <v>0</v>
      </c>
      <c r="F28" s="25" t="n">
        <f aca="false">$E28*Osz8_Pts*Osz8_W</f>
        <v>0</v>
      </c>
    </row>
    <row r="29" customFormat="false" ht="15" hidden="false" customHeight="false" outlineLevel="0" collapsed="false">
      <c r="C29" s="0" t="s">
        <v>346</v>
      </c>
      <c r="D29" s="11" t="s">
        <v>30</v>
      </c>
      <c r="E29" s="46" t="n">
        <f aca="false">INDEX(Dash_EU_Turbine,1,$A$1)</f>
        <v>0</v>
      </c>
      <c r="F29" s="25" t="n">
        <f aca="false">$E29*Osz9a_Pts*Osz9_W</f>
        <v>0</v>
      </c>
    </row>
    <row r="30" customFormat="false" ht="15" hidden="false" customHeight="false" outlineLevel="0" collapsed="false">
      <c r="C30" s="0" t="s">
        <v>347</v>
      </c>
      <c r="D30" s="11" t="s">
        <v>30</v>
      </c>
      <c r="E30" s="46" t="n">
        <f aca="false">INDEX(Dash_EU_Transformer,1,$A$1)</f>
        <v>0</v>
      </c>
      <c r="F30" s="25" t="n">
        <f aca="false">$E30*Osz9b_Pts*Osz9_W</f>
        <v>0</v>
      </c>
    </row>
    <row r="31" customFormat="false" ht="15" hidden="false" customHeight="false" outlineLevel="0" collapsed="false">
      <c r="C31" s="21" t="s">
        <v>41</v>
      </c>
      <c r="D31" s="11" t="s">
        <v>42</v>
      </c>
      <c r="E31" s="22" t="n">
        <f aca="false">ROUND(SUM($F24:$F30),Points_Decimals)</f>
        <v>17</v>
      </c>
    </row>
    <row r="32" customFormat="false" ht="15" hidden="false" customHeight="false" outlineLevel="0" collapsed="false">
      <c r="C32" s="0" t="s">
        <v>348</v>
      </c>
      <c r="D32" s="11" t="s">
        <v>119</v>
      </c>
      <c r="E32" s="39" t="n">
        <f aca="false">($E24&lt;&gt;0)*($E24&lt;Osz1_Min)+($E24&gt;Osz1_Max)+($E25&lt;&gt;0)*($E25&lt;Osz2_Min)+($E25&gt;Osz2_Max)</f>
        <v>0</v>
      </c>
      <c r="F32" s="39" t="n">
        <f aca="false">N($E27&lt;1)</f>
        <v>0</v>
      </c>
    </row>
    <row r="34" customFormat="false" ht="15" hidden="false" customHeight="false" outlineLevel="0" collapsed="false">
      <c r="A34" s="9" t="s">
        <v>13</v>
      </c>
      <c r="B34" s="9"/>
      <c r="C34" s="9" t="s">
        <v>349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</row>
    <row r="35" customFormat="false" ht="15" hidden="false" customHeight="false" outlineLevel="0" collapsed="false">
      <c r="C35" s="0" t="s">
        <v>32</v>
      </c>
      <c r="D35" s="11" t="s">
        <v>33</v>
      </c>
      <c r="E35" s="19" t="n">
        <f aca="false">In_Purchase_Price</f>
        <v>4500</v>
      </c>
      <c r="F35" s="20" t="n">
        <f aca="false">In_Closing</f>
        <v>46387</v>
      </c>
      <c r="I35" s="43" t="n">
        <f aca="false">SUM(J35:EO35)</f>
        <v>-4500</v>
      </c>
      <c r="J35" s="43" t="n">
        <f aca="false">-$E35*N(AND(J$3&lt;=$F35,J$4&gt;=$F35))</f>
        <v>-4500</v>
      </c>
      <c r="K35" s="43" t="n">
        <f aca="false">-$E35*N(AND(K$3&lt;=$F35,K$4&gt;=$F35))</f>
        <v>-0</v>
      </c>
      <c r="L35" s="43" t="n">
        <f aca="false">-$E35*N(AND(L$3&lt;=$F35,L$4&gt;=$F35))</f>
        <v>-0</v>
      </c>
      <c r="M35" s="43" t="n">
        <f aca="false">-$E35*N(AND(M$3&lt;=$F35,M$4&gt;=$F35))</f>
        <v>-0</v>
      </c>
      <c r="N35" s="43" t="n">
        <f aca="false">-$E35*N(AND(N$3&lt;=$F35,N$4&gt;=$F35))</f>
        <v>-0</v>
      </c>
      <c r="O35" s="43" t="n">
        <f aca="false">-$E35*N(AND(O$3&lt;=$F35,O$4&gt;=$F35))</f>
        <v>-0</v>
      </c>
      <c r="P35" s="43" t="n">
        <f aca="false">-$E35*N(AND(P$3&lt;=$F35,P$4&gt;=$F35))</f>
        <v>-0</v>
      </c>
      <c r="Q35" s="43" t="n">
        <f aca="false">-$E35*N(AND(Q$3&lt;=$F35,Q$4&gt;=$F35))</f>
        <v>-0</v>
      </c>
      <c r="R35" s="43" t="n">
        <f aca="false">-$E35*N(AND(R$3&lt;=$F35,R$4&gt;=$F35))</f>
        <v>-0</v>
      </c>
      <c r="S35" s="43" t="n">
        <f aca="false">-$E35*N(AND(S$3&lt;=$F35,S$4&gt;=$F35))</f>
        <v>-0</v>
      </c>
      <c r="T35" s="43" t="n">
        <f aca="false">-$E35*N(AND(T$3&lt;=$F35,T$4&gt;=$F35))</f>
        <v>-0</v>
      </c>
      <c r="U35" s="43" t="n">
        <f aca="false">-$E35*N(AND(U$3&lt;=$F35,U$4&gt;=$F35))</f>
        <v>-0</v>
      </c>
      <c r="V35" s="43" t="n">
        <f aca="false">-$E35*N(AND(V$3&lt;=$F35,V$4&gt;=$F35))</f>
        <v>-0</v>
      </c>
      <c r="W35" s="43" t="n">
        <f aca="false">-$E35*N(AND(W$3&lt;=$F35,W$4&gt;=$F35))</f>
        <v>-0</v>
      </c>
      <c r="X35" s="43" t="n">
        <f aca="false">-$E35*N(AND(X$3&lt;=$F35,X$4&gt;=$F35))</f>
        <v>-0</v>
      </c>
      <c r="Y35" s="43" t="n">
        <f aca="false">-$E35*N(AND(Y$3&lt;=$F35,Y$4&gt;=$F35))</f>
        <v>-0</v>
      </c>
      <c r="Z35" s="43" t="n">
        <f aca="false">-$E35*N(AND(Z$3&lt;=$F35,Z$4&gt;=$F35))</f>
        <v>-0</v>
      </c>
      <c r="AA35" s="43" t="n">
        <f aca="false">-$E35*N(AND(AA$3&lt;=$F35,AA$4&gt;=$F35))</f>
        <v>-0</v>
      </c>
      <c r="AB35" s="43" t="n">
        <f aca="false">-$E35*N(AND(AB$3&lt;=$F35,AB$4&gt;=$F35))</f>
        <v>-0</v>
      </c>
      <c r="AC35" s="43" t="n">
        <f aca="false">-$E35*N(AND(AC$3&lt;=$F35,AC$4&gt;=$F35))</f>
        <v>-0</v>
      </c>
      <c r="AD35" s="43" t="n">
        <f aca="false">-$E35*N(AND(AD$3&lt;=$F35,AD$4&gt;=$F35))</f>
        <v>-0</v>
      </c>
      <c r="AE35" s="43" t="n">
        <f aca="false">-$E35*N(AND(AE$3&lt;=$F35,AE$4&gt;=$F35))</f>
        <v>-0</v>
      </c>
      <c r="AF35" s="43" t="n">
        <f aca="false">-$E35*N(AND(AF$3&lt;=$F35,AF$4&gt;=$F35))</f>
        <v>-0</v>
      </c>
      <c r="AG35" s="43" t="n">
        <f aca="false">-$E35*N(AND(AG$3&lt;=$F35,AG$4&gt;=$F35))</f>
        <v>-0</v>
      </c>
      <c r="AH35" s="43" t="n">
        <f aca="false">-$E35*N(AND(AH$3&lt;=$F35,AH$4&gt;=$F35))</f>
        <v>-0</v>
      </c>
      <c r="AI35" s="43" t="n">
        <f aca="false">-$E35*N(AND(AI$3&lt;=$F35,AI$4&gt;=$F35))</f>
        <v>-0</v>
      </c>
      <c r="AJ35" s="43" t="n">
        <f aca="false">-$E35*N(AND(AJ$3&lt;=$F35,AJ$4&gt;=$F35))</f>
        <v>-0</v>
      </c>
      <c r="AK35" s="43" t="n">
        <f aca="false">-$E35*N(AND(AK$3&lt;=$F35,AK$4&gt;=$F35))</f>
        <v>-0</v>
      </c>
      <c r="AL35" s="43" t="n">
        <f aca="false">-$E35*N(AND(AL$3&lt;=$F35,AL$4&gt;=$F35))</f>
        <v>-0</v>
      </c>
      <c r="AM35" s="43" t="n">
        <f aca="false">-$E35*N(AND(AM$3&lt;=$F35,AM$4&gt;=$F35))</f>
        <v>-0</v>
      </c>
      <c r="AN35" s="43" t="n">
        <f aca="false">-$E35*N(AND(AN$3&lt;=$F35,AN$4&gt;=$F35))</f>
        <v>-0</v>
      </c>
      <c r="AO35" s="43" t="n">
        <f aca="false">-$E35*N(AND(AO$3&lt;=$F35,AO$4&gt;=$F35))</f>
        <v>-0</v>
      </c>
      <c r="AP35" s="43" t="n">
        <f aca="false">-$E35*N(AND(AP$3&lt;=$F35,AP$4&gt;=$F35))</f>
        <v>-0</v>
      </c>
      <c r="AQ35" s="43" t="n">
        <f aca="false">-$E35*N(AND(AQ$3&lt;=$F35,AQ$4&gt;=$F35))</f>
        <v>-0</v>
      </c>
      <c r="AR35" s="43" t="n">
        <f aca="false">-$E35*N(AND(AR$3&lt;=$F35,AR$4&gt;=$F35))</f>
        <v>-0</v>
      </c>
      <c r="AS35" s="43" t="n">
        <f aca="false">-$E35*N(AND(AS$3&lt;=$F35,AS$4&gt;=$F35))</f>
        <v>-0</v>
      </c>
      <c r="AT35" s="43" t="n">
        <f aca="false">-$E35*N(AND(AT$3&lt;=$F35,AT$4&gt;=$F35))</f>
        <v>-0</v>
      </c>
      <c r="AU35" s="43" t="n">
        <f aca="false">-$E35*N(AND(AU$3&lt;=$F35,AU$4&gt;=$F35))</f>
        <v>-0</v>
      </c>
      <c r="AV35" s="43" t="n">
        <f aca="false">-$E35*N(AND(AV$3&lt;=$F35,AV$4&gt;=$F35))</f>
        <v>-0</v>
      </c>
      <c r="AW35" s="43" t="n">
        <f aca="false">-$E35*N(AND(AW$3&lt;=$F35,AW$4&gt;=$F35))</f>
        <v>-0</v>
      </c>
      <c r="AX35" s="43" t="n">
        <f aca="false">-$E35*N(AND(AX$3&lt;=$F35,AX$4&gt;=$F35))</f>
        <v>-0</v>
      </c>
      <c r="AY35" s="43" t="n">
        <f aca="false">-$E35*N(AND(AY$3&lt;=$F35,AY$4&gt;=$F35))</f>
        <v>-0</v>
      </c>
      <c r="AZ35" s="43" t="n">
        <f aca="false">-$E35*N(AND(AZ$3&lt;=$F35,AZ$4&gt;=$F35))</f>
        <v>-0</v>
      </c>
      <c r="BA35" s="43" t="n">
        <f aca="false">-$E35*N(AND(BA$3&lt;=$F35,BA$4&gt;=$F35))</f>
        <v>-0</v>
      </c>
      <c r="BB35" s="43" t="n">
        <f aca="false">-$E35*N(AND(BB$3&lt;=$F35,BB$4&gt;=$F35))</f>
        <v>-0</v>
      </c>
      <c r="BC35" s="43" t="n">
        <f aca="false">-$E35*N(AND(BC$3&lt;=$F35,BC$4&gt;=$F35))</f>
        <v>-0</v>
      </c>
      <c r="BD35" s="43" t="n">
        <f aca="false">-$E35*N(AND(BD$3&lt;=$F35,BD$4&gt;=$F35))</f>
        <v>-0</v>
      </c>
      <c r="BE35" s="43" t="n">
        <f aca="false">-$E35*N(AND(BE$3&lt;=$F35,BE$4&gt;=$F35))</f>
        <v>-0</v>
      </c>
      <c r="BF35" s="43" t="n">
        <f aca="false">-$E35*N(AND(BF$3&lt;=$F35,BF$4&gt;=$F35))</f>
        <v>-0</v>
      </c>
      <c r="BG35" s="43" t="n">
        <f aca="false">-$E35*N(AND(BG$3&lt;=$F35,BG$4&gt;=$F35))</f>
        <v>-0</v>
      </c>
      <c r="BH35" s="43" t="n">
        <f aca="false">-$E35*N(AND(BH$3&lt;=$F35,BH$4&gt;=$F35))</f>
        <v>-0</v>
      </c>
      <c r="BI35" s="43" t="n">
        <f aca="false">-$E35*N(AND(BI$3&lt;=$F35,BI$4&gt;=$F35))</f>
        <v>-0</v>
      </c>
      <c r="BJ35" s="43" t="n">
        <f aca="false">-$E35*N(AND(BJ$3&lt;=$F35,BJ$4&gt;=$F35))</f>
        <v>-0</v>
      </c>
      <c r="BK35" s="43" t="n">
        <f aca="false">-$E35*N(AND(BK$3&lt;=$F35,BK$4&gt;=$F35))</f>
        <v>-0</v>
      </c>
      <c r="BL35" s="43" t="n">
        <f aca="false">-$E35*N(AND(BL$3&lt;=$F35,BL$4&gt;=$F35))</f>
        <v>-0</v>
      </c>
      <c r="BM35" s="43" t="n">
        <f aca="false">-$E35*N(AND(BM$3&lt;=$F35,BM$4&gt;=$F35))</f>
        <v>-0</v>
      </c>
      <c r="BN35" s="43" t="n">
        <f aca="false">-$E35*N(AND(BN$3&lt;=$F35,BN$4&gt;=$F35))</f>
        <v>-0</v>
      </c>
      <c r="BO35" s="43" t="n">
        <f aca="false">-$E35*N(AND(BO$3&lt;=$F35,BO$4&gt;=$F35))</f>
        <v>-0</v>
      </c>
      <c r="BP35" s="43" t="n">
        <f aca="false">-$E35*N(AND(BP$3&lt;=$F35,BP$4&gt;=$F35))</f>
        <v>-0</v>
      </c>
      <c r="BQ35" s="43" t="n">
        <f aca="false">-$E35*N(AND(BQ$3&lt;=$F35,BQ$4&gt;=$F35))</f>
        <v>-0</v>
      </c>
      <c r="BR35" s="43" t="n">
        <f aca="false">-$E35*N(AND(BR$3&lt;=$F35,BR$4&gt;=$F35))</f>
        <v>-0</v>
      </c>
      <c r="BS35" s="43" t="n">
        <f aca="false">-$E35*N(AND(BS$3&lt;=$F35,BS$4&gt;=$F35))</f>
        <v>-0</v>
      </c>
      <c r="BT35" s="43" t="n">
        <f aca="false">-$E35*N(AND(BT$3&lt;=$F35,BT$4&gt;=$F35))</f>
        <v>-0</v>
      </c>
      <c r="BU35" s="43" t="n">
        <f aca="false">-$E35*N(AND(BU$3&lt;=$F35,BU$4&gt;=$F35))</f>
        <v>-0</v>
      </c>
      <c r="BV35" s="43" t="n">
        <f aca="false">-$E35*N(AND(BV$3&lt;=$F35,BV$4&gt;=$F35))</f>
        <v>-0</v>
      </c>
      <c r="BW35" s="43" t="n">
        <f aca="false">-$E35*N(AND(BW$3&lt;=$F35,BW$4&gt;=$F35))</f>
        <v>-0</v>
      </c>
      <c r="BX35" s="43" t="n">
        <f aca="false">-$E35*N(AND(BX$3&lt;=$F35,BX$4&gt;=$F35))</f>
        <v>-0</v>
      </c>
      <c r="BY35" s="43" t="n">
        <f aca="false">-$E35*N(AND(BY$3&lt;=$F35,BY$4&gt;=$F35))</f>
        <v>-0</v>
      </c>
      <c r="BZ35" s="43" t="n">
        <f aca="false">-$E35*N(AND(BZ$3&lt;=$F35,BZ$4&gt;=$F35))</f>
        <v>-0</v>
      </c>
      <c r="CA35" s="43" t="n">
        <f aca="false">-$E35*N(AND(CA$3&lt;=$F35,CA$4&gt;=$F35))</f>
        <v>-0</v>
      </c>
      <c r="CB35" s="43" t="n">
        <f aca="false">-$E35*N(AND(CB$3&lt;=$F35,CB$4&gt;=$F35))</f>
        <v>-0</v>
      </c>
      <c r="CC35" s="43" t="n">
        <f aca="false">-$E35*N(AND(CC$3&lt;=$F35,CC$4&gt;=$F35))</f>
        <v>-0</v>
      </c>
      <c r="CD35" s="43" t="n">
        <f aca="false">-$E35*N(AND(CD$3&lt;=$F35,CD$4&gt;=$F35))</f>
        <v>-0</v>
      </c>
      <c r="CE35" s="43" t="n">
        <f aca="false">-$E35*N(AND(CE$3&lt;=$F35,CE$4&gt;=$F35))</f>
        <v>-0</v>
      </c>
      <c r="CF35" s="43" t="n">
        <f aca="false">-$E35*N(AND(CF$3&lt;=$F35,CF$4&gt;=$F35))</f>
        <v>-0</v>
      </c>
      <c r="CG35" s="43" t="n">
        <f aca="false">-$E35*N(AND(CG$3&lt;=$F35,CG$4&gt;=$F35))</f>
        <v>-0</v>
      </c>
      <c r="CH35" s="43" t="n">
        <f aca="false">-$E35*N(AND(CH$3&lt;=$F35,CH$4&gt;=$F35))</f>
        <v>-0</v>
      </c>
      <c r="CI35" s="43" t="n">
        <f aca="false">-$E35*N(AND(CI$3&lt;=$F35,CI$4&gt;=$F35))</f>
        <v>-0</v>
      </c>
      <c r="CJ35" s="43" t="n">
        <f aca="false">-$E35*N(AND(CJ$3&lt;=$F35,CJ$4&gt;=$F35))</f>
        <v>-0</v>
      </c>
      <c r="CK35" s="43" t="n">
        <f aca="false">-$E35*N(AND(CK$3&lt;=$F35,CK$4&gt;=$F35))</f>
        <v>-0</v>
      </c>
      <c r="CL35" s="43" t="n">
        <f aca="false">-$E35*N(AND(CL$3&lt;=$F35,CL$4&gt;=$F35))</f>
        <v>-0</v>
      </c>
      <c r="CM35" s="43" t="n">
        <f aca="false">-$E35*N(AND(CM$3&lt;=$F35,CM$4&gt;=$F35))</f>
        <v>-0</v>
      </c>
      <c r="CN35" s="43" t="n">
        <f aca="false">-$E35*N(AND(CN$3&lt;=$F35,CN$4&gt;=$F35))</f>
        <v>-0</v>
      </c>
      <c r="CO35" s="43" t="n">
        <f aca="false">-$E35*N(AND(CO$3&lt;=$F35,CO$4&gt;=$F35))</f>
        <v>-0</v>
      </c>
      <c r="CP35" s="43" t="n">
        <f aca="false">-$E35*N(AND(CP$3&lt;=$F35,CP$4&gt;=$F35))</f>
        <v>-0</v>
      </c>
      <c r="CQ35" s="43" t="n">
        <f aca="false">-$E35*N(AND(CQ$3&lt;=$F35,CQ$4&gt;=$F35))</f>
        <v>-0</v>
      </c>
      <c r="CR35" s="43" t="n">
        <f aca="false">-$E35*N(AND(CR$3&lt;=$F35,CR$4&gt;=$F35))</f>
        <v>-0</v>
      </c>
      <c r="CS35" s="43" t="n">
        <f aca="false">-$E35*N(AND(CS$3&lt;=$F35,CS$4&gt;=$F35))</f>
        <v>-0</v>
      </c>
      <c r="CT35" s="43" t="n">
        <f aca="false">-$E35*N(AND(CT$3&lt;=$F35,CT$4&gt;=$F35))</f>
        <v>-0</v>
      </c>
      <c r="CU35" s="43" t="n">
        <f aca="false">-$E35*N(AND(CU$3&lt;=$F35,CU$4&gt;=$F35))</f>
        <v>-0</v>
      </c>
      <c r="CV35" s="43" t="n">
        <f aca="false">-$E35*N(AND(CV$3&lt;=$F35,CV$4&gt;=$F35))</f>
        <v>-0</v>
      </c>
      <c r="CW35" s="43" t="n">
        <f aca="false">-$E35*N(AND(CW$3&lt;=$F35,CW$4&gt;=$F35))</f>
        <v>-0</v>
      </c>
      <c r="CX35" s="43" t="n">
        <f aca="false">-$E35*N(AND(CX$3&lt;=$F35,CX$4&gt;=$F35))</f>
        <v>-0</v>
      </c>
      <c r="CY35" s="43" t="n">
        <f aca="false">-$E35*N(AND(CY$3&lt;=$F35,CY$4&gt;=$F35))</f>
        <v>-0</v>
      </c>
      <c r="CZ35" s="43" t="n">
        <f aca="false">-$E35*N(AND(CZ$3&lt;=$F35,CZ$4&gt;=$F35))</f>
        <v>-0</v>
      </c>
      <c r="DA35" s="43" t="n">
        <f aca="false">-$E35*N(AND(DA$3&lt;=$F35,DA$4&gt;=$F35))</f>
        <v>-0</v>
      </c>
      <c r="DB35" s="43" t="n">
        <f aca="false">-$E35*N(AND(DB$3&lt;=$F35,DB$4&gt;=$F35))</f>
        <v>-0</v>
      </c>
      <c r="DC35" s="43" t="n">
        <f aca="false">-$E35*N(AND(DC$3&lt;=$F35,DC$4&gt;=$F35))</f>
        <v>-0</v>
      </c>
      <c r="DD35" s="43" t="n">
        <f aca="false">-$E35*N(AND(DD$3&lt;=$F35,DD$4&gt;=$F35))</f>
        <v>-0</v>
      </c>
      <c r="DE35" s="43" t="n">
        <f aca="false">-$E35*N(AND(DE$3&lt;=$F35,DE$4&gt;=$F35))</f>
        <v>-0</v>
      </c>
      <c r="DF35" s="43" t="n">
        <f aca="false">-$E35*N(AND(DF$3&lt;=$F35,DF$4&gt;=$F35))</f>
        <v>-0</v>
      </c>
      <c r="DG35" s="43" t="n">
        <f aca="false">-$E35*N(AND(DG$3&lt;=$F35,DG$4&gt;=$F35))</f>
        <v>-0</v>
      </c>
      <c r="DH35" s="43" t="n">
        <f aca="false">-$E35*N(AND(DH$3&lt;=$F35,DH$4&gt;=$F35))</f>
        <v>-0</v>
      </c>
      <c r="DI35" s="43" t="n">
        <f aca="false">-$E35*N(AND(DI$3&lt;=$F35,DI$4&gt;=$F35))</f>
        <v>-0</v>
      </c>
      <c r="DJ35" s="43" t="n">
        <f aca="false">-$E35*N(AND(DJ$3&lt;=$F35,DJ$4&gt;=$F35))</f>
        <v>-0</v>
      </c>
      <c r="DK35" s="43" t="n">
        <f aca="false">-$E35*N(AND(DK$3&lt;=$F35,DK$4&gt;=$F35))</f>
        <v>-0</v>
      </c>
      <c r="DL35" s="43" t="n">
        <f aca="false">-$E35*N(AND(DL$3&lt;=$F35,DL$4&gt;=$F35))</f>
        <v>-0</v>
      </c>
      <c r="DM35" s="43" t="n">
        <f aca="false">-$E35*N(AND(DM$3&lt;=$F35,DM$4&gt;=$F35))</f>
        <v>-0</v>
      </c>
      <c r="DN35" s="43" t="n">
        <f aca="false">-$E35*N(AND(DN$3&lt;=$F35,DN$4&gt;=$F35))</f>
        <v>-0</v>
      </c>
      <c r="DO35" s="43" t="n">
        <f aca="false">-$E35*N(AND(DO$3&lt;=$F35,DO$4&gt;=$F35))</f>
        <v>-0</v>
      </c>
      <c r="DP35" s="43" t="n">
        <f aca="false">-$E35*N(AND(DP$3&lt;=$F35,DP$4&gt;=$F35))</f>
        <v>-0</v>
      </c>
      <c r="DQ35" s="43" t="n">
        <f aca="false">-$E35*N(AND(DQ$3&lt;=$F35,DQ$4&gt;=$F35))</f>
        <v>-0</v>
      </c>
      <c r="DR35" s="43" t="n">
        <f aca="false">-$E35*N(AND(DR$3&lt;=$F35,DR$4&gt;=$F35))</f>
        <v>-0</v>
      </c>
      <c r="DS35" s="43" t="n">
        <f aca="false">-$E35*N(AND(DS$3&lt;=$F35,DS$4&gt;=$F35))</f>
        <v>-0</v>
      </c>
      <c r="DT35" s="43" t="n">
        <f aca="false">-$E35*N(AND(DT$3&lt;=$F35,DT$4&gt;=$F35))</f>
        <v>-0</v>
      </c>
      <c r="DU35" s="43" t="n">
        <f aca="false">-$E35*N(AND(DU$3&lt;=$F35,DU$4&gt;=$F35))</f>
        <v>-0</v>
      </c>
      <c r="DV35" s="43" t="n">
        <f aca="false">-$E35*N(AND(DV$3&lt;=$F35,DV$4&gt;=$F35))</f>
        <v>-0</v>
      </c>
      <c r="DW35" s="43" t="n">
        <f aca="false">-$E35*N(AND(DW$3&lt;=$F35,DW$4&gt;=$F35))</f>
        <v>-0</v>
      </c>
      <c r="DX35" s="43" t="n">
        <f aca="false">-$E35*N(AND(DX$3&lt;=$F35,DX$4&gt;=$F35))</f>
        <v>-0</v>
      </c>
      <c r="DY35" s="43" t="n">
        <f aca="false">-$E35*N(AND(DY$3&lt;=$F35,DY$4&gt;=$F35))</f>
        <v>-0</v>
      </c>
      <c r="DZ35" s="43" t="n">
        <f aca="false">-$E35*N(AND(DZ$3&lt;=$F35,DZ$4&gt;=$F35))</f>
        <v>-0</v>
      </c>
      <c r="EA35" s="43" t="n">
        <f aca="false">-$E35*N(AND(EA$3&lt;=$F35,EA$4&gt;=$F35))</f>
        <v>-0</v>
      </c>
      <c r="EB35" s="43" t="n">
        <f aca="false">-$E35*N(AND(EB$3&lt;=$F35,EB$4&gt;=$F35))</f>
        <v>-0</v>
      </c>
      <c r="EC35" s="43" t="n">
        <f aca="false">-$E35*N(AND(EC$3&lt;=$F35,EC$4&gt;=$F35))</f>
        <v>-0</v>
      </c>
      <c r="ED35" s="43" t="n">
        <f aca="false">-$E35*N(AND(ED$3&lt;=$F35,ED$4&gt;=$F35))</f>
        <v>-0</v>
      </c>
      <c r="EE35" s="43" t="n">
        <f aca="false">-$E35*N(AND(EE$3&lt;=$F35,EE$4&gt;=$F35))</f>
        <v>-0</v>
      </c>
      <c r="EF35" s="43" t="n">
        <f aca="false">-$E35*N(AND(EF$3&lt;=$F35,EF$4&gt;=$F35))</f>
        <v>-0</v>
      </c>
      <c r="EG35" s="43" t="n">
        <f aca="false">-$E35*N(AND(EG$3&lt;=$F35,EG$4&gt;=$F35))</f>
        <v>-0</v>
      </c>
      <c r="EH35" s="43" t="n">
        <f aca="false">-$E35*N(AND(EH$3&lt;=$F35,EH$4&gt;=$F35))</f>
        <v>-0</v>
      </c>
      <c r="EI35" s="43" t="n">
        <f aca="false">-$E35*N(AND(EI$3&lt;=$F35,EI$4&gt;=$F35))</f>
        <v>-0</v>
      </c>
      <c r="EJ35" s="43" t="n">
        <f aca="false">-$E35*N(AND(EJ$3&lt;=$F35,EJ$4&gt;=$F35))</f>
        <v>-0</v>
      </c>
      <c r="EK35" s="43" t="n">
        <f aca="false">-$E35*N(AND(EK$3&lt;=$F35,EK$4&gt;=$F35))</f>
        <v>-0</v>
      </c>
      <c r="EL35" s="43" t="n">
        <f aca="false">-$E35*N(AND(EL$3&lt;=$F35,EL$4&gt;=$F35))</f>
        <v>-0</v>
      </c>
      <c r="EM35" s="43" t="n">
        <f aca="false">-$E35*N(AND(EM$3&lt;=$F35,EM$4&gt;=$F35))</f>
        <v>-0</v>
      </c>
      <c r="EN35" s="43" t="n">
        <f aca="false">-$E35*N(AND(EN$3&lt;=$F35,EN$4&gt;=$F35))</f>
        <v>-0</v>
      </c>
      <c r="EO35" s="43" t="n">
        <f aca="false">-$E35*N(AND(EO$3&lt;=$F35,EO$4&gt;=$F35))</f>
        <v>-0</v>
      </c>
    </row>
    <row r="36" customFormat="false" ht="15" hidden="false" customHeight="false" outlineLevel="0" collapsed="false">
      <c r="C36" s="0" t="s">
        <v>191</v>
      </c>
      <c r="D36" s="11" t="s">
        <v>33</v>
      </c>
      <c r="E36" s="19" t="n">
        <f aca="false">In_DD</f>
        <v>150</v>
      </c>
      <c r="F36" s="20" t="n">
        <f aca="false">In_Bid_Date</f>
        <v>46325</v>
      </c>
      <c r="I36" s="43" t="n">
        <f aca="false">SUM(J36:EO36)</f>
        <v>-150</v>
      </c>
      <c r="J36" s="43" t="n">
        <f aca="false">-$E36*N(AND(J$3&lt;=$F36,J$4&gt;=$F36))</f>
        <v>-150</v>
      </c>
      <c r="K36" s="43" t="n">
        <f aca="false">-$E36*N(AND(K$3&lt;=$F36,K$4&gt;=$F36))</f>
        <v>-0</v>
      </c>
      <c r="L36" s="43" t="n">
        <f aca="false">-$E36*N(AND(L$3&lt;=$F36,L$4&gt;=$F36))</f>
        <v>-0</v>
      </c>
      <c r="M36" s="43" t="n">
        <f aca="false">-$E36*N(AND(M$3&lt;=$F36,M$4&gt;=$F36))</f>
        <v>-0</v>
      </c>
      <c r="N36" s="43" t="n">
        <f aca="false">-$E36*N(AND(N$3&lt;=$F36,N$4&gt;=$F36))</f>
        <v>-0</v>
      </c>
      <c r="O36" s="43" t="n">
        <f aca="false">-$E36*N(AND(O$3&lt;=$F36,O$4&gt;=$F36))</f>
        <v>-0</v>
      </c>
      <c r="P36" s="43" t="n">
        <f aca="false">-$E36*N(AND(P$3&lt;=$F36,P$4&gt;=$F36))</f>
        <v>-0</v>
      </c>
      <c r="Q36" s="43" t="n">
        <f aca="false">-$E36*N(AND(Q$3&lt;=$F36,Q$4&gt;=$F36))</f>
        <v>-0</v>
      </c>
      <c r="R36" s="43" t="n">
        <f aca="false">-$E36*N(AND(R$3&lt;=$F36,R$4&gt;=$F36))</f>
        <v>-0</v>
      </c>
      <c r="S36" s="43" t="n">
        <f aca="false">-$E36*N(AND(S$3&lt;=$F36,S$4&gt;=$F36))</f>
        <v>-0</v>
      </c>
      <c r="T36" s="43" t="n">
        <f aca="false">-$E36*N(AND(T$3&lt;=$F36,T$4&gt;=$F36))</f>
        <v>-0</v>
      </c>
      <c r="U36" s="43" t="n">
        <f aca="false">-$E36*N(AND(U$3&lt;=$F36,U$4&gt;=$F36))</f>
        <v>-0</v>
      </c>
      <c r="V36" s="43" t="n">
        <f aca="false">-$E36*N(AND(V$3&lt;=$F36,V$4&gt;=$F36))</f>
        <v>-0</v>
      </c>
      <c r="W36" s="43" t="n">
        <f aca="false">-$E36*N(AND(W$3&lt;=$F36,W$4&gt;=$F36))</f>
        <v>-0</v>
      </c>
      <c r="X36" s="43" t="n">
        <f aca="false">-$E36*N(AND(X$3&lt;=$F36,X$4&gt;=$F36))</f>
        <v>-0</v>
      </c>
      <c r="Y36" s="43" t="n">
        <f aca="false">-$E36*N(AND(Y$3&lt;=$F36,Y$4&gt;=$F36))</f>
        <v>-0</v>
      </c>
      <c r="Z36" s="43" t="n">
        <f aca="false">-$E36*N(AND(Z$3&lt;=$F36,Z$4&gt;=$F36))</f>
        <v>-0</v>
      </c>
      <c r="AA36" s="43" t="n">
        <f aca="false">-$E36*N(AND(AA$3&lt;=$F36,AA$4&gt;=$F36))</f>
        <v>-0</v>
      </c>
      <c r="AB36" s="43" t="n">
        <f aca="false">-$E36*N(AND(AB$3&lt;=$F36,AB$4&gt;=$F36))</f>
        <v>-0</v>
      </c>
      <c r="AC36" s="43" t="n">
        <f aca="false">-$E36*N(AND(AC$3&lt;=$F36,AC$4&gt;=$F36))</f>
        <v>-0</v>
      </c>
      <c r="AD36" s="43" t="n">
        <f aca="false">-$E36*N(AND(AD$3&lt;=$F36,AD$4&gt;=$F36))</f>
        <v>-0</v>
      </c>
      <c r="AE36" s="43" t="n">
        <f aca="false">-$E36*N(AND(AE$3&lt;=$F36,AE$4&gt;=$F36))</f>
        <v>-0</v>
      </c>
      <c r="AF36" s="43" t="n">
        <f aca="false">-$E36*N(AND(AF$3&lt;=$F36,AF$4&gt;=$F36))</f>
        <v>-0</v>
      </c>
      <c r="AG36" s="43" t="n">
        <f aca="false">-$E36*N(AND(AG$3&lt;=$F36,AG$4&gt;=$F36))</f>
        <v>-0</v>
      </c>
      <c r="AH36" s="43" t="n">
        <f aca="false">-$E36*N(AND(AH$3&lt;=$F36,AH$4&gt;=$F36))</f>
        <v>-0</v>
      </c>
      <c r="AI36" s="43" t="n">
        <f aca="false">-$E36*N(AND(AI$3&lt;=$F36,AI$4&gt;=$F36))</f>
        <v>-0</v>
      </c>
      <c r="AJ36" s="43" t="n">
        <f aca="false">-$E36*N(AND(AJ$3&lt;=$F36,AJ$4&gt;=$F36))</f>
        <v>-0</v>
      </c>
      <c r="AK36" s="43" t="n">
        <f aca="false">-$E36*N(AND(AK$3&lt;=$F36,AK$4&gt;=$F36))</f>
        <v>-0</v>
      </c>
      <c r="AL36" s="43" t="n">
        <f aca="false">-$E36*N(AND(AL$3&lt;=$F36,AL$4&gt;=$F36))</f>
        <v>-0</v>
      </c>
      <c r="AM36" s="43" t="n">
        <f aca="false">-$E36*N(AND(AM$3&lt;=$F36,AM$4&gt;=$F36))</f>
        <v>-0</v>
      </c>
      <c r="AN36" s="43" t="n">
        <f aca="false">-$E36*N(AND(AN$3&lt;=$F36,AN$4&gt;=$F36))</f>
        <v>-0</v>
      </c>
      <c r="AO36" s="43" t="n">
        <f aca="false">-$E36*N(AND(AO$3&lt;=$F36,AO$4&gt;=$F36))</f>
        <v>-0</v>
      </c>
      <c r="AP36" s="43" t="n">
        <f aca="false">-$E36*N(AND(AP$3&lt;=$F36,AP$4&gt;=$F36))</f>
        <v>-0</v>
      </c>
      <c r="AQ36" s="43" t="n">
        <f aca="false">-$E36*N(AND(AQ$3&lt;=$F36,AQ$4&gt;=$F36))</f>
        <v>-0</v>
      </c>
      <c r="AR36" s="43" t="n">
        <f aca="false">-$E36*N(AND(AR$3&lt;=$F36,AR$4&gt;=$F36))</f>
        <v>-0</v>
      </c>
      <c r="AS36" s="43" t="n">
        <f aca="false">-$E36*N(AND(AS$3&lt;=$F36,AS$4&gt;=$F36))</f>
        <v>-0</v>
      </c>
      <c r="AT36" s="43" t="n">
        <f aca="false">-$E36*N(AND(AT$3&lt;=$F36,AT$4&gt;=$F36))</f>
        <v>-0</v>
      </c>
      <c r="AU36" s="43" t="n">
        <f aca="false">-$E36*N(AND(AU$3&lt;=$F36,AU$4&gt;=$F36))</f>
        <v>-0</v>
      </c>
      <c r="AV36" s="43" t="n">
        <f aca="false">-$E36*N(AND(AV$3&lt;=$F36,AV$4&gt;=$F36))</f>
        <v>-0</v>
      </c>
      <c r="AW36" s="43" t="n">
        <f aca="false">-$E36*N(AND(AW$3&lt;=$F36,AW$4&gt;=$F36))</f>
        <v>-0</v>
      </c>
      <c r="AX36" s="43" t="n">
        <f aca="false">-$E36*N(AND(AX$3&lt;=$F36,AX$4&gt;=$F36))</f>
        <v>-0</v>
      </c>
      <c r="AY36" s="43" t="n">
        <f aca="false">-$E36*N(AND(AY$3&lt;=$F36,AY$4&gt;=$F36))</f>
        <v>-0</v>
      </c>
      <c r="AZ36" s="43" t="n">
        <f aca="false">-$E36*N(AND(AZ$3&lt;=$F36,AZ$4&gt;=$F36))</f>
        <v>-0</v>
      </c>
      <c r="BA36" s="43" t="n">
        <f aca="false">-$E36*N(AND(BA$3&lt;=$F36,BA$4&gt;=$F36))</f>
        <v>-0</v>
      </c>
      <c r="BB36" s="43" t="n">
        <f aca="false">-$E36*N(AND(BB$3&lt;=$F36,BB$4&gt;=$F36))</f>
        <v>-0</v>
      </c>
      <c r="BC36" s="43" t="n">
        <f aca="false">-$E36*N(AND(BC$3&lt;=$F36,BC$4&gt;=$F36))</f>
        <v>-0</v>
      </c>
      <c r="BD36" s="43" t="n">
        <f aca="false">-$E36*N(AND(BD$3&lt;=$F36,BD$4&gt;=$F36))</f>
        <v>-0</v>
      </c>
      <c r="BE36" s="43" t="n">
        <f aca="false">-$E36*N(AND(BE$3&lt;=$F36,BE$4&gt;=$F36))</f>
        <v>-0</v>
      </c>
      <c r="BF36" s="43" t="n">
        <f aca="false">-$E36*N(AND(BF$3&lt;=$F36,BF$4&gt;=$F36))</f>
        <v>-0</v>
      </c>
      <c r="BG36" s="43" t="n">
        <f aca="false">-$E36*N(AND(BG$3&lt;=$F36,BG$4&gt;=$F36))</f>
        <v>-0</v>
      </c>
      <c r="BH36" s="43" t="n">
        <f aca="false">-$E36*N(AND(BH$3&lt;=$F36,BH$4&gt;=$F36))</f>
        <v>-0</v>
      </c>
      <c r="BI36" s="43" t="n">
        <f aca="false">-$E36*N(AND(BI$3&lt;=$F36,BI$4&gt;=$F36))</f>
        <v>-0</v>
      </c>
      <c r="BJ36" s="43" t="n">
        <f aca="false">-$E36*N(AND(BJ$3&lt;=$F36,BJ$4&gt;=$F36))</f>
        <v>-0</v>
      </c>
      <c r="BK36" s="43" t="n">
        <f aca="false">-$E36*N(AND(BK$3&lt;=$F36,BK$4&gt;=$F36))</f>
        <v>-0</v>
      </c>
      <c r="BL36" s="43" t="n">
        <f aca="false">-$E36*N(AND(BL$3&lt;=$F36,BL$4&gt;=$F36))</f>
        <v>-0</v>
      </c>
      <c r="BM36" s="43" t="n">
        <f aca="false">-$E36*N(AND(BM$3&lt;=$F36,BM$4&gt;=$F36))</f>
        <v>-0</v>
      </c>
      <c r="BN36" s="43" t="n">
        <f aca="false">-$E36*N(AND(BN$3&lt;=$F36,BN$4&gt;=$F36))</f>
        <v>-0</v>
      </c>
      <c r="BO36" s="43" t="n">
        <f aca="false">-$E36*N(AND(BO$3&lt;=$F36,BO$4&gt;=$F36))</f>
        <v>-0</v>
      </c>
      <c r="BP36" s="43" t="n">
        <f aca="false">-$E36*N(AND(BP$3&lt;=$F36,BP$4&gt;=$F36))</f>
        <v>-0</v>
      </c>
      <c r="BQ36" s="43" t="n">
        <f aca="false">-$E36*N(AND(BQ$3&lt;=$F36,BQ$4&gt;=$F36))</f>
        <v>-0</v>
      </c>
      <c r="BR36" s="43" t="n">
        <f aca="false">-$E36*N(AND(BR$3&lt;=$F36,BR$4&gt;=$F36))</f>
        <v>-0</v>
      </c>
      <c r="BS36" s="43" t="n">
        <f aca="false">-$E36*N(AND(BS$3&lt;=$F36,BS$4&gt;=$F36))</f>
        <v>-0</v>
      </c>
      <c r="BT36" s="43" t="n">
        <f aca="false">-$E36*N(AND(BT$3&lt;=$F36,BT$4&gt;=$F36))</f>
        <v>-0</v>
      </c>
      <c r="BU36" s="43" t="n">
        <f aca="false">-$E36*N(AND(BU$3&lt;=$F36,BU$4&gt;=$F36))</f>
        <v>-0</v>
      </c>
      <c r="BV36" s="43" t="n">
        <f aca="false">-$E36*N(AND(BV$3&lt;=$F36,BV$4&gt;=$F36))</f>
        <v>-0</v>
      </c>
      <c r="BW36" s="43" t="n">
        <f aca="false">-$E36*N(AND(BW$3&lt;=$F36,BW$4&gt;=$F36))</f>
        <v>-0</v>
      </c>
      <c r="BX36" s="43" t="n">
        <f aca="false">-$E36*N(AND(BX$3&lt;=$F36,BX$4&gt;=$F36))</f>
        <v>-0</v>
      </c>
      <c r="BY36" s="43" t="n">
        <f aca="false">-$E36*N(AND(BY$3&lt;=$F36,BY$4&gt;=$F36))</f>
        <v>-0</v>
      </c>
      <c r="BZ36" s="43" t="n">
        <f aca="false">-$E36*N(AND(BZ$3&lt;=$F36,BZ$4&gt;=$F36))</f>
        <v>-0</v>
      </c>
      <c r="CA36" s="43" t="n">
        <f aca="false">-$E36*N(AND(CA$3&lt;=$F36,CA$4&gt;=$F36))</f>
        <v>-0</v>
      </c>
      <c r="CB36" s="43" t="n">
        <f aca="false">-$E36*N(AND(CB$3&lt;=$F36,CB$4&gt;=$F36))</f>
        <v>-0</v>
      </c>
      <c r="CC36" s="43" t="n">
        <f aca="false">-$E36*N(AND(CC$3&lt;=$F36,CC$4&gt;=$F36))</f>
        <v>-0</v>
      </c>
      <c r="CD36" s="43" t="n">
        <f aca="false">-$E36*N(AND(CD$3&lt;=$F36,CD$4&gt;=$F36))</f>
        <v>-0</v>
      </c>
      <c r="CE36" s="43" t="n">
        <f aca="false">-$E36*N(AND(CE$3&lt;=$F36,CE$4&gt;=$F36))</f>
        <v>-0</v>
      </c>
      <c r="CF36" s="43" t="n">
        <f aca="false">-$E36*N(AND(CF$3&lt;=$F36,CF$4&gt;=$F36))</f>
        <v>-0</v>
      </c>
      <c r="CG36" s="43" t="n">
        <f aca="false">-$E36*N(AND(CG$3&lt;=$F36,CG$4&gt;=$F36))</f>
        <v>-0</v>
      </c>
      <c r="CH36" s="43" t="n">
        <f aca="false">-$E36*N(AND(CH$3&lt;=$F36,CH$4&gt;=$F36))</f>
        <v>-0</v>
      </c>
      <c r="CI36" s="43" t="n">
        <f aca="false">-$E36*N(AND(CI$3&lt;=$F36,CI$4&gt;=$F36))</f>
        <v>-0</v>
      </c>
      <c r="CJ36" s="43" t="n">
        <f aca="false">-$E36*N(AND(CJ$3&lt;=$F36,CJ$4&gt;=$F36))</f>
        <v>-0</v>
      </c>
      <c r="CK36" s="43" t="n">
        <f aca="false">-$E36*N(AND(CK$3&lt;=$F36,CK$4&gt;=$F36))</f>
        <v>-0</v>
      </c>
      <c r="CL36" s="43" t="n">
        <f aca="false">-$E36*N(AND(CL$3&lt;=$F36,CL$4&gt;=$F36))</f>
        <v>-0</v>
      </c>
      <c r="CM36" s="43" t="n">
        <f aca="false">-$E36*N(AND(CM$3&lt;=$F36,CM$4&gt;=$F36))</f>
        <v>-0</v>
      </c>
      <c r="CN36" s="43" t="n">
        <f aca="false">-$E36*N(AND(CN$3&lt;=$F36,CN$4&gt;=$F36))</f>
        <v>-0</v>
      </c>
      <c r="CO36" s="43" t="n">
        <f aca="false">-$E36*N(AND(CO$3&lt;=$F36,CO$4&gt;=$F36))</f>
        <v>-0</v>
      </c>
      <c r="CP36" s="43" t="n">
        <f aca="false">-$E36*N(AND(CP$3&lt;=$F36,CP$4&gt;=$F36))</f>
        <v>-0</v>
      </c>
      <c r="CQ36" s="43" t="n">
        <f aca="false">-$E36*N(AND(CQ$3&lt;=$F36,CQ$4&gt;=$F36))</f>
        <v>-0</v>
      </c>
      <c r="CR36" s="43" t="n">
        <f aca="false">-$E36*N(AND(CR$3&lt;=$F36,CR$4&gt;=$F36))</f>
        <v>-0</v>
      </c>
      <c r="CS36" s="43" t="n">
        <f aca="false">-$E36*N(AND(CS$3&lt;=$F36,CS$4&gt;=$F36))</f>
        <v>-0</v>
      </c>
      <c r="CT36" s="43" t="n">
        <f aca="false">-$E36*N(AND(CT$3&lt;=$F36,CT$4&gt;=$F36))</f>
        <v>-0</v>
      </c>
      <c r="CU36" s="43" t="n">
        <f aca="false">-$E36*N(AND(CU$3&lt;=$F36,CU$4&gt;=$F36))</f>
        <v>-0</v>
      </c>
      <c r="CV36" s="43" t="n">
        <f aca="false">-$E36*N(AND(CV$3&lt;=$F36,CV$4&gt;=$F36))</f>
        <v>-0</v>
      </c>
      <c r="CW36" s="43" t="n">
        <f aca="false">-$E36*N(AND(CW$3&lt;=$F36,CW$4&gt;=$F36))</f>
        <v>-0</v>
      </c>
      <c r="CX36" s="43" t="n">
        <f aca="false">-$E36*N(AND(CX$3&lt;=$F36,CX$4&gt;=$F36))</f>
        <v>-0</v>
      </c>
      <c r="CY36" s="43" t="n">
        <f aca="false">-$E36*N(AND(CY$3&lt;=$F36,CY$4&gt;=$F36))</f>
        <v>-0</v>
      </c>
      <c r="CZ36" s="43" t="n">
        <f aca="false">-$E36*N(AND(CZ$3&lt;=$F36,CZ$4&gt;=$F36))</f>
        <v>-0</v>
      </c>
      <c r="DA36" s="43" t="n">
        <f aca="false">-$E36*N(AND(DA$3&lt;=$F36,DA$4&gt;=$F36))</f>
        <v>-0</v>
      </c>
      <c r="DB36" s="43" t="n">
        <f aca="false">-$E36*N(AND(DB$3&lt;=$F36,DB$4&gt;=$F36))</f>
        <v>-0</v>
      </c>
      <c r="DC36" s="43" t="n">
        <f aca="false">-$E36*N(AND(DC$3&lt;=$F36,DC$4&gt;=$F36))</f>
        <v>-0</v>
      </c>
      <c r="DD36" s="43" t="n">
        <f aca="false">-$E36*N(AND(DD$3&lt;=$F36,DD$4&gt;=$F36))</f>
        <v>-0</v>
      </c>
      <c r="DE36" s="43" t="n">
        <f aca="false">-$E36*N(AND(DE$3&lt;=$F36,DE$4&gt;=$F36))</f>
        <v>-0</v>
      </c>
      <c r="DF36" s="43" t="n">
        <f aca="false">-$E36*N(AND(DF$3&lt;=$F36,DF$4&gt;=$F36))</f>
        <v>-0</v>
      </c>
      <c r="DG36" s="43" t="n">
        <f aca="false">-$E36*N(AND(DG$3&lt;=$F36,DG$4&gt;=$F36))</f>
        <v>-0</v>
      </c>
      <c r="DH36" s="43" t="n">
        <f aca="false">-$E36*N(AND(DH$3&lt;=$F36,DH$4&gt;=$F36))</f>
        <v>-0</v>
      </c>
      <c r="DI36" s="43" t="n">
        <f aca="false">-$E36*N(AND(DI$3&lt;=$F36,DI$4&gt;=$F36))</f>
        <v>-0</v>
      </c>
      <c r="DJ36" s="43" t="n">
        <f aca="false">-$E36*N(AND(DJ$3&lt;=$F36,DJ$4&gt;=$F36))</f>
        <v>-0</v>
      </c>
      <c r="DK36" s="43" t="n">
        <f aca="false">-$E36*N(AND(DK$3&lt;=$F36,DK$4&gt;=$F36))</f>
        <v>-0</v>
      </c>
      <c r="DL36" s="43" t="n">
        <f aca="false">-$E36*N(AND(DL$3&lt;=$F36,DL$4&gt;=$F36))</f>
        <v>-0</v>
      </c>
      <c r="DM36" s="43" t="n">
        <f aca="false">-$E36*N(AND(DM$3&lt;=$F36,DM$4&gt;=$F36))</f>
        <v>-0</v>
      </c>
      <c r="DN36" s="43" t="n">
        <f aca="false">-$E36*N(AND(DN$3&lt;=$F36,DN$4&gt;=$F36))</f>
        <v>-0</v>
      </c>
      <c r="DO36" s="43" t="n">
        <f aca="false">-$E36*N(AND(DO$3&lt;=$F36,DO$4&gt;=$F36))</f>
        <v>-0</v>
      </c>
      <c r="DP36" s="43" t="n">
        <f aca="false">-$E36*N(AND(DP$3&lt;=$F36,DP$4&gt;=$F36))</f>
        <v>-0</v>
      </c>
      <c r="DQ36" s="43" t="n">
        <f aca="false">-$E36*N(AND(DQ$3&lt;=$F36,DQ$4&gt;=$F36))</f>
        <v>-0</v>
      </c>
      <c r="DR36" s="43" t="n">
        <f aca="false">-$E36*N(AND(DR$3&lt;=$F36,DR$4&gt;=$F36))</f>
        <v>-0</v>
      </c>
      <c r="DS36" s="43" t="n">
        <f aca="false">-$E36*N(AND(DS$3&lt;=$F36,DS$4&gt;=$F36))</f>
        <v>-0</v>
      </c>
      <c r="DT36" s="43" t="n">
        <f aca="false">-$E36*N(AND(DT$3&lt;=$F36,DT$4&gt;=$F36))</f>
        <v>-0</v>
      </c>
      <c r="DU36" s="43" t="n">
        <f aca="false">-$E36*N(AND(DU$3&lt;=$F36,DU$4&gt;=$F36))</f>
        <v>-0</v>
      </c>
      <c r="DV36" s="43" t="n">
        <f aca="false">-$E36*N(AND(DV$3&lt;=$F36,DV$4&gt;=$F36))</f>
        <v>-0</v>
      </c>
      <c r="DW36" s="43" t="n">
        <f aca="false">-$E36*N(AND(DW$3&lt;=$F36,DW$4&gt;=$F36))</f>
        <v>-0</v>
      </c>
      <c r="DX36" s="43" t="n">
        <f aca="false">-$E36*N(AND(DX$3&lt;=$F36,DX$4&gt;=$F36))</f>
        <v>-0</v>
      </c>
      <c r="DY36" s="43" t="n">
        <f aca="false">-$E36*N(AND(DY$3&lt;=$F36,DY$4&gt;=$F36))</f>
        <v>-0</v>
      </c>
      <c r="DZ36" s="43" t="n">
        <f aca="false">-$E36*N(AND(DZ$3&lt;=$F36,DZ$4&gt;=$F36))</f>
        <v>-0</v>
      </c>
      <c r="EA36" s="43" t="n">
        <f aca="false">-$E36*N(AND(EA$3&lt;=$F36,EA$4&gt;=$F36))</f>
        <v>-0</v>
      </c>
      <c r="EB36" s="43" t="n">
        <f aca="false">-$E36*N(AND(EB$3&lt;=$F36,EB$4&gt;=$F36))</f>
        <v>-0</v>
      </c>
      <c r="EC36" s="43" t="n">
        <f aca="false">-$E36*N(AND(EC$3&lt;=$F36,EC$4&gt;=$F36))</f>
        <v>-0</v>
      </c>
      <c r="ED36" s="43" t="n">
        <f aca="false">-$E36*N(AND(ED$3&lt;=$F36,ED$4&gt;=$F36))</f>
        <v>-0</v>
      </c>
      <c r="EE36" s="43" t="n">
        <f aca="false">-$E36*N(AND(EE$3&lt;=$F36,EE$4&gt;=$F36))</f>
        <v>-0</v>
      </c>
      <c r="EF36" s="43" t="n">
        <f aca="false">-$E36*N(AND(EF$3&lt;=$F36,EF$4&gt;=$F36))</f>
        <v>-0</v>
      </c>
      <c r="EG36" s="43" t="n">
        <f aca="false">-$E36*N(AND(EG$3&lt;=$F36,EG$4&gt;=$F36))</f>
        <v>-0</v>
      </c>
      <c r="EH36" s="43" t="n">
        <f aca="false">-$E36*N(AND(EH$3&lt;=$F36,EH$4&gt;=$F36))</f>
        <v>-0</v>
      </c>
      <c r="EI36" s="43" t="n">
        <f aca="false">-$E36*N(AND(EI$3&lt;=$F36,EI$4&gt;=$F36))</f>
        <v>-0</v>
      </c>
      <c r="EJ36" s="43" t="n">
        <f aca="false">-$E36*N(AND(EJ$3&lt;=$F36,EJ$4&gt;=$F36))</f>
        <v>-0</v>
      </c>
      <c r="EK36" s="43" t="n">
        <f aca="false">-$E36*N(AND(EK$3&lt;=$F36,EK$4&gt;=$F36))</f>
        <v>-0</v>
      </c>
      <c r="EL36" s="43" t="n">
        <f aca="false">-$E36*N(AND(EL$3&lt;=$F36,EL$4&gt;=$F36))</f>
        <v>-0</v>
      </c>
      <c r="EM36" s="43" t="n">
        <f aca="false">-$E36*N(AND(EM$3&lt;=$F36,EM$4&gt;=$F36))</f>
        <v>-0</v>
      </c>
      <c r="EN36" s="43" t="n">
        <f aca="false">-$E36*N(AND(EN$3&lt;=$F36,EN$4&gt;=$F36))</f>
        <v>-0</v>
      </c>
      <c r="EO36" s="43" t="n">
        <f aca="false">-$E36*N(AND(EO$3&lt;=$F36,EO$4&gt;=$F36))</f>
        <v>-0</v>
      </c>
    </row>
    <row r="37" customFormat="false" ht="15" hidden="false" customHeight="false" outlineLevel="0" collapsed="false">
      <c r="C37" s="0" t="s">
        <v>350</v>
      </c>
      <c r="D37" s="11" t="s">
        <v>33</v>
      </c>
      <c r="I37" s="43" t="n">
        <f aca="false">SUM(J37:EO37)</f>
        <v>-500</v>
      </c>
      <c r="J37" s="43" t="n">
        <f aca="false">-In_Devex*J13</f>
        <v>-0</v>
      </c>
      <c r="K37" s="43" t="n">
        <f aca="false">-In_Devex*K13</f>
        <v>-70.4225352112676</v>
      </c>
      <c r="L37" s="43" t="n">
        <f aca="false">-In_Devex*L13</f>
        <v>-71.2050078247261</v>
      </c>
      <c r="M37" s="43" t="n">
        <f aca="false">-In_Devex*M13</f>
        <v>-71.9874804381847</v>
      </c>
      <c r="N37" s="43" t="n">
        <f aca="false">-In_Devex*N13</f>
        <v>-71.9874804381847</v>
      </c>
      <c r="O37" s="43" t="n">
        <f aca="false">-In_Devex*O13</f>
        <v>-71.2050078247261</v>
      </c>
      <c r="P37" s="43" t="n">
        <f aca="false">-In_Devex*P13</f>
        <v>-71.2050078247261</v>
      </c>
      <c r="Q37" s="43" t="n">
        <f aca="false">-In_Devex*Q13</f>
        <v>-71.9874804381847</v>
      </c>
      <c r="R37" s="43" t="n">
        <f aca="false">-In_Devex*R13</f>
        <v>-0</v>
      </c>
      <c r="S37" s="43" t="n">
        <f aca="false">-In_Devex*S13</f>
        <v>-0</v>
      </c>
      <c r="T37" s="43" t="n">
        <f aca="false">-In_Devex*T13</f>
        <v>-0</v>
      </c>
      <c r="U37" s="43" t="n">
        <f aca="false">-In_Devex*U13</f>
        <v>-0</v>
      </c>
      <c r="V37" s="43" t="n">
        <f aca="false">-In_Devex*V13</f>
        <v>-0</v>
      </c>
      <c r="W37" s="43" t="n">
        <f aca="false">-In_Devex*W13</f>
        <v>-0</v>
      </c>
      <c r="X37" s="43" t="n">
        <f aca="false">-In_Devex*X13</f>
        <v>-0</v>
      </c>
      <c r="Y37" s="43" t="n">
        <f aca="false">-In_Devex*Y13</f>
        <v>-0</v>
      </c>
      <c r="Z37" s="43" t="n">
        <f aca="false">-In_Devex*Z13</f>
        <v>-0</v>
      </c>
      <c r="AA37" s="43" t="n">
        <f aca="false">-In_Devex*AA13</f>
        <v>-0</v>
      </c>
      <c r="AB37" s="43" t="n">
        <f aca="false">-In_Devex*AB13</f>
        <v>-0</v>
      </c>
      <c r="AC37" s="43" t="n">
        <f aca="false">-In_Devex*AC13</f>
        <v>-0</v>
      </c>
      <c r="AD37" s="43" t="n">
        <f aca="false">-In_Devex*AD13</f>
        <v>-0</v>
      </c>
      <c r="AE37" s="43" t="n">
        <f aca="false">-In_Devex*AE13</f>
        <v>-0</v>
      </c>
      <c r="AF37" s="43" t="n">
        <f aca="false">-In_Devex*AF13</f>
        <v>-0</v>
      </c>
      <c r="AG37" s="43" t="n">
        <f aca="false">-In_Devex*AG13</f>
        <v>-0</v>
      </c>
      <c r="AH37" s="43" t="n">
        <f aca="false">-In_Devex*AH13</f>
        <v>-0</v>
      </c>
      <c r="AI37" s="43" t="n">
        <f aca="false">-In_Devex*AI13</f>
        <v>-0</v>
      </c>
      <c r="AJ37" s="43" t="n">
        <f aca="false">-In_Devex*AJ13</f>
        <v>-0</v>
      </c>
      <c r="AK37" s="43" t="n">
        <f aca="false">-In_Devex*AK13</f>
        <v>-0</v>
      </c>
      <c r="AL37" s="43" t="n">
        <f aca="false">-In_Devex*AL13</f>
        <v>-0</v>
      </c>
      <c r="AM37" s="43" t="n">
        <f aca="false">-In_Devex*AM13</f>
        <v>-0</v>
      </c>
      <c r="AN37" s="43" t="n">
        <f aca="false">-In_Devex*AN13</f>
        <v>-0</v>
      </c>
      <c r="AO37" s="43" t="n">
        <f aca="false">-In_Devex*AO13</f>
        <v>-0</v>
      </c>
      <c r="AP37" s="43" t="n">
        <f aca="false">-In_Devex*AP13</f>
        <v>-0</v>
      </c>
      <c r="AQ37" s="43" t="n">
        <f aca="false">-In_Devex*AQ13</f>
        <v>-0</v>
      </c>
      <c r="AR37" s="43" t="n">
        <f aca="false">-In_Devex*AR13</f>
        <v>-0</v>
      </c>
      <c r="AS37" s="43" t="n">
        <f aca="false">-In_Devex*AS13</f>
        <v>-0</v>
      </c>
      <c r="AT37" s="43" t="n">
        <f aca="false">-In_Devex*AT13</f>
        <v>-0</v>
      </c>
      <c r="AU37" s="43" t="n">
        <f aca="false">-In_Devex*AU13</f>
        <v>-0</v>
      </c>
      <c r="AV37" s="43" t="n">
        <f aca="false">-In_Devex*AV13</f>
        <v>-0</v>
      </c>
      <c r="AW37" s="43" t="n">
        <f aca="false">-In_Devex*AW13</f>
        <v>-0</v>
      </c>
      <c r="AX37" s="43" t="n">
        <f aca="false">-In_Devex*AX13</f>
        <v>-0</v>
      </c>
      <c r="AY37" s="43" t="n">
        <f aca="false">-In_Devex*AY13</f>
        <v>-0</v>
      </c>
      <c r="AZ37" s="43" t="n">
        <f aca="false">-In_Devex*AZ13</f>
        <v>-0</v>
      </c>
      <c r="BA37" s="43" t="n">
        <f aca="false">-In_Devex*BA13</f>
        <v>-0</v>
      </c>
      <c r="BB37" s="43" t="n">
        <f aca="false">-In_Devex*BB13</f>
        <v>-0</v>
      </c>
      <c r="BC37" s="43" t="n">
        <f aca="false">-In_Devex*BC13</f>
        <v>-0</v>
      </c>
      <c r="BD37" s="43" t="n">
        <f aca="false">-In_Devex*BD13</f>
        <v>-0</v>
      </c>
      <c r="BE37" s="43" t="n">
        <f aca="false">-In_Devex*BE13</f>
        <v>-0</v>
      </c>
      <c r="BF37" s="43" t="n">
        <f aca="false">-In_Devex*BF13</f>
        <v>-0</v>
      </c>
      <c r="BG37" s="43" t="n">
        <f aca="false">-In_Devex*BG13</f>
        <v>-0</v>
      </c>
      <c r="BH37" s="43" t="n">
        <f aca="false">-In_Devex*BH13</f>
        <v>-0</v>
      </c>
      <c r="BI37" s="43" t="n">
        <f aca="false">-In_Devex*BI13</f>
        <v>-0</v>
      </c>
      <c r="BJ37" s="43" t="n">
        <f aca="false">-In_Devex*BJ13</f>
        <v>-0</v>
      </c>
      <c r="BK37" s="43" t="n">
        <f aca="false">-In_Devex*BK13</f>
        <v>-0</v>
      </c>
      <c r="BL37" s="43" t="n">
        <f aca="false">-In_Devex*BL13</f>
        <v>-0</v>
      </c>
      <c r="BM37" s="43" t="n">
        <f aca="false">-In_Devex*BM13</f>
        <v>-0</v>
      </c>
      <c r="BN37" s="43" t="n">
        <f aca="false">-In_Devex*BN13</f>
        <v>-0</v>
      </c>
      <c r="BO37" s="43" t="n">
        <f aca="false">-In_Devex*BO13</f>
        <v>-0</v>
      </c>
      <c r="BP37" s="43" t="n">
        <f aca="false">-In_Devex*BP13</f>
        <v>-0</v>
      </c>
      <c r="BQ37" s="43" t="n">
        <f aca="false">-In_Devex*BQ13</f>
        <v>-0</v>
      </c>
      <c r="BR37" s="43" t="n">
        <f aca="false">-In_Devex*BR13</f>
        <v>-0</v>
      </c>
      <c r="BS37" s="43" t="n">
        <f aca="false">-In_Devex*BS13</f>
        <v>-0</v>
      </c>
      <c r="BT37" s="43" t="n">
        <f aca="false">-In_Devex*BT13</f>
        <v>-0</v>
      </c>
      <c r="BU37" s="43" t="n">
        <f aca="false">-In_Devex*BU13</f>
        <v>-0</v>
      </c>
      <c r="BV37" s="43" t="n">
        <f aca="false">-In_Devex*BV13</f>
        <v>-0</v>
      </c>
      <c r="BW37" s="43" t="n">
        <f aca="false">-In_Devex*BW13</f>
        <v>-0</v>
      </c>
      <c r="BX37" s="43" t="n">
        <f aca="false">-In_Devex*BX13</f>
        <v>-0</v>
      </c>
      <c r="BY37" s="43" t="n">
        <f aca="false">-In_Devex*BY13</f>
        <v>-0</v>
      </c>
      <c r="BZ37" s="43" t="n">
        <f aca="false">-In_Devex*BZ13</f>
        <v>-0</v>
      </c>
      <c r="CA37" s="43" t="n">
        <f aca="false">-In_Devex*CA13</f>
        <v>-0</v>
      </c>
      <c r="CB37" s="43" t="n">
        <f aca="false">-In_Devex*CB13</f>
        <v>-0</v>
      </c>
      <c r="CC37" s="43" t="n">
        <f aca="false">-In_Devex*CC13</f>
        <v>-0</v>
      </c>
      <c r="CD37" s="43" t="n">
        <f aca="false">-In_Devex*CD13</f>
        <v>-0</v>
      </c>
      <c r="CE37" s="43" t="n">
        <f aca="false">-In_Devex*CE13</f>
        <v>-0</v>
      </c>
      <c r="CF37" s="43" t="n">
        <f aca="false">-In_Devex*CF13</f>
        <v>-0</v>
      </c>
      <c r="CG37" s="43" t="n">
        <f aca="false">-In_Devex*CG13</f>
        <v>-0</v>
      </c>
      <c r="CH37" s="43" t="n">
        <f aca="false">-In_Devex*CH13</f>
        <v>-0</v>
      </c>
      <c r="CI37" s="43" t="n">
        <f aca="false">-In_Devex*CI13</f>
        <v>-0</v>
      </c>
      <c r="CJ37" s="43" t="n">
        <f aca="false">-In_Devex*CJ13</f>
        <v>-0</v>
      </c>
      <c r="CK37" s="43" t="n">
        <f aca="false">-In_Devex*CK13</f>
        <v>-0</v>
      </c>
      <c r="CL37" s="43" t="n">
        <f aca="false">-In_Devex*CL13</f>
        <v>-0</v>
      </c>
      <c r="CM37" s="43" t="n">
        <f aca="false">-In_Devex*CM13</f>
        <v>-0</v>
      </c>
      <c r="CN37" s="43" t="n">
        <f aca="false">-In_Devex*CN13</f>
        <v>-0</v>
      </c>
      <c r="CO37" s="43" t="n">
        <f aca="false">-In_Devex*CO13</f>
        <v>-0</v>
      </c>
      <c r="CP37" s="43" t="n">
        <f aca="false">-In_Devex*CP13</f>
        <v>-0</v>
      </c>
      <c r="CQ37" s="43" t="n">
        <f aca="false">-In_Devex*CQ13</f>
        <v>-0</v>
      </c>
      <c r="CR37" s="43" t="n">
        <f aca="false">-In_Devex*CR13</f>
        <v>-0</v>
      </c>
      <c r="CS37" s="43" t="n">
        <f aca="false">-In_Devex*CS13</f>
        <v>-0</v>
      </c>
      <c r="CT37" s="43" t="n">
        <f aca="false">-In_Devex*CT13</f>
        <v>-0</v>
      </c>
      <c r="CU37" s="43" t="n">
        <f aca="false">-In_Devex*CU13</f>
        <v>-0</v>
      </c>
      <c r="CV37" s="43" t="n">
        <f aca="false">-In_Devex*CV13</f>
        <v>-0</v>
      </c>
      <c r="CW37" s="43" t="n">
        <f aca="false">-In_Devex*CW13</f>
        <v>-0</v>
      </c>
      <c r="CX37" s="43" t="n">
        <f aca="false">-In_Devex*CX13</f>
        <v>-0</v>
      </c>
      <c r="CY37" s="43" t="n">
        <f aca="false">-In_Devex*CY13</f>
        <v>-0</v>
      </c>
      <c r="CZ37" s="43" t="n">
        <f aca="false">-In_Devex*CZ13</f>
        <v>-0</v>
      </c>
      <c r="DA37" s="43" t="n">
        <f aca="false">-In_Devex*DA13</f>
        <v>-0</v>
      </c>
      <c r="DB37" s="43" t="n">
        <f aca="false">-In_Devex*DB13</f>
        <v>-0</v>
      </c>
      <c r="DC37" s="43" t="n">
        <f aca="false">-In_Devex*DC13</f>
        <v>-0</v>
      </c>
      <c r="DD37" s="43" t="n">
        <f aca="false">-In_Devex*DD13</f>
        <v>-0</v>
      </c>
      <c r="DE37" s="43" t="n">
        <f aca="false">-In_Devex*DE13</f>
        <v>-0</v>
      </c>
      <c r="DF37" s="43" t="n">
        <f aca="false">-In_Devex*DF13</f>
        <v>-0</v>
      </c>
      <c r="DG37" s="43" t="n">
        <f aca="false">-In_Devex*DG13</f>
        <v>-0</v>
      </c>
      <c r="DH37" s="43" t="n">
        <f aca="false">-In_Devex*DH13</f>
        <v>-0</v>
      </c>
      <c r="DI37" s="43" t="n">
        <f aca="false">-In_Devex*DI13</f>
        <v>-0</v>
      </c>
      <c r="DJ37" s="43" t="n">
        <f aca="false">-In_Devex*DJ13</f>
        <v>-0</v>
      </c>
      <c r="DK37" s="43" t="n">
        <f aca="false">-In_Devex*DK13</f>
        <v>-0</v>
      </c>
      <c r="DL37" s="43" t="n">
        <f aca="false">-In_Devex*DL13</f>
        <v>-0</v>
      </c>
      <c r="DM37" s="43" t="n">
        <f aca="false">-In_Devex*DM13</f>
        <v>-0</v>
      </c>
      <c r="DN37" s="43" t="n">
        <f aca="false">-In_Devex*DN13</f>
        <v>-0</v>
      </c>
      <c r="DO37" s="43" t="n">
        <f aca="false">-In_Devex*DO13</f>
        <v>-0</v>
      </c>
      <c r="DP37" s="43" t="n">
        <f aca="false">-In_Devex*DP13</f>
        <v>-0</v>
      </c>
      <c r="DQ37" s="43" t="n">
        <f aca="false">-In_Devex*DQ13</f>
        <v>-0</v>
      </c>
      <c r="DR37" s="43" t="n">
        <f aca="false">-In_Devex*DR13</f>
        <v>-0</v>
      </c>
      <c r="DS37" s="43" t="n">
        <f aca="false">-In_Devex*DS13</f>
        <v>-0</v>
      </c>
      <c r="DT37" s="43" t="n">
        <f aca="false">-In_Devex*DT13</f>
        <v>-0</v>
      </c>
      <c r="DU37" s="43" t="n">
        <f aca="false">-In_Devex*DU13</f>
        <v>-0</v>
      </c>
      <c r="DV37" s="43" t="n">
        <f aca="false">-In_Devex*DV13</f>
        <v>-0</v>
      </c>
      <c r="DW37" s="43" t="n">
        <f aca="false">-In_Devex*DW13</f>
        <v>-0</v>
      </c>
      <c r="DX37" s="43" t="n">
        <f aca="false">-In_Devex*DX13</f>
        <v>-0</v>
      </c>
      <c r="DY37" s="43" t="n">
        <f aca="false">-In_Devex*DY13</f>
        <v>-0</v>
      </c>
      <c r="DZ37" s="43" t="n">
        <f aca="false">-In_Devex*DZ13</f>
        <v>-0</v>
      </c>
      <c r="EA37" s="43" t="n">
        <f aca="false">-In_Devex*EA13</f>
        <v>-0</v>
      </c>
      <c r="EB37" s="43" t="n">
        <f aca="false">-In_Devex*EB13</f>
        <v>-0</v>
      </c>
      <c r="EC37" s="43" t="n">
        <f aca="false">-In_Devex*EC13</f>
        <v>-0</v>
      </c>
      <c r="ED37" s="43" t="n">
        <f aca="false">-In_Devex*ED13</f>
        <v>-0</v>
      </c>
      <c r="EE37" s="43" t="n">
        <f aca="false">-In_Devex*EE13</f>
        <v>-0</v>
      </c>
      <c r="EF37" s="43" t="n">
        <f aca="false">-In_Devex*EF13</f>
        <v>-0</v>
      </c>
      <c r="EG37" s="43" t="n">
        <f aca="false">-In_Devex*EG13</f>
        <v>-0</v>
      </c>
      <c r="EH37" s="43" t="n">
        <f aca="false">-In_Devex*EH13</f>
        <v>-0</v>
      </c>
      <c r="EI37" s="43" t="n">
        <f aca="false">-In_Devex*EI13</f>
        <v>-0</v>
      </c>
      <c r="EJ37" s="43" t="n">
        <f aca="false">-In_Devex*EJ13</f>
        <v>-0</v>
      </c>
      <c r="EK37" s="43" t="n">
        <f aca="false">-In_Devex*EK13</f>
        <v>-0</v>
      </c>
      <c r="EL37" s="43" t="n">
        <f aca="false">-In_Devex*EL13</f>
        <v>-0</v>
      </c>
      <c r="EM37" s="43" t="n">
        <f aca="false">-In_Devex*EM13</f>
        <v>-0</v>
      </c>
      <c r="EN37" s="43" t="n">
        <f aca="false">-In_Devex*EN13</f>
        <v>-0</v>
      </c>
      <c r="EO37" s="43" t="n">
        <f aca="false">-In_Devex*EO13</f>
        <v>-0</v>
      </c>
    </row>
    <row r="38" customFormat="false" ht="15" hidden="false" customHeight="false" outlineLevel="0" collapsed="false">
      <c r="C38" s="0" t="s">
        <v>351</v>
      </c>
      <c r="D38" s="11" t="s">
        <v>226</v>
      </c>
      <c r="E38" s="43" t="n">
        <f aca="false">In_Wind_MW*In_Bench_Wind</f>
        <v>20300</v>
      </c>
    </row>
    <row r="39" customFormat="false" ht="15" hidden="false" customHeight="false" outlineLevel="0" collapsed="false">
      <c r="C39" s="0" t="s">
        <v>352</v>
      </c>
      <c r="D39" s="11" t="s">
        <v>33</v>
      </c>
      <c r="E39" s="43" t="n">
        <f aca="false">In_Part_Fee*Thousand/In_FX</f>
        <v>8.21917808219178</v>
      </c>
      <c r="F39" s="20" t="n">
        <f aca="false">In_Bid_Date</f>
        <v>46325</v>
      </c>
      <c r="I39" s="43" t="n">
        <f aca="false">SUM(J39:EO39)</f>
        <v>-8.21917808219178</v>
      </c>
      <c r="J39" s="43" t="n">
        <f aca="false">-$E39*N(AND(J$3&lt;=$F39,J$4&gt;=$F39))</f>
        <v>-8.21917808219178</v>
      </c>
      <c r="K39" s="43" t="n">
        <f aca="false">-$E39*N(AND(K$3&lt;=$F39,K$4&gt;=$F39))</f>
        <v>-0</v>
      </c>
      <c r="L39" s="43" t="n">
        <f aca="false">-$E39*N(AND(L$3&lt;=$F39,L$4&gt;=$F39))</f>
        <v>-0</v>
      </c>
      <c r="M39" s="43" t="n">
        <f aca="false">-$E39*N(AND(M$3&lt;=$F39,M$4&gt;=$F39))</f>
        <v>-0</v>
      </c>
      <c r="N39" s="43" t="n">
        <f aca="false">-$E39*N(AND(N$3&lt;=$F39,N$4&gt;=$F39))</f>
        <v>-0</v>
      </c>
      <c r="O39" s="43" t="n">
        <f aca="false">-$E39*N(AND(O$3&lt;=$F39,O$4&gt;=$F39))</f>
        <v>-0</v>
      </c>
      <c r="P39" s="43" t="n">
        <f aca="false">-$E39*N(AND(P$3&lt;=$F39,P$4&gt;=$F39))</f>
        <v>-0</v>
      </c>
      <c r="Q39" s="43" t="n">
        <f aca="false">-$E39*N(AND(Q$3&lt;=$F39,Q$4&gt;=$F39))</f>
        <v>-0</v>
      </c>
      <c r="R39" s="43" t="n">
        <f aca="false">-$E39*N(AND(R$3&lt;=$F39,R$4&gt;=$F39))</f>
        <v>-0</v>
      </c>
      <c r="S39" s="43" t="n">
        <f aca="false">-$E39*N(AND(S$3&lt;=$F39,S$4&gt;=$F39))</f>
        <v>-0</v>
      </c>
      <c r="T39" s="43" t="n">
        <f aca="false">-$E39*N(AND(T$3&lt;=$F39,T$4&gt;=$F39))</f>
        <v>-0</v>
      </c>
      <c r="U39" s="43" t="n">
        <f aca="false">-$E39*N(AND(U$3&lt;=$F39,U$4&gt;=$F39))</f>
        <v>-0</v>
      </c>
      <c r="V39" s="43" t="n">
        <f aca="false">-$E39*N(AND(V$3&lt;=$F39,V$4&gt;=$F39))</f>
        <v>-0</v>
      </c>
      <c r="W39" s="43" t="n">
        <f aca="false">-$E39*N(AND(W$3&lt;=$F39,W$4&gt;=$F39))</f>
        <v>-0</v>
      </c>
      <c r="X39" s="43" t="n">
        <f aca="false">-$E39*N(AND(X$3&lt;=$F39,X$4&gt;=$F39))</f>
        <v>-0</v>
      </c>
      <c r="Y39" s="43" t="n">
        <f aca="false">-$E39*N(AND(Y$3&lt;=$F39,Y$4&gt;=$F39))</f>
        <v>-0</v>
      </c>
      <c r="Z39" s="43" t="n">
        <f aca="false">-$E39*N(AND(Z$3&lt;=$F39,Z$4&gt;=$F39))</f>
        <v>-0</v>
      </c>
      <c r="AA39" s="43" t="n">
        <f aca="false">-$E39*N(AND(AA$3&lt;=$F39,AA$4&gt;=$F39))</f>
        <v>-0</v>
      </c>
      <c r="AB39" s="43" t="n">
        <f aca="false">-$E39*N(AND(AB$3&lt;=$F39,AB$4&gt;=$F39))</f>
        <v>-0</v>
      </c>
      <c r="AC39" s="43" t="n">
        <f aca="false">-$E39*N(AND(AC$3&lt;=$F39,AC$4&gt;=$F39))</f>
        <v>-0</v>
      </c>
      <c r="AD39" s="43" t="n">
        <f aca="false">-$E39*N(AND(AD$3&lt;=$F39,AD$4&gt;=$F39))</f>
        <v>-0</v>
      </c>
      <c r="AE39" s="43" t="n">
        <f aca="false">-$E39*N(AND(AE$3&lt;=$F39,AE$4&gt;=$F39))</f>
        <v>-0</v>
      </c>
      <c r="AF39" s="43" t="n">
        <f aca="false">-$E39*N(AND(AF$3&lt;=$F39,AF$4&gt;=$F39))</f>
        <v>-0</v>
      </c>
      <c r="AG39" s="43" t="n">
        <f aca="false">-$E39*N(AND(AG$3&lt;=$F39,AG$4&gt;=$F39))</f>
        <v>-0</v>
      </c>
      <c r="AH39" s="43" t="n">
        <f aca="false">-$E39*N(AND(AH$3&lt;=$F39,AH$4&gt;=$F39))</f>
        <v>-0</v>
      </c>
      <c r="AI39" s="43" t="n">
        <f aca="false">-$E39*N(AND(AI$3&lt;=$F39,AI$4&gt;=$F39))</f>
        <v>-0</v>
      </c>
      <c r="AJ39" s="43" t="n">
        <f aca="false">-$E39*N(AND(AJ$3&lt;=$F39,AJ$4&gt;=$F39))</f>
        <v>-0</v>
      </c>
      <c r="AK39" s="43" t="n">
        <f aca="false">-$E39*N(AND(AK$3&lt;=$F39,AK$4&gt;=$F39))</f>
        <v>-0</v>
      </c>
      <c r="AL39" s="43" t="n">
        <f aca="false">-$E39*N(AND(AL$3&lt;=$F39,AL$4&gt;=$F39))</f>
        <v>-0</v>
      </c>
      <c r="AM39" s="43" t="n">
        <f aca="false">-$E39*N(AND(AM$3&lt;=$F39,AM$4&gt;=$F39))</f>
        <v>-0</v>
      </c>
      <c r="AN39" s="43" t="n">
        <f aca="false">-$E39*N(AND(AN$3&lt;=$F39,AN$4&gt;=$F39))</f>
        <v>-0</v>
      </c>
      <c r="AO39" s="43" t="n">
        <f aca="false">-$E39*N(AND(AO$3&lt;=$F39,AO$4&gt;=$F39))</f>
        <v>-0</v>
      </c>
      <c r="AP39" s="43" t="n">
        <f aca="false">-$E39*N(AND(AP$3&lt;=$F39,AP$4&gt;=$F39))</f>
        <v>-0</v>
      </c>
      <c r="AQ39" s="43" t="n">
        <f aca="false">-$E39*N(AND(AQ$3&lt;=$F39,AQ$4&gt;=$F39))</f>
        <v>-0</v>
      </c>
      <c r="AR39" s="43" t="n">
        <f aca="false">-$E39*N(AND(AR$3&lt;=$F39,AR$4&gt;=$F39))</f>
        <v>-0</v>
      </c>
      <c r="AS39" s="43" t="n">
        <f aca="false">-$E39*N(AND(AS$3&lt;=$F39,AS$4&gt;=$F39))</f>
        <v>-0</v>
      </c>
      <c r="AT39" s="43" t="n">
        <f aca="false">-$E39*N(AND(AT$3&lt;=$F39,AT$4&gt;=$F39))</f>
        <v>-0</v>
      </c>
      <c r="AU39" s="43" t="n">
        <f aca="false">-$E39*N(AND(AU$3&lt;=$F39,AU$4&gt;=$F39))</f>
        <v>-0</v>
      </c>
      <c r="AV39" s="43" t="n">
        <f aca="false">-$E39*N(AND(AV$3&lt;=$F39,AV$4&gt;=$F39))</f>
        <v>-0</v>
      </c>
      <c r="AW39" s="43" t="n">
        <f aca="false">-$E39*N(AND(AW$3&lt;=$F39,AW$4&gt;=$F39))</f>
        <v>-0</v>
      </c>
      <c r="AX39" s="43" t="n">
        <f aca="false">-$E39*N(AND(AX$3&lt;=$F39,AX$4&gt;=$F39))</f>
        <v>-0</v>
      </c>
      <c r="AY39" s="43" t="n">
        <f aca="false">-$E39*N(AND(AY$3&lt;=$F39,AY$4&gt;=$F39))</f>
        <v>-0</v>
      </c>
      <c r="AZ39" s="43" t="n">
        <f aca="false">-$E39*N(AND(AZ$3&lt;=$F39,AZ$4&gt;=$F39))</f>
        <v>-0</v>
      </c>
      <c r="BA39" s="43" t="n">
        <f aca="false">-$E39*N(AND(BA$3&lt;=$F39,BA$4&gt;=$F39))</f>
        <v>-0</v>
      </c>
      <c r="BB39" s="43" t="n">
        <f aca="false">-$E39*N(AND(BB$3&lt;=$F39,BB$4&gt;=$F39))</f>
        <v>-0</v>
      </c>
      <c r="BC39" s="43" t="n">
        <f aca="false">-$E39*N(AND(BC$3&lt;=$F39,BC$4&gt;=$F39))</f>
        <v>-0</v>
      </c>
      <c r="BD39" s="43" t="n">
        <f aca="false">-$E39*N(AND(BD$3&lt;=$F39,BD$4&gt;=$F39))</f>
        <v>-0</v>
      </c>
      <c r="BE39" s="43" t="n">
        <f aca="false">-$E39*N(AND(BE$3&lt;=$F39,BE$4&gt;=$F39))</f>
        <v>-0</v>
      </c>
      <c r="BF39" s="43" t="n">
        <f aca="false">-$E39*N(AND(BF$3&lt;=$F39,BF$4&gt;=$F39))</f>
        <v>-0</v>
      </c>
      <c r="BG39" s="43" t="n">
        <f aca="false">-$E39*N(AND(BG$3&lt;=$F39,BG$4&gt;=$F39))</f>
        <v>-0</v>
      </c>
      <c r="BH39" s="43" t="n">
        <f aca="false">-$E39*N(AND(BH$3&lt;=$F39,BH$4&gt;=$F39))</f>
        <v>-0</v>
      </c>
      <c r="BI39" s="43" t="n">
        <f aca="false">-$E39*N(AND(BI$3&lt;=$F39,BI$4&gt;=$F39))</f>
        <v>-0</v>
      </c>
      <c r="BJ39" s="43" t="n">
        <f aca="false">-$E39*N(AND(BJ$3&lt;=$F39,BJ$4&gt;=$F39))</f>
        <v>-0</v>
      </c>
      <c r="BK39" s="43" t="n">
        <f aca="false">-$E39*N(AND(BK$3&lt;=$F39,BK$4&gt;=$F39))</f>
        <v>-0</v>
      </c>
      <c r="BL39" s="43" t="n">
        <f aca="false">-$E39*N(AND(BL$3&lt;=$F39,BL$4&gt;=$F39))</f>
        <v>-0</v>
      </c>
      <c r="BM39" s="43" t="n">
        <f aca="false">-$E39*N(AND(BM$3&lt;=$F39,BM$4&gt;=$F39))</f>
        <v>-0</v>
      </c>
      <c r="BN39" s="43" t="n">
        <f aca="false">-$E39*N(AND(BN$3&lt;=$F39,BN$4&gt;=$F39))</f>
        <v>-0</v>
      </c>
      <c r="BO39" s="43" t="n">
        <f aca="false">-$E39*N(AND(BO$3&lt;=$F39,BO$4&gt;=$F39))</f>
        <v>-0</v>
      </c>
      <c r="BP39" s="43" t="n">
        <f aca="false">-$E39*N(AND(BP$3&lt;=$F39,BP$4&gt;=$F39))</f>
        <v>-0</v>
      </c>
      <c r="BQ39" s="43" t="n">
        <f aca="false">-$E39*N(AND(BQ$3&lt;=$F39,BQ$4&gt;=$F39))</f>
        <v>-0</v>
      </c>
      <c r="BR39" s="43" t="n">
        <f aca="false">-$E39*N(AND(BR$3&lt;=$F39,BR$4&gt;=$F39))</f>
        <v>-0</v>
      </c>
      <c r="BS39" s="43" t="n">
        <f aca="false">-$E39*N(AND(BS$3&lt;=$F39,BS$4&gt;=$F39))</f>
        <v>-0</v>
      </c>
      <c r="BT39" s="43" t="n">
        <f aca="false">-$E39*N(AND(BT$3&lt;=$F39,BT$4&gt;=$F39))</f>
        <v>-0</v>
      </c>
      <c r="BU39" s="43" t="n">
        <f aca="false">-$E39*N(AND(BU$3&lt;=$F39,BU$4&gt;=$F39))</f>
        <v>-0</v>
      </c>
      <c r="BV39" s="43" t="n">
        <f aca="false">-$E39*N(AND(BV$3&lt;=$F39,BV$4&gt;=$F39))</f>
        <v>-0</v>
      </c>
      <c r="BW39" s="43" t="n">
        <f aca="false">-$E39*N(AND(BW$3&lt;=$F39,BW$4&gt;=$F39))</f>
        <v>-0</v>
      </c>
      <c r="BX39" s="43" t="n">
        <f aca="false">-$E39*N(AND(BX$3&lt;=$F39,BX$4&gt;=$F39))</f>
        <v>-0</v>
      </c>
      <c r="BY39" s="43" t="n">
        <f aca="false">-$E39*N(AND(BY$3&lt;=$F39,BY$4&gt;=$F39))</f>
        <v>-0</v>
      </c>
      <c r="BZ39" s="43" t="n">
        <f aca="false">-$E39*N(AND(BZ$3&lt;=$F39,BZ$4&gt;=$F39))</f>
        <v>-0</v>
      </c>
      <c r="CA39" s="43" t="n">
        <f aca="false">-$E39*N(AND(CA$3&lt;=$F39,CA$4&gt;=$F39))</f>
        <v>-0</v>
      </c>
      <c r="CB39" s="43" t="n">
        <f aca="false">-$E39*N(AND(CB$3&lt;=$F39,CB$4&gt;=$F39))</f>
        <v>-0</v>
      </c>
      <c r="CC39" s="43" t="n">
        <f aca="false">-$E39*N(AND(CC$3&lt;=$F39,CC$4&gt;=$F39))</f>
        <v>-0</v>
      </c>
      <c r="CD39" s="43" t="n">
        <f aca="false">-$E39*N(AND(CD$3&lt;=$F39,CD$4&gt;=$F39))</f>
        <v>-0</v>
      </c>
      <c r="CE39" s="43" t="n">
        <f aca="false">-$E39*N(AND(CE$3&lt;=$F39,CE$4&gt;=$F39))</f>
        <v>-0</v>
      </c>
      <c r="CF39" s="43" t="n">
        <f aca="false">-$E39*N(AND(CF$3&lt;=$F39,CF$4&gt;=$F39))</f>
        <v>-0</v>
      </c>
      <c r="CG39" s="43" t="n">
        <f aca="false">-$E39*N(AND(CG$3&lt;=$F39,CG$4&gt;=$F39))</f>
        <v>-0</v>
      </c>
      <c r="CH39" s="43" t="n">
        <f aca="false">-$E39*N(AND(CH$3&lt;=$F39,CH$4&gt;=$F39))</f>
        <v>-0</v>
      </c>
      <c r="CI39" s="43" t="n">
        <f aca="false">-$E39*N(AND(CI$3&lt;=$F39,CI$4&gt;=$F39))</f>
        <v>-0</v>
      </c>
      <c r="CJ39" s="43" t="n">
        <f aca="false">-$E39*N(AND(CJ$3&lt;=$F39,CJ$4&gt;=$F39))</f>
        <v>-0</v>
      </c>
      <c r="CK39" s="43" t="n">
        <f aca="false">-$E39*N(AND(CK$3&lt;=$F39,CK$4&gt;=$F39))</f>
        <v>-0</v>
      </c>
      <c r="CL39" s="43" t="n">
        <f aca="false">-$E39*N(AND(CL$3&lt;=$F39,CL$4&gt;=$F39))</f>
        <v>-0</v>
      </c>
      <c r="CM39" s="43" t="n">
        <f aca="false">-$E39*N(AND(CM$3&lt;=$F39,CM$4&gt;=$F39))</f>
        <v>-0</v>
      </c>
      <c r="CN39" s="43" t="n">
        <f aca="false">-$E39*N(AND(CN$3&lt;=$F39,CN$4&gt;=$F39))</f>
        <v>-0</v>
      </c>
      <c r="CO39" s="43" t="n">
        <f aca="false">-$E39*N(AND(CO$3&lt;=$F39,CO$4&gt;=$F39))</f>
        <v>-0</v>
      </c>
      <c r="CP39" s="43" t="n">
        <f aca="false">-$E39*N(AND(CP$3&lt;=$F39,CP$4&gt;=$F39))</f>
        <v>-0</v>
      </c>
      <c r="CQ39" s="43" t="n">
        <f aca="false">-$E39*N(AND(CQ$3&lt;=$F39,CQ$4&gt;=$F39))</f>
        <v>-0</v>
      </c>
      <c r="CR39" s="43" t="n">
        <f aca="false">-$E39*N(AND(CR$3&lt;=$F39,CR$4&gt;=$F39))</f>
        <v>-0</v>
      </c>
      <c r="CS39" s="43" t="n">
        <f aca="false">-$E39*N(AND(CS$3&lt;=$F39,CS$4&gt;=$F39))</f>
        <v>-0</v>
      </c>
      <c r="CT39" s="43" t="n">
        <f aca="false">-$E39*N(AND(CT$3&lt;=$F39,CT$4&gt;=$F39))</f>
        <v>-0</v>
      </c>
      <c r="CU39" s="43" t="n">
        <f aca="false">-$E39*N(AND(CU$3&lt;=$F39,CU$4&gt;=$F39))</f>
        <v>-0</v>
      </c>
      <c r="CV39" s="43" t="n">
        <f aca="false">-$E39*N(AND(CV$3&lt;=$F39,CV$4&gt;=$F39))</f>
        <v>-0</v>
      </c>
      <c r="CW39" s="43" t="n">
        <f aca="false">-$E39*N(AND(CW$3&lt;=$F39,CW$4&gt;=$F39))</f>
        <v>-0</v>
      </c>
      <c r="CX39" s="43" t="n">
        <f aca="false">-$E39*N(AND(CX$3&lt;=$F39,CX$4&gt;=$F39))</f>
        <v>-0</v>
      </c>
      <c r="CY39" s="43" t="n">
        <f aca="false">-$E39*N(AND(CY$3&lt;=$F39,CY$4&gt;=$F39))</f>
        <v>-0</v>
      </c>
      <c r="CZ39" s="43" t="n">
        <f aca="false">-$E39*N(AND(CZ$3&lt;=$F39,CZ$4&gt;=$F39))</f>
        <v>-0</v>
      </c>
      <c r="DA39" s="43" t="n">
        <f aca="false">-$E39*N(AND(DA$3&lt;=$F39,DA$4&gt;=$F39))</f>
        <v>-0</v>
      </c>
      <c r="DB39" s="43" t="n">
        <f aca="false">-$E39*N(AND(DB$3&lt;=$F39,DB$4&gt;=$F39))</f>
        <v>-0</v>
      </c>
      <c r="DC39" s="43" t="n">
        <f aca="false">-$E39*N(AND(DC$3&lt;=$F39,DC$4&gt;=$F39))</f>
        <v>-0</v>
      </c>
      <c r="DD39" s="43" t="n">
        <f aca="false">-$E39*N(AND(DD$3&lt;=$F39,DD$4&gt;=$F39))</f>
        <v>-0</v>
      </c>
      <c r="DE39" s="43" t="n">
        <f aca="false">-$E39*N(AND(DE$3&lt;=$F39,DE$4&gt;=$F39))</f>
        <v>-0</v>
      </c>
      <c r="DF39" s="43" t="n">
        <f aca="false">-$E39*N(AND(DF$3&lt;=$F39,DF$4&gt;=$F39))</f>
        <v>-0</v>
      </c>
      <c r="DG39" s="43" t="n">
        <f aca="false">-$E39*N(AND(DG$3&lt;=$F39,DG$4&gt;=$F39))</f>
        <v>-0</v>
      </c>
      <c r="DH39" s="43" t="n">
        <f aca="false">-$E39*N(AND(DH$3&lt;=$F39,DH$4&gt;=$F39))</f>
        <v>-0</v>
      </c>
      <c r="DI39" s="43" t="n">
        <f aca="false">-$E39*N(AND(DI$3&lt;=$F39,DI$4&gt;=$F39))</f>
        <v>-0</v>
      </c>
      <c r="DJ39" s="43" t="n">
        <f aca="false">-$E39*N(AND(DJ$3&lt;=$F39,DJ$4&gt;=$F39))</f>
        <v>-0</v>
      </c>
      <c r="DK39" s="43" t="n">
        <f aca="false">-$E39*N(AND(DK$3&lt;=$F39,DK$4&gt;=$F39))</f>
        <v>-0</v>
      </c>
      <c r="DL39" s="43" t="n">
        <f aca="false">-$E39*N(AND(DL$3&lt;=$F39,DL$4&gt;=$F39))</f>
        <v>-0</v>
      </c>
      <c r="DM39" s="43" t="n">
        <f aca="false">-$E39*N(AND(DM$3&lt;=$F39,DM$4&gt;=$F39))</f>
        <v>-0</v>
      </c>
      <c r="DN39" s="43" t="n">
        <f aca="false">-$E39*N(AND(DN$3&lt;=$F39,DN$4&gt;=$F39))</f>
        <v>-0</v>
      </c>
      <c r="DO39" s="43" t="n">
        <f aca="false">-$E39*N(AND(DO$3&lt;=$F39,DO$4&gt;=$F39))</f>
        <v>-0</v>
      </c>
      <c r="DP39" s="43" t="n">
        <f aca="false">-$E39*N(AND(DP$3&lt;=$F39,DP$4&gt;=$F39))</f>
        <v>-0</v>
      </c>
      <c r="DQ39" s="43" t="n">
        <f aca="false">-$E39*N(AND(DQ$3&lt;=$F39,DQ$4&gt;=$F39))</f>
        <v>-0</v>
      </c>
      <c r="DR39" s="43" t="n">
        <f aca="false">-$E39*N(AND(DR$3&lt;=$F39,DR$4&gt;=$F39))</f>
        <v>-0</v>
      </c>
      <c r="DS39" s="43" t="n">
        <f aca="false">-$E39*N(AND(DS$3&lt;=$F39,DS$4&gt;=$F39))</f>
        <v>-0</v>
      </c>
      <c r="DT39" s="43" t="n">
        <f aca="false">-$E39*N(AND(DT$3&lt;=$F39,DT$4&gt;=$F39))</f>
        <v>-0</v>
      </c>
      <c r="DU39" s="43" t="n">
        <f aca="false">-$E39*N(AND(DU$3&lt;=$F39,DU$4&gt;=$F39))</f>
        <v>-0</v>
      </c>
      <c r="DV39" s="43" t="n">
        <f aca="false">-$E39*N(AND(DV$3&lt;=$F39,DV$4&gt;=$F39))</f>
        <v>-0</v>
      </c>
      <c r="DW39" s="43" t="n">
        <f aca="false">-$E39*N(AND(DW$3&lt;=$F39,DW$4&gt;=$F39))</f>
        <v>-0</v>
      </c>
      <c r="DX39" s="43" t="n">
        <f aca="false">-$E39*N(AND(DX$3&lt;=$F39,DX$4&gt;=$F39))</f>
        <v>-0</v>
      </c>
      <c r="DY39" s="43" t="n">
        <f aca="false">-$E39*N(AND(DY$3&lt;=$F39,DY$4&gt;=$F39))</f>
        <v>-0</v>
      </c>
      <c r="DZ39" s="43" t="n">
        <f aca="false">-$E39*N(AND(DZ$3&lt;=$F39,DZ$4&gt;=$F39))</f>
        <v>-0</v>
      </c>
      <c r="EA39" s="43" t="n">
        <f aca="false">-$E39*N(AND(EA$3&lt;=$F39,EA$4&gt;=$F39))</f>
        <v>-0</v>
      </c>
      <c r="EB39" s="43" t="n">
        <f aca="false">-$E39*N(AND(EB$3&lt;=$F39,EB$4&gt;=$F39))</f>
        <v>-0</v>
      </c>
      <c r="EC39" s="43" t="n">
        <f aca="false">-$E39*N(AND(EC$3&lt;=$F39,EC$4&gt;=$F39))</f>
        <v>-0</v>
      </c>
      <c r="ED39" s="43" t="n">
        <f aca="false">-$E39*N(AND(ED$3&lt;=$F39,ED$4&gt;=$F39))</f>
        <v>-0</v>
      </c>
      <c r="EE39" s="43" t="n">
        <f aca="false">-$E39*N(AND(EE$3&lt;=$F39,EE$4&gt;=$F39))</f>
        <v>-0</v>
      </c>
      <c r="EF39" s="43" t="n">
        <f aca="false">-$E39*N(AND(EF$3&lt;=$F39,EF$4&gt;=$F39))</f>
        <v>-0</v>
      </c>
      <c r="EG39" s="43" t="n">
        <f aca="false">-$E39*N(AND(EG$3&lt;=$F39,EG$4&gt;=$F39))</f>
        <v>-0</v>
      </c>
      <c r="EH39" s="43" t="n">
        <f aca="false">-$E39*N(AND(EH$3&lt;=$F39,EH$4&gt;=$F39))</f>
        <v>-0</v>
      </c>
      <c r="EI39" s="43" t="n">
        <f aca="false">-$E39*N(AND(EI$3&lt;=$F39,EI$4&gt;=$F39))</f>
        <v>-0</v>
      </c>
      <c r="EJ39" s="43" t="n">
        <f aca="false">-$E39*N(AND(EJ$3&lt;=$F39,EJ$4&gt;=$F39))</f>
        <v>-0</v>
      </c>
      <c r="EK39" s="43" t="n">
        <f aca="false">-$E39*N(AND(EK$3&lt;=$F39,EK$4&gt;=$F39))</f>
        <v>-0</v>
      </c>
      <c r="EL39" s="43" t="n">
        <f aca="false">-$E39*N(AND(EL$3&lt;=$F39,EL$4&gt;=$F39))</f>
        <v>-0</v>
      </c>
      <c r="EM39" s="43" t="n">
        <f aca="false">-$E39*N(AND(EM$3&lt;=$F39,EM$4&gt;=$F39))</f>
        <v>-0</v>
      </c>
      <c r="EN39" s="43" t="n">
        <f aca="false">-$E39*N(AND(EN$3&lt;=$F39,EN$4&gt;=$F39))</f>
        <v>-0</v>
      </c>
      <c r="EO39" s="43" t="n">
        <f aca="false">-$E39*N(AND(EO$3&lt;=$F39,EO$4&gt;=$F39))</f>
        <v>-0</v>
      </c>
    </row>
    <row r="40" customFormat="false" ht="15" hidden="false" customHeight="false" outlineLevel="0" collapsed="false">
      <c r="C40" s="0" t="s">
        <v>353</v>
      </c>
      <c r="D40" s="11" t="s">
        <v>33</v>
      </c>
      <c r="E40" s="43" t="n">
        <f aca="false">In_Bid_Rate*$E38*Thousand/In_FX</f>
        <v>278.082191780822</v>
      </c>
      <c r="F40" s="20" t="n">
        <f aca="false">In_Bid_Date</f>
        <v>46325</v>
      </c>
      <c r="J40" s="43" t="n">
        <f aca="false">$E40*MAX(0,(MIN(In_Decision_Date+In_PB_Days-1,J$4)-MAX($F40,J$3)+1)/J$5)</f>
        <v>190.425848719476</v>
      </c>
      <c r="K40" s="43" t="n">
        <f aca="false">$E40*MAX(0,(MIN(In_Decision_Date+In_PB_Days-1,K$4)-MAX($F40,K$3)+1)/K$5)</f>
        <v>139.041095890411</v>
      </c>
      <c r="L40" s="43" t="n">
        <f aca="false">$E40*MAX(0,(MIN(In_Decision_Date+In_PB_Days-1,L$4)-MAX($F40,L$3)+1)/L$5)</f>
        <v>0</v>
      </c>
      <c r="M40" s="43" t="n">
        <f aca="false">$E40*MAX(0,(MIN(In_Decision_Date+In_PB_Days-1,M$4)-MAX($F40,M$3)+1)/M$5)</f>
        <v>0</v>
      </c>
      <c r="N40" s="43" t="n">
        <f aca="false">$E40*MAX(0,(MIN(In_Decision_Date+In_PB_Days-1,N$4)-MAX($F40,N$3)+1)/N$5)</f>
        <v>0</v>
      </c>
      <c r="O40" s="43" t="n">
        <f aca="false">$E40*MAX(0,(MIN(In_Decision_Date+In_PB_Days-1,O$4)-MAX($F40,O$3)+1)/O$5)</f>
        <v>0</v>
      </c>
      <c r="P40" s="43" t="n">
        <f aca="false">$E40*MAX(0,(MIN(In_Decision_Date+In_PB_Days-1,P$4)-MAX($F40,P$3)+1)/P$5)</f>
        <v>0</v>
      </c>
      <c r="Q40" s="43" t="n">
        <f aca="false">$E40*MAX(0,(MIN(In_Decision_Date+In_PB_Days-1,Q$4)-MAX($F40,Q$3)+1)/Q$5)</f>
        <v>0</v>
      </c>
      <c r="R40" s="43" t="n">
        <f aca="false">$E40*MAX(0,(MIN(In_Decision_Date+In_PB_Days-1,R$4)-MAX($F40,R$3)+1)/R$5)</f>
        <v>0</v>
      </c>
      <c r="S40" s="43" t="n">
        <f aca="false">$E40*MAX(0,(MIN(In_Decision_Date+In_PB_Days-1,S$4)-MAX($F40,S$3)+1)/S$5)</f>
        <v>0</v>
      </c>
      <c r="T40" s="43" t="n">
        <f aca="false">$E40*MAX(0,(MIN(In_Decision_Date+In_PB_Days-1,T$4)-MAX($F40,T$3)+1)/T$5)</f>
        <v>0</v>
      </c>
      <c r="U40" s="43" t="n">
        <f aca="false">$E40*MAX(0,(MIN(In_Decision_Date+In_PB_Days-1,U$4)-MAX($F40,U$3)+1)/U$5)</f>
        <v>0</v>
      </c>
      <c r="V40" s="43" t="n">
        <f aca="false">$E40*MAX(0,(MIN(In_Decision_Date+In_PB_Days-1,V$4)-MAX($F40,V$3)+1)/V$5)</f>
        <v>0</v>
      </c>
      <c r="W40" s="43" t="n">
        <f aca="false">$E40*MAX(0,(MIN(In_Decision_Date+In_PB_Days-1,W$4)-MAX($F40,W$3)+1)/W$5)</f>
        <v>0</v>
      </c>
      <c r="X40" s="43" t="n">
        <f aca="false">$E40*MAX(0,(MIN(In_Decision_Date+In_PB_Days-1,X$4)-MAX($F40,X$3)+1)/X$5)</f>
        <v>0</v>
      </c>
      <c r="Y40" s="43" t="n">
        <f aca="false">$E40*MAX(0,(MIN(In_Decision_Date+In_PB_Days-1,Y$4)-MAX($F40,Y$3)+1)/Y$5)</f>
        <v>0</v>
      </c>
      <c r="Z40" s="43" t="n">
        <f aca="false">$E40*MAX(0,(MIN(In_Decision_Date+In_PB_Days-1,Z$4)-MAX($F40,Z$3)+1)/Z$5)</f>
        <v>0</v>
      </c>
      <c r="AA40" s="43" t="n">
        <f aca="false">$E40*MAX(0,(MIN(In_Decision_Date+In_PB_Days-1,AA$4)-MAX($F40,AA$3)+1)/AA$5)</f>
        <v>0</v>
      </c>
      <c r="AB40" s="43" t="n">
        <f aca="false">$E40*MAX(0,(MIN(In_Decision_Date+In_PB_Days-1,AB$4)-MAX($F40,AB$3)+1)/AB$5)</f>
        <v>0</v>
      </c>
      <c r="AC40" s="43" t="n">
        <f aca="false">$E40*MAX(0,(MIN(In_Decision_Date+In_PB_Days-1,AC$4)-MAX($F40,AC$3)+1)/AC$5)</f>
        <v>0</v>
      </c>
      <c r="AD40" s="43" t="n">
        <f aca="false">$E40*MAX(0,(MIN(In_Decision_Date+In_PB_Days-1,AD$4)-MAX($F40,AD$3)+1)/AD$5)</f>
        <v>0</v>
      </c>
      <c r="AE40" s="43" t="n">
        <f aca="false">$E40*MAX(0,(MIN(In_Decision_Date+In_PB_Days-1,AE$4)-MAX($F40,AE$3)+1)/AE$5)</f>
        <v>0</v>
      </c>
      <c r="AF40" s="43" t="n">
        <f aca="false">$E40*MAX(0,(MIN(In_Decision_Date+In_PB_Days-1,AF$4)-MAX($F40,AF$3)+1)/AF$5)</f>
        <v>0</v>
      </c>
      <c r="AG40" s="43" t="n">
        <f aca="false">$E40*MAX(0,(MIN(In_Decision_Date+In_PB_Days-1,AG$4)-MAX($F40,AG$3)+1)/AG$5)</f>
        <v>0</v>
      </c>
      <c r="AH40" s="43" t="n">
        <f aca="false">$E40*MAX(0,(MIN(In_Decision_Date+In_PB_Days-1,AH$4)-MAX($F40,AH$3)+1)/AH$5)</f>
        <v>0</v>
      </c>
      <c r="AI40" s="43" t="n">
        <f aca="false">$E40*MAX(0,(MIN(In_Decision_Date+In_PB_Days-1,AI$4)-MAX($F40,AI$3)+1)/AI$5)</f>
        <v>0</v>
      </c>
      <c r="AJ40" s="43" t="n">
        <f aca="false">$E40*MAX(0,(MIN(In_Decision_Date+In_PB_Days-1,AJ$4)-MAX($F40,AJ$3)+1)/AJ$5)</f>
        <v>0</v>
      </c>
      <c r="AK40" s="43" t="n">
        <f aca="false">$E40*MAX(0,(MIN(In_Decision_Date+In_PB_Days-1,AK$4)-MAX($F40,AK$3)+1)/AK$5)</f>
        <v>0</v>
      </c>
      <c r="AL40" s="43" t="n">
        <f aca="false">$E40*MAX(0,(MIN(In_Decision_Date+In_PB_Days-1,AL$4)-MAX($F40,AL$3)+1)/AL$5)</f>
        <v>0</v>
      </c>
      <c r="AM40" s="43" t="n">
        <f aca="false">$E40*MAX(0,(MIN(In_Decision_Date+In_PB_Days-1,AM$4)-MAX($F40,AM$3)+1)/AM$5)</f>
        <v>0</v>
      </c>
      <c r="AN40" s="43" t="n">
        <f aca="false">$E40*MAX(0,(MIN(In_Decision_Date+In_PB_Days-1,AN$4)-MAX($F40,AN$3)+1)/AN$5)</f>
        <v>0</v>
      </c>
      <c r="AO40" s="43" t="n">
        <f aca="false">$E40*MAX(0,(MIN(In_Decision_Date+In_PB_Days-1,AO$4)-MAX($F40,AO$3)+1)/AO$5)</f>
        <v>0</v>
      </c>
      <c r="AP40" s="43" t="n">
        <f aca="false">$E40*MAX(0,(MIN(In_Decision_Date+In_PB_Days-1,AP$4)-MAX($F40,AP$3)+1)/AP$5)</f>
        <v>0</v>
      </c>
      <c r="AQ40" s="43" t="n">
        <f aca="false">$E40*MAX(0,(MIN(In_Decision_Date+In_PB_Days-1,AQ$4)-MAX($F40,AQ$3)+1)/AQ$5)</f>
        <v>0</v>
      </c>
      <c r="AR40" s="43" t="n">
        <f aca="false">$E40*MAX(0,(MIN(In_Decision_Date+In_PB_Days-1,AR$4)-MAX($F40,AR$3)+1)/AR$5)</f>
        <v>0</v>
      </c>
      <c r="AS40" s="43" t="n">
        <f aca="false">$E40*MAX(0,(MIN(In_Decision_Date+In_PB_Days-1,AS$4)-MAX($F40,AS$3)+1)/AS$5)</f>
        <v>0</v>
      </c>
      <c r="AT40" s="43" t="n">
        <f aca="false">$E40*MAX(0,(MIN(In_Decision_Date+In_PB_Days-1,AT$4)-MAX($F40,AT$3)+1)/AT$5)</f>
        <v>0</v>
      </c>
      <c r="AU40" s="43" t="n">
        <f aca="false">$E40*MAX(0,(MIN(In_Decision_Date+In_PB_Days-1,AU$4)-MAX($F40,AU$3)+1)/AU$5)</f>
        <v>0</v>
      </c>
      <c r="AV40" s="43" t="n">
        <f aca="false">$E40*MAX(0,(MIN(In_Decision_Date+In_PB_Days-1,AV$4)-MAX($F40,AV$3)+1)/AV$5)</f>
        <v>0</v>
      </c>
      <c r="AW40" s="43" t="n">
        <f aca="false">$E40*MAX(0,(MIN(In_Decision_Date+In_PB_Days-1,AW$4)-MAX($F40,AW$3)+1)/AW$5)</f>
        <v>0</v>
      </c>
      <c r="AX40" s="43" t="n">
        <f aca="false">$E40*MAX(0,(MIN(In_Decision_Date+In_PB_Days-1,AX$4)-MAX($F40,AX$3)+1)/AX$5)</f>
        <v>0</v>
      </c>
      <c r="AY40" s="43" t="n">
        <f aca="false">$E40*MAX(0,(MIN(In_Decision_Date+In_PB_Days-1,AY$4)-MAX($F40,AY$3)+1)/AY$5)</f>
        <v>0</v>
      </c>
      <c r="AZ40" s="43" t="n">
        <f aca="false">$E40*MAX(0,(MIN(In_Decision_Date+In_PB_Days-1,AZ$4)-MAX($F40,AZ$3)+1)/AZ$5)</f>
        <v>0</v>
      </c>
      <c r="BA40" s="43" t="n">
        <f aca="false">$E40*MAX(0,(MIN(In_Decision_Date+In_PB_Days-1,BA$4)-MAX($F40,BA$3)+1)/BA$5)</f>
        <v>0</v>
      </c>
      <c r="BB40" s="43" t="n">
        <f aca="false">$E40*MAX(0,(MIN(In_Decision_Date+In_PB_Days-1,BB$4)-MAX($F40,BB$3)+1)/BB$5)</f>
        <v>0</v>
      </c>
      <c r="BC40" s="43" t="n">
        <f aca="false">$E40*MAX(0,(MIN(In_Decision_Date+In_PB_Days-1,BC$4)-MAX($F40,BC$3)+1)/BC$5)</f>
        <v>0</v>
      </c>
      <c r="BD40" s="43" t="n">
        <f aca="false">$E40*MAX(0,(MIN(In_Decision_Date+In_PB_Days-1,BD$4)-MAX($F40,BD$3)+1)/BD$5)</f>
        <v>0</v>
      </c>
      <c r="BE40" s="43" t="n">
        <f aca="false">$E40*MAX(0,(MIN(In_Decision_Date+In_PB_Days-1,BE$4)-MAX($F40,BE$3)+1)/BE$5)</f>
        <v>0</v>
      </c>
      <c r="BF40" s="43" t="n">
        <f aca="false">$E40*MAX(0,(MIN(In_Decision_Date+In_PB_Days-1,BF$4)-MAX($F40,BF$3)+1)/BF$5)</f>
        <v>0</v>
      </c>
      <c r="BG40" s="43" t="n">
        <f aca="false">$E40*MAX(0,(MIN(In_Decision_Date+In_PB_Days-1,BG$4)-MAX($F40,BG$3)+1)/BG$5)</f>
        <v>0</v>
      </c>
      <c r="BH40" s="43" t="n">
        <f aca="false">$E40*MAX(0,(MIN(In_Decision_Date+In_PB_Days-1,BH$4)-MAX($F40,BH$3)+1)/BH$5)</f>
        <v>0</v>
      </c>
      <c r="BI40" s="43" t="n">
        <f aca="false">$E40*MAX(0,(MIN(In_Decision_Date+In_PB_Days-1,BI$4)-MAX($F40,BI$3)+1)/BI$5)</f>
        <v>0</v>
      </c>
      <c r="BJ40" s="43" t="n">
        <f aca="false">$E40*MAX(0,(MIN(In_Decision_Date+In_PB_Days-1,BJ$4)-MAX($F40,BJ$3)+1)/BJ$5)</f>
        <v>0</v>
      </c>
      <c r="BK40" s="43" t="n">
        <f aca="false">$E40*MAX(0,(MIN(In_Decision_Date+In_PB_Days-1,BK$4)-MAX($F40,BK$3)+1)/BK$5)</f>
        <v>0</v>
      </c>
      <c r="BL40" s="43" t="n">
        <f aca="false">$E40*MAX(0,(MIN(In_Decision_Date+In_PB_Days-1,BL$4)-MAX($F40,BL$3)+1)/BL$5)</f>
        <v>0</v>
      </c>
      <c r="BM40" s="43" t="n">
        <f aca="false">$E40*MAX(0,(MIN(In_Decision_Date+In_PB_Days-1,BM$4)-MAX($F40,BM$3)+1)/BM$5)</f>
        <v>0</v>
      </c>
      <c r="BN40" s="43" t="n">
        <f aca="false">$E40*MAX(0,(MIN(In_Decision_Date+In_PB_Days-1,BN$4)-MAX($F40,BN$3)+1)/BN$5)</f>
        <v>0</v>
      </c>
      <c r="BO40" s="43" t="n">
        <f aca="false">$E40*MAX(0,(MIN(In_Decision_Date+In_PB_Days-1,BO$4)-MAX($F40,BO$3)+1)/BO$5)</f>
        <v>0</v>
      </c>
      <c r="BP40" s="43" t="n">
        <f aca="false">$E40*MAX(0,(MIN(In_Decision_Date+In_PB_Days-1,BP$4)-MAX($F40,BP$3)+1)/BP$5)</f>
        <v>0</v>
      </c>
      <c r="BQ40" s="43" t="n">
        <f aca="false">$E40*MAX(0,(MIN(In_Decision_Date+In_PB_Days-1,BQ$4)-MAX($F40,BQ$3)+1)/BQ$5)</f>
        <v>0</v>
      </c>
      <c r="BR40" s="43" t="n">
        <f aca="false">$E40*MAX(0,(MIN(In_Decision_Date+In_PB_Days-1,BR$4)-MAX($F40,BR$3)+1)/BR$5)</f>
        <v>0</v>
      </c>
      <c r="BS40" s="43" t="n">
        <f aca="false">$E40*MAX(0,(MIN(In_Decision_Date+In_PB_Days-1,BS$4)-MAX($F40,BS$3)+1)/BS$5)</f>
        <v>0</v>
      </c>
      <c r="BT40" s="43" t="n">
        <f aca="false">$E40*MAX(0,(MIN(In_Decision_Date+In_PB_Days-1,BT$4)-MAX($F40,BT$3)+1)/BT$5)</f>
        <v>0</v>
      </c>
      <c r="BU40" s="43" t="n">
        <f aca="false">$E40*MAX(0,(MIN(In_Decision_Date+In_PB_Days-1,BU$4)-MAX($F40,BU$3)+1)/BU$5)</f>
        <v>0</v>
      </c>
      <c r="BV40" s="43" t="n">
        <f aca="false">$E40*MAX(0,(MIN(In_Decision_Date+In_PB_Days-1,BV$4)-MAX($F40,BV$3)+1)/BV$5)</f>
        <v>0</v>
      </c>
      <c r="BW40" s="43" t="n">
        <f aca="false">$E40*MAX(0,(MIN(In_Decision_Date+In_PB_Days-1,BW$4)-MAX($F40,BW$3)+1)/BW$5)</f>
        <v>0</v>
      </c>
      <c r="BX40" s="43" t="n">
        <f aca="false">$E40*MAX(0,(MIN(In_Decision_Date+In_PB_Days-1,BX$4)-MAX($F40,BX$3)+1)/BX$5)</f>
        <v>0</v>
      </c>
      <c r="BY40" s="43" t="n">
        <f aca="false">$E40*MAX(0,(MIN(In_Decision_Date+In_PB_Days-1,BY$4)-MAX($F40,BY$3)+1)/BY$5)</f>
        <v>0</v>
      </c>
      <c r="BZ40" s="43" t="n">
        <f aca="false">$E40*MAX(0,(MIN(In_Decision_Date+In_PB_Days-1,BZ$4)-MAX($F40,BZ$3)+1)/BZ$5)</f>
        <v>0</v>
      </c>
      <c r="CA40" s="43" t="n">
        <f aca="false">$E40*MAX(0,(MIN(In_Decision_Date+In_PB_Days-1,CA$4)-MAX($F40,CA$3)+1)/CA$5)</f>
        <v>0</v>
      </c>
      <c r="CB40" s="43" t="n">
        <f aca="false">$E40*MAX(0,(MIN(In_Decision_Date+In_PB_Days-1,CB$4)-MAX($F40,CB$3)+1)/CB$5)</f>
        <v>0</v>
      </c>
      <c r="CC40" s="43" t="n">
        <f aca="false">$E40*MAX(0,(MIN(In_Decision_Date+In_PB_Days-1,CC$4)-MAX($F40,CC$3)+1)/CC$5)</f>
        <v>0</v>
      </c>
      <c r="CD40" s="43" t="n">
        <f aca="false">$E40*MAX(0,(MIN(In_Decision_Date+In_PB_Days-1,CD$4)-MAX($F40,CD$3)+1)/CD$5)</f>
        <v>0</v>
      </c>
      <c r="CE40" s="43" t="n">
        <f aca="false">$E40*MAX(0,(MIN(In_Decision_Date+In_PB_Days-1,CE$4)-MAX($F40,CE$3)+1)/CE$5)</f>
        <v>0</v>
      </c>
      <c r="CF40" s="43" t="n">
        <f aca="false">$E40*MAX(0,(MIN(In_Decision_Date+In_PB_Days-1,CF$4)-MAX($F40,CF$3)+1)/CF$5)</f>
        <v>0</v>
      </c>
      <c r="CG40" s="43" t="n">
        <f aca="false">$E40*MAX(0,(MIN(In_Decision_Date+In_PB_Days-1,CG$4)-MAX($F40,CG$3)+1)/CG$5)</f>
        <v>0</v>
      </c>
      <c r="CH40" s="43" t="n">
        <f aca="false">$E40*MAX(0,(MIN(In_Decision_Date+In_PB_Days-1,CH$4)-MAX($F40,CH$3)+1)/CH$5)</f>
        <v>0</v>
      </c>
      <c r="CI40" s="43" t="n">
        <f aca="false">$E40*MAX(0,(MIN(In_Decision_Date+In_PB_Days-1,CI$4)-MAX($F40,CI$3)+1)/CI$5)</f>
        <v>0</v>
      </c>
      <c r="CJ40" s="43" t="n">
        <f aca="false">$E40*MAX(0,(MIN(In_Decision_Date+In_PB_Days-1,CJ$4)-MAX($F40,CJ$3)+1)/CJ$5)</f>
        <v>0</v>
      </c>
      <c r="CK40" s="43" t="n">
        <f aca="false">$E40*MAX(0,(MIN(In_Decision_Date+In_PB_Days-1,CK$4)-MAX($F40,CK$3)+1)/CK$5)</f>
        <v>0</v>
      </c>
      <c r="CL40" s="43" t="n">
        <f aca="false">$E40*MAX(0,(MIN(In_Decision_Date+In_PB_Days-1,CL$4)-MAX($F40,CL$3)+1)/CL$5)</f>
        <v>0</v>
      </c>
      <c r="CM40" s="43" t="n">
        <f aca="false">$E40*MAX(0,(MIN(In_Decision_Date+In_PB_Days-1,CM$4)-MAX($F40,CM$3)+1)/CM$5)</f>
        <v>0</v>
      </c>
      <c r="CN40" s="43" t="n">
        <f aca="false">$E40*MAX(0,(MIN(In_Decision_Date+In_PB_Days-1,CN$4)-MAX($F40,CN$3)+1)/CN$5)</f>
        <v>0</v>
      </c>
      <c r="CO40" s="43" t="n">
        <f aca="false">$E40*MAX(0,(MIN(In_Decision_Date+In_PB_Days-1,CO$4)-MAX($F40,CO$3)+1)/CO$5)</f>
        <v>0</v>
      </c>
      <c r="CP40" s="43" t="n">
        <f aca="false">$E40*MAX(0,(MIN(In_Decision_Date+In_PB_Days-1,CP$4)-MAX($F40,CP$3)+1)/CP$5)</f>
        <v>0</v>
      </c>
      <c r="CQ40" s="43" t="n">
        <f aca="false">$E40*MAX(0,(MIN(In_Decision_Date+In_PB_Days-1,CQ$4)-MAX($F40,CQ$3)+1)/CQ$5)</f>
        <v>0</v>
      </c>
      <c r="CR40" s="43" t="n">
        <f aca="false">$E40*MAX(0,(MIN(In_Decision_Date+In_PB_Days-1,CR$4)-MAX($F40,CR$3)+1)/CR$5)</f>
        <v>0</v>
      </c>
      <c r="CS40" s="43" t="n">
        <f aca="false">$E40*MAX(0,(MIN(In_Decision_Date+In_PB_Days-1,CS$4)-MAX($F40,CS$3)+1)/CS$5)</f>
        <v>0</v>
      </c>
      <c r="CT40" s="43" t="n">
        <f aca="false">$E40*MAX(0,(MIN(In_Decision_Date+In_PB_Days-1,CT$4)-MAX($F40,CT$3)+1)/CT$5)</f>
        <v>0</v>
      </c>
      <c r="CU40" s="43" t="n">
        <f aca="false">$E40*MAX(0,(MIN(In_Decision_Date+In_PB_Days-1,CU$4)-MAX($F40,CU$3)+1)/CU$5)</f>
        <v>0</v>
      </c>
      <c r="CV40" s="43" t="n">
        <f aca="false">$E40*MAX(0,(MIN(In_Decision_Date+In_PB_Days-1,CV$4)-MAX($F40,CV$3)+1)/CV$5)</f>
        <v>0</v>
      </c>
      <c r="CW40" s="43" t="n">
        <f aca="false">$E40*MAX(0,(MIN(In_Decision_Date+In_PB_Days-1,CW$4)-MAX($F40,CW$3)+1)/CW$5)</f>
        <v>0</v>
      </c>
      <c r="CX40" s="43" t="n">
        <f aca="false">$E40*MAX(0,(MIN(In_Decision_Date+In_PB_Days-1,CX$4)-MAX($F40,CX$3)+1)/CX$5)</f>
        <v>0</v>
      </c>
      <c r="CY40" s="43" t="n">
        <f aca="false">$E40*MAX(0,(MIN(In_Decision_Date+In_PB_Days-1,CY$4)-MAX($F40,CY$3)+1)/CY$5)</f>
        <v>0</v>
      </c>
      <c r="CZ40" s="43" t="n">
        <f aca="false">$E40*MAX(0,(MIN(In_Decision_Date+In_PB_Days-1,CZ$4)-MAX($F40,CZ$3)+1)/CZ$5)</f>
        <v>0</v>
      </c>
      <c r="DA40" s="43" t="n">
        <f aca="false">$E40*MAX(0,(MIN(In_Decision_Date+In_PB_Days-1,DA$4)-MAX($F40,DA$3)+1)/DA$5)</f>
        <v>0</v>
      </c>
      <c r="DB40" s="43" t="n">
        <f aca="false">$E40*MAX(0,(MIN(In_Decision_Date+In_PB_Days-1,DB$4)-MAX($F40,DB$3)+1)/DB$5)</f>
        <v>0</v>
      </c>
      <c r="DC40" s="43" t="n">
        <f aca="false">$E40*MAX(0,(MIN(In_Decision_Date+In_PB_Days-1,DC$4)-MAX($F40,DC$3)+1)/DC$5)</f>
        <v>0</v>
      </c>
      <c r="DD40" s="43" t="n">
        <f aca="false">$E40*MAX(0,(MIN(In_Decision_Date+In_PB_Days-1,DD$4)-MAX($F40,DD$3)+1)/DD$5)</f>
        <v>0</v>
      </c>
      <c r="DE40" s="43" t="n">
        <f aca="false">$E40*MAX(0,(MIN(In_Decision_Date+In_PB_Days-1,DE$4)-MAX($F40,DE$3)+1)/DE$5)</f>
        <v>0</v>
      </c>
      <c r="DF40" s="43" t="n">
        <f aca="false">$E40*MAX(0,(MIN(In_Decision_Date+In_PB_Days-1,DF$4)-MAX($F40,DF$3)+1)/DF$5)</f>
        <v>0</v>
      </c>
      <c r="DG40" s="43" t="n">
        <f aca="false">$E40*MAX(0,(MIN(In_Decision_Date+In_PB_Days-1,DG$4)-MAX($F40,DG$3)+1)/DG$5)</f>
        <v>0</v>
      </c>
      <c r="DH40" s="43" t="n">
        <f aca="false">$E40*MAX(0,(MIN(In_Decision_Date+In_PB_Days-1,DH$4)-MAX($F40,DH$3)+1)/DH$5)</f>
        <v>0</v>
      </c>
      <c r="DI40" s="43" t="n">
        <f aca="false">$E40*MAX(0,(MIN(In_Decision_Date+In_PB_Days-1,DI$4)-MAX($F40,DI$3)+1)/DI$5)</f>
        <v>0</v>
      </c>
      <c r="DJ40" s="43" t="n">
        <f aca="false">$E40*MAX(0,(MIN(In_Decision_Date+In_PB_Days-1,DJ$4)-MAX($F40,DJ$3)+1)/DJ$5)</f>
        <v>0</v>
      </c>
      <c r="DK40" s="43" t="n">
        <f aca="false">$E40*MAX(0,(MIN(In_Decision_Date+In_PB_Days-1,DK$4)-MAX($F40,DK$3)+1)/DK$5)</f>
        <v>0</v>
      </c>
      <c r="DL40" s="43" t="n">
        <f aca="false">$E40*MAX(0,(MIN(In_Decision_Date+In_PB_Days-1,DL$4)-MAX($F40,DL$3)+1)/DL$5)</f>
        <v>0</v>
      </c>
      <c r="DM40" s="43" t="n">
        <f aca="false">$E40*MAX(0,(MIN(In_Decision_Date+In_PB_Days-1,DM$4)-MAX($F40,DM$3)+1)/DM$5)</f>
        <v>0</v>
      </c>
      <c r="DN40" s="43" t="n">
        <f aca="false">$E40*MAX(0,(MIN(In_Decision_Date+In_PB_Days-1,DN$4)-MAX($F40,DN$3)+1)/DN$5)</f>
        <v>0</v>
      </c>
      <c r="DO40" s="43" t="n">
        <f aca="false">$E40*MAX(0,(MIN(In_Decision_Date+In_PB_Days-1,DO$4)-MAX($F40,DO$3)+1)/DO$5)</f>
        <v>0</v>
      </c>
      <c r="DP40" s="43" t="n">
        <f aca="false">$E40*MAX(0,(MIN(In_Decision_Date+In_PB_Days-1,DP$4)-MAX($F40,DP$3)+1)/DP$5)</f>
        <v>0</v>
      </c>
      <c r="DQ40" s="43" t="n">
        <f aca="false">$E40*MAX(0,(MIN(In_Decision_Date+In_PB_Days-1,DQ$4)-MAX($F40,DQ$3)+1)/DQ$5)</f>
        <v>0</v>
      </c>
      <c r="DR40" s="43" t="n">
        <f aca="false">$E40*MAX(0,(MIN(In_Decision_Date+In_PB_Days-1,DR$4)-MAX($F40,DR$3)+1)/DR$5)</f>
        <v>0</v>
      </c>
      <c r="DS40" s="43" t="n">
        <f aca="false">$E40*MAX(0,(MIN(In_Decision_Date+In_PB_Days-1,DS$4)-MAX($F40,DS$3)+1)/DS$5)</f>
        <v>0</v>
      </c>
      <c r="DT40" s="43" t="n">
        <f aca="false">$E40*MAX(0,(MIN(In_Decision_Date+In_PB_Days-1,DT$4)-MAX($F40,DT$3)+1)/DT$5)</f>
        <v>0</v>
      </c>
      <c r="DU40" s="43" t="n">
        <f aca="false">$E40*MAX(0,(MIN(In_Decision_Date+In_PB_Days-1,DU$4)-MAX($F40,DU$3)+1)/DU$5)</f>
        <v>0</v>
      </c>
      <c r="DV40" s="43" t="n">
        <f aca="false">$E40*MAX(0,(MIN(In_Decision_Date+In_PB_Days-1,DV$4)-MAX($F40,DV$3)+1)/DV$5)</f>
        <v>0</v>
      </c>
      <c r="DW40" s="43" t="n">
        <f aca="false">$E40*MAX(0,(MIN(In_Decision_Date+In_PB_Days-1,DW$4)-MAX($F40,DW$3)+1)/DW$5)</f>
        <v>0</v>
      </c>
      <c r="DX40" s="43" t="n">
        <f aca="false">$E40*MAX(0,(MIN(In_Decision_Date+In_PB_Days-1,DX$4)-MAX($F40,DX$3)+1)/DX$5)</f>
        <v>0</v>
      </c>
      <c r="DY40" s="43" t="n">
        <f aca="false">$E40*MAX(0,(MIN(In_Decision_Date+In_PB_Days-1,DY$4)-MAX($F40,DY$3)+1)/DY$5)</f>
        <v>0</v>
      </c>
      <c r="DZ40" s="43" t="n">
        <f aca="false">$E40*MAX(0,(MIN(In_Decision_Date+In_PB_Days-1,DZ$4)-MAX($F40,DZ$3)+1)/DZ$5)</f>
        <v>0</v>
      </c>
      <c r="EA40" s="43" t="n">
        <f aca="false">$E40*MAX(0,(MIN(In_Decision_Date+In_PB_Days-1,EA$4)-MAX($F40,EA$3)+1)/EA$5)</f>
        <v>0</v>
      </c>
      <c r="EB40" s="43" t="n">
        <f aca="false">$E40*MAX(0,(MIN(In_Decision_Date+In_PB_Days-1,EB$4)-MAX($F40,EB$3)+1)/EB$5)</f>
        <v>0</v>
      </c>
      <c r="EC40" s="43" t="n">
        <f aca="false">$E40*MAX(0,(MIN(In_Decision_Date+In_PB_Days-1,EC$4)-MAX($F40,EC$3)+1)/EC$5)</f>
        <v>0</v>
      </c>
      <c r="ED40" s="43" t="n">
        <f aca="false">$E40*MAX(0,(MIN(In_Decision_Date+In_PB_Days-1,ED$4)-MAX($F40,ED$3)+1)/ED$5)</f>
        <v>0</v>
      </c>
      <c r="EE40" s="43" t="n">
        <f aca="false">$E40*MAX(0,(MIN(In_Decision_Date+In_PB_Days-1,EE$4)-MAX($F40,EE$3)+1)/EE$5)</f>
        <v>0</v>
      </c>
      <c r="EF40" s="43" t="n">
        <f aca="false">$E40*MAX(0,(MIN(In_Decision_Date+In_PB_Days-1,EF$4)-MAX($F40,EF$3)+1)/EF$5)</f>
        <v>0</v>
      </c>
      <c r="EG40" s="43" t="n">
        <f aca="false">$E40*MAX(0,(MIN(In_Decision_Date+In_PB_Days-1,EG$4)-MAX($F40,EG$3)+1)/EG$5)</f>
        <v>0</v>
      </c>
      <c r="EH40" s="43" t="n">
        <f aca="false">$E40*MAX(0,(MIN(In_Decision_Date+In_PB_Days-1,EH$4)-MAX($F40,EH$3)+1)/EH$5)</f>
        <v>0</v>
      </c>
      <c r="EI40" s="43" t="n">
        <f aca="false">$E40*MAX(0,(MIN(In_Decision_Date+In_PB_Days-1,EI$4)-MAX($F40,EI$3)+1)/EI$5)</f>
        <v>0</v>
      </c>
      <c r="EJ40" s="43" t="n">
        <f aca="false">$E40*MAX(0,(MIN(In_Decision_Date+In_PB_Days-1,EJ$4)-MAX($F40,EJ$3)+1)/EJ$5)</f>
        <v>0</v>
      </c>
      <c r="EK40" s="43" t="n">
        <f aca="false">$E40*MAX(0,(MIN(In_Decision_Date+In_PB_Days-1,EK$4)-MAX($F40,EK$3)+1)/EK$5)</f>
        <v>0</v>
      </c>
      <c r="EL40" s="43" t="n">
        <f aca="false">$E40*MAX(0,(MIN(In_Decision_Date+In_PB_Days-1,EL$4)-MAX($F40,EL$3)+1)/EL$5)</f>
        <v>0</v>
      </c>
      <c r="EM40" s="43" t="n">
        <f aca="false">$E40*MAX(0,(MIN(In_Decision_Date+In_PB_Days-1,EM$4)-MAX($F40,EM$3)+1)/EM$5)</f>
        <v>0</v>
      </c>
      <c r="EN40" s="43" t="n">
        <f aca="false">$E40*MAX(0,(MIN(In_Decision_Date+In_PB_Days-1,EN$4)-MAX($F40,EN$3)+1)/EN$5)</f>
        <v>0</v>
      </c>
      <c r="EO40" s="43" t="n">
        <f aca="false">$E40*MAX(0,(MIN(In_Decision_Date+In_PB_Days-1,EO$4)-MAX($F40,EO$3)+1)/EO$5)</f>
        <v>0</v>
      </c>
    </row>
    <row r="41" customFormat="false" ht="15" hidden="false" customHeight="false" outlineLevel="0" collapsed="false">
      <c r="C41" s="0" t="s">
        <v>354</v>
      </c>
      <c r="D41" s="11" t="s">
        <v>33</v>
      </c>
      <c r="E41" s="43" t="n">
        <f aca="false">In_PB_Rate*$E27*$E38*Thousand/In_FX</f>
        <v>1390.41095890411</v>
      </c>
      <c r="F41" s="41" t="n">
        <f aca="false">In_Decision_Date+In_PB_Days</f>
        <v>46433</v>
      </c>
      <c r="J41" s="43" t="n">
        <f aca="false">$E41*MAX(0,(MIN(In_PB_Release,J$4)-MAX($F41,J$3)+1)/J$5)</f>
        <v>0</v>
      </c>
      <c r="K41" s="43" t="n">
        <f aca="false">$E41*MAX(0,(MIN(In_PB_Release,K$4)-MAX($F41,K$3)+1)/K$5)</f>
        <v>695.205479452055</v>
      </c>
      <c r="L41" s="43" t="n">
        <f aca="false">$E41*MAX(0,(MIN(In_PB_Release,L$4)-MAX($F41,L$3)+1)/L$5)</f>
        <v>1390.41095890411</v>
      </c>
      <c r="M41" s="43" t="n">
        <f aca="false">$E41*MAX(0,(MIN(In_PB_Release,M$4)-MAX($F41,M$3)+1)/M$5)</f>
        <v>1390.41095890411</v>
      </c>
      <c r="N41" s="43" t="n">
        <f aca="false">$E41*MAX(0,(MIN(In_PB_Release,N$4)-MAX($F41,N$3)+1)/N$5)</f>
        <v>1390.41095890411</v>
      </c>
      <c r="O41" s="43" t="n">
        <f aca="false">$E41*MAX(0,(MIN(In_PB_Release,O$4)-MAX($F41,O$3)+1)/O$5)</f>
        <v>1390.41095890411</v>
      </c>
      <c r="P41" s="43" t="n">
        <f aca="false">$E41*MAX(0,(MIN(In_PB_Release,P$4)-MAX($F41,P$3)+1)/P$5)</f>
        <v>1390.41095890411</v>
      </c>
      <c r="Q41" s="43" t="n">
        <f aca="false">$E41*MAX(0,(MIN(In_PB_Release,Q$4)-MAX($F41,Q$3)+1)/Q$5)</f>
        <v>1390.41095890411</v>
      </c>
      <c r="R41" s="43" t="n">
        <f aca="false">$E41*MAX(0,(MIN(In_PB_Release,R$4)-MAX($F41,R$3)+1)/R$5)</f>
        <v>1390.41095890411</v>
      </c>
      <c r="S41" s="43" t="n">
        <f aca="false">$E41*MAX(0,(MIN(In_PB_Release,S$4)-MAX($F41,S$3)+1)/S$5)</f>
        <v>1390.41095890411</v>
      </c>
      <c r="T41" s="43" t="n">
        <f aca="false">$E41*MAX(0,(MIN(In_PB_Release,T$4)-MAX($F41,T$3)+1)/T$5)</f>
        <v>1390.41095890411</v>
      </c>
      <c r="U41" s="43" t="n">
        <f aca="false">$E41*MAX(0,(MIN(In_PB_Release,U$4)-MAX($F41,U$3)+1)/U$5)</f>
        <v>1390.41095890411</v>
      </c>
      <c r="V41" s="43" t="n">
        <f aca="false">$E41*MAX(0,(MIN(In_PB_Release,V$4)-MAX($F41,V$3)+1)/V$5)</f>
        <v>1390.41095890411</v>
      </c>
      <c r="W41" s="43" t="n">
        <f aca="false">$E41*MAX(0,(MIN(In_PB_Release,W$4)-MAX($F41,W$3)+1)/W$5)</f>
        <v>1390.41095890411</v>
      </c>
      <c r="X41" s="43" t="n">
        <f aca="false">$E41*MAX(0,(MIN(In_PB_Release,X$4)-MAX($F41,X$3)+1)/X$5)</f>
        <v>1390.41095890411</v>
      </c>
      <c r="Y41" s="43" t="n">
        <f aca="false">$E41*MAX(0,(MIN(In_PB_Release,Y$4)-MAX($F41,Y$3)+1)/Y$5)</f>
        <v>1390.41095890411</v>
      </c>
      <c r="Z41" s="43" t="n">
        <f aca="false">$E41*MAX(0,(MIN(In_PB_Release,Z$4)-MAX($F41,Z$3)+1)/Z$5)</f>
        <v>1390.41095890411</v>
      </c>
      <c r="AA41" s="43" t="n">
        <f aca="false">$E41*MAX(0,(MIN(In_PB_Release,AA$4)-MAX($F41,AA$3)+1)/AA$5)</f>
        <v>1390.41095890411</v>
      </c>
      <c r="AB41" s="43" t="n">
        <f aca="false">$E41*MAX(0,(MIN(In_PB_Release,AB$4)-MAX($F41,AB$3)+1)/AB$5)</f>
        <v>1390.41095890411</v>
      </c>
      <c r="AC41" s="43" t="n">
        <f aca="false">$E41*MAX(0,(MIN(In_PB_Release,AC$4)-MAX($F41,AC$3)+1)/AC$5)</f>
        <v>1390.41095890411</v>
      </c>
      <c r="AD41" s="43" t="n">
        <f aca="false">$E41*MAX(0,(MIN(In_PB_Release,AD$4)-MAX($F41,AD$3)+1)/AD$5)</f>
        <v>1390.41095890411</v>
      </c>
      <c r="AE41" s="43" t="n">
        <f aca="false">$E41*MAX(0,(MIN(In_PB_Release,AE$4)-MAX($F41,AE$3)+1)/AE$5)</f>
        <v>1390.41095890411</v>
      </c>
      <c r="AF41" s="43" t="n">
        <f aca="false">$E41*MAX(0,(MIN(In_PB_Release,AF$4)-MAX($F41,AF$3)+1)/AF$5)</f>
        <v>1390.41095890411</v>
      </c>
      <c r="AG41" s="43" t="n">
        <f aca="false">$E41*MAX(0,(MIN(In_PB_Release,AG$4)-MAX($F41,AG$3)+1)/AG$5)</f>
        <v>1390.41095890411</v>
      </c>
      <c r="AH41" s="43" t="n">
        <f aca="false">$E41*MAX(0,(MIN(In_PB_Release,AH$4)-MAX($F41,AH$3)+1)/AH$5)</f>
        <v>1390.41095890411</v>
      </c>
      <c r="AI41" s="43" t="n">
        <f aca="false">$E41*MAX(0,(MIN(In_PB_Release,AI$4)-MAX($F41,AI$3)+1)/AI$5)</f>
        <v>1390.41095890411</v>
      </c>
      <c r="AJ41" s="43" t="n">
        <f aca="false">$E41*MAX(0,(MIN(In_PB_Release,AJ$4)-MAX($F41,AJ$3)+1)/AJ$5)</f>
        <v>0</v>
      </c>
      <c r="AK41" s="43" t="n">
        <f aca="false">$E41*MAX(0,(MIN(In_PB_Release,AK$4)-MAX($F41,AK$3)+1)/AK$5)</f>
        <v>0</v>
      </c>
      <c r="AL41" s="43" t="n">
        <f aca="false">$E41*MAX(0,(MIN(In_PB_Release,AL$4)-MAX($F41,AL$3)+1)/AL$5)</f>
        <v>0</v>
      </c>
      <c r="AM41" s="43" t="n">
        <f aca="false">$E41*MAX(0,(MIN(In_PB_Release,AM$4)-MAX($F41,AM$3)+1)/AM$5)</f>
        <v>0</v>
      </c>
      <c r="AN41" s="43" t="n">
        <f aca="false">$E41*MAX(0,(MIN(In_PB_Release,AN$4)-MAX($F41,AN$3)+1)/AN$5)</f>
        <v>0</v>
      </c>
      <c r="AO41" s="43" t="n">
        <f aca="false">$E41*MAX(0,(MIN(In_PB_Release,AO$4)-MAX($F41,AO$3)+1)/AO$5)</f>
        <v>0</v>
      </c>
      <c r="AP41" s="43" t="n">
        <f aca="false">$E41*MAX(0,(MIN(In_PB_Release,AP$4)-MAX($F41,AP$3)+1)/AP$5)</f>
        <v>0</v>
      </c>
      <c r="AQ41" s="43" t="n">
        <f aca="false">$E41*MAX(0,(MIN(In_PB_Release,AQ$4)-MAX($F41,AQ$3)+1)/AQ$5)</f>
        <v>0</v>
      </c>
      <c r="AR41" s="43" t="n">
        <f aca="false">$E41*MAX(0,(MIN(In_PB_Release,AR$4)-MAX($F41,AR$3)+1)/AR$5)</f>
        <v>0</v>
      </c>
      <c r="AS41" s="43" t="n">
        <f aca="false">$E41*MAX(0,(MIN(In_PB_Release,AS$4)-MAX($F41,AS$3)+1)/AS$5)</f>
        <v>0</v>
      </c>
      <c r="AT41" s="43" t="n">
        <f aca="false">$E41*MAX(0,(MIN(In_PB_Release,AT$4)-MAX($F41,AT$3)+1)/AT$5)</f>
        <v>0</v>
      </c>
      <c r="AU41" s="43" t="n">
        <f aca="false">$E41*MAX(0,(MIN(In_PB_Release,AU$4)-MAX($F41,AU$3)+1)/AU$5)</f>
        <v>0</v>
      </c>
      <c r="AV41" s="43" t="n">
        <f aca="false">$E41*MAX(0,(MIN(In_PB_Release,AV$4)-MAX($F41,AV$3)+1)/AV$5)</f>
        <v>0</v>
      </c>
      <c r="AW41" s="43" t="n">
        <f aca="false">$E41*MAX(0,(MIN(In_PB_Release,AW$4)-MAX($F41,AW$3)+1)/AW$5)</f>
        <v>0</v>
      </c>
      <c r="AX41" s="43" t="n">
        <f aca="false">$E41*MAX(0,(MIN(In_PB_Release,AX$4)-MAX($F41,AX$3)+1)/AX$5)</f>
        <v>0</v>
      </c>
      <c r="AY41" s="43" t="n">
        <f aca="false">$E41*MAX(0,(MIN(In_PB_Release,AY$4)-MAX($F41,AY$3)+1)/AY$5)</f>
        <v>0</v>
      </c>
      <c r="AZ41" s="43" t="n">
        <f aca="false">$E41*MAX(0,(MIN(In_PB_Release,AZ$4)-MAX($F41,AZ$3)+1)/AZ$5)</f>
        <v>0</v>
      </c>
      <c r="BA41" s="43" t="n">
        <f aca="false">$E41*MAX(0,(MIN(In_PB_Release,BA$4)-MAX($F41,BA$3)+1)/BA$5)</f>
        <v>0</v>
      </c>
      <c r="BB41" s="43" t="n">
        <f aca="false">$E41*MAX(0,(MIN(In_PB_Release,BB$4)-MAX($F41,BB$3)+1)/BB$5)</f>
        <v>0</v>
      </c>
      <c r="BC41" s="43" t="n">
        <f aca="false">$E41*MAX(0,(MIN(In_PB_Release,BC$4)-MAX($F41,BC$3)+1)/BC$5)</f>
        <v>0</v>
      </c>
      <c r="BD41" s="43" t="n">
        <f aca="false">$E41*MAX(0,(MIN(In_PB_Release,BD$4)-MAX($F41,BD$3)+1)/BD$5)</f>
        <v>0</v>
      </c>
      <c r="BE41" s="43" t="n">
        <f aca="false">$E41*MAX(0,(MIN(In_PB_Release,BE$4)-MAX($F41,BE$3)+1)/BE$5)</f>
        <v>0</v>
      </c>
      <c r="BF41" s="43" t="n">
        <f aca="false">$E41*MAX(0,(MIN(In_PB_Release,BF$4)-MAX($F41,BF$3)+1)/BF$5)</f>
        <v>0</v>
      </c>
      <c r="BG41" s="43" t="n">
        <f aca="false">$E41*MAX(0,(MIN(In_PB_Release,BG$4)-MAX($F41,BG$3)+1)/BG$5)</f>
        <v>0</v>
      </c>
      <c r="BH41" s="43" t="n">
        <f aca="false">$E41*MAX(0,(MIN(In_PB_Release,BH$4)-MAX($F41,BH$3)+1)/BH$5)</f>
        <v>0</v>
      </c>
      <c r="BI41" s="43" t="n">
        <f aca="false">$E41*MAX(0,(MIN(In_PB_Release,BI$4)-MAX($F41,BI$3)+1)/BI$5)</f>
        <v>0</v>
      </c>
      <c r="BJ41" s="43" t="n">
        <f aca="false">$E41*MAX(0,(MIN(In_PB_Release,BJ$4)-MAX($F41,BJ$3)+1)/BJ$5)</f>
        <v>0</v>
      </c>
      <c r="BK41" s="43" t="n">
        <f aca="false">$E41*MAX(0,(MIN(In_PB_Release,BK$4)-MAX($F41,BK$3)+1)/BK$5)</f>
        <v>0</v>
      </c>
      <c r="BL41" s="43" t="n">
        <f aca="false">$E41*MAX(0,(MIN(In_PB_Release,BL$4)-MAX($F41,BL$3)+1)/BL$5)</f>
        <v>0</v>
      </c>
      <c r="BM41" s="43" t="n">
        <f aca="false">$E41*MAX(0,(MIN(In_PB_Release,BM$4)-MAX($F41,BM$3)+1)/BM$5)</f>
        <v>0</v>
      </c>
      <c r="BN41" s="43" t="n">
        <f aca="false">$E41*MAX(0,(MIN(In_PB_Release,BN$4)-MAX($F41,BN$3)+1)/BN$5)</f>
        <v>0</v>
      </c>
      <c r="BO41" s="43" t="n">
        <f aca="false">$E41*MAX(0,(MIN(In_PB_Release,BO$4)-MAX($F41,BO$3)+1)/BO$5)</f>
        <v>0</v>
      </c>
      <c r="BP41" s="43" t="n">
        <f aca="false">$E41*MAX(0,(MIN(In_PB_Release,BP$4)-MAX($F41,BP$3)+1)/BP$5)</f>
        <v>0</v>
      </c>
      <c r="BQ41" s="43" t="n">
        <f aca="false">$E41*MAX(0,(MIN(In_PB_Release,BQ$4)-MAX($F41,BQ$3)+1)/BQ$5)</f>
        <v>0</v>
      </c>
      <c r="BR41" s="43" t="n">
        <f aca="false">$E41*MAX(0,(MIN(In_PB_Release,BR$4)-MAX($F41,BR$3)+1)/BR$5)</f>
        <v>0</v>
      </c>
      <c r="BS41" s="43" t="n">
        <f aca="false">$E41*MAX(0,(MIN(In_PB_Release,BS$4)-MAX($F41,BS$3)+1)/BS$5)</f>
        <v>0</v>
      </c>
      <c r="BT41" s="43" t="n">
        <f aca="false">$E41*MAX(0,(MIN(In_PB_Release,BT$4)-MAX($F41,BT$3)+1)/BT$5)</f>
        <v>0</v>
      </c>
      <c r="BU41" s="43" t="n">
        <f aca="false">$E41*MAX(0,(MIN(In_PB_Release,BU$4)-MAX($F41,BU$3)+1)/BU$5)</f>
        <v>0</v>
      </c>
      <c r="BV41" s="43" t="n">
        <f aca="false">$E41*MAX(0,(MIN(In_PB_Release,BV$4)-MAX($F41,BV$3)+1)/BV$5)</f>
        <v>0</v>
      </c>
      <c r="BW41" s="43" t="n">
        <f aca="false">$E41*MAX(0,(MIN(In_PB_Release,BW$4)-MAX($F41,BW$3)+1)/BW$5)</f>
        <v>0</v>
      </c>
      <c r="BX41" s="43" t="n">
        <f aca="false">$E41*MAX(0,(MIN(In_PB_Release,BX$4)-MAX($F41,BX$3)+1)/BX$5)</f>
        <v>0</v>
      </c>
      <c r="BY41" s="43" t="n">
        <f aca="false">$E41*MAX(0,(MIN(In_PB_Release,BY$4)-MAX($F41,BY$3)+1)/BY$5)</f>
        <v>0</v>
      </c>
      <c r="BZ41" s="43" t="n">
        <f aca="false">$E41*MAX(0,(MIN(In_PB_Release,BZ$4)-MAX($F41,BZ$3)+1)/BZ$5)</f>
        <v>0</v>
      </c>
      <c r="CA41" s="43" t="n">
        <f aca="false">$E41*MAX(0,(MIN(In_PB_Release,CA$4)-MAX($F41,CA$3)+1)/CA$5)</f>
        <v>0</v>
      </c>
      <c r="CB41" s="43" t="n">
        <f aca="false">$E41*MAX(0,(MIN(In_PB_Release,CB$4)-MAX($F41,CB$3)+1)/CB$5)</f>
        <v>0</v>
      </c>
      <c r="CC41" s="43" t="n">
        <f aca="false">$E41*MAX(0,(MIN(In_PB_Release,CC$4)-MAX($F41,CC$3)+1)/CC$5)</f>
        <v>0</v>
      </c>
      <c r="CD41" s="43" t="n">
        <f aca="false">$E41*MAX(0,(MIN(In_PB_Release,CD$4)-MAX($F41,CD$3)+1)/CD$5)</f>
        <v>0</v>
      </c>
      <c r="CE41" s="43" t="n">
        <f aca="false">$E41*MAX(0,(MIN(In_PB_Release,CE$4)-MAX($F41,CE$3)+1)/CE$5)</f>
        <v>0</v>
      </c>
      <c r="CF41" s="43" t="n">
        <f aca="false">$E41*MAX(0,(MIN(In_PB_Release,CF$4)-MAX($F41,CF$3)+1)/CF$5)</f>
        <v>0</v>
      </c>
      <c r="CG41" s="43" t="n">
        <f aca="false">$E41*MAX(0,(MIN(In_PB_Release,CG$4)-MAX($F41,CG$3)+1)/CG$5)</f>
        <v>0</v>
      </c>
      <c r="CH41" s="43" t="n">
        <f aca="false">$E41*MAX(0,(MIN(In_PB_Release,CH$4)-MAX($F41,CH$3)+1)/CH$5)</f>
        <v>0</v>
      </c>
      <c r="CI41" s="43" t="n">
        <f aca="false">$E41*MAX(0,(MIN(In_PB_Release,CI$4)-MAX($F41,CI$3)+1)/CI$5)</f>
        <v>0</v>
      </c>
      <c r="CJ41" s="43" t="n">
        <f aca="false">$E41*MAX(0,(MIN(In_PB_Release,CJ$4)-MAX($F41,CJ$3)+1)/CJ$5)</f>
        <v>0</v>
      </c>
      <c r="CK41" s="43" t="n">
        <f aca="false">$E41*MAX(0,(MIN(In_PB_Release,CK$4)-MAX($F41,CK$3)+1)/CK$5)</f>
        <v>0</v>
      </c>
      <c r="CL41" s="43" t="n">
        <f aca="false">$E41*MAX(0,(MIN(In_PB_Release,CL$4)-MAX($F41,CL$3)+1)/CL$5)</f>
        <v>0</v>
      </c>
      <c r="CM41" s="43" t="n">
        <f aca="false">$E41*MAX(0,(MIN(In_PB_Release,CM$4)-MAX($F41,CM$3)+1)/CM$5)</f>
        <v>0</v>
      </c>
      <c r="CN41" s="43" t="n">
        <f aca="false">$E41*MAX(0,(MIN(In_PB_Release,CN$4)-MAX($F41,CN$3)+1)/CN$5)</f>
        <v>0</v>
      </c>
      <c r="CO41" s="43" t="n">
        <f aca="false">$E41*MAX(0,(MIN(In_PB_Release,CO$4)-MAX($F41,CO$3)+1)/CO$5)</f>
        <v>0</v>
      </c>
      <c r="CP41" s="43" t="n">
        <f aca="false">$E41*MAX(0,(MIN(In_PB_Release,CP$4)-MAX($F41,CP$3)+1)/CP$5)</f>
        <v>0</v>
      </c>
      <c r="CQ41" s="43" t="n">
        <f aca="false">$E41*MAX(0,(MIN(In_PB_Release,CQ$4)-MAX($F41,CQ$3)+1)/CQ$5)</f>
        <v>0</v>
      </c>
      <c r="CR41" s="43" t="n">
        <f aca="false">$E41*MAX(0,(MIN(In_PB_Release,CR$4)-MAX($F41,CR$3)+1)/CR$5)</f>
        <v>0</v>
      </c>
      <c r="CS41" s="43" t="n">
        <f aca="false">$E41*MAX(0,(MIN(In_PB_Release,CS$4)-MAX($F41,CS$3)+1)/CS$5)</f>
        <v>0</v>
      </c>
      <c r="CT41" s="43" t="n">
        <f aca="false">$E41*MAX(0,(MIN(In_PB_Release,CT$4)-MAX($F41,CT$3)+1)/CT$5)</f>
        <v>0</v>
      </c>
      <c r="CU41" s="43" t="n">
        <f aca="false">$E41*MAX(0,(MIN(In_PB_Release,CU$4)-MAX($F41,CU$3)+1)/CU$5)</f>
        <v>0</v>
      </c>
      <c r="CV41" s="43" t="n">
        <f aca="false">$E41*MAX(0,(MIN(In_PB_Release,CV$4)-MAX($F41,CV$3)+1)/CV$5)</f>
        <v>0</v>
      </c>
      <c r="CW41" s="43" t="n">
        <f aca="false">$E41*MAX(0,(MIN(In_PB_Release,CW$4)-MAX($F41,CW$3)+1)/CW$5)</f>
        <v>0</v>
      </c>
      <c r="CX41" s="43" t="n">
        <f aca="false">$E41*MAX(0,(MIN(In_PB_Release,CX$4)-MAX($F41,CX$3)+1)/CX$5)</f>
        <v>0</v>
      </c>
      <c r="CY41" s="43" t="n">
        <f aca="false">$E41*MAX(0,(MIN(In_PB_Release,CY$4)-MAX($F41,CY$3)+1)/CY$5)</f>
        <v>0</v>
      </c>
      <c r="CZ41" s="43" t="n">
        <f aca="false">$E41*MAX(0,(MIN(In_PB_Release,CZ$4)-MAX($F41,CZ$3)+1)/CZ$5)</f>
        <v>0</v>
      </c>
      <c r="DA41" s="43" t="n">
        <f aca="false">$E41*MAX(0,(MIN(In_PB_Release,DA$4)-MAX($F41,DA$3)+1)/DA$5)</f>
        <v>0</v>
      </c>
      <c r="DB41" s="43" t="n">
        <f aca="false">$E41*MAX(0,(MIN(In_PB_Release,DB$4)-MAX($F41,DB$3)+1)/DB$5)</f>
        <v>0</v>
      </c>
      <c r="DC41" s="43" t="n">
        <f aca="false">$E41*MAX(0,(MIN(In_PB_Release,DC$4)-MAX($F41,DC$3)+1)/DC$5)</f>
        <v>0</v>
      </c>
      <c r="DD41" s="43" t="n">
        <f aca="false">$E41*MAX(0,(MIN(In_PB_Release,DD$4)-MAX($F41,DD$3)+1)/DD$5)</f>
        <v>0</v>
      </c>
      <c r="DE41" s="43" t="n">
        <f aca="false">$E41*MAX(0,(MIN(In_PB_Release,DE$4)-MAX($F41,DE$3)+1)/DE$5)</f>
        <v>0</v>
      </c>
      <c r="DF41" s="43" t="n">
        <f aca="false">$E41*MAX(0,(MIN(In_PB_Release,DF$4)-MAX($F41,DF$3)+1)/DF$5)</f>
        <v>0</v>
      </c>
      <c r="DG41" s="43" t="n">
        <f aca="false">$E41*MAX(0,(MIN(In_PB_Release,DG$4)-MAX($F41,DG$3)+1)/DG$5)</f>
        <v>0</v>
      </c>
      <c r="DH41" s="43" t="n">
        <f aca="false">$E41*MAX(0,(MIN(In_PB_Release,DH$4)-MAX($F41,DH$3)+1)/DH$5)</f>
        <v>0</v>
      </c>
      <c r="DI41" s="43" t="n">
        <f aca="false">$E41*MAX(0,(MIN(In_PB_Release,DI$4)-MAX($F41,DI$3)+1)/DI$5)</f>
        <v>0</v>
      </c>
      <c r="DJ41" s="43" t="n">
        <f aca="false">$E41*MAX(0,(MIN(In_PB_Release,DJ$4)-MAX($F41,DJ$3)+1)/DJ$5)</f>
        <v>0</v>
      </c>
      <c r="DK41" s="43" t="n">
        <f aca="false">$E41*MAX(0,(MIN(In_PB_Release,DK$4)-MAX($F41,DK$3)+1)/DK$5)</f>
        <v>0</v>
      </c>
      <c r="DL41" s="43" t="n">
        <f aca="false">$E41*MAX(0,(MIN(In_PB_Release,DL$4)-MAX($F41,DL$3)+1)/DL$5)</f>
        <v>0</v>
      </c>
      <c r="DM41" s="43" t="n">
        <f aca="false">$E41*MAX(0,(MIN(In_PB_Release,DM$4)-MAX($F41,DM$3)+1)/DM$5)</f>
        <v>0</v>
      </c>
      <c r="DN41" s="43" t="n">
        <f aca="false">$E41*MAX(0,(MIN(In_PB_Release,DN$4)-MAX($F41,DN$3)+1)/DN$5)</f>
        <v>0</v>
      </c>
      <c r="DO41" s="43" t="n">
        <f aca="false">$E41*MAX(0,(MIN(In_PB_Release,DO$4)-MAX($F41,DO$3)+1)/DO$5)</f>
        <v>0</v>
      </c>
      <c r="DP41" s="43" t="n">
        <f aca="false">$E41*MAX(0,(MIN(In_PB_Release,DP$4)-MAX($F41,DP$3)+1)/DP$5)</f>
        <v>0</v>
      </c>
      <c r="DQ41" s="43" t="n">
        <f aca="false">$E41*MAX(0,(MIN(In_PB_Release,DQ$4)-MAX($F41,DQ$3)+1)/DQ$5)</f>
        <v>0</v>
      </c>
      <c r="DR41" s="43" t="n">
        <f aca="false">$E41*MAX(0,(MIN(In_PB_Release,DR$4)-MAX($F41,DR$3)+1)/DR$5)</f>
        <v>0</v>
      </c>
      <c r="DS41" s="43" t="n">
        <f aca="false">$E41*MAX(0,(MIN(In_PB_Release,DS$4)-MAX($F41,DS$3)+1)/DS$5)</f>
        <v>0</v>
      </c>
      <c r="DT41" s="43" t="n">
        <f aca="false">$E41*MAX(0,(MIN(In_PB_Release,DT$4)-MAX($F41,DT$3)+1)/DT$5)</f>
        <v>0</v>
      </c>
      <c r="DU41" s="43" t="n">
        <f aca="false">$E41*MAX(0,(MIN(In_PB_Release,DU$4)-MAX($F41,DU$3)+1)/DU$5)</f>
        <v>0</v>
      </c>
      <c r="DV41" s="43" t="n">
        <f aca="false">$E41*MAX(0,(MIN(In_PB_Release,DV$4)-MAX($F41,DV$3)+1)/DV$5)</f>
        <v>0</v>
      </c>
      <c r="DW41" s="43" t="n">
        <f aca="false">$E41*MAX(0,(MIN(In_PB_Release,DW$4)-MAX($F41,DW$3)+1)/DW$5)</f>
        <v>0</v>
      </c>
      <c r="DX41" s="43" t="n">
        <f aca="false">$E41*MAX(0,(MIN(In_PB_Release,DX$4)-MAX($F41,DX$3)+1)/DX$5)</f>
        <v>0</v>
      </c>
      <c r="DY41" s="43" t="n">
        <f aca="false">$E41*MAX(0,(MIN(In_PB_Release,DY$4)-MAX($F41,DY$3)+1)/DY$5)</f>
        <v>0</v>
      </c>
      <c r="DZ41" s="43" t="n">
        <f aca="false">$E41*MAX(0,(MIN(In_PB_Release,DZ$4)-MAX($F41,DZ$3)+1)/DZ$5)</f>
        <v>0</v>
      </c>
      <c r="EA41" s="43" t="n">
        <f aca="false">$E41*MAX(0,(MIN(In_PB_Release,EA$4)-MAX($F41,EA$3)+1)/EA$5)</f>
        <v>0</v>
      </c>
      <c r="EB41" s="43" t="n">
        <f aca="false">$E41*MAX(0,(MIN(In_PB_Release,EB$4)-MAX($F41,EB$3)+1)/EB$5)</f>
        <v>0</v>
      </c>
      <c r="EC41" s="43" t="n">
        <f aca="false">$E41*MAX(0,(MIN(In_PB_Release,EC$4)-MAX($F41,EC$3)+1)/EC$5)</f>
        <v>0</v>
      </c>
      <c r="ED41" s="43" t="n">
        <f aca="false">$E41*MAX(0,(MIN(In_PB_Release,ED$4)-MAX($F41,ED$3)+1)/ED$5)</f>
        <v>0</v>
      </c>
      <c r="EE41" s="43" t="n">
        <f aca="false">$E41*MAX(0,(MIN(In_PB_Release,EE$4)-MAX($F41,EE$3)+1)/EE$5)</f>
        <v>0</v>
      </c>
      <c r="EF41" s="43" t="n">
        <f aca="false">$E41*MAX(0,(MIN(In_PB_Release,EF$4)-MAX($F41,EF$3)+1)/EF$5)</f>
        <v>0</v>
      </c>
      <c r="EG41" s="43" t="n">
        <f aca="false">$E41*MAX(0,(MIN(In_PB_Release,EG$4)-MAX($F41,EG$3)+1)/EG$5)</f>
        <v>0</v>
      </c>
      <c r="EH41" s="43" t="n">
        <f aca="false">$E41*MAX(0,(MIN(In_PB_Release,EH$4)-MAX($F41,EH$3)+1)/EH$5)</f>
        <v>0</v>
      </c>
      <c r="EI41" s="43" t="n">
        <f aca="false">$E41*MAX(0,(MIN(In_PB_Release,EI$4)-MAX($F41,EI$3)+1)/EI$5)</f>
        <v>0</v>
      </c>
      <c r="EJ41" s="43" t="n">
        <f aca="false">$E41*MAX(0,(MIN(In_PB_Release,EJ$4)-MAX($F41,EJ$3)+1)/EJ$5)</f>
        <v>0</v>
      </c>
      <c r="EK41" s="43" t="n">
        <f aca="false">$E41*MAX(0,(MIN(In_PB_Release,EK$4)-MAX($F41,EK$3)+1)/EK$5)</f>
        <v>0</v>
      </c>
      <c r="EL41" s="43" t="n">
        <f aca="false">$E41*MAX(0,(MIN(In_PB_Release,EL$4)-MAX($F41,EL$3)+1)/EL$5)</f>
        <v>0</v>
      </c>
      <c r="EM41" s="43" t="n">
        <f aca="false">$E41*MAX(0,(MIN(In_PB_Release,EM$4)-MAX($F41,EM$3)+1)/EM$5)</f>
        <v>0</v>
      </c>
      <c r="EN41" s="43" t="n">
        <f aca="false">$E41*MAX(0,(MIN(In_PB_Release,EN$4)-MAX($F41,EN$3)+1)/EN$5)</f>
        <v>0</v>
      </c>
      <c r="EO41" s="43" t="n">
        <f aca="false">$E41*MAX(0,(MIN(In_PB_Release,EO$4)-MAX($F41,EO$3)+1)/EO$5)</f>
        <v>0</v>
      </c>
    </row>
    <row r="42" customFormat="false" ht="15" hidden="false" customHeight="false" outlineLevel="0" collapsed="false">
      <c r="C42" s="0" t="s">
        <v>355</v>
      </c>
      <c r="D42" s="11" t="s">
        <v>33</v>
      </c>
      <c r="E42" s="43" t="n">
        <f aca="false">In_TSO_Security*In_MVA*Thousand/In_FX</f>
        <v>616.438356164384</v>
      </c>
      <c r="F42" s="41" t="n">
        <f aca="false">In_Decision_Date+In_PB_Days</f>
        <v>46433</v>
      </c>
      <c r="I42" s="43" t="n">
        <f aca="false">SUM(J42:EO42)</f>
        <v>-616.438356164384</v>
      </c>
      <c r="J42" s="43" t="n">
        <f aca="false">-$E42*N(AND(J$3&lt;=$F42,J$4&gt;=$F42))</f>
        <v>-0</v>
      </c>
      <c r="K42" s="43" t="n">
        <f aca="false">-$E42*N(AND(K$3&lt;=$F42,K$4&gt;=$F42))</f>
        <v>-616.438356164384</v>
      </c>
      <c r="L42" s="43" t="n">
        <f aca="false">-$E42*N(AND(L$3&lt;=$F42,L$4&gt;=$F42))</f>
        <v>-0</v>
      </c>
      <c r="M42" s="43" t="n">
        <f aca="false">-$E42*N(AND(M$3&lt;=$F42,M$4&gt;=$F42))</f>
        <v>-0</v>
      </c>
      <c r="N42" s="43" t="n">
        <f aca="false">-$E42*N(AND(N$3&lt;=$F42,N$4&gt;=$F42))</f>
        <v>-0</v>
      </c>
      <c r="O42" s="43" t="n">
        <f aca="false">-$E42*N(AND(O$3&lt;=$F42,O$4&gt;=$F42))</f>
        <v>-0</v>
      </c>
      <c r="P42" s="43" t="n">
        <f aca="false">-$E42*N(AND(P$3&lt;=$F42,P$4&gt;=$F42))</f>
        <v>-0</v>
      </c>
      <c r="Q42" s="43" t="n">
        <f aca="false">-$E42*N(AND(Q$3&lt;=$F42,Q$4&gt;=$F42))</f>
        <v>-0</v>
      </c>
      <c r="R42" s="43" t="n">
        <f aca="false">-$E42*N(AND(R$3&lt;=$F42,R$4&gt;=$F42))</f>
        <v>-0</v>
      </c>
      <c r="S42" s="43" t="n">
        <f aca="false">-$E42*N(AND(S$3&lt;=$F42,S$4&gt;=$F42))</f>
        <v>-0</v>
      </c>
      <c r="T42" s="43" t="n">
        <f aca="false">-$E42*N(AND(T$3&lt;=$F42,T$4&gt;=$F42))</f>
        <v>-0</v>
      </c>
      <c r="U42" s="43" t="n">
        <f aca="false">-$E42*N(AND(U$3&lt;=$F42,U$4&gt;=$F42))</f>
        <v>-0</v>
      </c>
      <c r="V42" s="43" t="n">
        <f aca="false">-$E42*N(AND(V$3&lt;=$F42,V$4&gt;=$F42))</f>
        <v>-0</v>
      </c>
      <c r="W42" s="43" t="n">
        <f aca="false">-$E42*N(AND(W$3&lt;=$F42,W$4&gt;=$F42))</f>
        <v>-0</v>
      </c>
      <c r="X42" s="43" t="n">
        <f aca="false">-$E42*N(AND(X$3&lt;=$F42,X$4&gt;=$F42))</f>
        <v>-0</v>
      </c>
      <c r="Y42" s="43" t="n">
        <f aca="false">-$E42*N(AND(Y$3&lt;=$F42,Y$4&gt;=$F42))</f>
        <v>-0</v>
      </c>
      <c r="Z42" s="43" t="n">
        <f aca="false">-$E42*N(AND(Z$3&lt;=$F42,Z$4&gt;=$F42))</f>
        <v>-0</v>
      </c>
      <c r="AA42" s="43" t="n">
        <f aca="false">-$E42*N(AND(AA$3&lt;=$F42,AA$4&gt;=$F42))</f>
        <v>-0</v>
      </c>
      <c r="AB42" s="43" t="n">
        <f aca="false">-$E42*N(AND(AB$3&lt;=$F42,AB$4&gt;=$F42))</f>
        <v>-0</v>
      </c>
      <c r="AC42" s="43" t="n">
        <f aca="false">-$E42*N(AND(AC$3&lt;=$F42,AC$4&gt;=$F42))</f>
        <v>-0</v>
      </c>
      <c r="AD42" s="43" t="n">
        <f aca="false">-$E42*N(AND(AD$3&lt;=$F42,AD$4&gt;=$F42))</f>
        <v>-0</v>
      </c>
      <c r="AE42" s="43" t="n">
        <f aca="false">-$E42*N(AND(AE$3&lt;=$F42,AE$4&gt;=$F42))</f>
        <v>-0</v>
      </c>
      <c r="AF42" s="43" t="n">
        <f aca="false">-$E42*N(AND(AF$3&lt;=$F42,AF$4&gt;=$F42))</f>
        <v>-0</v>
      </c>
      <c r="AG42" s="43" t="n">
        <f aca="false">-$E42*N(AND(AG$3&lt;=$F42,AG$4&gt;=$F42))</f>
        <v>-0</v>
      </c>
      <c r="AH42" s="43" t="n">
        <f aca="false">-$E42*N(AND(AH$3&lt;=$F42,AH$4&gt;=$F42))</f>
        <v>-0</v>
      </c>
      <c r="AI42" s="43" t="n">
        <f aca="false">-$E42*N(AND(AI$3&lt;=$F42,AI$4&gt;=$F42))</f>
        <v>-0</v>
      </c>
      <c r="AJ42" s="43" t="n">
        <f aca="false">-$E42*N(AND(AJ$3&lt;=$F42,AJ$4&gt;=$F42))</f>
        <v>-0</v>
      </c>
      <c r="AK42" s="43" t="n">
        <f aca="false">-$E42*N(AND(AK$3&lt;=$F42,AK$4&gt;=$F42))</f>
        <v>-0</v>
      </c>
      <c r="AL42" s="43" t="n">
        <f aca="false">-$E42*N(AND(AL$3&lt;=$F42,AL$4&gt;=$F42))</f>
        <v>-0</v>
      </c>
      <c r="AM42" s="43" t="n">
        <f aca="false">-$E42*N(AND(AM$3&lt;=$F42,AM$4&gt;=$F42))</f>
        <v>-0</v>
      </c>
      <c r="AN42" s="43" t="n">
        <f aca="false">-$E42*N(AND(AN$3&lt;=$F42,AN$4&gt;=$F42))</f>
        <v>-0</v>
      </c>
      <c r="AO42" s="43" t="n">
        <f aca="false">-$E42*N(AND(AO$3&lt;=$F42,AO$4&gt;=$F42))</f>
        <v>-0</v>
      </c>
      <c r="AP42" s="43" t="n">
        <f aca="false">-$E42*N(AND(AP$3&lt;=$F42,AP$4&gt;=$F42))</f>
        <v>-0</v>
      </c>
      <c r="AQ42" s="43" t="n">
        <f aca="false">-$E42*N(AND(AQ$3&lt;=$F42,AQ$4&gt;=$F42))</f>
        <v>-0</v>
      </c>
      <c r="AR42" s="43" t="n">
        <f aca="false">-$E42*N(AND(AR$3&lt;=$F42,AR$4&gt;=$F42))</f>
        <v>-0</v>
      </c>
      <c r="AS42" s="43" t="n">
        <f aca="false">-$E42*N(AND(AS$3&lt;=$F42,AS$4&gt;=$F42))</f>
        <v>-0</v>
      </c>
      <c r="AT42" s="43" t="n">
        <f aca="false">-$E42*N(AND(AT$3&lt;=$F42,AT$4&gt;=$F42))</f>
        <v>-0</v>
      </c>
      <c r="AU42" s="43" t="n">
        <f aca="false">-$E42*N(AND(AU$3&lt;=$F42,AU$4&gt;=$F42))</f>
        <v>-0</v>
      </c>
      <c r="AV42" s="43" t="n">
        <f aca="false">-$E42*N(AND(AV$3&lt;=$F42,AV$4&gt;=$F42))</f>
        <v>-0</v>
      </c>
      <c r="AW42" s="43" t="n">
        <f aca="false">-$E42*N(AND(AW$3&lt;=$F42,AW$4&gt;=$F42))</f>
        <v>-0</v>
      </c>
      <c r="AX42" s="43" t="n">
        <f aca="false">-$E42*N(AND(AX$3&lt;=$F42,AX$4&gt;=$F42))</f>
        <v>-0</v>
      </c>
      <c r="AY42" s="43" t="n">
        <f aca="false">-$E42*N(AND(AY$3&lt;=$F42,AY$4&gt;=$F42))</f>
        <v>-0</v>
      </c>
      <c r="AZ42" s="43" t="n">
        <f aca="false">-$E42*N(AND(AZ$3&lt;=$F42,AZ$4&gt;=$F42))</f>
        <v>-0</v>
      </c>
      <c r="BA42" s="43" t="n">
        <f aca="false">-$E42*N(AND(BA$3&lt;=$F42,BA$4&gt;=$F42))</f>
        <v>-0</v>
      </c>
      <c r="BB42" s="43" t="n">
        <f aca="false">-$E42*N(AND(BB$3&lt;=$F42,BB$4&gt;=$F42))</f>
        <v>-0</v>
      </c>
      <c r="BC42" s="43" t="n">
        <f aca="false">-$E42*N(AND(BC$3&lt;=$F42,BC$4&gt;=$F42))</f>
        <v>-0</v>
      </c>
      <c r="BD42" s="43" t="n">
        <f aca="false">-$E42*N(AND(BD$3&lt;=$F42,BD$4&gt;=$F42))</f>
        <v>-0</v>
      </c>
      <c r="BE42" s="43" t="n">
        <f aca="false">-$E42*N(AND(BE$3&lt;=$F42,BE$4&gt;=$F42))</f>
        <v>-0</v>
      </c>
      <c r="BF42" s="43" t="n">
        <f aca="false">-$E42*N(AND(BF$3&lt;=$F42,BF$4&gt;=$F42))</f>
        <v>-0</v>
      </c>
      <c r="BG42" s="43" t="n">
        <f aca="false">-$E42*N(AND(BG$3&lt;=$F42,BG$4&gt;=$F42))</f>
        <v>-0</v>
      </c>
      <c r="BH42" s="43" t="n">
        <f aca="false">-$E42*N(AND(BH$3&lt;=$F42,BH$4&gt;=$F42))</f>
        <v>-0</v>
      </c>
      <c r="BI42" s="43" t="n">
        <f aca="false">-$E42*N(AND(BI$3&lt;=$F42,BI$4&gt;=$F42))</f>
        <v>-0</v>
      </c>
      <c r="BJ42" s="43" t="n">
        <f aca="false">-$E42*N(AND(BJ$3&lt;=$F42,BJ$4&gt;=$F42))</f>
        <v>-0</v>
      </c>
      <c r="BK42" s="43" t="n">
        <f aca="false">-$E42*N(AND(BK$3&lt;=$F42,BK$4&gt;=$F42))</f>
        <v>-0</v>
      </c>
      <c r="BL42" s="43" t="n">
        <f aca="false">-$E42*N(AND(BL$3&lt;=$F42,BL$4&gt;=$F42))</f>
        <v>-0</v>
      </c>
      <c r="BM42" s="43" t="n">
        <f aca="false">-$E42*N(AND(BM$3&lt;=$F42,BM$4&gt;=$F42))</f>
        <v>-0</v>
      </c>
      <c r="BN42" s="43" t="n">
        <f aca="false">-$E42*N(AND(BN$3&lt;=$F42,BN$4&gt;=$F42))</f>
        <v>-0</v>
      </c>
      <c r="BO42" s="43" t="n">
        <f aca="false">-$E42*N(AND(BO$3&lt;=$F42,BO$4&gt;=$F42))</f>
        <v>-0</v>
      </c>
      <c r="BP42" s="43" t="n">
        <f aca="false">-$E42*N(AND(BP$3&lt;=$F42,BP$4&gt;=$F42))</f>
        <v>-0</v>
      </c>
      <c r="BQ42" s="43" t="n">
        <f aca="false">-$E42*N(AND(BQ$3&lt;=$F42,BQ$4&gt;=$F42))</f>
        <v>-0</v>
      </c>
      <c r="BR42" s="43" t="n">
        <f aca="false">-$E42*N(AND(BR$3&lt;=$F42,BR$4&gt;=$F42))</f>
        <v>-0</v>
      </c>
      <c r="BS42" s="43" t="n">
        <f aca="false">-$E42*N(AND(BS$3&lt;=$F42,BS$4&gt;=$F42))</f>
        <v>-0</v>
      </c>
      <c r="BT42" s="43" t="n">
        <f aca="false">-$E42*N(AND(BT$3&lt;=$F42,BT$4&gt;=$F42))</f>
        <v>-0</v>
      </c>
      <c r="BU42" s="43" t="n">
        <f aca="false">-$E42*N(AND(BU$3&lt;=$F42,BU$4&gt;=$F42))</f>
        <v>-0</v>
      </c>
      <c r="BV42" s="43" t="n">
        <f aca="false">-$E42*N(AND(BV$3&lt;=$F42,BV$4&gt;=$F42))</f>
        <v>-0</v>
      </c>
      <c r="BW42" s="43" t="n">
        <f aca="false">-$E42*N(AND(BW$3&lt;=$F42,BW$4&gt;=$F42))</f>
        <v>-0</v>
      </c>
      <c r="BX42" s="43" t="n">
        <f aca="false">-$E42*N(AND(BX$3&lt;=$F42,BX$4&gt;=$F42))</f>
        <v>-0</v>
      </c>
      <c r="BY42" s="43" t="n">
        <f aca="false">-$E42*N(AND(BY$3&lt;=$F42,BY$4&gt;=$F42))</f>
        <v>-0</v>
      </c>
      <c r="BZ42" s="43" t="n">
        <f aca="false">-$E42*N(AND(BZ$3&lt;=$F42,BZ$4&gt;=$F42))</f>
        <v>-0</v>
      </c>
      <c r="CA42" s="43" t="n">
        <f aca="false">-$E42*N(AND(CA$3&lt;=$F42,CA$4&gt;=$F42))</f>
        <v>-0</v>
      </c>
      <c r="CB42" s="43" t="n">
        <f aca="false">-$E42*N(AND(CB$3&lt;=$F42,CB$4&gt;=$F42))</f>
        <v>-0</v>
      </c>
      <c r="CC42" s="43" t="n">
        <f aca="false">-$E42*N(AND(CC$3&lt;=$F42,CC$4&gt;=$F42))</f>
        <v>-0</v>
      </c>
      <c r="CD42" s="43" t="n">
        <f aca="false">-$E42*N(AND(CD$3&lt;=$F42,CD$4&gt;=$F42))</f>
        <v>-0</v>
      </c>
      <c r="CE42" s="43" t="n">
        <f aca="false">-$E42*N(AND(CE$3&lt;=$F42,CE$4&gt;=$F42))</f>
        <v>-0</v>
      </c>
      <c r="CF42" s="43" t="n">
        <f aca="false">-$E42*N(AND(CF$3&lt;=$F42,CF$4&gt;=$F42))</f>
        <v>-0</v>
      </c>
      <c r="CG42" s="43" t="n">
        <f aca="false">-$E42*N(AND(CG$3&lt;=$F42,CG$4&gt;=$F42))</f>
        <v>-0</v>
      </c>
      <c r="CH42" s="43" t="n">
        <f aca="false">-$E42*N(AND(CH$3&lt;=$F42,CH$4&gt;=$F42))</f>
        <v>-0</v>
      </c>
      <c r="CI42" s="43" t="n">
        <f aca="false">-$E42*N(AND(CI$3&lt;=$F42,CI$4&gt;=$F42))</f>
        <v>-0</v>
      </c>
      <c r="CJ42" s="43" t="n">
        <f aca="false">-$E42*N(AND(CJ$3&lt;=$F42,CJ$4&gt;=$F42))</f>
        <v>-0</v>
      </c>
      <c r="CK42" s="43" t="n">
        <f aca="false">-$E42*N(AND(CK$3&lt;=$F42,CK$4&gt;=$F42))</f>
        <v>-0</v>
      </c>
      <c r="CL42" s="43" t="n">
        <f aca="false">-$E42*N(AND(CL$3&lt;=$F42,CL$4&gt;=$F42))</f>
        <v>-0</v>
      </c>
      <c r="CM42" s="43" t="n">
        <f aca="false">-$E42*N(AND(CM$3&lt;=$F42,CM$4&gt;=$F42))</f>
        <v>-0</v>
      </c>
      <c r="CN42" s="43" t="n">
        <f aca="false">-$E42*N(AND(CN$3&lt;=$F42,CN$4&gt;=$F42))</f>
        <v>-0</v>
      </c>
      <c r="CO42" s="43" t="n">
        <f aca="false">-$E42*N(AND(CO$3&lt;=$F42,CO$4&gt;=$F42))</f>
        <v>-0</v>
      </c>
      <c r="CP42" s="43" t="n">
        <f aca="false">-$E42*N(AND(CP$3&lt;=$F42,CP$4&gt;=$F42))</f>
        <v>-0</v>
      </c>
      <c r="CQ42" s="43" t="n">
        <f aca="false">-$E42*N(AND(CQ$3&lt;=$F42,CQ$4&gt;=$F42))</f>
        <v>-0</v>
      </c>
      <c r="CR42" s="43" t="n">
        <f aca="false">-$E42*N(AND(CR$3&lt;=$F42,CR$4&gt;=$F42))</f>
        <v>-0</v>
      </c>
      <c r="CS42" s="43" t="n">
        <f aca="false">-$E42*N(AND(CS$3&lt;=$F42,CS$4&gt;=$F42))</f>
        <v>-0</v>
      </c>
      <c r="CT42" s="43" t="n">
        <f aca="false">-$E42*N(AND(CT$3&lt;=$F42,CT$4&gt;=$F42))</f>
        <v>-0</v>
      </c>
      <c r="CU42" s="43" t="n">
        <f aca="false">-$E42*N(AND(CU$3&lt;=$F42,CU$4&gt;=$F42))</f>
        <v>-0</v>
      </c>
      <c r="CV42" s="43" t="n">
        <f aca="false">-$E42*N(AND(CV$3&lt;=$F42,CV$4&gt;=$F42))</f>
        <v>-0</v>
      </c>
      <c r="CW42" s="43" t="n">
        <f aca="false">-$E42*N(AND(CW$3&lt;=$F42,CW$4&gt;=$F42))</f>
        <v>-0</v>
      </c>
      <c r="CX42" s="43" t="n">
        <f aca="false">-$E42*N(AND(CX$3&lt;=$F42,CX$4&gt;=$F42))</f>
        <v>-0</v>
      </c>
      <c r="CY42" s="43" t="n">
        <f aca="false">-$E42*N(AND(CY$3&lt;=$F42,CY$4&gt;=$F42))</f>
        <v>-0</v>
      </c>
      <c r="CZ42" s="43" t="n">
        <f aca="false">-$E42*N(AND(CZ$3&lt;=$F42,CZ$4&gt;=$F42))</f>
        <v>-0</v>
      </c>
      <c r="DA42" s="43" t="n">
        <f aca="false">-$E42*N(AND(DA$3&lt;=$F42,DA$4&gt;=$F42))</f>
        <v>-0</v>
      </c>
      <c r="DB42" s="43" t="n">
        <f aca="false">-$E42*N(AND(DB$3&lt;=$F42,DB$4&gt;=$F42))</f>
        <v>-0</v>
      </c>
      <c r="DC42" s="43" t="n">
        <f aca="false">-$E42*N(AND(DC$3&lt;=$F42,DC$4&gt;=$F42))</f>
        <v>-0</v>
      </c>
      <c r="DD42" s="43" t="n">
        <f aca="false">-$E42*N(AND(DD$3&lt;=$F42,DD$4&gt;=$F42))</f>
        <v>-0</v>
      </c>
      <c r="DE42" s="43" t="n">
        <f aca="false">-$E42*N(AND(DE$3&lt;=$F42,DE$4&gt;=$F42))</f>
        <v>-0</v>
      </c>
      <c r="DF42" s="43" t="n">
        <f aca="false">-$E42*N(AND(DF$3&lt;=$F42,DF$4&gt;=$F42))</f>
        <v>-0</v>
      </c>
      <c r="DG42" s="43" t="n">
        <f aca="false">-$E42*N(AND(DG$3&lt;=$F42,DG$4&gt;=$F42))</f>
        <v>-0</v>
      </c>
      <c r="DH42" s="43" t="n">
        <f aca="false">-$E42*N(AND(DH$3&lt;=$F42,DH$4&gt;=$F42))</f>
        <v>-0</v>
      </c>
      <c r="DI42" s="43" t="n">
        <f aca="false">-$E42*N(AND(DI$3&lt;=$F42,DI$4&gt;=$F42))</f>
        <v>-0</v>
      </c>
      <c r="DJ42" s="43" t="n">
        <f aca="false">-$E42*N(AND(DJ$3&lt;=$F42,DJ$4&gt;=$F42))</f>
        <v>-0</v>
      </c>
      <c r="DK42" s="43" t="n">
        <f aca="false">-$E42*N(AND(DK$3&lt;=$F42,DK$4&gt;=$F42))</f>
        <v>-0</v>
      </c>
      <c r="DL42" s="43" t="n">
        <f aca="false">-$E42*N(AND(DL$3&lt;=$F42,DL$4&gt;=$F42))</f>
        <v>-0</v>
      </c>
      <c r="DM42" s="43" t="n">
        <f aca="false">-$E42*N(AND(DM$3&lt;=$F42,DM$4&gt;=$F42))</f>
        <v>-0</v>
      </c>
      <c r="DN42" s="43" t="n">
        <f aca="false">-$E42*N(AND(DN$3&lt;=$F42,DN$4&gt;=$F42))</f>
        <v>-0</v>
      </c>
      <c r="DO42" s="43" t="n">
        <f aca="false">-$E42*N(AND(DO$3&lt;=$F42,DO$4&gt;=$F42))</f>
        <v>-0</v>
      </c>
      <c r="DP42" s="43" t="n">
        <f aca="false">-$E42*N(AND(DP$3&lt;=$F42,DP$4&gt;=$F42))</f>
        <v>-0</v>
      </c>
      <c r="DQ42" s="43" t="n">
        <f aca="false">-$E42*N(AND(DQ$3&lt;=$F42,DQ$4&gt;=$F42))</f>
        <v>-0</v>
      </c>
      <c r="DR42" s="43" t="n">
        <f aca="false">-$E42*N(AND(DR$3&lt;=$F42,DR$4&gt;=$F42))</f>
        <v>-0</v>
      </c>
      <c r="DS42" s="43" t="n">
        <f aca="false">-$E42*N(AND(DS$3&lt;=$F42,DS$4&gt;=$F42))</f>
        <v>-0</v>
      </c>
      <c r="DT42" s="43" t="n">
        <f aca="false">-$E42*N(AND(DT$3&lt;=$F42,DT$4&gt;=$F42))</f>
        <v>-0</v>
      </c>
      <c r="DU42" s="43" t="n">
        <f aca="false">-$E42*N(AND(DU$3&lt;=$F42,DU$4&gt;=$F42))</f>
        <v>-0</v>
      </c>
      <c r="DV42" s="43" t="n">
        <f aca="false">-$E42*N(AND(DV$3&lt;=$F42,DV$4&gt;=$F42))</f>
        <v>-0</v>
      </c>
      <c r="DW42" s="43" t="n">
        <f aca="false">-$E42*N(AND(DW$3&lt;=$F42,DW$4&gt;=$F42))</f>
        <v>-0</v>
      </c>
      <c r="DX42" s="43" t="n">
        <f aca="false">-$E42*N(AND(DX$3&lt;=$F42,DX$4&gt;=$F42))</f>
        <v>-0</v>
      </c>
      <c r="DY42" s="43" t="n">
        <f aca="false">-$E42*N(AND(DY$3&lt;=$F42,DY$4&gt;=$F42))</f>
        <v>-0</v>
      </c>
      <c r="DZ42" s="43" t="n">
        <f aca="false">-$E42*N(AND(DZ$3&lt;=$F42,DZ$4&gt;=$F42))</f>
        <v>-0</v>
      </c>
      <c r="EA42" s="43" t="n">
        <f aca="false">-$E42*N(AND(EA$3&lt;=$F42,EA$4&gt;=$F42))</f>
        <v>-0</v>
      </c>
      <c r="EB42" s="43" t="n">
        <f aca="false">-$E42*N(AND(EB$3&lt;=$F42,EB$4&gt;=$F42))</f>
        <v>-0</v>
      </c>
      <c r="EC42" s="43" t="n">
        <f aca="false">-$E42*N(AND(EC$3&lt;=$F42,EC$4&gt;=$F42))</f>
        <v>-0</v>
      </c>
      <c r="ED42" s="43" t="n">
        <f aca="false">-$E42*N(AND(ED$3&lt;=$F42,ED$4&gt;=$F42))</f>
        <v>-0</v>
      </c>
      <c r="EE42" s="43" t="n">
        <f aca="false">-$E42*N(AND(EE$3&lt;=$F42,EE$4&gt;=$F42))</f>
        <v>-0</v>
      </c>
      <c r="EF42" s="43" t="n">
        <f aca="false">-$E42*N(AND(EF$3&lt;=$F42,EF$4&gt;=$F42))</f>
        <v>-0</v>
      </c>
      <c r="EG42" s="43" t="n">
        <f aca="false">-$E42*N(AND(EG$3&lt;=$F42,EG$4&gt;=$F42))</f>
        <v>-0</v>
      </c>
      <c r="EH42" s="43" t="n">
        <f aca="false">-$E42*N(AND(EH$3&lt;=$F42,EH$4&gt;=$F42))</f>
        <v>-0</v>
      </c>
      <c r="EI42" s="43" t="n">
        <f aca="false">-$E42*N(AND(EI$3&lt;=$F42,EI$4&gt;=$F42))</f>
        <v>-0</v>
      </c>
      <c r="EJ42" s="43" t="n">
        <f aca="false">-$E42*N(AND(EJ$3&lt;=$F42,EJ$4&gt;=$F42))</f>
        <v>-0</v>
      </c>
      <c r="EK42" s="43" t="n">
        <f aca="false">-$E42*N(AND(EK$3&lt;=$F42,EK$4&gt;=$F42))</f>
        <v>-0</v>
      </c>
      <c r="EL42" s="43" t="n">
        <f aca="false">-$E42*N(AND(EL$3&lt;=$F42,EL$4&gt;=$F42))</f>
        <v>-0</v>
      </c>
      <c r="EM42" s="43" t="n">
        <f aca="false">-$E42*N(AND(EM$3&lt;=$F42,EM$4&gt;=$F42))</f>
        <v>-0</v>
      </c>
      <c r="EN42" s="43" t="n">
        <f aca="false">-$E42*N(AND(EN$3&lt;=$F42,EN$4&gt;=$F42))</f>
        <v>-0</v>
      </c>
      <c r="EO42" s="43" t="n">
        <f aca="false">-$E42*N(AND(EO$3&lt;=$F42,EO$4&gt;=$F42))</f>
        <v>-0</v>
      </c>
    </row>
    <row r="43" customFormat="false" ht="15" hidden="false" customHeight="false" outlineLevel="0" collapsed="false">
      <c r="C43" s="0" t="s">
        <v>356</v>
      </c>
      <c r="D43" s="11" t="s">
        <v>33</v>
      </c>
      <c r="E43" s="43" t="n">
        <f aca="false">In_Direct_Fee*Thousand/In_FX</f>
        <v>1260.27397260274</v>
      </c>
      <c r="F43" s="20" t="n">
        <f aca="false">In_HCSSZ_Date</f>
        <v>47126</v>
      </c>
      <c r="I43" s="43" t="n">
        <f aca="false">SUM(J43:EO43)</f>
        <v>-1260.27397260274</v>
      </c>
      <c r="J43" s="43" t="n">
        <f aca="false">-$E43*N(AND(J$3&lt;=$F43,J$4&gt;=$F43))</f>
        <v>-0</v>
      </c>
      <c r="K43" s="43" t="n">
        <f aca="false">-$E43*N(AND(K$3&lt;=$F43,K$4&gt;=$F43))</f>
        <v>-0</v>
      </c>
      <c r="L43" s="43" t="n">
        <f aca="false">-$E43*N(AND(L$3&lt;=$F43,L$4&gt;=$F43))</f>
        <v>-0</v>
      </c>
      <c r="M43" s="43" t="n">
        <f aca="false">-$E43*N(AND(M$3&lt;=$F43,M$4&gt;=$F43))</f>
        <v>-0</v>
      </c>
      <c r="N43" s="43" t="n">
        <f aca="false">-$E43*N(AND(N$3&lt;=$F43,N$4&gt;=$F43))</f>
        <v>-0</v>
      </c>
      <c r="O43" s="43" t="n">
        <f aca="false">-$E43*N(AND(O$3&lt;=$F43,O$4&gt;=$F43))</f>
        <v>-0</v>
      </c>
      <c r="P43" s="43" t="n">
        <f aca="false">-$E43*N(AND(P$3&lt;=$F43,P$4&gt;=$F43))</f>
        <v>-0</v>
      </c>
      <c r="Q43" s="43" t="n">
        <f aca="false">-$E43*N(AND(Q$3&lt;=$F43,Q$4&gt;=$F43))</f>
        <v>-0</v>
      </c>
      <c r="R43" s="43" t="n">
        <f aca="false">-$E43*N(AND(R$3&lt;=$F43,R$4&gt;=$F43))</f>
        <v>-0</v>
      </c>
      <c r="S43" s="43" t="n">
        <f aca="false">-$E43*N(AND(S$3&lt;=$F43,S$4&gt;=$F43))</f>
        <v>-1260.27397260274</v>
      </c>
      <c r="T43" s="43" t="n">
        <f aca="false">-$E43*N(AND(T$3&lt;=$F43,T$4&gt;=$F43))</f>
        <v>-0</v>
      </c>
      <c r="U43" s="43" t="n">
        <f aca="false">-$E43*N(AND(U$3&lt;=$F43,U$4&gt;=$F43))</f>
        <v>-0</v>
      </c>
      <c r="V43" s="43" t="n">
        <f aca="false">-$E43*N(AND(V$3&lt;=$F43,V$4&gt;=$F43))</f>
        <v>-0</v>
      </c>
      <c r="W43" s="43" t="n">
        <f aca="false">-$E43*N(AND(W$3&lt;=$F43,W$4&gt;=$F43))</f>
        <v>-0</v>
      </c>
      <c r="X43" s="43" t="n">
        <f aca="false">-$E43*N(AND(X$3&lt;=$F43,X$4&gt;=$F43))</f>
        <v>-0</v>
      </c>
      <c r="Y43" s="43" t="n">
        <f aca="false">-$E43*N(AND(Y$3&lt;=$F43,Y$4&gt;=$F43))</f>
        <v>-0</v>
      </c>
      <c r="Z43" s="43" t="n">
        <f aca="false">-$E43*N(AND(Z$3&lt;=$F43,Z$4&gt;=$F43))</f>
        <v>-0</v>
      </c>
      <c r="AA43" s="43" t="n">
        <f aca="false">-$E43*N(AND(AA$3&lt;=$F43,AA$4&gt;=$F43))</f>
        <v>-0</v>
      </c>
      <c r="AB43" s="43" t="n">
        <f aca="false">-$E43*N(AND(AB$3&lt;=$F43,AB$4&gt;=$F43))</f>
        <v>-0</v>
      </c>
      <c r="AC43" s="43" t="n">
        <f aca="false">-$E43*N(AND(AC$3&lt;=$F43,AC$4&gt;=$F43))</f>
        <v>-0</v>
      </c>
      <c r="AD43" s="43" t="n">
        <f aca="false">-$E43*N(AND(AD$3&lt;=$F43,AD$4&gt;=$F43))</f>
        <v>-0</v>
      </c>
      <c r="AE43" s="43" t="n">
        <f aca="false">-$E43*N(AND(AE$3&lt;=$F43,AE$4&gt;=$F43))</f>
        <v>-0</v>
      </c>
      <c r="AF43" s="43" t="n">
        <f aca="false">-$E43*N(AND(AF$3&lt;=$F43,AF$4&gt;=$F43))</f>
        <v>-0</v>
      </c>
      <c r="AG43" s="43" t="n">
        <f aca="false">-$E43*N(AND(AG$3&lt;=$F43,AG$4&gt;=$F43))</f>
        <v>-0</v>
      </c>
      <c r="AH43" s="43" t="n">
        <f aca="false">-$E43*N(AND(AH$3&lt;=$F43,AH$4&gt;=$F43))</f>
        <v>-0</v>
      </c>
      <c r="AI43" s="43" t="n">
        <f aca="false">-$E43*N(AND(AI$3&lt;=$F43,AI$4&gt;=$F43))</f>
        <v>-0</v>
      </c>
      <c r="AJ43" s="43" t="n">
        <f aca="false">-$E43*N(AND(AJ$3&lt;=$F43,AJ$4&gt;=$F43))</f>
        <v>-0</v>
      </c>
      <c r="AK43" s="43" t="n">
        <f aca="false">-$E43*N(AND(AK$3&lt;=$F43,AK$4&gt;=$F43))</f>
        <v>-0</v>
      </c>
      <c r="AL43" s="43" t="n">
        <f aca="false">-$E43*N(AND(AL$3&lt;=$F43,AL$4&gt;=$F43))</f>
        <v>-0</v>
      </c>
      <c r="AM43" s="43" t="n">
        <f aca="false">-$E43*N(AND(AM$3&lt;=$F43,AM$4&gt;=$F43))</f>
        <v>-0</v>
      </c>
      <c r="AN43" s="43" t="n">
        <f aca="false">-$E43*N(AND(AN$3&lt;=$F43,AN$4&gt;=$F43))</f>
        <v>-0</v>
      </c>
      <c r="AO43" s="43" t="n">
        <f aca="false">-$E43*N(AND(AO$3&lt;=$F43,AO$4&gt;=$F43))</f>
        <v>-0</v>
      </c>
      <c r="AP43" s="43" t="n">
        <f aca="false">-$E43*N(AND(AP$3&lt;=$F43,AP$4&gt;=$F43))</f>
        <v>-0</v>
      </c>
      <c r="AQ43" s="43" t="n">
        <f aca="false">-$E43*N(AND(AQ$3&lt;=$F43,AQ$4&gt;=$F43))</f>
        <v>-0</v>
      </c>
      <c r="AR43" s="43" t="n">
        <f aca="false">-$E43*N(AND(AR$3&lt;=$F43,AR$4&gt;=$F43))</f>
        <v>-0</v>
      </c>
      <c r="AS43" s="43" t="n">
        <f aca="false">-$E43*N(AND(AS$3&lt;=$F43,AS$4&gt;=$F43))</f>
        <v>-0</v>
      </c>
      <c r="AT43" s="43" t="n">
        <f aca="false">-$E43*N(AND(AT$3&lt;=$F43,AT$4&gt;=$F43))</f>
        <v>-0</v>
      </c>
      <c r="AU43" s="43" t="n">
        <f aca="false">-$E43*N(AND(AU$3&lt;=$F43,AU$4&gt;=$F43))</f>
        <v>-0</v>
      </c>
      <c r="AV43" s="43" t="n">
        <f aca="false">-$E43*N(AND(AV$3&lt;=$F43,AV$4&gt;=$F43))</f>
        <v>-0</v>
      </c>
      <c r="AW43" s="43" t="n">
        <f aca="false">-$E43*N(AND(AW$3&lt;=$F43,AW$4&gt;=$F43))</f>
        <v>-0</v>
      </c>
      <c r="AX43" s="43" t="n">
        <f aca="false">-$E43*N(AND(AX$3&lt;=$F43,AX$4&gt;=$F43))</f>
        <v>-0</v>
      </c>
      <c r="AY43" s="43" t="n">
        <f aca="false">-$E43*N(AND(AY$3&lt;=$F43,AY$4&gt;=$F43))</f>
        <v>-0</v>
      </c>
      <c r="AZ43" s="43" t="n">
        <f aca="false">-$E43*N(AND(AZ$3&lt;=$F43,AZ$4&gt;=$F43))</f>
        <v>-0</v>
      </c>
      <c r="BA43" s="43" t="n">
        <f aca="false">-$E43*N(AND(BA$3&lt;=$F43,BA$4&gt;=$F43))</f>
        <v>-0</v>
      </c>
      <c r="BB43" s="43" t="n">
        <f aca="false">-$E43*N(AND(BB$3&lt;=$F43,BB$4&gt;=$F43))</f>
        <v>-0</v>
      </c>
      <c r="BC43" s="43" t="n">
        <f aca="false">-$E43*N(AND(BC$3&lt;=$F43,BC$4&gt;=$F43))</f>
        <v>-0</v>
      </c>
      <c r="BD43" s="43" t="n">
        <f aca="false">-$E43*N(AND(BD$3&lt;=$F43,BD$4&gt;=$F43))</f>
        <v>-0</v>
      </c>
      <c r="BE43" s="43" t="n">
        <f aca="false">-$E43*N(AND(BE$3&lt;=$F43,BE$4&gt;=$F43))</f>
        <v>-0</v>
      </c>
      <c r="BF43" s="43" t="n">
        <f aca="false">-$E43*N(AND(BF$3&lt;=$F43,BF$4&gt;=$F43))</f>
        <v>-0</v>
      </c>
      <c r="BG43" s="43" t="n">
        <f aca="false">-$E43*N(AND(BG$3&lt;=$F43,BG$4&gt;=$F43))</f>
        <v>-0</v>
      </c>
      <c r="BH43" s="43" t="n">
        <f aca="false">-$E43*N(AND(BH$3&lt;=$F43,BH$4&gt;=$F43))</f>
        <v>-0</v>
      </c>
      <c r="BI43" s="43" t="n">
        <f aca="false">-$E43*N(AND(BI$3&lt;=$F43,BI$4&gt;=$F43))</f>
        <v>-0</v>
      </c>
      <c r="BJ43" s="43" t="n">
        <f aca="false">-$E43*N(AND(BJ$3&lt;=$F43,BJ$4&gt;=$F43))</f>
        <v>-0</v>
      </c>
      <c r="BK43" s="43" t="n">
        <f aca="false">-$E43*N(AND(BK$3&lt;=$F43,BK$4&gt;=$F43))</f>
        <v>-0</v>
      </c>
      <c r="BL43" s="43" t="n">
        <f aca="false">-$E43*N(AND(BL$3&lt;=$F43,BL$4&gt;=$F43))</f>
        <v>-0</v>
      </c>
      <c r="BM43" s="43" t="n">
        <f aca="false">-$E43*N(AND(BM$3&lt;=$F43,BM$4&gt;=$F43))</f>
        <v>-0</v>
      </c>
      <c r="BN43" s="43" t="n">
        <f aca="false">-$E43*N(AND(BN$3&lt;=$F43,BN$4&gt;=$F43))</f>
        <v>-0</v>
      </c>
      <c r="BO43" s="43" t="n">
        <f aca="false">-$E43*N(AND(BO$3&lt;=$F43,BO$4&gt;=$F43))</f>
        <v>-0</v>
      </c>
      <c r="BP43" s="43" t="n">
        <f aca="false">-$E43*N(AND(BP$3&lt;=$F43,BP$4&gt;=$F43))</f>
        <v>-0</v>
      </c>
      <c r="BQ43" s="43" t="n">
        <f aca="false">-$E43*N(AND(BQ$3&lt;=$F43,BQ$4&gt;=$F43))</f>
        <v>-0</v>
      </c>
      <c r="BR43" s="43" t="n">
        <f aca="false">-$E43*N(AND(BR$3&lt;=$F43,BR$4&gt;=$F43))</f>
        <v>-0</v>
      </c>
      <c r="BS43" s="43" t="n">
        <f aca="false">-$E43*N(AND(BS$3&lt;=$F43,BS$4&gt;=$F43))</f>
        <v>-0</v>
      </c>
      <c r="BT43" s="43" t="n">
        <f aca="false">-$E43*N(AND(BT$3&lt;=$F43,BT$4&gt;=$F43))</f>
        <v>-0</v>
      </c>
      <c r="BU43" s="43" t="n">
        <f aca="false">-$E43*N(AND(BU$3&lt;=$F43,BU$4&gt;=$F43))</f>
        <v>-0</v>
      </c>
      <c r="BV43" s="43" t="n">
        <f aca="false">-$E43*N(AND(BV$3&lt;=$F43,BV$4&gt;=$F43))</f>
        <v>-0</v>
      </c>
      <c r="BW43" s="43" t="n">
        <f aca="false">-$E43*N(AND(BW$3&lt;=$F43,BW$4&gt;=$F43))</f>
        <v>-0</v>
      </c>
      <c r="BX43" s="43" t="n">
        <f aca="false">-$E43*N(AND(BX$3&lt;=$F43,BX$4&gt;=$F43))</f>
        <v>-0</v>
      </c>
      <c r="BY43" s="43" t="n">
        <f aca="false">-$E43*N(AND(BY$3&lt;=$F43,BY$4&gt;=$F43))</f>
        <v>-0</v>
      </c>
      <c r="BZ43" s="43" t="n">
        <f aca="false">-$E43*N(AND(BZ$3&lt;=$F43,BZ$4&gt;=$F43))</f>
        <v>-0</v>
      </c>
      <c r="CA43" s="43" t="n">
        <f aca="false">-$E43*N(AND(CA$3&lt;=$F43,CA$4&gt;=$F43))</f>
        <v>-0</v>
      </c>
      <c r="CB43" s="43" t="n">
        <f aca="false">-$E43*N(AND(CB$3&lt;=$F43,CB$4&gt;=$F43))</f>
        <v>-0</v>
      </c>
      <c r="CC43" s="43" t="n">
        <f aca="false">-$E43*N(AND(CC$3&lt;=$F43,CC$4&gt;=$F43))</f>
        <v>-0</v>
      </c>
      <c r="CD43" s="43" t="n">
        <f aca="false">-$E43*N(AND(CD$3&lt;=$F43,CD$4&gt;=$F43))</f>
        <v>-0</v>
      </c>
      <c r="CE43" s="43" t="n">
        <f aca="false">-$E43*N(AND(CE$3&lt;=$F43,CE$4&gt;=$F43))</f>
        <v>-0</v>
      </c>
      <c r="CF43" s="43" t="n">
        <f aca="false">-$E43*N(AND(CF$3&lt;=$F43,CF$4&gt;=$F43))</f>
        <v>-0</v>
      </c>
      <c r="CG43" s="43" t="n">
        <f aca="false">-$E43*N(AND(CG$3&lt;=$F43,CG$4&gt;=$F43))</f>
        <v>-0</v>
      </c>
      <c r="CH43" s="43" t="n">
        <f aca="false">-$E43*N(AND(CH$3&lt;=$F43,CH$4&gt;=$F43))</f>
        <v>-0</v>
      </c>
      <c r="CI43" s="43" t="n">
        <f aca="false">-$E43*N(AND(CI$3&lt;=$F43,CI$4&gt;=$F43))</f>
        <v>-0</v>
      </c>
      <c r="CJ43" s="43" t="n">
        <f aca="false">-$E43*N(AND(CJ$3&lt;=$F43,CJ$4&gt;=$F43))</f>
        <v>-0</v>
      </c>
      <c r="CK43" s="43" t="n">
        <f aca="false">-$E43*N(AND(CK$3&lt;=$F43,CK$4&gt;=$F43))</f>
        <v>-0</v>
      </c>
      <c r="CL43" s="43" t="n">
        <f aca="false">-$E43*N(AND(CL$3&lt;=$F43,CL$4&gt;=$F43))</f>
        <v>-0</v>
      </c>
      <c r="CM43" s="43" t="n">
        <f aca="false">-$E43*N(AND(CM$3&lt;=$F43,CM$4&gt;=$F43))</f>
        <v>-0</v>
      </c>
      <c r="CN43" s="43" t="n">
        <f aca="false">-$E43*N(AND(CN$3&lt;=$F43,CN$4&gt;=$F43))</f>
        <v>-0</v>
      </c>
      <c r="CO43" s="43" t="n">
        <f aca="false">-$E43*N(AND(CO$3&lt;=$F43,CO$4&gt;=$F43))</f>
        <v>-0</v>
      </c>
      <c r="CP43" s="43" t="n">
        <f aca="false">-$E43*N(AND(CP$3&lt;=$F43,CP$4&gt;=$F43))</f>
        <v>-0</v>
      </c>
      <c r="CQ43" s="43" t="n">
        <f aca="false">-$E43*N(AND(CQ$3&lt;=$F43,CQ$4&gt;=$F43))</f>
        <v>-0</v>
      </c>
      <c r="CR43" s="43" t="n">
        <f aca="false">-$E43*N(AND(CR$3&lt;=$F43,CR$4&gt;=$F43))</f>
        <v>-0</v>
      </c>
      <c r="CS43" s="43" t="n">
        <f aca="false">-$E43*N(AND(CS$3&lt;=$F43,CS$4&gt;=$F43))</f>
        <v>-0</v>
      </c>
      <c r="CT43" s="43" t="n">
        <f aca="false">-$E43*N(AND(CT$3&lt;=$F43,CT$4&gt;=$F43))</f>
        <v>-0</v>
      </c>
      <c r="CU43" s="43" t="n">
        <f aca="false">-$E43*N(AND(CU$3&lt;=$F43,CU$4&gt;=$F43))</f>
        <v>-0</v>
      </c>
      <c r="CV43" s="43" t="n">
        <f aca="false">-$E43*N(AND(CV$3&lt;=$F43,CV$4&gt;=$F43))</f>
        <v>-0</v>
      </c>
      <c r="CW43" s="43" t="n">
        <f aca="false">-$E43*N(AND(CW$3&lt;=$F43,CW$4&gt;=$F43))</f>
        <v>-0</v>
      </c>
      <c r="CX43" s="43" t="n">
        <f aca="false">-$E43*N(AND(CX$3&lt;=$F43,CX$4&gt;=$F43))</f>
        <v>-0</v>
      </c>
      <c r="CY43" s="43" t="n">
        <f aca="false">-$E43*N(AND(CY$3&lt;=$F43,CY$4&gt;=$F43))</f>
        <v>-0</v>
      </c>
      <c r="CZ43" s="43" t="n">
        <f aca="false">-$E43*N(AND(CZ$3&lt;=$F43,CZ$4&gt;=$F43))</f>
        <v>-0</v>
      </c>
      <c r="DA43" s="43" t="n">
        <f aca="false">-$E43*N(AND(DA$3&lt;=$F43,DA$4&gt;=$F43))</f>
        <v>-0</v>
      </c>
      <c r="DB43" s="43" t="n">
        <f aca="false">-$E43*N(AND(DB$3&lt;=$F43,DB$4&gt;=$F43))</f>
        <v>-0</v>
      </c>
      <c r="DC43" s="43" t="n">
        <f aca="false">-$E43*N(AND(DC$3&lt;=$F43,DC$4&gt;=$F43))</f>
        <v>-0</v>
      </c>
      <c r="DD43" s="43" t="n">
        <f aca="false">-$E43*N(AND(DD$3&lt;=$F43,DD$4&gt;=$F43))</f>
        <v>-0</v>
      </c>
      <c r="DE43" s="43" t="n">
        <f aca="false">-$E43*N(AND(DE$3&lt;=$F43,DE$4&gt;=$F43))</f>
        <v>-0</v>
      </c>
      <c r="DF43" s="43" t="n">
        <f aca="false">-$E43*N(AND(DF$3&lt;=$F43,DF$4&gt;=$F43))</f>
        <v>-0</v>
      </c>
      <c r="DG43" s="43" t="n">
        <f aca="false">-$E43*N(AND(DG$3&lt;=$F43,DG$4&gt;=$F43))</f>
        <v>-0</v>
      </c>
      <c r="DH43" s="43" t="n">
        <f aca="false">-$E43*N(AND(DH$3&lt;=$F43,DH$4&gt;=$F43))</f>
        <v>-0</v>
      </c>
      <c r="DI43" s="43" t="n">
        <f aca="false">-$E43*N(AND(DI$3&lt;=$F43,DI$4&gt;=$F43))</f>
        <v>-0</v>
      </c>
      <c r="DJ43" s="43" t="n">
        <f aca="false">-$E43*N(AND(DJ$3&lt;=$F43,DJ$4&gt;=$F43))</f>
        <v>-0</v>
      </c>
      <c r="DK43" s="43" t="n">
        <f aca="false">-$E43*N(AND(DK$3&lt;=$F43,DK$4&gt;=$F43))</f>
        <v>-0</v>
      </c>
      <c r="DL43" s="43" t="n">
        <f aca="false">-$E43*N(AND(DL$3&lt;=$F43,DL$4&gt;=$F43))</f>
        <v>-0</v>
      </c>
      <c r="DM43" s="43" t="n">
        <f aca="false">-$E43*N(AND(DM$3&lt;=$F43,DM$4&gt;=$F43))</f>
        <v>-0</v>
      </c>
      <c r="DN43" s="43" t="n">
        <f aca="false">-$E43*N(AND(DN$3&lt;=$F43,DN$4&gt;=$F43))</f>
        <v>-0</v>
      </c>
      <c r="DO43" s="43" t="n">
        <f aca="false">-$E43*N(AND(DO$3&lt;=$F43,DO$4&gt;=$F43))</f>
        <v>-0</v>
      </c>
      <c r="DP43" s="43" t="n">
        <f aca="false">-$E43*N(AND(DP$3&lt;=$F43,DP$4&gt;=$F43))</f>
        <v>-0</v>
      </c>
      <c r="DQ43" s="43" t="n">
        <f aca="false">-$E43*N(AND(DQ$3&lt;=$F43,DQ$4&gt;=$F43))</f>
        <v>-0</v>
      </c>
      <c r="DR43" s="43" t="n">
        <f aca="false">-$E43*N(AND(DR$3&lt;=$F43,DR$4&gt;=$F43))</f>
        <v>-0</v>
      </c>
      <c r="DS43" s="43" t="n">
        <f aca="false">-$E43*N(AND(DS$3&lt;=$F43,DS$4&gt;=$F43))</f>
        <v>-0</v>
      </c>
      <c r="DT43" s="43" t="n">
        <f aca="false">-$E43*N(AND(DT$3&lt;=$F43,DT$4&gt;=$F43))</f>
        <v>-0</v>
      </c>
      <c r="DU43" s="43" t="n">
        <f aca="false">-$E43*N(AND(DU$3&lt;=$F43,DU$4&gt;=$F43))</f>
        <v>-0</v>
      </c>
      <c r="DV43" s="43" t="n">
        <f aca="false">-$E43*N(AND(DV$3&lt;=$F43,DV$4&gt;=$F43))</f>
        <v>-0</v>
      </c>
      <c r="DW43" s="43" t="n">
        <f aca="false">-$E43*N(AND(DW$3&lt;=$F43,DW$4&gt;=$F43))</f>
        <v>-0</v>
      </c>
      <c r="DX43" s="43" t="n">
        <f aca="false">-$E43*N(AND(DX$3&lt;=$F43,DX$4&gt;=$F43))</f>
        <v>-0</v>
      </c>
      <c r="DY43" s="43" t="n">
        <f aca="false">-$E43*N(AND(DY$3&lt;=$F43,DY$4&gt;=$F43))</f>
        <v>-0</v>
      </c>
      <c r="DZ43" s="43" t="n">
        <f aca="false">-$E43*N(AND(DZ$3&lt;=$F43,DZ$4&gt;=$F43))</f>
        <v>-0</v>
      </c>
      <c r="EA43" s="43" t="n">
        <f aca="false">-$E43*N(AND(EA$3&lt;=$F43,EA$4&gt;=$F43))</f>
        <v>-0</v>
      </c>
      <c r="EB43" s="43" t="n">
        <f aca="false">-$E43*N(AND(EB$3&lt;=$F43,EB$4&gt;=$F43))</f>
        <v>-0</v>
      </c>
      <c r="EC43" s="43" t="n">
        <f aca="false">-$E43*N(AND(EC$3&lt;=$F43,EC$4&gt;=$F43))</f>
        <v>-0</v>
      </c>
      <c r="ED43" s="43" t="n">
        <f aca="false">-$E43*N(AND(ED$3&lt;=$F43,ED$4&gt;=$F43))</f>
        <v>-0</v>
      </c>
      <c r="EE43" s="43" t="n">
        <f aca="false">-$E43*N(AND(EE$3&lt;=$F43,EE$4&gt;=$F43))</f>
        <v>-0</v>
      </c>
      <c r="EF43" s="43" t="n">
        <f aca="false">-$E43*N(AND(EF$3&lt;=$F43,EF$4&gt;=$F43))</f>
        <v>-0</v>
      </c>
      <c r="EG43" s="43" t="n">
        <f aca="false">-$E43*N(AND(EG$3&lt;=$F43,EG$4&gt;=$F43))</f>
        <v>-0</v>
      </c>
      <c r="EH43" s="43" t="n">
        <f aca="false">-$E43*N(AND(EH$3&lt;=$F43,EH$4&gt;=$F43))</f>
        <v>-0</v>
      </c>
      <c r="EI43" s="43" t="n">
        <f aca="false">-$E43*N(AND(EI$3&lt;=$F43,EI$4&gt;=$F43))</f>
        <v>-0</v>
      </c>
      <c r="EJ43" s="43" t="n">
        <f aca="false">-$E43*N(AND(EJ$3&lt;=$F43,EJ$4&gt;=$F43))</f>
        <v>-0</v>
      </c>
      <c r="EK43" s="43" t="n">
        <f aca="false">-$E43*N(AND(EK$3&lt;=$F43,EK$4&gt;=$F43))</f>
        <v>-0</v>
      </c>
      <c r="EL43" s="43" t="n">
        <f aca="false">-$E43*N(AND(EL$3&lt;=$F43,EL$4&gt;=$F43))</f>
        <v>-0</v>
      </c>
      <c r="EM43" s="43" t="n">
        <f aca="false">-$E43*N(AND(EM$3&lt;=$F43,EM$4&gt;=$F43))</f>
        <v>-0</v>
      </c>
      <c r="EN43" s="43" t="n">
        <f aca="false">-$E43*N(AND(EN$3&lt;=$F43,EN$4&gt;=$F43))</f>
        <v>-0</v>
      </c>
      <c r="EO43" s="43" t="n">
        <f aca="false">-$E43*N(AND(EO$3&lt;=$F43,EO$4&gt;=$F43))</f>
        <v>-0</v>
      </c>
    </row>
    <row r="44" customFormat="false" ht="15" hidden="false" customHeight="false" outlineLevel="0" collapsed="false">
      <c r="C44" s="0" t="s">
        <v>357</v>
      </c>
      <c r="D44" s="11" t="s">
        <v>33</v>
      </c>
      <c r="E44" s="43" t="n">
        <f aca="false">(In_Indirect_Fee-In_TSO_Security)*In_MVA*Thousand/In_FX</f>
        <v>6894.54917808219</v>
      </c>
      <c r="F44" s="20" t="n">
        <f aca="false">In_HCSSZ_Date</f>
        <v>47126</v>
      </c>
      <c r="I44" s="43" t="n">
        <f aca="false">SUM(J44:EO44)</f>
        <v>-6894.54917808219</v>
      </c>
      <c r="J44" s="43" t="n">
        <f aca="false">-$E44*N(AND(J$3&lt;=$F44,J$4&gt;=$F44))</f>
        <v>-0</v>
      </c>
      <c r="K44" s="43" t="n">
        <f aca="false">-$E44*N(AND(K$3&lt;=$F44,K$4&gt;=$F44))</f>
        <v>-0</v>
      </c>
      <c r="L44" s="43" t="n">
        <f aca="false">-$E44*N(AND(L$3&lt;=$F44,L$4&gt;=$F44))</f>
        <v>-0</v>
      </c>
      <c r="M44" s="43" t="n">
        <f aca="false">-$E44*N(AND(M$3&lt;=$F44,M$4&gt;=$F44))</f>
        <v>-0</v>
      </c>
      <c r="N44" s="43" t="n">
        <f aca="false">-$E44*N(AND(N$3&lt;=$F44,N$4&gt;=$F44))</f>
        <v>-0</v>
      </c>
      <c r="O44" s="43" t="n">
        <f aca="false">-$E44*N(AND(O$3&lt;=$F44,O$4&gt;=$F44))</f>
        <v>-0</v>
      </c>
      <c r="P44" s="43" t="n">
        <f aca="false">-$E44*N(AND(P$3&lt;=$F44,P$4&gt;=$F44))</f>
        <v>-0</v>
      </c>
      <c r="Q44" s="43" t="n">
        <f aca="false">-$E44*N(AND(Q$3&lt;=$F44,Q$4&gt;=$F44))</f>
        <v>-0</v>
      </c>
      <c r="R44" s="43" t="n">
        <f aca="false">-$E44*N(AND(R$3&lt;=$F44,R$4&gt;=$F44))</f>
        <v>-0</v>
      </c>
      <c r="S44" s="43" t="n">
        <f aca="false">-$E44*N(AND(S$3&lt;=$F44,S$4&gt;=$F44))</f>
        <v>-6894.54917808219</v>
      </c>
      <c r="T44" s="43" t="n">
        <f aca="false">-$E44*N(AND(T$3&lt;=$F44,T$4&gt;=$F44))</f>
        <v>-0</v>
      </c>
      <c r="U44" s="43" t="n">
        <f aca="false">-$E44*N(AND(U$3&lt;=$F44,U$4&gt;=$F44))</f>
        <v>-0</v>
      </c>
      <c r="V44" s="43" t="n">
        <f aca="false">-$E44*N(AND(V$3&lt;=$F44,V$4&gt;=$F44))</f>
        <v>-0</v>
      </c>
      <c r="W44" s="43" t="n">
        <f aca="false">-$E44*N(AND(W$3&lt;=$F44,W$4&gt;=$F44))</f>
        <v>-0</v>
      </c>
      <c r="X44" s="43" t="n">
        <f aca="false">-$E44*N(AND(X$3&lt;=$F44,X$4&gt;=$F44))</f>
        <v>-0</v>
      </c>
      <c r="Y44" s="43" t="n">
        <f aca="false">-$E44*N(AND(Y$3&lt;=$F44,Y$4&gt;=$F44))</f>
        <v>-0</v>
      </c>
      <c r="Z44" s="43" t="n">
        <f aca="false">-$E44*N(AND(Z$3&lt;=$F44,Z$4&gt;=$F44))</f>
        <v>-0</v>
      </c>
      <c r="AA44" s="43" t="n">
        <f aca="false">-$E44*N(AND(AA$3&lt;=$F44,AA$4&gt;=$F44))</f>
        <v>-0</v>
      </c>
      <c r="AB44" s="43" t="n">
        <f aca="false">-$E44*N(AND(AB$3&lt;=$F44,AB$4&gt;=$F44))</f>
        <v>-0</v>
      </c>
      <c r="AC44" s="43" t="n">
        <f aca="false">-$E44*N(AND(AC$3&lt;=$F44,AC$4&gt;=$F44))</f>
        <v>-0</v>
      </c>
      <c r="AD44" s="43" t="n">
        <f aca="false">-$E44*N(AND(AD$3&lt;=$F44,AD$4&gt;=$F44))</f>
        <v>-0</v>
      </c>
      <c r="AE44" s="43" t="n">
        <f aca="false">-$E44*N(AND(AE$3&lt;=$F44,AE$4&gt;=$F44))</f>
        <v>-0</v>
      </c>
      <c r="AF44" s="43" t="n">
        <f aca="false">-$E44*N(AND(AF$3&lt;=$F44,AF$4&gt;=$F44))</f>
        <v>-0</v>
      </c>
      <c r="AG44" s="43" t="n">
        <f aca="false">-$E44*N(AND(AG$3&lt;=$F44,AG$4&gt;=$F44))</f>
        <v>-0</v>
      </c>
      <c r="AH44" s="43" t="n">
        <f aca="false">-$E44*N(AND(AH$3&lt;=$F44,AH$4&gt;=$F44))</f>
        <v>-0</v>
      </c>
      <c r="AI44" s="43" t="n">
        <f aca="false">-$E44*N(AND(AI$3&lt;=$F44,AI$4&gt;=$F44))</f>
        <v>-0</v>
      </c>
      <c r="AJ44" s="43" t="n">
        <f aca="false">-$E44*N(AND(AJ$3&lt;=$F44,AJ$4&gt;=$F44))</f>
        <v>-0</v>
      </c>
      <c r="AK44" s="43" t="n">
        <f aca="false">-$E44*N(AND(AK$3&lt;=$F44,AK$4&gt;=$F44))</f>
        <v>-0</v>
      </c>
      <c r="AL44" s="43" t="n">
        <f aca="false">-$E44*N(AND(AL$3&lt;=$F44,AL$4&gt;=$F44))</f>
        <v>-0</v>
      </c>
      <c r="AM44" s="43" t="n">
        <f aca="false">-$E44*N(AND(AM$3&lt;=$F44,AM$4&gt;=$F44))</f>
        <v>-0</v>
      </c>
      <c r="AN44" s="43" t="n">
        <f aca="false">-$E44*N(AND(AN$3&lt;=$F44,AN$4&gt;=$F44))</f>
        <v>-0</v>
      </c>
      <c r="AO44" s="43" t="n">
        <f aca="false">-$E44*N(AND(AO$3&lt;=$F44,AO$4&gt;=$F44))</f>
        <v>-0</v>
      </c>
      <c r="AP44" s="43" t="n">
        <f aca="false">-$E44*N(AND(AP$3&lt;=$F44,AP$4&gt;=$F44))</f>
        <v>-0</v>
      </c>
      <c r="AQ44" s="43" t="n">
        <f aca="false">-$E44*N(AND(AQ$3&lt;=$F44,AQ$4&gt;=$F44))</f>
        <v>-0</v>
      </c>
      <c r="AR44" s="43" t="n">
        <f aca="false">-$E44*N(AND(AR$3&lt;=$F44,AR$4&gt;=$F44))</f>
        <v>-0</v>
      </c>
      <c r="AS44" s="43" t="n">
        <f aca="false">-$E44*N(AND(AS$3&lt;=$F44,AS$4&gt;=$F44))</f>
        <v>-0</v>
      </c>
      <c r="AT44" s="43" t="n">
        <f aca="false">-$E44*N(AND(AT$3&lt;=$F44,AT$4&gt;=$F44))</f>
        <v>-0</v>
      </c>
      <c r="AU44" s="43" t="n">
        <f aca="false">-$E44*N(AND(AU$3&lt;=$F44,AU$4&gt;=$F44))</f>
        <v>-0</v>
      </c>
      <c r="AV44" s="43" t="n">
        <f aca="false">-$E44*N(AND(AV$3&lt;=$F44,AV$4&gt;=$F44))</f>
        <v>-0</v>
      </c>
      <c r="AW44" s="43" t="n">
        <f aca="false">-$E44*N(AND(AW$3&lt;=$F44,AW$4&gt;=$F44))</f>
        <v>-0</v>
      </c>
      <c r="AX44" s="43" t="n">
        <f aca="false">-$E44*N(AND(AX$3&lt;=$F44,AX$4&gt;=$F44))</f>
        <v>-0</v>
      </c>
      <c r="AY44" s="43" t="n">
        <f aca="false">-$E44*N(AND(AY$3&lt;=$F44,AY$4&gt;=$F44))</f>
        <v>-0</v>
      </c>
      <c r="AZ44" s="43" t="n">
        <f aca="false">-$E44*N(AND(AZ$3&lt;=$F44,AZ$4&gt;=$F44))</f>
        <v>-0</v>
      </c>
      <c r="BA44" s="43" t="n">
        <f aca="false">-$E44*N(AND(BA$3&lt;=$F44,BA$4&gt;=$F44))</f>
        <v>-0</v>
      </c>
      <c r="BB44" s="43" t="n">
        <f aca="false">-$E44*N(AND(BB$3&lt;=$F44,BB$4&gt;=$F44))</f>
        <v>-0</v>
      </c>
      <c r="BC44" s="43" t="n">
        <f aca="false">-$E44*N(AND(BC$3&lt;=$F44,BC$4&gt;=$F44))</f>
        <v>-0</v>
      </c>
      <c r="BD44" s="43" t="n">
        <f aca="false">-$E44*N(AND(BD$3&lt;=$F44,BD$4&gt;=$F44))</f>
        <v>-0</v>
      </c>
      <c r="BE44" s="43" t="n">
        <f aca="false">-$E44*N(AND(BE$3&lt;=$F44,BE$4&gt;=$F44))</f>
        <v>-0</v>
      </c>
      <c r="BF44" s="43" t="n">
        <f aca="false">-$E44*N(AND(BF$3&lt;=$F44,BF$4&gt;=$F44))</f>
        <v>-0</v>
      </c>
      <c r="BG44" s="43" t="n">
        <f aca="false">-$E44*N(AND(BG$3&lt;=$F44,BG$4&gt;=$F44))</f>
        <v>-0</v>
      </c>
      <c r="BH44" s="43" t="n">
        <f aca="false">-$E44*N(AND(BH$3&lt;=$F44,BH$4&gt;=$F44))</f>
        <v>-0</v>
      </c>
      <c r="BI44" s="43" t="n">
        <f aca="false">-$E44*N(AND(BI$3&lt;=$F44,BI$4&gt;=$F44))</f>
        <v>-0</v>
      </c>
      <c r="BJ44" s="43" t="n">
        <f aca="false">-$E44*N(AND(BJ$3&lt;=$F44,BJ$4&gt;=$F44))</f>
        <v>-0</v>
      </c>
      <c r="BK44" s="43" t="n">
        <f aca="false">-$E44*N(AND(BK$3&lt;=$F44,BK$4&gt;=$F44))</f>
        <v>-0</v>
      </c>
      <c r="BL44" s="43" t="n">
        <f aca="false">-$E44*N(AND(BL$3&lt;=$F44,BL$4&gt;=$F44))</f>
        <v>-0</v>
      </c>
      <c r="BM44" s="43" t="n">
        <f aca="false">-$E44*N(AND(BM$3&lt;=$F44,BM$4&gt;=$F44))</f>
        <v>-0</v>
      </c>
      <c r="BN44" s="43" t="n">
        <f aca="false">-$E44*N(AND(BN$3&lt;=$F44,BN$4&gt;=$F44))</f>
        <v>-0</v>
      </c>
      <c r="BO44" s="43" t="n">
        <f aca="false">-$E44*N(AND(BO$3&lt;=$F44,BO$4&gt;=$F44))</f>
        <v>-0</v>
      </c>
      <c r="BP44" s="43" t="n">
        <f aca="false">-$E44*N(AND(BP$3&lt;=$F44,BP$4&gt;=$F44))</f>
        <v>-0</v>
      </c>
      <c r="BQ44" s="43" t="n">
        <f aca="false">-$E44*N(AND(BQ$3&lt;=$F44,BQ$4&gt;=$F44))</f>
        <v>-0</v>
      </c>
      <c r="BR44" s="43" t="n">
        <f aca="false">-$E44*N(AND(BR$3&lt;=$F44,BR$4&gt;=$F44))</f>
        <v>-0</v>
      </c>
      <c r="BS44" s="43" t="n">
        <f aca="false">-$E44*N(AND(BS$3&lt;=$F44,BS$4&gt;=$F44))</f>
        <v>-0</v>
      </c>
      <c r="BT44" s="43" t="n">
        <f aca="false">-$E44*N(AND(BT$3&lt;=$F44,BT$4&gt;=$F44))</f>
        <v>-0</v>
      </c>
      <c r="BU44" s="43" t="n">
        <f aca="false">-$E44*N(AND(BU$3&lt;=$F44,BU$4&gt;=$F44))</f>
        <v>-0</v>
      </c>
      <c r="BV44" s="43" t="n">
        <f aca="false">-$E44*N(AND(BV$3&lt;=$F44,BV$4&gt;=$F44))</f>
        <v>-0</v>
      </c>
      <c r="BW44" s="43" t="n">
        <f aca="false">-$E44*N(AND(BW$3&lt;=$F44,BW$4&gt;=$F44))</f>
        <v>-0</v>
      </c>
      <c r="BX44" s="43" t="n">
        <f aca="false">-$E44*N(AND(BX$3&lt;=$F44,BX$4&gt;=$F44))</f>
        <v>-0</v>
      </c>
      <c r="BY44" s="43" t="n">
        <f aca="false">-$E44*N(AND(BY$3&lt;=$F44,BY$4&gt;=$F44))</f>
        <v>-0</v>
      </c>
      <c r="BZ44" s="43" t="n">
        <f aca="false">-$E44*N(AND(BZ$3&lt;=$F44,BZ$4&gt;=$F44))</f>
        <v>-0</v>
      </c>
      <c r="CA44" s="43" t="n">
        <f aca="false">-$E44*N(AND(CA$3&lt;=$F44,CA$4&gt;=$F44))</f>
        <v>-0</v>
      </c>
      <c r="CB44" s="43" t="n">
        <f aca="false">-$E44*N(AND(CB$3&lt;=$F44,CB$4&gt;=$F44))</f>
        <v>-0</v>
      </c>
      <c r="CC44" s="43" t="n">
        <f aca="false">-$E44*N(AND(CC$3&lt;=$F44,CC$4&gt;=$F44))</f>
        <v>-0</v>
      </c>
      <c r="CD44" s="43" t="n">
        <f aca="false">-$E44*N(AND(CD$3&lt;=$F44,CD$4&gt;=$F44))</f>
        <v>-0</v>
      </c>
      <c r="CE44" s="43" t="n">
        <f aca="false">-$E44*N(AND(CE$3&lt;=$F44,CE$4&gt;=$F44))</f>
        <v>-0</v>
      </c>
      <c r="CF44" s="43" t="n">
        <f aca="false">-$E44*N(AND(CF$3&lt;=$F44,CF$4&gt;=$F44))</f>
        <v>-0</v>
      </c>
      <c r="CG44" s="43" t="n">
        <f aca="false">-$E44*N(AND(CG$3&lt;=$F44,CG$4&gt;=$F44))</f>
        <v>-0</v>
      </c>
      <c r="CH44" s="43" t="n">
        <f aca="false">-$E44*N(AND(CH$3&lt;=$F44,CH$4&gt;=$F44))</f>
        <v>-0</v>
      </c>
      <c r="CI44" s="43" t="n">
        <f aca="false">-$E44*N(AND(CI$3&lt;=$F44,CI$4&gt;=$F44))</f>
        <v>-0</v>
      </c>
      <c r="CJ44" s="43" t="n">
        <f aca="false">-$E44*N(AND(CJ$3&lt;=$F44,CJ$4&gt;=$F44))</f>
        <v>-0</v>
      </c>
      <c r="CK44" s="43" t="n">
        <f aca="false">-$E44*N(AND(CK$3&lt;=$F44,CK$4&gt;=$F44))</f>
        <v>-0</v>
      </c>
      <c r="CL44" s="43" t="n">
        <f aca="false">-$E44*N(AND(CL$3&lt;=$F44,CL$4&gt;=$F44))</f>
        <v>-0</v>
      </c>
      <c r="CM44" s="43" t="n">
        <f aca="false">-$E44*N(AND(CM$3&lt;=$F44,CM$4&gt;=$F44))</f>
        <v>-0</v>
      </c>
      <c r="CN44" s="43" t="n">
        <f aca="false">-$E44*N(AND(CN$3&lt;=$F44,CN$4&gt;=$F44))</f>
        <v>-0</v>
      </c>
      <c r="CO44" s="43" t="n">
        <f aca="false">-$E44*N(AND(CO$3&lt;=$F44,CO$4&gt;=$F44))</f>
        <v>-0</v>
      </c>
      <c r="CP44" s="43" t="n">
        <f aca="false">-$E44*N(AND(CP$3&lt;=$F44,CP$4&gt;=$F44))</f>
        <v>-0</v>
      </c>
      <c r="CQ44" s="43" t="n">
        <f aca="false">-$E44*N(AND(CQ$3&lt;=$F44,CQ$4&gt;=$F44))</f>
        <v>-0</v>
      </c>
      <c r="CR44" s="43" t="n">
        <f aca="false">-$E44*N(AND(CR$3&lt;=$F44,CR$4&gt;=$F44))</f>
        <v>-0</v>
      </c>
      <c r="CS44" s="43" t="n">
        <f aca="false">-$E44*N(AND(CS$3&lt;=$F44,CS$4&gt;=$F44))</f>
        <v>-0</v>
      </c>
      <c r="CT44" s="43" t="n">
        <f aca="false">-$E44*N(AND(CT$3&lt;=$F44,CT$4&gt;=$F44))</f>
        <v>-0</v>
      </c>
      <c r="CU44" s="43" t="n">
        <f aca="false">-$E44*N(AND(CU$3&lt;=$F44,CU$4&gt;=$F44))</f>
        <v>-0</v>
      </c>
      <c r="CV44" s="43" t="n">
        <f aca="false">-$E44*N(AND(CV$3&lt;=$F44,CV$4&gt;=$F44))</f>
        <v>-0</v>
      </c>
      <c r="CW44" s="43" t="n">
        <f aca="false">-$E44*N(AND(CW$3&lt;=$F44,CW$4&gt;=$F44))</f>
        <v>-0</v>
      </c>
      <c r="CX44" s="43" t="n">
        <f aca="false">-$E44*N(AND(CX$3&lt;=$F44,CX$4&gt;=$F44))</f>
        <v>-0</v>
      </c>
      <c r="CY44" s="43" t="n">
        <f aca="false">-$E44*N(AND(CY$3&lt;=$F44,CY$4&gt;=$F44))</f>
        <v>-0</v>
      </c>
      <c r="CZ44" s="43" t="n">
        <f aca="false">-$E44*N(AND(CZ$3&lt;=$F44,CZ$4&gt;=$F44))</f>
        <v>-0</v>
      </c>
      <c r="DA44" s="43" t="n">
        <f aca="false">-$E44*N(AND(DA$3&lt;=$F44,DA$4&gt;=$F44))</f>
        <v>-0</v>
      </c>
      <c r="DB44" s="43" t="n">
        <f aca="false">-$E44*N(AND(DB$3&lt;=$F44,DB$4&gt;=$F44))</f>
        <v>-0</v>
      </c>
      <c r="DC44" s="43" t="n">
        <f aca="false">-$E44*N(AND(DC$3&lt;=$F44,DC$4&gt;=$F44))</f>
        <v>-0</v>
      </c>
      <c r="DD44" s="43" t="n">
        <f aca="false">-$E44*N(AND(DD$3&lt;=$F44,DD$4&gt;=$F44))</f>
        <v>-0</v>
      </c>
      <c r="DE44" s="43" t="n">
        <f aca="false">-$E44*N(AND(DE$3&lt;=$F44,DE$4&gt;=$F44))</f>
        <v>-0</v>
      </c>
      <c r="DF44" s="43" t="n">
        <f aca="false">-$E44*N(AND(DF$3&lt;=$F44,DF$4&gt;=$F44))</f>
        <v>-0</v>
      </c>
      <c r="DG44" s="43" t="n">
        <f aca="false">-$E44*N(AND(DG$3&lt;=$F44,DG$4&gt;=$F44))</f>
        <v>-0</v>
      </c>
      <c r="DH44" s="43" t="n">
        <f aca="false">-$E44*N(AND(DH$3&lt;=$F44,DH$4&gt;=$F44))</f>
        <v>-0</v>
      </c>
      <c r="DI44" s="43" t="n">
        <f aca="false">-$E44*N(AND(DI$3&lt;=$F44,DI$4&gt;=$F44))</f>
        <v>-0</v>
      </c>
      <c r="DJ44" s="43" t="n">
        <f aca="false">-$E44*N(AND(DJ$3&lt;=$F44,DJ$4&gt;=$F44))</f>
        <v>-0</v>
      </c>
      <c r="DK44" s="43" t="n">
        <f aca="false">-$E44*N(AND(DK$3&lt;=$F44,DK$4&gt;=$F44))</f>
        <v>-0</v>
      </c>
      <c r="DL44" s="43" t="n">
        <f aca="false">-$E44*N(AND(DL$3&lt;=$F44,DL$4&gt;=$F44))</f>
        <v>-0</v>
      </c>
      <c r="DM44" s="43" t="n">
        <f aca="false">-$E44*N(AND(DM$3&lt;=$F44,DM$4&gt;=$F44))</f>
        <v>-0</v>
      </c>
      <c r="DN44" s="43" t="n">
        <f aca="false">-$E44*N(AND(DN$3&lt;=$F44,DN$4&gt;=$F44))</f>
        <v>-0</v>
      </c>
      <c r="DO44" s="43" t="n">
        <f aca="false">-$E44*N(AND(DO$3&lt;=$F44,DO$4&gt;=$F44))</f>
        <v>-0</v>
      </c>
      <c r="DP44" s="43" t="n">
        <f aca="false">-$E44*N(AND(DP$3&lt;=$F44,DP$4&gt;=$F44))</f>
        <v>-0</v>
      </c>
      <c r="DQ44" s="43" t="n">
        <f aca="false">-$E44*N(AND(DQ$3&lt;=$F44,DQ$4&gt;=$F44))</f>
        <v>-0</v>
      </c>
      <c r="DR44" s="43" t="n">
        <f aca="false">-$E44*N(AND(DR$3&lt;=$F44,DR$4&gt;=$F44))</f>
        <v>-0</v>
      </c>
      <c r="DS44" s="43" t="n">
        <f aca="false">-$E44*N(AND(DS$3&lt;=$F44,DS$4&gt;=$F44))</f>
        <v>-0</v>
      </c>
      <c r="DT44" s="43" t="n">
        <f aca="false">-$E44*N(AND(DT$3&lt;=$F44,DT$4&gt;=$F44))</f>
        <v>-0</v>
      </c>
      <c r="DU44" s="43" t="n">
        <f aca="false">-$E44*N(AND(DU$3&lt;=$F44,DU$4&gt;=$F44))</f>
        <v>-0</v>
      </c>
      <c r="DV44" s="43" t="n">
        <f aca="false">-$E44*N(AND(DV$3&lt;=$F44,DV$4&gt;=$F44))</f>
        <v>-0</v>
      </c>
      <c r="DW44" s="43" t="n">
        <f aca="false">-$E44*N(AND(DW$3&lt;=$F44,DW$4&gt;=$F44))</f>
        <v>-0</v>
      </c>
      <c r="DX44" s="43" t="n">
        <f aca="false">-$E44*N(AND(DX$3&lt;=$F44,DX$4&gt;=$F44))</f>
        <v>-0</v>
      </c>
      <c r="DY44" s="43" t="n">
        <f aca="false">-$E44*N(AND(DY$3&lt;=$F44,DY$4&gt;=$F44))</f>
        <v>-0</v>
      </c>
      <c r="DZ44" s="43" t="n">
        <f aca="false">-$E44*N(AND(DZ$3&lt;=$F44,DZ$4&gt;=$F44))</f>
        <v>-0</v>
      </c>
      <c r="EA44" s="43" t="n">
        <f aca="false">-$E44*N(AND(EA$3&lt;=$F44,EA$4&gt;=$F44))</f>
        <v>-0</v>
      </c>
      <c r="EB44" s="43" t="n">
        <f aca="false">-$E44*N(AND(EB$3&lt;=$F44,EB$4&gt;=$F44))</f>
        <v>-0</v>
      </c>
      <c r="EC44" s="43" t="n">
        <f aca="false">-$E44*N(AND(EC$3&lt;=$F44,EC$4&gt;=$F44))</f>
        <v>-0</v>
      </c>
      <c r="ED44" s="43" t="n">
        <f aca="false">-$E44*N(AND(ED$3&lt;=$F44,ED$4&gt;=$F44))</f>
        <v>-0</v>
      </c>
      <c r="EE44" s="43" t="n">
        <f aca="false">-$E44*N(AND(EE$3&lt;=$F44,EE$4&gt;=$F44))</f>
        <v>-0</v>
      </c>
      <c r="EF44" s="43" t="n">
        <f aca="false">-$E44*N(AND(EF$3&lt;=$F44,EF$4&gt;=$F44))</f>
        <v>-0</v>
      </c>
      <c r="EG44" s="43" t="n">
        <f aca="false">-$E44*N(AND(EG$3&lt;=$F44,EG$4&gt;=$F44))</f>
        <v>-0</v>
      </c>
      <c r="EH44" s="43" t="n">
        <f aca="false">-$E44*N(AND(EH$3&lt;=$F44,EH$4&gt;=$F44))</f>
        <v>-0</v>
      </c>
      <c r="EI44" s="43" t="n">
        <f aca="false">-$E44*N(AND(EI$3&lt;=$F44,EI$4&gt;=$F44))</f>
        <v>-0</v>
      </c>
      <c r="EJ44" s="43" t="n">
        <f aca="false">-$E44*N(AND(EJ$3&lt;=$F44,EJ$4&gt;=$F44))</f>
        <v>-0</v>
      </c>
      <c r="EK44" s="43" t="n">
        <f aca="false">-$E44*N(AND(EK$3&lt;=$F44,EK$4&gt;=$F44))</f>
        <v>-0</v>
      </c>
      <c r="EL44" s="43" t="n">
        <f aca="false">-$E44*N(AND(EL$3&lt;=$F44,EL$4&gt;=$F44))</f>
        <v>-0</v>
      </c>
      <c r="EM44" s="43" t="n">
        <f aca="false">-$E44*N(AND(EM$3&lt;=$F44,EM$4&gt;=$F44))</f>
        <v>-0</v>
      </c>
      <c r="EN44" s="43" t="n">
        <f aca="false">-$E44*N(AND(EN$3&lt;=$F44,EN$4&gt;=$F44))</f>
        <v>-0</v>
      </c>
      <c r="EO44" s="43" t="n">
        <f aca="false">-$E44*N(AND(EO$3&lt;=$F44,EO$4&gt;=$F44))</f>
        <v>-0</v>
      </c>
    </row>
    <row r="45" customFormat="false" ht="15" hidden="false" customHeight="false" outlineLevel="0" collapsed="false">
      <c r="C45" s="0" t="s">
        <v>358</v>
      </c>
      <c r="D45" s="11" t="s">
        <v>33</v>
      </c>
      <c r="I45" s="43" t="n">
        <f aca="false">SUM(J45:EO45)</f>
        <v>-8154.82315068493</v>
      </c>
      <c r="J45" s="43" t="n">
        <f aca="false">J43+J44</f>
        <v>-0</v>
      </c>
      <c r="K45" s="43" t="n">
        <f aca="false">K43+K44</f>
        <v>-0</v>
      </c>
      <c r="L45" s="43" t="n">
        <f aca="false">L43+L44</f>
        <v>-0</v>
      </c>
      <c r="M45" s="43" t="n">
        <f aca="false">M43+M44</f>
        <v>-0</v>
      </c>
      <c r="N45" s="43" t="n">
        <f aca="false">N43+N44</f>
        <v>-0</v>
      </c>
      <c r="O45" s="43" t="n">
        <f aca="false">O43+O44</f>
        <v>-0</v>
      </c>
      <c r="P45" s="43" t="n">
        <f aca="false">P43+P44</f>
        <v>-0</v>
      </c>
      <c r="Q45" s="43" t="n">
        <f aca="false">Q43+Q44</f>
        <v>-0</v>
      </c>
      <c r="R45" s="43" t="n">
        <f aca="false">R43+R44</f>
        <v>-0</v>
      </c>
      <c r="S45" s="43" t="n">
        <f aca="false">S43+S44</f>
        <v>-8154.82315068493</v>
      </c>
      <c r="T45" s="43" t="n">
        <f aca="false">T43+T44</f>
        <v>-0</v>
      </c>
      <c r="U45" s="43" t="n">
        <f aca="false">U43+U44</f>
        <v>-0</v>
      </c>
      <c r="V45" s="43" t="n">
        <f aca="false">V43+V44</f>
        <v>-0</v>
      </c>
      <c r="W45" s="43" t="n">
        <f aca="false">W43+W44</f>
        <v>-0</v>
      </c>
      <c r="X45" s="43" t="n">
        <f aca="false">X43+X44</f>
        <v>-0</v>
      </c>
      <c r="Y45" s="43" t="n">
        <f aca="false">Y43+Y44</f>
        <v>-0</v>
      </c>
      <c r="Z45" s="43" t="n">
        <f aca="false">Z43+Z44</f>
        <v>-0</v>
      </c>
      <c r="AA45" s="43" t="n">
        <f aca="false">AA43+AA44</f>
        <v>-0</v>
      </c>
      <c r="AB45" s="43" t="n">
        <f aca="false">AB43+AB44</f>
        <v>-0</v>
      </c>
      <c r="AC45" s="43" t="n">
        <f aca="false">AC43+AC44</f>
        <v>-0</v>
      </c>
      <c r="AD45" s="43" t="n">
        <f aca="false">AD43+AD44</f>
        <v>-0</v>
      </c>
      <c r="AE45" s="43" t="n">
        <f aca="false">AE43+AE44</f>
        <v>-0</v>
      </c>
      <c r="AF45" s="43" t="n">
        <f aca="false">AF43+AF44</f>
        <v>-0</v>
      </c>
      <c r="AG45" s="43" t="n">
        <f aca="false">AG43+AG44</f>
        <v>-0</v>
      </c>
      <c r="AH45" s="43" t="n">
        <f aca="false">AH43+AH44</f>
        <v>-0</v>
      </c>
      <c r="AI45" s="43" t="n">
        <f aca="false">AI43+AI44</f>
        <v>-0</v>
      </c>
      <c r="AJ45" s="43" t="n">
        <f aca="false">AJ43+AJ44</f>
        <v>-0</v>
      </c>
      <c r="AK45" s="43" t="n">
        <f aca="false">AK43+AK44</f>
        <v>-0</v>
      </c>
      <c r="AL45" s="43" t="n">
        <f aca="false">AL43+AL44</f>
        <v>-0</v>
      </c>
      <c r="AM45" s="43" t="n">
        <f aca="false">AM43+AM44</f>
        <v>-0</v>
      </c>
      <c r="AN45" s="43" t="n">
        <f aca="false">AN43+AN44</f>
        <v>-0</v>
      </c>
      <c r="AO45" s="43" t="n">
        <f aca="false">AO43+AO44</f>
        <v>-0</v>
      </c>
      <c r="AP45" s="43" t="n">
        <f aca="false">AP43+AP44</f>
        <v>-0</v>
      </c>
      <c r="AQ45" s="43" t="n">
        <f aca="false">AQ43+AQ44</f>
        <v>-0</v>
      </c>
      <c r="AR45" s="43" t="n">
        <f aca="false">AR43+AR44</f>
        <v>-0</v>
      </c>
      <c r="AS45" s="43" t="n">
        <f aca="false">AS43+AS44</f>
        <v>-0</v>
      </c>
      <c r="AT45" s="43" t="n">
        <f aca="false">AT43+AT44</f>
        <v>-0</v>
      </c>
      <c r="AU45" s="43" t="n">
        <f aca="false">AU43+AU44</f>
        <v>-0</v>
      </c>
      <c r="AV45" s="43" t="n">
        <f aca="false">AV43+AV44</f>
        <v>-0</v>
      </c>
      <c r="AW45" s="43" t="n">
        <f aca="false">AW43+AW44</f>
        <v>-0</v>
      </c>
      <c r="AX45" s="43" t="n">
        <f aca="false">AX43+AX44</f>
        <v>-0</v>
      </c>
      <c r="AY45" s="43" t="n">
        <f aca="false">AY43+AY44</f>
        <v>-0</v>
      </c>
      <c r="AZ45" s="43" t="n">
        <f aca="false">AZ43+AZ44</f>
        <v>-0</v>
      </c>
      <c r="BA45" s="43" t="n">
        <f aca="false">BA43+BA44</f>
        <v>-0</v>
      </c>
      <c r="BB45" s="43" t="n">
        <f aca="false">BB43+BB44</f>
        <v>-0</v>
      </c>
      <c r="BC45" s="43" t="n">
        <f aca="false">BC43+BC44</f>
        <v>-0</v>
      </c>
      <c r="BD45" s="43" t="n">
        <f aca="false">BD43+BD44</f>
        <v>-0</v>
      </c>
      <c r="BE45" s="43" t="n">
        <f aca="false">BE43+BE44</f>
        <v>-0</v>
      </c>
      <c r="BF45" s="43" t="n">
        <f aca="false">BF43+BF44</f>
        <v>-0</v>
      </c>
      <c r="BG45" s="43" t="n">
        <f aca="false">BG43+BG44</f>
        <v>-0</v>
      </c>
      <c r="BH45" s="43" t="n">
        <f aca="false">BH43+BH44</f>
        <v>-0</v>
      </c>
      <c r="BI45" s="43" t="n">
        <f aca="false">BI43+BI44</f>
        <v>-0</v>
      </c>
      <c r="BJ45" s="43" t="n">
        <f aca="false">BJ43+BJ44</f>
        <v>-0</v>
      </c>
      <c r="BK45" s="43" t="n">
        <f aca="false">BK43+BK44</f>
        <v>-0</v>
      </c>
      <c r="BL45" s="43" t="n">
        <f aca="false">BL43+BL44</f>
        <v>-0</v>
      </c>
      <c r="BM45" s="43" t="n">
        <f aca="false">BM43+BM44</f>
        <v>-0</v>
      </c>
      <c r="BN45" s="43" t="n">
        <f aca="false">BN43+BN44</f>
        <v>-0</v>
      </c>
      <c r="BO45" s="43" t="n">
        <f aca="false">BO43+BO44</f>
        <v>-0</v>
      </c>
      <c r="BP45" s="43" t="n">
        <f aca="false">BP43+BP44</f>
        <v>-0</v>
      </c>
      <c r="BQ45" s="43" t="n">
        <f aca="false">BQ43+BQ44</f>
        <v>-0</v>
      </c>
      <c r="BR45" s="43" t="n">
        <f aca="false">BR43+BR44</f>
        <v>-0</v>
      </c>
      <c r="BS45" s="43" t="n">
        <f aca="false">BS43+BS44</f>
        <v>-0</v>
      </c>
      <c r="BT45" s="43" t="n">
        <f aca="false">BT43+BT44</f>
        <v>-0</v>
      </c>
      <c r="BU45" s="43" t="n">
        <f aca="false">BU43+BU44</f>
        <v>-0</v>
      </c>
      <c r="BV45" s="43" t="n">
        <f aca="false">BV43+BV44</f>
        <v>-0</v>
      </c>
      <c r="BW45" s="43" t="n">
        <f aca="false">BW43+BW44</f>
        <v>-0</v>
      </c>
      <c r="BX45" s="43" t="n">
        <f aca="false">BX43+BX44</f>
        <v>-0</v>
      </c>
      <c r="BY45" s="43" t="n">
        <f aca="false">BY43+BY44</f>
        <v>-0</v>
      </c>
      <c r="BZ45" s="43" t="n">
        <f aca="false">BZ43+BZ44</f>
        <v>-0</v>
      </c>
      <c r="CA45" s="43" t="n">
        <f aca="false">CA43+CA44</f>
        <v>-0</v>
      </c>
      <c r="CB45" s="43" t="n">
        <f aca="false">CB43+CB44</f>
        <v>-0</v>
      </c>
      <c r="CC45" s="43" t="n">
        <f aca="false">CC43+CC44</f>
        <v>-0</v>
      </c>
      <c r="CD45" s="43" t="n">
        <f aca="false">CD43+CD44</f>
        <v>-0</v>
      </c>
      <c r="CE45" s="43" t="n">
        <f aca="false">CE43+CE44</f>
        <v>-0</v>
      </c>
      <c r="CF45" s="43" t="n">
        <f aca="false">CF43+CF44</f>
        <v>-0</v>
      </c>
      <c r="CG45" s="43" t="n">
        <f aca="false">CG43+CG44</f>
        <v>-0</v>
      </c>
      <c r="CH45" s="43" t="n">
        <f aca="false">CH43+CH44</f>
        <v>-0</v>
      </c>
      <c r="CI45" s="43" t="n">
        <f aca="false">CI43+CI44</f>
        <v>-0</v>
      </c>
      <c r="CJ45" s="43" t="n">
        <f aca="false">CJ43+CJ44</f>
        <v>-0</v>
      </c>
      <c r="CK45" s="43" t="n">
        <f aca="false">CK43+CK44</f>
        <v>-0</v>
      </c>
      <c r="CL45" s="43" t="n">
        <f aca="false">CL43+CL44</f>
        <v>-0</v>
      </c>
      <c r="CM45" s="43" t="n">
        <f aca="false">CM43+CM44</f>
        <v>-0</v>
      </c>
      <c r="CN45" s="43" t="n">
        <f aca="false">CN43+CN44</f>
        <v>-0</v>
      </c>
      <c r="CO45" s="43" t="n">
        <f aca="false">CO43+CO44</f>
        <v>-0</v>
      </c>
      <c r="CP45" s="43" t="n">
        <f aca="false">CP43+CP44</f>
        <v>-0</v>
      </c>
      <c r="CQ45" s="43" t="n">
        <f aca="false">CQ43+CQ44</f>
        <v>-0</v>
      </c>
      <c r="CR45" s="43" t="n">
        <f aca="false">CR43+CR44</f>
        <v>-0</v>
      </c>
      <c r="CS45" s="43" t="n">
        <f aca="false">CS43+CS44</f>
        <v>-0</v>
      </c>
      <c r="CT45" s="43" t="n">
        <f aca="false">CT43+CT44</f>
        <v>-0</v>
      </c>
      <c r="CU45" s="43" t="n">
        <f aca="false">CU43+CU44</f>
        <v>-0</v>
      </c>
      <c r="CV45" s="43" t="n">
        <f aca="false">CV43+CV44</f>
        <v>-0</v>
      </c>
      <c r="CW45" s="43" t="n">
        <f aca="false">CW43+CW44</f>
        <v>-0</v>
      </c>
      <c r="CX45" s="43" t="n">
        <f aca="false">CX43+CX44</f>
        <v>-0</v>
      </c>
      <c r="CY45" s="43" t="n">
        <f aca="false">CY43+CY44</f>
        <v>-0</v>
      </c>
      <c r="CZ45" s="43" t="n">
        <f aca="false">CZ43+CZ44</f>
        <v>-0</v>
      </c>
      <c r="DA45" s="43" t="n">
        <f aca="false">DA43+DA44</f>
        <v>-0</v>
      </c>
      <c r="DB45" s="43" t="n">
        <f aca="false">DB43+DB44</f>
        <v>-0</v>
      </c>
      <c r="DC45" s="43" t="n">
        <f aca="false">DC43+DC44</f>
        <v>-0</v>
      </c>
      <c r="DD45" s="43" t="n">
        <f aca="false">DD43+DD44</f>
        <v>-0</v>
      </c>
      <c r="DE45" s="43" t="n">
        <f aca="false">DE43+DE44</f>
        <v>-0</v>
      </c>
      <c r="DF45" s="43" t="n">
        <f aca="false">DF43+DF44</f>
        <v>-0</v>
      </c>
      <c r="DG45" s="43" t="n">
        <f aca="false">DG43+DG44</f>
        <v>-0</v>
      </c>
      <c r="DH45" s="43" t="n">
        <f aca="false">DH43+DH44</f>
        <v>-0</v>
      </c>
      <c r="DI45" s="43" t="n">
        <f aca="false">DI43+DI44</f>
        <v>-0</v>
      </c>
      <c r="DJ45" s="43" t="n">
        <f aca="false">DJ43+DJ44</f>
        <v>-0</v>
      </c>
      <c r="DK45" s="43" t="n">
        <f aca="false">DK43+DK44</f>
        <v>-0</v>
      </c>
      <c r="DL45" s="43" t="n">
        <f aca="false">DL43+DL44</f>
        <v>-0</v>
      </c>
      <c r="DM45" s="43" t="n">
        <f aca="false">DM43+DM44</f>
        <v>-0</v>
      </c>
      <c r="DN45" s="43" t="n">
        <f aca="false">DN43+DN44</f>
        <v>-0</v>
      </c>
      <c r="DO45" s="43" t="n">
        <f aca="false">DO43+DO44</f>
        <v>-0</v>
      </c>
      <c r="DP45" s="43" t="n">
        <f aca="false">DP43+DP44</f>
        <v>-0</v>
      </c>
      <c r="DQ45" s="43" t="n">
        <f aca="false">DQ43+DQ44</f>
        <v>-0</v>
      </c>
      <c r="DR45" s="43" t="n">
        <f aca="false">DR43+DR44</f>
        <v>-0</v>
      </c>
      <c r="DS45" s="43" t="n">
        <f aca="false">DS43+DS44</f>
        <v>-0</v>
      </c>
      <c r="DT45" s="43" t="n">
        <f aca="false">DT43+DT44</f>
        <v>-0</v>
      </c>
      <c r="DU45" s="43" t="n">
        <f aca="false">DU43+DU44</f>
        <v>-0</v>
      </c>
      <c r="DV45" s="43" t="n">
        <f aca="false">DV43+DV44</f>
        <v>-0</v>
      </c>
      <c r="DW45" s="43" t="n">
        <f aca="false">DW43+DW44</f>
        <v>-0</v>
      </c>
      <c r="DX45" s="43" t="n">
        <f aca="false">DX43+DX44</f>
        <v>-0</v>
      </c>
      <c r="DY45" s="43" t="n">
        <f aca="false">DY43+DY44</f>
        <v>-0</v>
      </c>
      <c r="DZ45" s="43" t="n">
        <f aca="false">DZ43+DZ44</f>
        <v>-0</v>
      </c>
      <c r="EA45" s="43" t="n">
        <f aca="false">EA43+EA44</f>
        <v>-0</v>
      </c>
      <c r="EB45" s="43" t="n">
        <f aca="false">EB43+EB44</f>
        <v>-0</v>
      </c>
      <c r="EC45" s="43" t="n">
        <f aca="false">EC43+EC44</f>
        <v>-0</v>
      </c>
      <c r="ED45" s="43" t="n">
        <f aca="false">ED43+ED44</f>
        <v>-0</v>
      </c>
      <c r="EE45" s="43" t="n">
        <f aca="false">EE43+EE44</f>
        <v>-0</v>
      </c>
      <c r="EF45" s="43" t="n">
        <f aca="false">EF43+EF44</f>
        <v>-0</v>
      </c>
      <c r="EG45" s="43" t="n">
        <f aca="false">EG43+EG44</f>
        <v>-0</v>
      </c>
      <c r="EH45" s="43" t="n">
        <f aca="false">EH43+EH44</f>
        <v>-0</v>
      </c>
      <c r="EI45" s="43" t="n">
        <f aca="false">EI43+EI44</f>
        <v>-0</v>
      </c>
      <c r="EJ45" s="43" t="n">
        <f aca="false">EJ43+EJ44</f>
        <v>-0</v>
      </c>
      <c r="EK45" s="43" t="n">
        <f aca="false">EK43+EK44</f>
        <v>-0</v>
      </c>
      <c r="EL45" s="43" t="n">
        <f aca="false">EL43+EL44</f>
        <v>-0</v>
      </c>
      <c r="EM45" s="43" t="n">
        <f aca="false">EM43+EM44</f>
        <v>-0</v>
      </c>
      <c r="EN45" s="43" t="n">
        <f aca="false">EN43+EN44</f>
        <v>-0</v>
      </c>
      <c r="EO45" s="43" t="n">
        <f aca="false">EO43+EO44</f>
        <v>-0</v>
      </c>
    </row>
    <row r="46" customFormat="false" ht="15" hidden="false" customHeight="false" outlineLevel="0" collapsed="false">
      <c r="C46" s="0" t="s">
        <v>359</v>
      </c>
      <c r="D46" s="11" t="s">
        <v>33</v>
      </c>
      <c r="E46" s="43" t="n">
        <f aca="false">SUMIF($J$4:$EO$4,"&lt;="&amp;In_COD,$J46:$EO46)</f>
        <v>-307.551285419403</v>
      </c>
      <c r="I46" s="43" t="n">
        <f aca="false">SUM(J46:EO46)</f>
        <v>-516.227209607806</v>
      </c>
      <c r="J46" s="43" t="n">
        <f aca="false">-(J40+J41)*In_Guarantee_Fee*J$5/Days_In_Year</f>
        <v>-2.87986489022331</v>
      </c>
      <c r="K46" s="43" t="n">
        <f aca="false">-(K40+K41)*In_Guarantee_Fee*K$5/Days_In_Year</f>
        <v>-12.342278100957</v>
      </c>
      <c r="L46" s="43" t="n">
        <f aca="false">-(L40+L41)*In_Guarantee_Fee*L$5/Days_In_Year</f>
        <v>-20.7990242071683</v>
      </c>
      <c r="M46" s="43" t="n">
        <f aca="false">-(M40+M41)*In_Guarantee_Fee*M$5/Days_In_Year</f>
        <v>-21.0275849127416</v>
      </c>
      <c r="N46" s="43" t="n">
        <f aca="false">-(N40+N41)*In_Guarantee_Fee*N$5/Days_In_Year</f>
        <v>-21.0275849127416</v>
      </c>
      <c r="O46" s="43" t="n">
        <f aca="false">-(O40+O41)*In_Guarantee_Fee*O$5/Days_In_Year</f>
        <v>-20.7990242071683</v>
      </c>
      <c r="P46" s="43" t="n">
        <f aca="false">-(P40+P41)*In_Guarantee_Fee*P$5/Days_In_Year</f>
        <v>-20.7990242071683</v>
      </c>
      <c r="Q46" s="43" t="n">
        <f aca="false">-(Q40+Q41)*In_Guarantee_Fee*Q$5/Days_In_Year</f>
        <v>-21.0275849127416</v>
      </c>
      <c r="R46" s="43" t="n">
        <f aca="false">-(R40+R41)*In_Guarantee_Fee*R$5/Days_In_Year</f>
        <v>-21.0275849127416</v>
      </c>
      <c r="S46" s="43" t="n">
        <f aca="false">-(S40+S41)*In_Guarantee_Fee*S$5/Days_In_Year</f>
        <v>-20.570463501595</v>
      </c>
      <c r="T46" s="43" t="n">
        <f aca="false">-(T40+T41)*In_Guarantee_Fee*T$5/Days_In_Year</f>
        <v>-20.7990242071683</v>
      </c>
      <c r="U46" s="43" t="n">
        <f aca="false">-(U40+U41)*In_Guarantee_Fee*U$5/Days_In_Year</f>
        <v>-21.0275849127416</v>
      </c>
      <c r="V46" s="43" t="n">
        <f aca="false">-(V40+V41)*In_Guarantee_Fee*V$5/Days_In_Year</f>
        <v>-21.0275849127416</v>
      </c>
      <c r="W46" s="43" t="n">
        <f aca="false">-(W40+W41)*In_Guarantee_Fee*W$5/Days_In_Year</f>
        <v>-20.570463501595</v>
      </c>
      <c r="X46" s="43" t="n">
        <f aca="false">-(X40+X41)*In_Guarantee_Fee*X$5/Days_In_Year</f>
        <v>-20.7990242071683</v>
      </c>
      <c r="Y46" s="43" t="n">
        <f aca="false">-(Y40+Y41)*In_Guarantee_Fee*Y$5/Days_In_Year</f>
        <v>-21.0275849127416</v>
      </c>
      <c r="Z46" s="43" t="n">
        <f aca="false">-(Z40+Z41)*In_Guarantee_Fee*Z$5/Days_In_Year</f>
        <v>-21.0275849127416</v>
      </c>
      <c r="AA46" s="43" t="n">
        <f aca="false">-(AA40+AA41)*In_Guarantee_Fee*AA$5/Days_In_Year</f>
        <v>-20.570463501595</v>
      </c>
      <c r="AB46" s="43" t="n">
        <f aca="false">-(AB40+AB41)*In_Guarantee_Fee*AB$5/Days_In_Year</f>
        <v>-20.7990242071683</v>
      </c>
      <c r="AC46" s="43" t="n">
        <f aca="false">-(AC40+AC41)*In_Guarantee_Fee*AC$5/Days_In_Year</f>
        <v>-21.0275849127416</v>
      </c>
      <c r="AD46" s="43" t="n">
        <f aca="false">-(AD40+AD41)*In_Guarantee_Fee*AD$5/Days_In_Year</f>
        <v>-21.0275849127416</v>
      </c>
      <c r="AE46" s="43" t="n">
        <f aca="false">-(AE40+AE41)*In_Guarantee_Fee*AE$5/Days_In_Year</f>
        <v>-20.7990242071683</v>
      </c>
      <c r="AF46" s="43" t="n">
        <f aca="false">-(AF40+AF41)*In_Guarantee_Fee*AF$5/Days_In_Year</f>
        <v>-20.7990242071683</v>
      </c>
      <c r="AG46" s="43" t="n">
        <f aca="false">-(AG40+AG41)*In_Guarantee_Fee*AG$5/Days_In_Year</f>
        <v>-21.0275849127416</v>
      </c>
      <c r="AH46" s="43" t="n">
        <f aca="false">-(AH40+AH41)*In_Guarantee_Fee*AH$5/Days_In_Year</f>
        <v>-21.0275849127416</v>
      </c>
      <c r="AI46" s="43" t="n">
        <f aca="false">-(AI40+AI41)*In_Guarantee_Fee*AI$5/Days_In_Year</f>
        <v>-20.570463501595</v>
      </c>
      <c r="AJ46" s="43" t="n">
        <f aca="false">-(AJ40+AJ41)*In_Guarantee_Fee*AJ$5/Days_In_Year</f>
        <v>-0</v>
      </c>
      <c r="AK46" s="43" t="n">
        <f aca="false">-(AK40+AK41)*In_Guarantee_Fee*AK$5/Days_In_Year</f>
        <v>-0</v>
      </c>
      <c r="AL46" s="43" t="n">
        <f aca="false">-(AL40+AL41)*In_Guarantee_Fee*AL$5/Days_In_Year</f>
        <v>-0</v>
      </c>
      <c r="AM46" s="43" t="n">
        <f aca="false">-(AM40+AM41)*In_Guarantee_Fee*AM$5/Days_In_Year</f>
        <v>-0</v>
      </c>
      <c r="AN46" s="43" t="n">
        <f aca="false">-(AN40+AN41)*In_Guarantee_Fee*AN$5/Days_In_Year</f>
        <v>-0</v>
      </c>
      <c r="AO46" s="43" t="n">
        <f aca="false">-(AO40+AO41)*In_Guarantee_Fee*AO$5/Days_In_Year</f>
        <v>-0</v>
      </c>
      <c r="AP46" s="43" t="n">
        <f aca="false">-(AP40+AP41)*In_Guarantee_Fee*AP$5/Days_In_Year</f>
        <v>-0</v>
      </c>
      <c r="AQ46" s="43" t="n">
        <f aca="false">-(AQ40+AQ41)*In_Guarantee_Fee*AQ$5/Days_In_Year</f>
        <v>-0</v>
      </c>
      <c r="AR46" s="43" t="n">
        <f aca="false">-(AR40+AR41)*In_Guarantee_Fee*AR$5/Days_In_Year</f>
        <v>-0</v>
      </c>
      <c r="AS46" s="43" t="n">
        <f aca="false">-(AS40+AS41)*In_Guarantee_Fee*AS$5/Days_In_Year</f>
        <v>-0</v>
      </c>
      <c r="AT46" s="43" t="n">
        <f aca="false">-(AT40+AT41)*In_Guarantee_Fee*AT$5/Days_In_Year</f>
        <v>-0</v>
      </c>
      <c r="AU46" s="43" t="n">
        <f aca="false">-(AU40+AU41)*In_Guarantee_Fee*AU$5/Days_In_Year</f>
        <v>-0</v>
      </c>
      <c r="AV46" s="43" t="n">
        <f aca="false">-(AV40+AV41)*In_Guarantee_Fee*AV$5/Days_In_Year</f>
        <v>-0</v>
      </c>
      <c r="AW46" s="43" t="n">
        <f aca="false">-(AW40+AW41)*In_Guarantee_Fee*AW$5/Days_In_Year</f>
        <v>-0</v>
      </c>
      <c r="AX46" s="43" t="n">
        <f aca="false">-(AX40+AX41)*In_Guarantee_Fee*AX$5/Days_In_Year</f>
        <v>-0</v>
      </c>
      <c r="AY46" s="43" t="n">
        <f aca="false">-(AY40+AY41)*In_Guarantee_Fee*AY$5/Days_In_Year</f>
        <v>-0</v>
      </c>
      <c r="AZ46" s="43" t="n">
        <f aca="false">-(AZ40+AZ41)*In_Guarantee_Fee*AZ$5/Days_In_Year</f>
        <v>-0</v>
      </c>
      <c r="BA46" s="43" t="n">
        <f aca="false">-(BA40+BA41)*In_Guarantee_Fee*BA$5/Days_In_Year</f>
        <v>-0</v>
      </c>
      <c r="BB46" s="43" t="n">
        <f aca="false">-(BB40+BB41)*In_Guarantee_Fee*BB$5/Days_In_Year</f>
        <v>-0</v>
      </c>
      <c r="BC46" s="43" t="n">
        <f aca="false">-(BC40+BC41)*In_Guarantee_Fee*BC$5/Days_In_Year</f>
        <v>-0</v>
      </c>
      <c r="BD46" s="43" t="n">
        <f aca="false">-(BD40+BD41)*In_Guarantee_Fee*BD$5/Days_In_Year</f>
        <v>-0</v>
      </c>
      <c r="BE46" s="43" t="n">
        <f aca="false">-(BE40+BE41)*In_Guarantee_Fee*BE$5/Days_In_Year</f>
        <v>-0</v>
      </c>
      <c r="BF46" s="43" t="n">
        <f aca="false">-(BF40+BF41)*In_Guarantee_Fee*BF$5/Days_In_Year</f>
        <v>-0</v>
      </c>
      <c r="BG46" s="43" t="n">
        <f aca="false">-(BG40+BG41)*In_Guarantee_Fee*BG$5/Days_In_Year</f>
        <v>-0</v>
      </c>
      <c r="BH46" s="43" t="n">
        <f aca="false">-(BH40+BH41)*In_Guarantee_Fee*BH$5/Days_In_Year</f>
        <v>-0</v>
      </c>
      <c r="BI46" s="43" t="n">
        <f aca="false">-(BI40+BI41)*In_Guarantee_Fee*BI$5/Days_In_Year</f>
        <v>-0</v>
      </c>
      <c r="BJ46" s="43" t="n">
        <f aca="false">-(BJ40+BJ41)*In_Guarantee_Fee*BJ$5/Days_In_Year</f>
        <v>-0</v>
      </c>
      <c r="BK46" s="43" t="n">
        <f aca="false">-(BK40+BK41)*In_Guarantee_Fee*BK$5/Days_In_Year</f>
        <v>-0</v>
      </c>
      <c r="BL46" s="43" t="n">
        <f aca="false">-(BL40+BL41)*In_Guarantee_Fee*BL$5/Days_In_Year</f>
        <v>-0</v>
      </c>
      <c r="BM46" s="43" t="n">
        <f aca="false">-(BM40+BM41)*In_Guarantee_Fee*BM$5/Days_In_Year</f>
        <v>-0</v>
      </c>
      <c r="BN46" s="43" t="n">
        <f aca="false">-(BN40+BN41)*In_Guarantee_Fee*BN$5/Days_In_Year</f>
        <v>-0</v>
      </c>
      <c r="BO46" s="43" t="n">
        <f aca="false">-(BO40+BO41)*In_Guarantee_Fee*BO$5/Days_In_Year</f>
        <v>-0</v>
      </c>
      <c r="BP46" s="43" t="n">
        <f aca="false">-(BP40+BP41)*In_Guarantee_Fee*BP$5/Days_In_Year</f>
        <v>-0</v>
      </c>
      <c r="BQ46" s="43" t="n">
        <f aca="false">-(BQ40+BQ41)*In_Guarantee_Fee*BQ$5/Days_In_Year</f>
        <v>-0</v>
      </c>
      <c r="BR46" s="43" t="n">
        <f aca="false">-(BR40+BR41)*In_Guarantee_Fee*BR$5/Days_In_Year</f>
        <v>-0</v>
      </c>
      <c r="BS46" s="43" t="n">
        <f aca="false">-(BS40+BS41)*In_Guarantee_Fee*BS$5/Days_In_Year</f>
        <v>-0</v>
      </c>
      <c r="BT46" s="43" t="n">
        <f aca="false">-(BT40+BT41)*In_Guarantee_Fee*BT$5/Days_In_Year</f>
        <v>-0</v>
      </c>
      <c r="BU46" s="43" t="n">
        <f aca="false">-(BU40+BU41)*In_Guarantee_Fee*BU$5/Days_In_Year</f>
        <v>-0</v>
      </c>
      <c r="BV46" s="43" t="n">
        <f aca="false">-(BV40+BV41)*In_Guarantee_Fee*BV$5/Days_In_Year</f>
        <v>-0</v>
      </c>
      <c r="BW46" s="43" t="n">
        <f aca="false">-(BW40+BW41)*In_Guarantee_Fee*BW$5/Days_In_Year</f>
        <v>-0</v>
      </c>
      <c r="BX46" s="43" t="n">
        <f aca="false">-(BX40+BX41)*In_Guarantee_Fee*BX$5/Days_In_Year</f>
        <v>-0</v>
      </c>
      <c r="BY46" s="43" t="n">
        <f aca="false">-(BY40+BY41)*In_Guarantee_Fee*BY$5/Days_In_Year</f>
        <v>-0</v>
      </c>
      <c r="BZ46" s="43" t="n">
        <f aca="false">-(BZ40+BZ41)*In_Guarantee_Fee*BZ$5/Days_In_Year</f>
        <v>-0</v>
      </c>
      <c r="CA46" s="43" t="n">
        <f aca="false">-(CA40+CA41)*In_Guarantee_Fee*CA$5/Days_In_Year</f>
        <v>-0</v>
      </c>
      <c r="CB46" s="43" t="n">
        <f aca="false">-(CB40+CB41)*In_Guarantee_Fee*CB$5/Days_In_Year</f>
        <v>-0</v>
      </c>
      <c r="CC46" s="43" t="n">
        <f aca="false">-(CC40+CC41)*In_Guarantee_Fee*CC$5/Days_In_Year</f>
        <v>-0</v>
      </c>
      <c r="CD46" s="43" t="n">
        <f aca="false">-(CD40+CD41)*In_Guarantee_Fee*CD$5/Days_In_Year</f>
        <v>-0</v>
      </c>
      <c r="CE46" s="43" t="n">
        <f aca="false">-(CE40+CE41)*In_Guarantee_Fee*CE$5/Days_In_Year</f>
        <v>-0</v>
      </c>
      <c r="CF46" s="43" t="n">
        <f aca="false">-(CF40+CF41)*In_Guarantee_Fee*CF$5/Days_In_Year</f>
        <v>-0</v>
      </c>
      <c r="CG46" s="43" t="n">
        <f aca="false">-(CG40+CG41)*In_Guarantee_Fee*CG$5/Days_In_Year</f>
        <v>-0</v>
      </c>
      <c r="CH46" s="43" t="n">
        <f aca="false">-(CH40+CH41)*In_Guarantee_Fee*CH$5/Days_In_Year</f>
        <v>-0</v>
      </c>
      <c r="CI46" s="43" t="n">
        <f aca="false">-(CI40+CI41)*In_Guarantee_Fee*CI$5/Days_In_Year</f>
        <v>-0</v>
      </c>
      <c r="CJ46" s="43" t="n">
        <f aca="false">-(CJ40+CJ41)*In_Guarantee_Fee*CJ$5/Days_In_Year</f>
        <v>-0</v>
      </c>
      <c r="CK46" s="43" t="n">
        <f aca="false">-(CK40+CK41)*In_Guarantee_Fee*CK$5/Days_In_Year</f>
        <v>-0</v>
      </c>
      <c r="CL46" s="43" t="n">
        <f aca="false">-(CL40+CL41)*In_Guarantee_Fee*CL$5/Days_In_Year</f>
        <v>-0</v>
      </c>
      <c r="CM46" s="43" t="n">
        <f aca="false">-(CM40+CM41)*In_Guarantee_Fee*CM$5/Days_In_Year</f>
        <v>-0</v>
      </c>
      <c r="CN46" s="43" t="n">
        <f aca="false">-(CN40+CN41)*In_Guarantee_Fee*CN$5/Days_In_Year</f>
        <v>-0</v>
      </c>
      <c r="CO46" s="43" t="n">
        <f aca="false">-(CO40+CO41)*In_Guarantee_Fee*CO$5/Days_In_Year</f>
        <v>-0</v>
      </c>
      <c r="CP46" s="43" t="n">
        <f aca="false">-(CP40+CP41)*In_Guarantee_Fee*CP$5/Days_In_Year</f>
        <v>-0</v>
      </c>
      <c r="CQ46" s="43" t="n">
        <f aca="false">-(CQ40+CQ41)*In_Guarantee_Fee*CQ$5/Days_In_Year</f>
        <v>-0</v>
      </c>
      <c r="CR46" s="43" t="n">
        <f aca="false">-(CR40+CR41)*In_Guarantee_Fee*CR$5/Days_In_Year</f>
        <v>-0</v>
      </c>
      <c r="CS46" s="43" t="n">
        <f aca="false">-(CS40+CS41)*In_Guarantee_Fee*CS$5/Days_In_Year</f>
        <v>-0</v>
      </c>
      <c r="CT46" s="43" t="n">
        <f aca="false">-(CT40+CT41)*In_Guarantee_Fee*CT$5/Days_In_Year</f>
        <v>-0</v>
      </c>
      <c r="CU46" s="43" t="n">
        <f aca="false">-(CU40+CU41)*In_Guarantee_Fee*CU$5/Days_In_Year</f>
        <v>-0</v>
      </c>
      <c r="CV46" s="43" t="n">
        <f aca="false">-(CV40+CV41)*In_Guarantee_Fee*CV$5/Days_In_Year</f>
        <v>-0</v>
      </c>
      <c r="CW46" s="43" t="n">
        <f aca="false">-(CW40+CW41)*In_Guarantee_Fee*CW$5/Days_In_Year</f>
        <v>-0</v>
      </c>
      <c r="CX46" s="43" t="n">
        <f aca="false">-(CX40+CX41)*In_Guarantee_Fee*CX$5/Days_In_Year</f>
        <v>-0</v>
      </c>
      <c r="CY46" s="43" t="n">
        <f aca="false">-(CY40+CY41)*In_Guarantee_Fee*CY$5/Days_In_Year</f>
        <v>-0</v>
      </c>
      <c r="CZ46" s="43" t="n">
        <f aca="false">-(CZ40+CZ41)*In_Guarantee_Fee*CZ$5/Days_In_Year</f>
        <v>-0</v>
      </c>
      <c r="DA46" s="43" t="n">
        <f aca="false">-(DA40+DA41)*In_Guarantee_Fee*DA$5/Days_In_Year</f>
        <v>-0</v>
      </c>
      <c r="DB46" s="43" t="n">
        <f aca="false">-(DB40+DB41)*In_Guarantee_Fee*DB$5/Days_In_Year</f>
        <v>-0</v>
      </c>
      <c r="DC46" s="43" t="n">
        <f aca="false">-(DC40+DC41)*In_Guarantee_Fee*DC$5/Days_In_Year</f>
        <v>-0</v>
      </c>
      <c r="DD46" s="43" t="n">
        <f aca="false">-(DD40+DD41)*In_Guarantee_Fee*DD$5/Days_In_Year</f>
        <v>-0</v>
      </c>
      <c r="DE46" s="43" t="n">
        <f aca="false">-(DE40+DE41)*In_Guarantee_Fee*DE$5/Days_In_Year</f>
        <v>-0</v>
      </c>
      <c r="DF46" s="43" t="n">
        <f aca="false">-(DF40+DF41)*In_Guarantee_Fee*DF$5/Days_In_Year</f>
        <v>-0</v>
      </c>
      <c r="DG46" s="43" t="n">
        <f aca="false">-(DG40+DG41)*In_Guarantee_Fee*DG$5/Days_In_Year</f>
        <v>-0</v>
      </c>
      <c r="DH46" s="43" t="n">
        <f aca="false">-(DH40+DH41)*In_Guarantee_Fee*DH$5/Days_In_Year</f>
        <v>-0</v>
      </c>
      <c r="DI46" s="43" t="n">
        <f aca="false">-(DI40+DI41)*In_Guarantee_Fee*DI$5/Days_In_Year</f>
        <v>-0</v>
      </c>
      <c r="DJ46" s="43" t="n">
        <f aca="false">-(DJ40+DJ41)*In_Guarantee_Fee*DJ$5/Days_In_Year</f>
        <v>-0</v>
      </c>
      <c r="DK46" s="43" t="n">
        <f aca="false">-(DK40+DK41)*In_Guarantee_Fee*DK$5/Days_In_Year</f>
        <v>-0</v>
      </c>
      <c r="DL46" s="43" t="n">
        <f aca="false">-(DL40+DL41)*In_Guarantee_Fee*DL$5/Days_In_Year</f>
        <v>-0</v>
      </c>
      <c r="DM46" s="43" t="n">
        <f aca="false">-(DM40+DM41)*In_Guarantee_Fee*DM$5/Days_In_Year</f>
        <v>-0</v>
      </c>
      <c r="DN46" s="43" t="n">
        <f aca="false">-(DN40+DN41)*In_Guarantee_Fee*DN$5/Days_In_Year</f>
        <v>-0</v>
      </c>
      <c r="DO46" s="43" t="n">
        <f aca="false">-(DO40+DO41)*In_Guarantee_Fee*DO$5/Days_In_Year</f>
        <v>-0</v>
      </c>
      <c r="DP46" s="43" t="n">
        <f aca="false">-(DP40+DP41)*In_Guarantee_Fee*DP$5/Days_In_Year</f>
        <v>-0</v>
      </c>
      <c r="DQ46" s="43" t="n">
        <f aca="false">-(DQ40+DQ41)*In_Guarantee_Fee*DQ$5/Days_In_Year</f>
        <v>-0</v>
      </c>
      <c r="DR46" s="43" t="n">
        <f aca="false">-(DR40+DR41)*In_Guarantee_Fee*DR$5/Days_In_Year</f>
        <v>-0</v>
      </c>
      <c r="DS46" s="43" t="n">
        <f aca="false">-(DS40+DS41)*In_Guarantee_Fee*DS$5/Days_In_Year</f>
        <v>-0</v>
      </c>
      <c r="DT46" s="43" t="n">
        <f aca="false">-(DT40+DT41)*In_Guarantee_Fee*DT$5/Days_In_Year</f>
        <v>-0</v>
      </c>
      <c r="DU46" s="43" t="n">
        <f aca="false">-(DU40+DU41)*In_Guarantee_Fee*DU$5/Days_In_Year</f>
        <v>-0</v>
      </c>
      <c r="DV46" s="43" t="n">
        <f aca="false">-(DV40+DV41)*In_Guarantee_Fee*DV$5/Days_In_Year</f>
        <v>-0</v>
      </c>
      <c r="DW46" s="43" t="n">
        <f aca="false">-(DW40+DW41)*In_Guarantee_Fee*DW$5/Days_In_Year</f>
        <v>-0</v>
      </c>
      <c r="DX46" s="43" t="n">
        <f aca="false">-(DX40+DX41)*In_Guarantee_Fee*DX$5/Days_In_Year</f>
        <v>-0</v>
      </c>
      <c r="DY46" s="43" t="n">
        <f aca="false">-(DY40+DY41)*In_Guarantee_Fee*DY$5/Days_In_Year</f>
        <v>-0</v>
      </c>
      <c r="DZ46" s="43" t="n">
        <f aca="false">-(DZ40+DZ41)*In_Guarantee_Fee*DZ$5/Days_In_Year</f>
        <v>-0</v>
      </c>
      <c r="EA46" s="43" t="n">
        <f aca="false">-(EA40+EA41)*In_Guarantee_Fee*EA$5/Days_In_Year</f>
        <v>-0</v>
      </c>
      <c r="EB46" s="43" t="n">
        <f aca="false">-(EB40+EB41)*In_Guarantee_Fee*EB$5/Days_In_Year</f>
        <v>-0</v>
      </c>
      <c r="EC46" s="43" t="n">
        <f aca="false">-(EC40+EC41)*In_Guarantee_Fee*EC$5/Days_In_Year</f>
        <v>-0</v>
      </c>
      <c r="ED46" s="43" t="n">
        <f aca="false">-(ED40+ED41)*In_Guarantee_Fee*ED$5/Days_In_Year</f>
        <v>-0</v>
      </c>
      <c r="EE46" s="43" t="n">
        <f aca="false">-(EE40+EE41)*In_Guarantee_Fee*EE$5/Days_In_Year</f>
        <v>-0</v>
      </c>
      <c r="EF46" s="43" t="n">
        <f aca="false">-(EF40+EF41)*In_Guarantee_Fee*EF$5/Days_In_Year</f>
        <v>-0</v>
      </c>
      <c r="EG46" s="43" t="n">
        <f aca="false">-(EG40+EG41)*In_Guarantee_Fee*EG$5/Days_In_Year</f>
        <v>-0</v>
      </c>
      <c r="EH46" s="43" t="n">
        <f aca="false">-(EH40+EH41)*In_Guarantee_Fee*EH$5/Days_In_Year</f>
        <v>-0</v>
      </c>
      <c r="EI46" s="43" t="n">
        <f aca="false">-(EI40+EI41)*In_Guarantee_Fee*EI$5/Days_In_Year</f>
        <v>-0</v>
      </c>
      <c r="EJ46" s="43" t="n">
        <f aca="false">-(EJ40+EJ41)*In_Guarantee_Fee*EJ$5/Days_In_Year</f>
        <v>-0</v>
      </c>
      <c r="EK46" s="43" t="n">
        <f aca="false">-(EK40+EK41)*In_Guarantee_Fee*EK$5/Days_In_Year</f>
        <v>-0</v>
      </c>
      <c r="EL46" s="43" t="n">
        <f aca="false">-(EL40+EL41)*In_Guarantee_Fee*EL$5/Days_In_Year</f>
        <v>-0</v>
      </c>
      <c r="EM46" s="43" t="n">
        <f aca="false">-(EM40+EM41)*In_Guarantee_Fee*EM$5/Days_In_Year</f>
        <v>-0</v>
      </c>
      <c r="EN46" s="43" t="n">
        <f aca="false">-(EN40+EN41)*In_Guarantee_Fee*EN$5/Days_In_Year</f>
        <v>-0</v>
      </c>
      <c r="EO46" s="43" t="n">
        <f aca="false">-(EO40+EO41)*In_Guarantee_Fee*EO$5/Days_In_Year</f>
        <v>-0</v>
      </c>
    </row>
    <row r="47" customFormat="false" ht="15" hidden="false" customHeight="false" outlineLevel="0" collapsed="false">
      <c r="C47" s="21" t="s">
        <v>360</v>
      </c>
      <c r="D47" s="11" t="s">
        <v>33</v>
      </c>
      <c r="I47" s="54" t="n">
        <f aca="false">SUM(J47:EO47)</f>
        <v>-6290.88474385438</v>
      </c>
      <c r="J47" s="54" t="n">
        <f aca="false">J35+J36+J37+J39+J42+J46</f>
        <v>-4661.09904297242</v>
      </c>
      <c r="K47" s="54" t="n">
        <f aca="false">K35+K36+K37+K39+K42+K46</f>
        <v>-699.203169476608</v>
      </c>
      <c r="L47" s="54" t="n">
        <f aca="false">L35+L36+L37+L39+L42+L46</f>
        <v>-92.0040320318945</v>
      </c>
      <c r="M47" s="54" t="n">
        <f aca="false">M35+M36+M37+M39+M42+M46</f>
        <v>-93.0150653509263</v>
      </c>
      <c r="N47" s="54" t="n">
        <f aca="false">N35+N36+N37+N39+N42+N46</f>
        <v>-93.0150653509263</v>
      </c>
      <c r="O47" s="54" t="n">
        <f aca="false">O35+O36+O37+O39+O42+O46</f>
        <v>-92.0040320318945</v>
      </c>
      <c r="P47" s="54" t="n">
        <f aca="false">P35+P36+P37+P39+P42+P46</f>
        <v>-92.0040320318945</v>
      </c>
      <c r="Q47" s="54" t="n">
        <f aca="false">Q35+Q36+Q37+Q39+Q42+Q46</f>
        <v>-93.0150653509263</v>
      </c>
      <c r="R47" s="54" t="n">
        <f aca="false">R35+R36+R37+R39+R42+R46</f>
        <v>-21.0275849127416</v>
      </c>
      <c r="S47" s="54" t="n">
        <f aca="false">S35+S36+S37+S39+S42+S46</f>
        <v>-20.570463501595</v>
      </c>
      <c r="T47" s="54" t="n">
        <f aca="false">T35+T36+T37+T39+T42+T46</f>
        <v>-20.7990242071683</v>
      </c>
      <c r="U47" s="54" t="n">
        <f aca="false">U35+U36+U37+U39+U42+U46</f>
        <v>-21.0275849127416</v>
      </c>
      <c r="V47" s="54" t="n">
        <f aca="false">V35+V36+V37+V39+V42+V46</f>
        <v>-21.0275849127416</v>
      </c>
      <c r="W47" s="54" t="n">
        <f aca="false">W35+W36+W37+W39+W42+W46</f>
        <v>-20.570463501595</v>
      </c>
      <c r="X47" s="54" t="n">
        <f aca="false">X35+X36+X37+X39+X42+X46</f>
        <v>-20.7990242071683</v>
      </c>
      <c r="Y47" s="54" t="n">
        <f aca="false">Y35+Y36+Y37+Y39+Y42+Y46</f>
        <v>-21.0275849127416</v>
      </c>
      <c r="Z47" s="54" t="n">
        <f aca="false">Z35+Z36+Z37+Z39+Z42+Z46</f>
        <v>-21.0275849127416</v>
      </c>
      <c r="AA47" s="54" t="n">
        <f aca="false">AA35+AA36+AA37+AA39+AA42+AA46</f>
        <v>-20.570463501595</v>
      </c>
      <c r="AB47" s="54" t="n">
        <f aca="false">AB35+AB36+AB37+AB39+AB42+AB46</f>
        <v>-20.7990242071683</v>
      </c>
      <c r="AC47" s="54" t="n">
        <f aca="false">AC35+AC36+AC37+AC39+AC42+AC46</f>
        <v>-21.0275849127416</v>
      </c>
      <c r="AD47" s="54" t="n">
        <f aca="false">AD35+AD36+AD37+AD39+AD42+AD46</f>
        <v>-21.0275849127416</v>
      </c>
      <c r="AE47" s="54" t="n">
        <f aca="false">AE35+AE36+AE37+AE39+AE42+AE46</f>
        <v>-20.7990242071683</v>
      </c>
      <c r="AF47" s="54" t="n">
        <f aca="false">AF35+AF36+AF37+AF39+AF42+AF46</f>
        <v>-20.7990242071683</v>
      </c>
      <c r="AG47" s="54" t="n">
        <f aca="false">AG35+AG36+AG37+AG39+AG42+AG46</f>
        <v>-21.0275849127416</v>
      </c>
      <c r="AH47" s="54" t="n">
        <f aca="false">AH35+AH36+AH37+AH39+AH42+AH46</f>
        <v>-21.0275849127416</v>
      </c>
      <c r="AI47" s="54" t="n">
        <f aca="false">AI35+AI36+AI37+AI39+AI42+AI46</f>
        <v>-20.570463501595</v>
      </c>
      <c r="AJ47" s="54" t="n">
        <f aca="false">AJ35+AJ36+AJ37+AJ39+AJ42+AJ46</f>
        <v>-0</v>
      </c>
      <c r="AK47" s="54" t="n">
        <f aca="false">AK35+AK36+AK37+AK39+AK42+AK46</f>
        <v>-0</v>
      </c>
      <c r="AL47" s="54" t="n">
        <f aca="false">AL35+AL36+AL37+AL39+AL42+AL46</f>
        <v>-0</v>
      </c>
      <c r="AM47" s="54" t="n">
        <f aca="false">AM35+AM36+AM37+AM39+AM42+AM46</f>
        <v>-0</v>
      </c>
      <c r="AN47" s="54" t="n">
        <f aca="false">AN35+AN36+AN37+AN39+AN42+AN46</f>
        <v>-0</v>
      </c>
      <c r="AO47" s="54" t="n">
        <f aca="false">AO35+AO36+AO37+AO39+AO42+AO46</f>
        <v>-0</v>
      </c>
      <c r="AP47" s="54" t="n">
        <f aca="false">AP35+AP36+AP37+AP39+AP42+AP46</f>
        <v>-0</v>
      </c>
      <c r="AQ47" s="54" t="n">
        <f aca="false">AQ35+AQ36+AQ37+AQ39+AQ42+AQ46</f>
        <v>-0</v>
      </c>
      <c r="AR47" s="54" t="n">
        <f aca="false">AR35+AR36+AR37+AR39+AR42+AR46</f>
        <v>-0</v>
      </c>
      <c r="AS47" s="54" t="n">
        <f aca="false">AS35+AS36+AS37+AS39+AS42+AS46</f>
        <v>-0</v>
      </c>
      <c r="AT47" s="54" t="n">
        <f aca="false">AT35+AT36+AT37+AT39+AT42+AT46</f>
        <v>-0</v>
      </c>
      <c r="AU47" s="54" t="n">
        <f aca="false">AU35+AU36+AU37+AU39+AU42+AU46</f>
        <v>-0</v>
      </c>
      <c r="AV47" s="54" t="n">
        <f aca="false">AV35+AV36+AV37+AV39+AV42+AV46</f>
        <v>-0</v>
      </c>
      <c r="AW47" s="54" t="n">
        <f aca="false">AW35+AW36+AW37+AW39+AW42+AW46</f>
        <v>-0</v>
      </c>
      <c r="AX47" s="54" t="n">
        <f aca="false">AX35+AX36+AX37+AX39+AX42+AX46</f>
        <v>-0</v>
      </c>
      <c r="AY47" s="54" t="n">
        <f aca="false">AY35+AY36+AY37+AY39+AY42+AY46</f>
        <v>-0</v>
      </c>
      <c r="AZ47" s="54" t="n">
        <f aca="false">AZ35+AZ36+AZ37+AZ39+AZ42+AZ46</f>
        <v>-0</v>
      </c>
      <c r="BA47" s="54" t="n">
        <f aca="false">BA35+BA36+BA37+BA39+BA42+BA46</f>
        <v>-0</v>
      </c>
      <c r="BB47" s="54" t="n">
        <f aca="false">BB35+BB36+BB37+BB39+BB42+BB46</f>
        <v>-0</v>
      </c>
      <c r="BC47" s="54" t="n">
        <f aca="false">BC35+BC36+BC37+BC39+BC42+BC46</f>
        <v>-0</v>
      </c>
      <c r="BD47" s="54" t="n">
        <f aca="false">BD35+BD36+BD37+BD39+BD42+BD46</f>
        <v>-0</v>
      </c>
      <c r="BE47" s="54" t="n">
        <f aca="false">BE35+BE36+BE37+BE39+BE42+BE46</f>
        <v>-0</v>
      </c>
      <c r="BF47" s="54" t="n">
        <f aca="false">BF35+BF36+BF37+BF39+BF42+BF46</f>
        <v>-0</v>
      </c>
      <c r="BG47" s="54" t="n">
        <f aca="false">BG35+BG36+BG37+BG39+BG42+BG46</f>
        <v>-0</v>
      </c>
      <c r="BH47" s="54" t="n">
        <f aca="false">BH35+BH36+BH37+BH39+BH42+BH46</f>
        <v>-0</v>
      </c>
      <c r="BI47" s="54" t="n">
        <f aca="false">BI35+BI36+BI37+BI39+BI42+BI46</f>
        <v>-0</v>
      </c>
      <c r="BJ47" s="54" t="n">
        <f aca="false">BJ35+BJ36+BJ37+BJ39+BJ42+BJ46</f>
        <v>-0</v>
      </c>
      <c r="BK47" s="54" t="n">
        <f aca="false">BK35+BK36+BK37+BK39+BK42+BK46</f>
        <v>-0</v>
      </c>
      <c r="BL47" s="54" t="n">
        <f aca="false">BL35+BL36+BL37+BL39+BL42+BL46</f>
        <v>-0</v>
      </c>
      <c r="BM47" s="54" t="n">
        <f aca="false">BM35+BM36+BM37+BM39+BM42+BM46</f>
        <v>-0</v>
      </c>
      <c r="BN47" s="54" t="n">
        <f aca="false">BN35+BN36+BN37+BN39+BN42+BN46</f>
        <v>-0</v>
      </c>
      <c r="BO47" s="54" t="n">
        <f aca="false">BO35+BO36+BO37+BO39+BO42+BO46</f>
        <v>-0</v>
      </c>
      <c r="BP47" s="54" t="n">
        <f aca="false">BP35+BP36+BP37+BP39+BP42+BP46</f>
        <v>-0</v>
      </c>
      <c r="BQ47" s="54" t="n">
        <f aca="false">BQ35+BQ36+BQ37+BQ39+BQ42+BQ46</f>
        <v>-0</v>
      </c>
      <c r="BR47" s="54" t="n">
        <f aca="false">BR35+BR36+BR37+BR39+BR42+BR46</f>
        <v>-0</v>
      </c>
      <c r="BS47" s="54" t="n">
        <f aca="false">BS35+BS36+BS37+BS39+BS42+BS46</f>
        <v>-0</v>
      </c>
      <c r="BT47" s="54" t="n">
        <f aca="false">BT35+BT36+BT37+BT39+BT42+BT46</f>
        <v>-0</v>
      </c>
      <c r="BU47" s="54" t="n">
        <f aca="false">BU35+BU36+BU37+BU39+BU42+BU46</f>
        <v>-0</v>
      </c>
      <c r="BV47" s="54" t="n">
        <f aca="false">BV35+BV36+BV37+BV39+BV42+BV46</f>
        <v>-0</v>
      </c>
      <c r="BW47" s="54" t="n">
        <f aca="false">BW35+BW36+BW37+BW39+BW42+BW46</f>
        <v>-0</v>
      </c>
      <c r="BX47" s="54" t="n">
        <f aca="false">BX35+BX36+BX37+BX39+BX42+BX46</f>
        <v>-0</v>
      </c>
      <c r="BY47" s="54" t="n">
        <f aca="false">BY35+BY36+BY37+BY39+BY42+BY46</f>
        <v>-0</v>
      </c>
      <c r="BZ47" s="54" t="n">
        <f aca="false">BZ35+BZ36+BZ37+BZ39+BZ42+BZ46</f>
        <v>-0</v>
      </c>
      <c r="CA47" s="54" t="n">
        <f aca="false">CA35+CA36+CA37+CA39+CA42+CA46</f>
        <v>-0</v>
      </c>
      <c r="CB47" s="54" t="n">
        <f aca="false">CB35+CB36+CB37+CB39+CB42+CB46</f>
        <v>-0</v>
      </c>
      <c r="CC47" s="54" t="n">
        <f aca="false">CC35+CC36+CC37+CC39+CC42+CC46</f>
        <v>-0</v>
      </c>
      <c r="CD47" s="54" t="n">
        <f aca="false">CD35+CD36+CD37+CD39+CD42+CD46</f>
        <v>-0</v>
      </c>
      <c r="CE47" s="54" t="n">
        <f aca="false">CE35+CE36+CE37+CE39+CE42+CE46</f>
        <v>-0</v>
      </c>
      <c r="CF47" s="54" t="n">
        <f aca="false">CF35+CF36+CF37+CF39+CF42+CF46</f>
        <v>-0</v>
      </c>
      <c r="CG47" s="54" t="n">
        <f aca="false">CG35+CG36+CG37+CG39+CG42+CG46</f>
        <v>-0</v>
      </c>
      <c r="CH47" s="54" t="n">
        <f aca="false">CH35+CH36+CH37+CH39+CH42+CH46</f>
        <v>-0</v>
      </c>
      <c r="CI47" s="54" t="n">
        <f aca="false">CI35+CI36+CI37+CI39+CI42+CI46</f>
        <v>-0</v>
      </c>
      <c r="CJ47" s="54" t="n">
        <f aca="false">CJ35+CJ36+CJ37+CJ39+CJ42+CJ46</f>
        <v>-0</v>
      </c>
      <c r="CK47" s="54" t="n">
        <f aca="false">CK35+CK36+CK37+CK39+CK42+CK46</f>
        <v>-0</v>
      </c>
      <c r="CL47" s="54" t="n">
        <f aca="false">CL35+CL36+CL37+CL39+CL42+CL46</f>
        <v>-0</v>
      </c>
      <c r="CM47" s="54" t="n">
        <f aca="false">CM35+CM36+CM37+CM39+CM42+CM46</f>
        <v>-0</v>
      </c>
      <c r="CN47" s="54" t="n">
        <f aca="false">CN35+CN36+CN37+CN39+CN42+CN46</f>
        <v>-0</v>
      </c>
      <c r="CO47" s="54" t="n">
        <f aca="false">CO35+CO36+CO37+CO39+CO42+CO46</f>
        <v>-0</v>
      </c>
      <c r="CP47" s="54" t="n">
        <f aca="false">CP35+CP36+CP37+CP39+CP42+CP46</f>
        <v>-0</v>
      </c>
      <c r="CQ47" s="54" t="n">
        <f aca="false">CQ35+CQ36+CQ37+CQ39+CQ42+CQ46</f>
        <v>-0</v>
      </c>
      <c r="CR47" s="54" t="n">
        <f aca="false">CR35+CR36+CR37+CR39+CR42+CR46</f>
        <v>-0</v>
      </c>
      <c r="CS47" s="54" t="n">
        <f aca="false">CS35+CS36+CS37+CS39+CS42+CS46</f>
        <v>-0</v>
      </c>
      <c r="CT47" s="54" t="n">
        <f aca="false">CT35+CT36+CT37+CT39+CT42+CT46</f>
        <v>-0</v>
      </c>
      <c r="CU47" s="54" t="n">
        <f aca="false">CU35+CU36+CU37+CU39+CU42+CU46</f>
        <v>-0</v>
      </c>
      <c r="CV47" s="54" t="n">
        <f aca="false">CV35+CV36+CV37+CV39+CV42+CV46</f>
        <v>-0</v>
      </c>
      <c r="CW47" s="54" t="n">
        <f aca="false">CW35+CW36+CW37+CW39+CW42+CW46</f>
        <v>-0</v>
      </c>
      <c r="CX47" s="54" t="n">
        <f aca="false">CX35+CX36+CX37+CX39+CX42+CX46</f>
        <v>-0</v>
      </c>
      <c r="CY47" s="54" t="n">
        <f aca="false">CY35+CY36+CY37+CY39+CY42+CY46</f>
        <v>-0</v>
      </c>
      <c r="CZ47" s="54" t="n">
        <f aca="false">CZ35+CZ36+CZ37+CZ39+CZ42+CZ46</f>
        <v>-0</v>
      </c>
      <c r="DA47" s="54" t="n">
        <f aca="false">DA35+DA36+DA37+DA39+DA42+DA46</f>
        <v>-0</v>
      </c>
      <c r="DB47" s="54" t="n">
        <f aca="false">DB35+DB36+DB37+DB39+DB42+DB46</f>
        <v>-0</v>
      </c>
      <c r="DC47" s="54" t="n">
        <f aca="false">DC35+DC36+DC37+DC39+DC42+DC46</f>
        <v>-0</v>
      </c>
      <c r="DD47" s="54" t="n">
        <f aca="false">DD35+DD36+DD37+DD39+DD42+DD46</f>
        <v>-0</v>
      </c>
      <c r="DE47" s="54" t="n">
        <f aca="false">DE35+DE36+DE37+DE39+DE42+DE46</f>
        <v>-0</v>
      </c>
      <c r="DF47" s="54" t="n">
        <f aca="false">DF35+DF36+DF37+DF39+DF42+DF46</f>
        <v>-0</v>
      </c>
      <c r="DG47" s="54" t="n">
        <f aca="false">DG35+DG36+DG37+DG39+DG42+DG46</f>
        <v>-0</v>
      </c>
      <c r="DH47" s="54" t="n">
        <f aca="false">DH35+DH36+DH37+DH39+DH42+DH46</f>
        <v>-0</v>
      </c>
      <c r="DI47" s="54" t="n">
        <f aca="false">DI35+DI36+DI37+DI39+DI42+DI46</f>
        <v>-0</v>
      </c>
      <c r="DJ47" s="54" t="n">
        <f aca="false">DJ35+DJ36+DJ37+DJ39+DJ42+DJ46</f>
        <v>-0</v>
      </c>
      <c r="DK47" s="54" t="n">
        <f aca="false">DK35+DK36+DK37+DK39+DK42+DK46</f>
        <v>-0</v>
      </c>
      <c r="DL47" s="54" t="n">
        <f aca="false">DL35+DL36+DL37+DL39+DL42+DL46</f>
        <v>-0</v>
      </c>
      <c r="DM47" s="54" t="n">
        <f aca="false">DM35+DM36+DM37+DM39+DM42+DM46</f>
        <v>-0</v>
      </c>
      <c r="DN47" s="54" t="n">
        <f aca="false">DN35+DN36+DN37+DN39+DN42+DN46</f>
        <v>-0</v>
      </c>
      <c r="DO47" s="54" t="n">
        <f aca="false">DO35+DO36+DO37+DO39+DO42+DO46</f>
        <v>-0</v>
      </c>
      <c r="DP47" s="54" t="n">
        <f aca="false">DP35+DP36+DP37+DP39+DP42+DP46</f>
        <v>-0</v>
      </c>
      <c r="DQ47" s="54" t="n">
        <f aca="false">DQ35+DQ36+DQ37+DQ39+DQ42+DQ46</f>
        <v>-0</v>
      </c>
      <c r="DR47" s="54" t="n">
        <f aca="false">DR35+DR36+DR37+DR39+DR42+DR46</f>
        <v>-0</v>
      </c>
      <c r="DS47" s="54" t="n">
        <f aca="false">DS35+DS36+DS37+DS39+DS42+DS46</f>
        <v>-0</v>
      </c>
      <c r="DT47" s="54" t="n">
        <f aca="false">DT35+DT36+DT37+DT39+DT42+DT46</f>
        <v>-0</v>
      </c>
      <c r="DU47" s="54" t="n">
        <f aca="false">DU35+DU36+DU37+DU39+DU42+DU46</f>
        <v>-0</v>
      </c>
      <c r="DV47" s="54" t="n">
        <f aca="false">DV35+DV36+DV37+DV39+DV42+DV46</f>
        <v>-0</v>
      </c>
      <c r="DW47" s="54" t="n">
        <f aca="false">DW35+DW36+DW37+DW39+DW42+DW46</f>
        <v>-0</v>
      </c>
      <c r="DX47" s="54" t="n">
        <f aca="false">DX35+DX36+DX37+DX39+DX42+DX46</f>
        <v>-0</v>
      </c>
      <c r="DY47" s="54" t="n">
        <f aca="false">DY35+DY36+DY37+DY39+DY42+DY46</f>
        <v>-0</v>
      </c>
      <c r="DZ47" s="54" t="n">
        <f aca="false">DZ35+DZ36+DZ37+DZ39+DZ42+DZ46</f>
        <v>-0</v>
      </c>
      <c r="EA47" s="54" t="n">
        <f aca="false">EA35+EA36+EA37+EA39+EA42+EA46</f>
        <v>-0</v>
      </c>
      <c r="EB47" s="54" t="n">
        <f aca="false">EB35+EB36+EB37+EB39+EB42+EB46</f>
        <v>-0</v>
      </c>
      <c r="EC47" s="54" t="n">
        <f aca="false">EC35+EC36+EC37+EC39+EC42+EC46</f>
        <v>-0</v>
      </c>
      <c r="ED47" s="54" t="n">
        <f aca="false">ED35+ED36+ED37+ED39+ED42+ED46</f>
        <v>-0</v>
      </c>
      <c r="EE47" s="54" t="n">
        <f aca="false">EE35+EE36+EE37+EE39+EE42+EE46</f>
        <v>-0</v>
      </c>
      <c r="EF47" s="54" t="n">
        <f aca="false">EF35+EF36+EF37+EF39+EF42+EF46</f>
        <v>-0</v>
      </c>
      <c r="EG47" s="54" t="n">
        <f aca="false">EG35+EG36+EG37+EG39+EG42+EG46</f>
        <v>-0</v>
      </c>
      <c r="EH47" s="54" t="n">
        <f aca="false">EH35+EH36+EH37+EH39+EH42+EH46</f>
        <v>-0</v>
      </c>
      <c r="EI47" s="54" t="n">
        <f aca="false">EI35+EI36+EI37+EI39+EI42+EI46</f>
        <v>-0</v>
      </c>
      <c r="EJ47" s="54" t="n">
        <f aca="false">EJ35+EJ36+EJ37+EJ39+EJ42+EJ46</f>
        <v>-0</v>
      </c>
      <c r="EK47" s="54" t="n">
        <f aca="false">EK35+EK36+EK37+EK39+EK42+EK46</f>
        <v>-0</v>
      </c>
      <c r="EL47" s="54" t="n">
        <f aca="false">EL35+EL36+EL37+EL39+EL42+EL46</f>
        <v>-0</v>
      </c>
      <c r="EM47" s="54" t="n">
        <f aca="false">EM35+EM36+EM37+EM39+EM42+EM46</f>
        <v>-0</v>
      </c>
      <c r="EN47" s="54" t="n">
        <f aca="false">EN35+EN36+EN37+EN39+EN42+EN46</f>
        <v>-0</v>
      </c>
      <c r="EO47" s="54" t="n">
        <f aca="false">EO35+EO36+EO37+EO39+EO42+EO46</f>
        <v>-0</v>
      </c>
    </row>
    <row r="49" customFormat="false" ht="15" hidden="false" customHeight="false" outlineLevel="0" collapsed="false">
      <c r="A49" s="9" t="s">
        <v>13</v>
      </c>
      <c r="B49" s="9"/>
      <c r="C49" s="9" t="s">
        <v>361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</row>
    <row r="50" customFormat="false" ht="15" hidden="false" customHeight="false" outlineLevel="0" collapsed="false">
      <c r="C50" s="0" t="s">
        <v>362</v>
      </c>
      <c r="D50" s="11" t="s">
        <v>19</v>
      </c>
      <c r="E50" s="43" t="n">
        <f aca="false">IF($E29=1,In_Turbine,In_Turbine_CN)</f>
        <v>500</v>
      </c>
    </row>
    <row r="51" customFormat="false" ht="15" hidden="false" customHeight="false" outlineLevel="0" collapsed="false">
      <c r="C51" s="0" t="s">
        <v>363</v>
      </c>
      <c r="D51" s="11" t="s">
        <v>33</v>
      </c>
      <c r="E51" s="43" t="n">
        <f aca="false">IF($E29=1,In_Substation,In_Substation_CN)</f>
        <v>10800</v>
      </c>
    </row>
    <row r="52" customFormat="false" ht="15" hidden="false" customHeight="false" outlineLevel="0" collapsed="false">
      <c r="C52" s="0" t="s">
        <v>364</v>
      </c>
      <c r="D52" s="11" t="s">
        <v>33</v>
      </c>
      <c r="E52" s="43" t="n">
        <f aca="false">(($E50+In_Other_Wind)*In_Wind_MW+$E51)*(1+In_Capex_Contingency)</f>
        <v>56227.5</v>
      </c>
      <c r="I52" s="43" t="n">
        <f aca="false">SUM(J52:EO52)</f>
        <v>-56227.5</v>
      </c>
      <c r="J52" s="43" t="n">
        <f aca="false">-$E52*J12</f>
        <v>-0</v>
      </c>
      <c r="K52" s="43" t="n">
        <f aca="false">-$E52*K12</f>
        <v>-0</v>
      </c>
      <c r="L52" s="43" t="n">
        <f aca="false">-$E52*L12</f>
        <v>-0</v>
      </c>
      <c r="M52" s="43" t="n">
        <f aca="false">-$E52*M12</f>
        <v>-0</v>
      </c>
      <c r="N52" s="43" t="n">
        <f aca="false">-$E52*N12</f>
        <v>-0</v>
      </c>
      <c r="O52" s="43" t="n">
        <f aca="false">-$E52*O12</f>
        <v>-0</v>
      </c>
      <c r="P52" s="43" t="n">
        <f aca="false">-$E52*P12</f>
        <v>-0</v>
      </c>
      <c r="Q52" s="43" t="n">
        <f aca="false">-$E52*Q12</f>
        <v>-0</v>
      </c>
      <c r="R52" s="43" t="n">
        <f aca="false">-$E52*R12</f>
        <v>-7086.20547945206</v>
      </c>
      <c r="S52" s="43" t="n">
        <f aca="false">-$E52*S12</f>
        <v>-6932.15753424658</v>
      </c>
      <c r="T52" s="43" t="n">
        <f aca="false">-$E52*T12</f>
        <v>-7009.18150684932</v>
      </c>
      <c r="U52" s="43" t="n">
        <f aca="false">-$E52*U12</f>
        <v>-7086.20547945206</v>
      </c>
      <c r="V52" s="43" t="n">
        <f aca="false">-$E52*V12</f>
        <v>-7086.20547945206</v>
      </c>
      <c r="W52" s="43" t="n">
        <f aca="false">-$E52*W12</f>
        <v>-6932.15753424658</v>
      </c>
      <c r="X52" s="43" t="n">
        <f aca="false">-$E52*X12</f>
        <v>-7009.18150684932</v>
      </c>
      <c r="Y52" s="43" t="n">
        <f aca="false">-$E52*Y12</f>
        <v>-7086.20547945206</v>
      </c>
      <c r="Z52" s="43" t="n">
        <f aca="false">-$E52*Z12</f>
        <v>-0</v>
      </c>
      <c r="AA52" s="43" t="n">
        <f aca="false">-$E52*AA12</f>
        <v>-0</v>
      </c>
      <c r="AB52" s="43" t="n">
        <f aca="false">-$E52*AB12</f>
        <v>-0</v>
      </c>
      <c r="AC52" s="43" t="n">
        <f aca="false">-$E52*AC12</f>
        <v>-0</v>
      </c>
      <c r="AD52" s="43" t="n">
        <f aca="false">-$E52*AD12</f>
        <v>-0</v>
      </c>
      <c r="AE52" s="43" t="n">
        <f aca="false">-$E52*AE12</f>
        <v>-0</v>
      </c>
      <c r="AF52" s="43" t="n">
        <f aca="false">-$E52*AF12</f>
        <v>-0</v>
      </c>
      <c r="AG52" s="43" t="n">
        <f aca="false">-$E52*AG12</f>
        <v>-0</v>
      </c>
      <c r="AH52" s="43" t="n">
        <f aca="false">-$E52*AH12</f>
        <v>-0</v>
      </c>
      <c r="AI52" s="43" t="n">
        <f aca="false">-$E52*AI12</f>
        <v>-0</v>
      </c>
      <c r="AJ52" s="43" t="n">
        <f aca="false">-$E52*AJ12</f>
        <v>-0</v>
      </c>
      <c r="AK52" s="43" t="n">
        <f aca="false">-$E52*AK12</f>
        <v>-0</v>
      </c>
      <c r="AL52" s="43" t="n">
        <f aca="false">-$E52*AL12</f>
        <v>-0</v>
      </c>
      <c r="AM52" s="43" t="n">
        <f aca="false">-$E52*AM12</f>
        <v>-0</v>
      </c>
      <c r="AN52" s="43" t="n">
        <f aca="false">-$E52*AN12</f>
        <v>-0</v>
      </c>
      <c r="AO52" s="43" t="n">
        <f aca="false">-$E52*AO12</f>
        <v>-0</v>
      </c>
      <c r="AP52" s="43" t="n">
        <f aca="false">-$E52*AP12</f>
        <v>-0</v>
      </c>
      <c r="AQ52" s="43" t="n">
        <f aca="false">-$E52*AQ12</f>
        <v>-0</v>
      </c>
      <c r="AR52" s="43" t="n">
        <f aca="false">-$E52*AR12</f>
        <v>-0</v>
      </c>
      <c r="AS52" s="43" t="n">
        <f aca="false">-$E52*AS12</f>
        <v>-0</v>
      </c>
      <c r="AT52" s="43" t="n">
        <f aca="false">-$E52*AT12</f>
        <v>-0</v>
      </c>
      <c r="AU52" s="43" t="n">
        <f aca="false">-$E52*AU12</f>
        <v>-0</v>
      </c>
      <c r="AV52" s="43" t="n">
        <f aca="false">-$E52*AV12</f>
        <v>-0</v>
      </c>
      <c r="AW52" s="43" t="n">
        <f aca="false">-$E52*AW12</f>
        <v>-0</v>
      </c>
      <c r="AX52" s="43" t="n">
        <f aca="false">-$E52*AX12</f>
        <v>-0</v>
      </c>
      <c r="AY52" s="43" t="n">
        <f aca="false">-$E52*AY12</f>
        <v>-0</v>
      </c>
      <c r="AZ52" s="43" t="n">
        <f aca="false">-$E52*AZ12</f>
        <v>-0</v>
      </c>
      <c r="BA52" s="43" t="n">
        <f aca="false">-$E52*BA12</f>
        <v>-0</v>
      </c>
      <c r="BB52" s="43" t="n">
        <f aca="false">-$E52*BB12</f>
        <v>-0</v>
      </c>
      <c r="BC52" s="43" t="n">
        <f aca="false">-$E52*BC12</f>
        <v>-0</v>
      </c>
      <c r="BD52" s="43" t="n">
        <f aca="false">-$E52*BD12</f>
        <v>-0</v>
      </c>
      <c r="BE52" s="43" t="n">
        <f aca="false">-$E52*BE12</f>
        <v>-0</v>
      </c>
      <c r="BF52" s="43" t="n">
        <f aca="false">-$E52*BF12</f>
        <v>-0</v>
      </c>
      <c r="BG52" s="43" t="n">
        <f aca="false">-$E52*BG12</f>
        <v>-0</v>
      </c>
      <c r="BH52" s="43" t="n">
        <f aca="false">-$E52*BH12</f>
        <v>-0</v>
      </c>
      <c r="BI52" s="43" t="n">
        <f aca="false">-$E52*BI12</f>
        <v>-0</v>
      </c>
      <c r="BJ52" s="43" t="n">
        <f aca="false">-$E52*BJ12</f>
        <v>-0</v>
      </c>
      <c r="BK52" s="43" t="n">
        <f aca="false">-$E52*BK12</f>
        <v>-0</v>
      </c>
      <c r="BL52" s="43" t="n">
        <f aca="false">-$E52*BL12</f>
        <v>-0</v>
      </c>
      <c r="BM52" s="43" t="n">
        <f aca="false">-$E52*BM12</f>
        <v>-0</v>
      </c>
      <c r="BN52" s="43" t="n">
        <f aca="false">-$E52*BN12</f>
        <v>-0</v>
      </c>
      <c r="BO52" s="43" t="n">
        <f aca="false">-$E52*BO12</f>
        <v>-0</v>
      </c>
      <c r="BP52" s="43" t="n">
        <f aca="false">-$E52*BP12</f>
        <v>-0</v>
      </c>
      <c r="BQ52" s="43" t="n">
        <f aca="false">-$E52*BQ12</f>
        <v>-0</v>
      </c>
      <c r="BR52" s="43" t="n">
        <f aca="false">-$E52*BR12</f>
        <v>-0</v>
      </c>
      <c r="BS52" s="43" t="n">
        <f aca="false">-$E52*BS12</f>
        <v>-0</v>
      </c>
      <c r="BT52" s="43" t="n">
        <f aca="false">-$E52*BT12</f>
        <v>-0</v>
      </c>
      <c r="BU52" s="43" t="n">
        <f aca="false">-$E52*BU12</f>
        <v>-0</v>
      </c>
      <c r="BV52" s="43" t="n">
        <f aca="false">-$E52*BV12</f>
        <v>-0</v>
      </c>
      <c r="BW52" s="43" t="n">
        <f aca="false">-$E52*BW12</f>
        <v>-0</v>
      </c>
      <c r="BX52" s="43" t="n">
        <f aca="false">-$E52*BX12</f>
        <v>-0</v>
      </c>
      <c r="BY52" s="43" t="n">
        <f aca="false">-$E52*BY12</f>
        <v>-0</v>
      </c>
      <c r="BZ52" s="43" t="n">
        <f aca="false">-$E52*BZ12</f>
        <v>-0</v>
      </c>
      <c r="CA52" s="43" t="n">
        <f aca="false">-$E52*CA12</f>
        <v>-0</v>
      </c>
      <c r="CB52" s="43" t="n">
        <f aca="false">-$E52*CB12</f>
        <v>-0</v>
      </c>
      <c r="CC52" s="43" t="n">
        <f aca="false">-$E52*CC12</f>
        <v>-0</v>
      </c>
      <c r="CD52" s="43" t="n">
        <f aca="false">-$E52*CD12</f>
        <v>-0</v>
      </c>
      <c r="CE52" s="43" t="n">
        <f aca="false">-$E52*CE12</f>
        <v>-0</v>
      </c>
      <c r="CF52" s="43" t="n">
        <f aca="false">-$E52*CF12</f>
        <v>-0</v>
      </c>
      <c r="CG52" s="43" t="n">
        <f aca="false">-$E52*CG12</f>
        <v>-0</v>
      </c>
      <c r="CH52" s="43" t="n">
        <f aca="false">-$E52*CH12</f>
        <v>-0</v>
      </c>
      <c r="CI52" s="43" t="n">
        <f aca="false">-$E52*CI12</f>
        <v>-0</v>
      </c>
      <c r="CJ52" s="43" t="n">
        <f aca="false">-$E52*CJ12</f>
        <v>-0</v>
      </c>
      <c r="CK52" s="43" t="n">
        <f aca="false">-$E52*CK12</f>
        <v>-0</v>
      </c>
      <c r="CL52" s="43" t="n">
        <f aca="false">-$E52*CL12</f>
        <v>-0</v>
      </c>
      <c r="CM52" s="43" t="n">
        <f aca="false">-$E52*CM12</f>
        <v>-0</v>
      </c>
      <c r="CN52" s="43" t="n">
        <f aca="false">-$E52*CN12</f>
        <v>-0</v>
      </c>
      <c r="CO52" s="43" t="n">
        <f aca="false">-$E52*CO12</f>
        <v>-0</v>
      </c>
      <c r="CP52" s="43" t="n">
        <f aca="false">-$E52*CP12</f>
        <v>-0</v>
      </c>
      <c r="CQ52" s="43" t="n">
        <f aca="false">-$E52*CQ12</f>
        <v>-0</v>
      </c>
      <c r="CR52" s="43" t="n">
        <f aca="false">-$E52*CR12</f>
        <v>-0</v>
      </c>
      <c r="CS52" s="43" t="n">
        <f aca="false">-$E52*CS12</f>
        <v>-0</v>
      </c>
      <c r="CT52" s="43" t="n">
        <f aca="false">-$E52*CT12</f>
        <v>-0</v>
      </c>
      <c r="CU52" s="43" t="n">
        <f aca="false">-$E52*CU12</f>
        <v>-0</v>
      </c>
      <c r="CV52" s="43" t="n">
        <f aca="false">-$E52*CV12</f>
        <v>-0</v>
      </c>
      <c r="CW52" s="43" t="n">
        <f aca="false">-$E52*CW12</f>
        <v>-0</v>
      </c>
      <c r="CX52" s="43" t="n">
        <f aca="false">-$E52*CX12</f>
        <v>-0</v>
      </c>
      <c r="CY52" s="43" t="n">
        <f aca="false">-$E52*CY12</f>
        <v>-0</v>
      </c>
      <c r="CZ52" s="43" t="n">
        <f aca="false">-$E52*CZ12</f>
        <v>-0</v>
      </c>
      <c r="DA52" s="43" t="n">
        <f aca="false">-$E52*DA12</f>
        <v>-0</v>
      </c>
      <c r="DB52" s="43" t="n">
        <f aca="false">-$E52*DB12</f>
        <v>-0</v>
      </c>
      <c r="DC52" s="43" t="n">
        <f aca="false">-$E52*DC12</f>
        <v>-0</v>
      </c>
      <c r="DD52" s="43" t="n">
        <f aca="false">-$E52*DD12</f>
        <v>-0</v>
      </c>
      <c r="DE52" s="43" t="n">
        <f aca="false">-$E52*DE12</f>
        <v>-0</v>
      </c>
      <c r="DF52" s="43" t="n">
        <f aca="false">-$E52*DF12</f>
        <v>-0</v>
      </c>
      <c r="DG52" s="43" t="n">
        <f aca="false">-$E52*DG12</f>
        <v>-0</v>
      </c>
      <c r="DH52" s="43" t="n">
        <f aca="false">-$E52*DH12</f>
        <v>-0</v>
      </c>
      <c r="DI52" s="43" t="n">
        <f aca="false">-$E52*DI12</f>
        <v>-0</v>
      </c>
      <c r="DJ52" s="43" t="n">
        <f aca="false">-$E52*DJ12</f>
        <v>-0</v>
      </c>
      <c r="DK52" s="43" t="n">
        <f aca="false">-$E52*DK12</f>
        <v>-0</v>
      </c>
      <c r="DL52" s="43" t="n">
        <f aca="false">-$E52*DL12</f>
        <v>-0</v>
      </c>
      <c r="DM52" s="43" t="n">
        <f aca="false">-$E52*DM12</f>
        <v>-0</v>
      </c>
      <c r="DN52" s="43" t="n">
        <f aca="false">-$E52*DN12</f>
        <v>-0</v>
      </c>
      <c r="DO52" s="43" t="n">
        <f aca="false">-$E52*DO12</f>
        <v>-0</v>
      </c>
      <c r="DP52" s="43" t="n">
        <f aca="false">-$E52*DP12</f>
        <v>-0</v>
      </c>
      <c r="DQ52" s="43" t="n">
        <f aca="false">-$E52*DQ12</f>
        <v>-0</v>
      </c>
      <c r="DR52" s="43" t="n">
        <f aca="false">-$E52*DR12</f>
        <v>-0</v>
      </c>
      <c r="DS52" s="43" t="n">
        <f aca="false">-$E52*DS12</f>
        <v>-0</v>
      </c>
      <c r="DT52" s="43" t="n">
        <f aca="false">-$E52*DT12</f>
        <v>-0</v>
      </c>
      <c r="DU52" s="43" t="n">
        <f aca="false">-$E52*DU12</f>
        <v>-0</v>
      </c>
      <c r="DV52" s="43" t="n">
        <f aca="false">-$E52*DV12</f>
        <v>-0</v>
      </c>
      <c r="DW52" s="43" t="n">
        <f aca="false">-$E52*DW12</f>
        <v>-0</v>
      </c>
      <c r="DX52" s="43" t="n">
        <f aca="false">-$E52*DX12</f>
        <v>-0</v>
      </c>
      <c r="DY52" s="43" t="n">
        <f aca="false">-$E52*DY12</f>
        <v>-0</v>
      </c>
      <c r="DZ52" s="43" t="n">
        <f aca="false">-$E52*DZ12</f>
        <v>-0</v>
      </c>
      <c r="EA52" s="43" t="n">
        <f aca="false">-$E52*EA12</f>
        <v>-0</v>
      </c>
      <c r="EB52" s="43" t="n">
        <f aca="false">-$E52*EB12</f>
        <v>-0</v>
      </c>
      <c r="EC52" s="43" t="n">
        <f aca="false">-$E52*EC12</f>
        <v>-0</v>
      </c>
      <c r="ED52" s="43" t="n">
        <f aca="false">-$E52*ED12</f>
        <v>-0</v>
      </c>
      <c r="EE52" s="43" t="n">
        <f aca="false">-$E52*EE12</f>
        <v>-0</v>
      </c>
      <c r="EF52" s="43" t="n">
        <f aca="false">-$E52*EF12</f>
        <v>-0</v>
      </c>
      <c r="EG52" s="43" t="n">
        <f aca="false">-$E52*EG12</f>
        <v>-0</v>
      </c>
      <c r="EH52" s="43" t="n">
        <f aca="false">-$E52*EH12</f>
        <v>-0</v>
      </c>
      <c r="EI52" s="43" t="n">
        <f aca="false">-$E52*EI12</f>
        <v>-0</v>
      </c>
      <c r="EJ52" s="43" t="n">
        <f aca="false">-$E52*EJ12</f>
        <v>-0</v>
      </c>
      <c r="EK52" s="43" t="n">
        <f aca="false">-$E52*EK12</f>
        <v>-0</v>
      </c>
      <c r="EL52" s="43" t="n">
        <f aca="false">-$E52*EL12</f>
        <v>-0</v>
      </c>
      <c r="EM52" s="43" t="n">
        <f aca="false">-$E52*EM12</f>
        <v>-0</v>
      </c>
      <c r="EN52" s="43" t="n">
        <f aca="false">-$E52*EN12</f>
        <v>-0</v>
      </c>
      <c r="EO52" s="43" t="n">
        <f aca="false">-$E52*EO12</f>
        <v>-0</v>
      </c>
    </row>
    <row r="53" customFormat="false" ht="15" hidden="false" customHeight="false" outlineLevel="0" collapsed="false">
      <c r="C53" s="0" t="s">
        <v>365</v>
      </c>
      <c r="D53" s="11" t="s">
        <v>33</v>
      </c>
      <c r="E53" s="43" t="n">
        <f aca="false">$E24*In_MVA</f>
        <v>1750</v>
      </c>
      <c r="I53" s="43" t="n">
        <f aca="false">SUM(J53:EO53)</f>
        <v>-1750</v>
      </c>
      <c r="J53" s="43" t="n">
        <f aca="false">-$E53*J14</f>
        <v>-0</v>
      </c>
      <c r="K53" s="43" t="n">
        <f aca="false">-$E53*K14</f>
        <v>-0</v>
      </c>
      <c r="L53" s="43" t="n">
        <f aca="false">-$E53*L14</f>
        <v>-0</v>
      </c>
      <c r="M53" s="43" t="n">
        <f aca="false">-$E53*M14</f>
        <v>-0</v>
      </c>
      <c r="N53" s="43" t="n">
        <f aca="false">-$E53*N14</f>
        <v>-0</v>
      </c>
      <c r="O53" s="43" t="n">
        <f aca="false">-$E53*O14</f>
        <v>-0</v>
      </c>
      <c r="P53" s="43" t="n">
        <f aca="false">-$E53*P14</f>
        <v>-0</v>
      </c>
      <c r="Q53" s="43" t="n">
        <f aca="false">-$E53*Q14</f>
        <v>-0</v>
      </c>
      <c r="R53" s="43" t="n">
        <f aca="false">-$E53*R14</f>
        <v>-0</v>
      </c>
      <c r="S53" s="43" t="n">
        <f aca="false">-$E53*S14</f>
        <v>-0</v>
      </c>
      <c r="T53" s="43" t="n">
        <f aca="false">-$E53*T14</f>
        <v>-0</v>
      </c>
      <c r="U53" s="43" t="n">
        <f aca="false">-$E53*U14</f>
        <v>-0</v>
      </c>
      <c r="V53" s="43" t="n">
        <f aca="false">-$E53*V14</f>
        <v>-0</v>
      </c>
      <c r="W53" s="43" t="n">
        <f aca="false">-$E53*W14</f>
        <v>-0</v>
      </c>
      <c r="X53" s="43" t="n">
        <f aca="false">-$E53*X14</f>
        <v>-0</v>
      </c>
      <c r="Y53" s="43" t="n">
        <f aca="false">-$E53*Y14</f>
        <v>-1750</v>
      </c>
      <c r="Z53" s="43" t="n">
        <f aca="false">-$E53*Z14</f>
        <v>-0</v>
      </c>
      <c r="AA53" s="43" t="n">
        <f aca="false">-$E53*AA14</f>
        <v>-0</v>
      </c>
      <c r="AB53" s="43" t="n">
        <f aca="false">-$E53*AB14</f>
        <v>-0</v>
      </c>
      <c r="AC53" s="43" t="n">
        <f aca="false">-$E53*AC14</f>
        <v>-0</v>
      </c>
      <c r="AD53" s="43" t="n">
        <f aca="false">-$E53*AD14</f>
        <v>-0</v>
      </c>
      <c r="AE53" s="43" t="n">
        <f aca="false">-$E53*AE14</f>
        <v>-0</v>
      </c>
      <c r="AF53" s="43" t="n">
        <f aca="false">-$E53*AF14</f>
        <v>-0</v>
      </c>
      <c r="AG53" s="43" t="n">
        <f aca="false">-$E53*AG14</f>
        <v>-0</v>
      </c>
      <c r="AH53" s="43" t="n">
        <f aca="false">-$E53*AH14</f>
        <v>-0</v>
      </c>
      <c r="AI53" s="43" t="n">
        <f aca="false">-$E53*AI14</f>
        <v>-0</v>
      </c>
      <c r="AJ53" s="43" t="n">
        <f aca="false">-$E53*AJ14</f>
        <v>-0</v>
      </c>
      <c r="AK53" s="43" t="n">
        <f aca="false">-$E53*AK14</f>
        <v>-0</v>
      </c>
      <c r="AL53" s="43" t="n">
        <f aca="false">-$E53*AL14</f>
        <v>-0</v>
      </c>
      <c r="AM53" s="43" t="n">
        <f aca="false">-$E53*AM14</f>
        <v>-0</v>
      </c>
      <c r="AN53" s="43" t="n">
        <f aca="false">-$E53*AN14</f>
        <v>-0</v>
      </c>
      <c r="AO53" s="43" t="n">
        <f aca="false">-$E53*AO14</f>
        <v>-0</v>
      </c>
      <c r="AP53" s="43" t="n">
        <f aca="false">-$E53*AP14</f>
        <v>-0</v>
      </c>
      <c r="AQ53" s="43" t="n">
        <f aca="false">-$E53*AQ14</f>
        <v>-0</v>
      </c>
      <c r="AR53" s="43" t="n">
        <f aca="false">-$E53*AR14</f>
        <v>-0</v>
      </c>
      <c r="AS53" s="43" t="n">
        <f aca="false">-$E53*AS14</f>
        <v>-0</v>
      </c>
      <c r="AT53" s="43" t="n">
        <f aca="false">-$E53*AT14</f>
        <v>-0</v>
      </c>
      <c r="AU53" s="43" t="n">
        <f aca="false">-$E53*AU14</f>
        <v>-0</v>
      </c>
      <c r="AV53" s="43" t="n">
        <f aca="false">-$E53*AV14</f>
        <v>-0</v>
      </c>
      <c r="AW53" s="43" t="n">
        <f aca="false">-$E53*AW14</f>
        <v>-0</v>
      </c>
      <c r="AX53" s="43" t="n">
        <f aca="false">-$E53*AX14</f>
        <v>-0</v>
      </c>
      <c r="AY53" s="43" t="n">
        <f aca="false">-$E53*AY14</f>
        <v>-0</v>
      </c>
      <c r="AZ53" s="43" t="n">
        <f aca="false">-$E53*AZ14</f>
        <v>-0</v>
      </c>
      <c r="BA53" s="43" t="n">
        <f aca="false">-$E53*BA14</f>
        <v>-0</v>
      </c>
      <c r="BB53" s="43" t="n">
        <f aca="false">-$E53*BB14</f>
        <v>-0</v>
      </c>
      <c r="BC53" s="43" t="n">
        <f aca="false">-$E53*BC14</f>
        <v>-0</v>
      </c>
      <c r="BD53" s="43" t="n">
        <f aca="false">-$E53*BD14</f>
        <v>-0</v>
      </c>
      <c r="BE53" s="43" t="n">
        <f aca="false">-$E53*BE14</f>
        <v>-0</v>
      </c>
      <c r="BF53" s="43" t="n">
        <f aca="false">-$E53*BF14</f>
        <v>-0</v>
      </c>
      <c r="BG53" s="43" t="n">
        <f aca="false">-$E53*BG14</f>
        <v>-0</v>
      </c>
      <c r="BH53" s="43" t="n">
        <f aca="false">-$E53*BH14</f>
        <v>-0</v>
      </c>
      <c r="BI53" s="43" t="n">
        <f aca="false">-$E53*BI14</f>
        <v>-0</v>
      </c>
      <c r="BJ53" s="43" t="n">
        <f aca="false">-$E53*BJ14</f>
        <v>-0</v>
      </c>
      <c r="BK53" s="43" t="n">
        <f aca="false">-$E53*BK14</f>
        <v>-0</v>
      </c>
      <c r="BL53" s="43" t="n">
        <f aca="false">-$E53*BL14</f>
        <v>-0</v>
      </c>
      <c r="BM53" s="43" t="n">
        <f aca="false">-$E53*BM14</f>
        <v>-0</v>
      </c>
      <c r="BN53" s="43" t="n">
        <f aca="false">-$E53*BN14</f>
        <v>-0</v>
      </c>
      <c r="BO53" s="43" t="n">
        <f aca="false">-$E53*BO14</f>
        <v>-0</v>
      </c>
      <c r="BP53" s="43" t="n">
        <f aca="false">-$E53*BP14</f>
        <v>-0</v>
      </c>
      <c r="BQ53" s="43" t="n">
        <f aca="false">-$E53*BQ14</f>
        <v>-0</v>
      </c>
      <c r="BR53" s="43" t="n">
        <f aca="false">-$E53*BR14</f>
        <v>-0</v>
      </c>
      <c r="BS53" s="43" t="n">
        <f aca="false">-$E53*BS14</f>
        <v>-0</v>
      </c>
      <c r="BT53" s="43" t="n">
        <f aca="false">-$E53*BT14</f>
        <v>-0</v>
      </c>
      <c r="BU53" s="43" t="n">
        <f aca="false">-$E53*BU14</f>
        <v>-0</v>
      </c>
      <c r="BV53" s="43" t="n">
        <f aca="false">-$E53*BV14</f>
        <v>-0</v>
      </c>
      <c r="BW53" s="43" t="n">
        <f aca="false">-$E53*BW14</f>
        <v>-0</v>
      </c>
      <c r="BX53" s="43" t="n">
        <f aca="false">-$E53*BX14</f>
        <v>-0</v>
      </c>
      <c r="BY53" s="43" t="n">
        <f aca="false">-$E53*BY14</f>
        <v>-0</v>
      </c>
      <c r="BZ53" s="43" t="n">
        <f aca="false">-$E53*BZ14</f>
        <v>-0</v>
      </c>
      <c r="CA53" s="43" t="n">
        <f aca="false">-$E53*CA14</f>
        <v>-0</v>
      </c>
      <c r="CB53" s="43" t="n">
        <f aca="false">-$E53*CB14</f>
        <v>-0</v>
      </c>
      <c r="CC53" s="43" t="n">
        <f aca="false">-$E53*CC14</f>
        <v>-0</v>
      </c>
      <c r="CD53" s="43" t="n">
        <f aca="false">-$E53*CD14</f>
        <v>-0</v>
      </c>
      <c r="CE53" s="43" t="n">
        <f aca="false">-$E53*CE14</f>
        <v>-0</v>
      </c>
      <c r="CF53" s="43" t="n">
        <f aca="false">-$E53*CF14</f>
        <v>-0</v>
      </c>
      <c r="CG53" s="43" t="n">
        <f aca="false">-$E53*CG14</f>
        <v>-0</v>
      </c>
      <c r="CH53" s="43" t="n">
        <f aca="false">-$E53*CH14</f>
        <v>-0</v>
      </c>
      <c r="CI53" s="43" t="n">
        <f aca="false">-$E53*CI14</f>
        <v>-0</v>
      </c>
      <c r="CJ53" s="43" t="n">
        <f aca="false">-$E53*CJ14</f>
        <v>-0</v>
      </c>
      <c r="CK53" s="43" t="n">
        <f aca="false">-$E53*CK14</f>
        <v>-0</v>
      </c>
      <c r="CL53" s="43" t="n">
        <f aca="false">-$E53*CL14</f>
        <v>-0</v>
      </c>
      <c r="CM53" s="43" t="n">
        <f aca="false">-$E53*CM14</f>
        <v>-0</v>
      </c>
      <c r="CN53" s="43" t="n">
        <f aca="false">-$E53*CN14</f>
        <v>-0</v>
      </c>
      <c r="CO53" s="43" t="n">
        <f aca="false">-$E53*CO14</f>
        <v>-0</v>
      </c>
      <c r="CP53" s="43" t="n">
        <f aca="false">-$E53*CP14</f>
        <v>-0</v>
      </c>
      <c r="CQ53" s="43" t="n">
        <f aca="false">-$E53*CQ14</f>
        <v>-0</v>
      </c>
      <c r="CR53" s="43" t="n">
        <f aca="false">-$E53*CR14</f>
        <v>-0</v>
      </c>
      <c r="CS53" s="43" t="n">
        <f aca="false">-$E53*CS14</f>
        <v>-0</v>
      </c>
      <c r="CT53" s="43" t="n">
        <f aca="false">-$E53*CT14</f>
        <v>-0</v>
      </c>
      <c r="CU53" s="43" t="n">
        <f aca="false">-$E53*CU14</f>
        <v>-0</v>
      </c>
      <c r="CV53" s="43" t="n">
        <f aca="false">-$E53*CV14</f>
        <v>-0</v>
      </c>
      <c r="CW53" s="43" t="n">
        <f aca="false">-$E53*CW14</f>
        <v>-0</v>
      </c>
      <c r="CX53" s="43" t="n">
        <f aca="false">-$E53*CX14</f>
        <v>-0</v>
      </c>
      <c r="CY53" s="43" t="n">
        <f aca="false">-$E53*CY14</f>
        <v>-0</v>
      </c>
      <c r="CZ53" s="43" t="n">
        <f aca="false">-$E53*CZ14</f>
        <v>-0</v>
      </c>
      <c r="DA53" s="43" t="n">
        <f aca="false">-$E53*DA14</f>
        <v>-0</v>
      </c>
      <c r="DB53" s="43" t="n">
        <f aca="false">-$E53*DB14</f>
        <v>-0</v>
      </c>
      <c r="DC53" s="43" t="n">
        <f aca="false">-$E53*DC14</f>
        <v>-0</v>
      </c>
      <c r="DD53" s="43" t="n">
        <f aca="false">-$E53*DD14</f>
        <v>-0</v>
      </c>
      <c r="DE53" s="43" t="n">
        <f aca="false">-$E53*DE14</f>
        <v>-0</v>
      </c>
      <c r="DF53" s="43" t="n">
        <f aca="false">-$E53*DF14</f>
        <v>-0</v>
      </c>
      <c r="DG53" s="43" t="n">
        <f aca="false">-$E53*DG14</f>
        <v>-0</v>
      </c>
      <c r="DH53" s="43" t="n">
        <f aca="false">-$E53*DH14</f>
        <v>-0</v>
      </c>
      <c r="DI53" s="43" t="n">
        <f aca="false">-$E53*DI14</f>
        <v>-0</v>
      </c>
      <c r="DJ53" s="43" t="n">
        <f aca="false">-$E53*DJ14</f>
        <v>-0</v>
      </c>
      <c r="DK53" s="43" t="n">
        <f aca="false">-$E53*DK14</f>
        <v>-0</v>
      </c>
      <c r="DL53" s="43" t="n">
        <f aca="false">-$E53*DL14</f>
        <v>-0</v>
      </c>
      <c r="DM53" s="43" t="n">
        <f aca="false">-$E53*DM14</f>
        <v>-0</v>
      </c>
      <c r="DN53" s="43" t="n">
        <f aca="false">-$E53*DN14</f>
        <v>-0</v>
      </c>
      <c r="DO53" s="43" t="n">
        <f aca="false">-$E53*DO14</f>
        <v>-0</v>
      </c>
      <c r="DP53" s="43" t="n">
        <f aca="false">-$E53*DP14</f>
        <v>-0</v>
      </c>
      <c r="DQ53" s="43" t="n">
        <f aca="false">-$E53*DQ14</f>
        <v>-0</v>
      </c>
      <c r="DR53" s="43" t="n">
        <f aca="false">-$E53*DR14</f>
        <v>-0</v>
      </c>
      <c r="DS53" s="43" t="n">
        <f aca="false">-$E53*DS14</f>
        <v>-0</v>
      </c>
      <c r="DT53" s="43" t="n">
        <f aca="false">-$E53*DT14</f>
        <v>-0</v>
      </c>
      <c r="DU53" s="43" t="n">
        <f aca="false">-$E53*DU14</f>
        <v>-0</v>
      </c>
      <c r="DV53" s="43" t="n">
        <f aca="false">-$E53*DV14</f>
        <v>-0</v>
      </c>
      <c r="DW53" s="43" t="n">
        <f aca="false">-$E53*DW14</f>
        <v>-0</v>
      </c>
      <c r="DX53" s="43" t="n">
        <f aca="false">-$E53*DX14</f>
        <v>-0</v>
      </c>
      <c r="DY53" s="43" t="n">
        <f aca="false">-$E53*DY14</f>
        <v>-0</v>
      </c>
      <c r="DZ53" s="43" t="n">
        <f aca="false">-$E53*DZ14</f>
        <v>-0</v>
      </c>
      <c r="EA53" s="43" t="n">
        <f aca="false">-$E53*EA14</f>
        <v>-0</v>
      </c>
      <c r="EB53" s="43" t="n">
        <f aca="false">-$E53*EB14</f>
        <v>-0</v>
      </c>
      <c r="EC53" s="43" t="n">
        <f aca="false">-$E53*EC14</f>
        <v>-0</v>
      </c>
      <c r="ED53" s="43" t="n">
        <f aca="false">-$E53*ED14</f>
        <v>-0</v>
      </c>
      <c r="EE53" s="43" t="n">
        <f aca="false">-$E53*EE14</f>
        <v>-0</v>
      </c>
      <c r="EF53" s="43" t="n">
        <f aca="false">-$E53*EF14</f>
        <v>-0</v>
      </c>
      <c r="EG53" s="43" t="n">
        <f aca="false">-$E53*EG14</f>
        <v>-0</v>
      </c>
      <c r="EH53" s="43" t="n">
        <f aca="false">-$E53*EH14</f>
        <v>-0</v>
      </c>
      <c r="EI53" s="43" t="n">
        <f aca="false">-$E53*EI14</f>
        <v>-0</v>
      </c>
      <c r="EJ53" s="43" t="n">
        <f aca="false">-$E53*EJ14</f>
        <v>-0</v>
      </c>
      <c r="EK53" s="43" t="n">
        <f aca="false">-$E53*EK14</f>
        <v>-0</v>
      </c>
      <c r="EL53" s="43" t="n">
        <f aca="false">-$E53*EL14</f>
        <v>-0</v>
      </c>
      <c r="EM53" s="43" t="n">
        <f aca="false">-$E53*EM14</f>
        <v>-0</v>
      </c>
      <c r="EN53" s="43" t="n">
        <f aca="false">-$E53*EN14</f>
        <v>-0</v>
      </c>
      <c r="EO53" s="43" t="n">
        <f aca="false">-$E53*EO14</f>
        <v>-0</v>
      </c>
    </row>
    <row r="54" customFormat="false" ht="15" hidden="false" customHeight="false" outlineLevel="0" collapsed="false">
      <c r="C54" s="21" t="s">
        <v>366</v>
      </c>
      <c r="D54" s="11" t="s">
        <v>33</v>
      </c>
      <c r="E54" s="54" t="n">
        <f aca="false">SUMPRODUCT($J54:$EO54/$J21:$EO21)*$E21</f>
        <v>-69284.8294344407</v>
      </c>
      <c r="I54" s="54" t="n">
        <f aca="false">SUM(J54:EO54)</f>
        <v>-66132.3231506849</v>
      </c>
      <c r="J54" s="54" t="n">
        <f aca="false">J52+J45+J53</f>
        <v>-0</v>
      </c>
      <c r="K54" s="54" t="n">
        <f aca="false">K52+K45+K53</f>
        <v>-0</v>
      </c>
      <c r="L54" s="54" t="n">
        <f aca="false">L52+L45+L53</f>
        <v>-0</v>
      </c>
      <c r="M54" s="54" t="n">
        <f aca="false">M52+M45+M53</f>
        <v>-0</v>
      </c>
      <c r="N54" s="54" t="n">
        <f aca="false">N52+N45+N53</f>
        <v>-0</v>
      </c>
      <c r="O54" s="54" t="n">
        <f aca="false">O52+O45+O53</f>
        <v>-0</v>
      </c>
      <c r="P54" s="54" t="n">
        <f aca="false">P52+P45+P53</f>
        <v>-0</v>
      </c>
      <c r="Q54" s="54" t="n">
        <f aca="false">Q52+Q45+Q53</f>
        <v>-0</v>
      </c>
      <c r="R54" s="54" t="n">
        <f aca="false">R52+R45+R53</f>
        <v>-7086.20547945206</v>
      </c>
      <c r="S54" s="54" t="n">
        <f aca="false">S52+S45+S53</f>
        <v>-15086.9806849315</v>
      </c>
      <c r="T54" s="54" t="n">
        <f aca="false">T52+T45+T53</f>
        <v>-7009.18150684932</v>
      </c>
      <c r="U54" s="54" t="n">
        <f aca="false">U52+U45+U53</f>
        <v>-7086.20547945206</v>
      </c>
      <c r="V54" s="54" t="n">
        <f aca="false">V52+V45+V53</f>
        <v>-7086.20547945206</v>
      </c>
      <c r="W54" s="54" t="n">
        <f aca="false">W52+W45+W53</f>
        <v>-6932.15753424658</v>
      </c>
      <c r="X54" s="54" t="n">
        <f aca="false">X52+X45+X53</f>
        <v>-7009.18150684932</v>
      </c>
      <c r="Y54" s="54" t="n">
        <f aca="false">Y52+Y45+Y53</f>
        <v>-8836.20547945206</v>
      </c>
      <c r="Z54" s="54" t="n">
        <f aca="false">Z52+Z45+Z53</f>
        <v>-0</v>
      </c>
      <c r="AA54" s="54" t="n">
        <f aca="false">AA52+AA45+AA53</f>
        <v>-0</v>
      </c>
      <c r="AB54" s="54" t="n">
        <f aca="false">AB52+AB45+AB53</f>
        <v>-0</v>
      </c>
      <c r="AC54" s="54" t="n">
        <f aca="false">AC52+AC45+AC53</f>
        <v>-0</v>
      </c>
      <c r="AD54" s="54" t="n">
        <f aca="false">AD52+AD45+AD53</f>
        <v>-0</v>
      </c>
      <c r="AE54" s="54" t="n">
        <f aca="false">AE52+AE45+AE53</f>
        <v>-0</v>
      </c>
      <c r="AF54" s="54" t="n">
        <f aca="false">AF52+AF45+AF53</f>
        <v>-0</v>
      </c>
      <c r="AG54" s="54" t="n">
        <f aca="false">AG52+AG45+AG53</f>
        <v>-0</v>
      </c>
      <c r="AH54" s="54" t="n">
        <f aca="false">AH52+AH45+AH53</f>
        <v>-0</v>
      </c>
      <c r="AI54" s="54" t="n">
        <f aca="false">AI52+AI45+AI53</f>
        <v>-0</v>
      </c>
      <c r="AJ54" s="54" t="n">
        <f aca="false">AJ52+AJ45+AJ53</f>
        <v>-0</v>
      </c>
      <c r="AK54" s="54" t="n">
        <f aca="false">AK52+AK45+AK53</f>
        <v>-0</v>
      </c>
      <c r="AL54" s="54" t="n">
        <f aca="false">AL52+AL45+AL53</f>
        <v>-0</v>
      </c>
      <c r="AM54" s="54" t="n">
        <f aca="false">AM52+AM45+AM53</f>
        <v>-0</v>
      </c>
      <c r="AN54" s="54" t="n">
        <f aca="false">AN52+AN45+AN53</f>
        <v>-0</v>
      </c>
      <c r="AO54" s="54" t="n">
        <f aca="false">AO52+AO45+AO53</f>
        <v>-0</v>
      </c>
      <c r="AP54" s="54" t="n">
        <f aca="false">AP52+AP45+AP53</f>
        <v>-0</v>
      </c>
      <c r="AQ54" s="54" t="n">
        <f aca="false">AQ52+AQ45+AQ53</f>
        <v>-0</v>
      </c>
      <c r="AR54" s="54" t="n">
        <f aca="false">AR52+AR45+AR53</f>
        <v>-0</v>
      </c>
      <c r="AS54" s="54" t="n">
        <f aca="false">AS52+AS45+AS53</f>
        <v>-0</v>
      </c>
      <c r="AT54" s="54" t="n">
        <f aca="false">AT52+AT45+AT53</f>
        <v>-0</v>
      </c>
      <c r="AU54" s="54" t="n">
        <f aca="false">AU52+AU45+AU53</f>
        <v>-0</v>
      </c>
      <c r="AV54" s="54" t="n">
        <f aca="false">AV52+AV45+AV53</f>
        <v>-0</v>
      </c>
      <c r="AW54" s="54" t="n">
        <f aca="false">AW52+AW45+AW53</f>
        <v>-0</v>
      </c>
      <c r="AX54" s="54" t="n">
        <f aca="false">AX52+AX45+AX53</f>
        <v>-0</v>
      </c>
      <c r="AY54" s="54" t="n">
        <f aca="false">AY52+AY45+AY53</f>
        <v>-0</v>
      </c>
      <c r="AZ54" s="54" t="n">
        <f aca="false">AZ52+AZ45+AZ53</f>
        <v>-0</v>
      </c>
      <c r="BA54" s="54" t="n">
        <f aca="false">BA52+BA45+BA53</f>
        <v>-0</v>
      </c>
      <c r="BB54" s="54" t="n">
        <f aca="false">BB52+BB45+BB53</f>
        <v>-0</v>
      </c>
      <c r="BC54" s="54" t="n">
        <f aca="false">BC52+BC45+BC53</f>
        <v>-0</v>
      </c>
      <c r="BD54" s="54" t="n">
        <f aca="false">BD52+BD45+BD53</f>
        <v>-0</v>
      </c>
      <c r="BE54" s="54" t="n">
        <f aca="false">BE52+BE45+BE53</f>
        <v>-0</v>
      </c>
      <c r="BF54" s="54" t="n">
        <f aca="false">BF52+BF45+BF53</f>
        <v>-0</v>
      </c>
      <c r="BG54" s="54" t="n">
        <f aca="false">BG52+BG45+BG53</f>
        <v>-0</v>
      </c>
      <c r="BH54" s="54" t="n">
        <f aca="false">BH52+BH45+BH53</f>
        <v>-0</v>
      </c>
      <c r="BI54" s="54" t="n">
        <f aca="false">BI52+BI45+BI53</f>
        <v>-0</v>
      </c>
      <c r="BJ54" s="54" t="n">
        <f aca="false">BJ52+BJ45+BJ53</f>
        <v>-0</v>
      </c>
      <c r="BK54" s="54" t="n">
        <f aca="false">BK52+BK45+BK53</f>
        <v>-0</v>
      </c>
      <c r="BL54" s="54" t="n">
        <f aca="false">BL52+BL45+BL53</f>
        <v>-0</v>
      </c>
      <c r="BM54" s="54" t="n">
        <f aca="false">BM52+BM45+BM53</f>
        <v>-0</v>
      </c>
      <c r="BN54" s="54" t="n">
        <f aca="false">BN52+BN45+BN53</f>
        <v>-0</v>
      </c>
      <c r="BO54" s="54" t="n">
        <f aca="false">BO52+BO45+BO53</f>
        <v>-0</v>
      </c>
      <c r="BP54" s="54" t="n">
        <f aca="false">BP52+BP45+BP53</f>
        <v>-0</v>
      </c>
      <c r="BQ54" s="54" t="n">
        <f aca="false">BQ52+BQ45+BQ53</f>
        <v>-0</v>
      </c>
      <c r="BR54" s="54" t="n">
        <f aca="false">BR52+BR45+BR53</f>
        <v>-0</v>
      </c>
      <c r="BS54" s="54" t="n">
        <f aca="false">BS52+BS45+BS53</f>
        <v>-0</v>
      </c>
      <c r="BT54" s="54" t="n">
        <f aca="false">BT52+BT45+BT53</f>
        <v>-0</v>
      </c>
      <c r="BU54" s="54" t="n">
        <f aca="false">BU52+BU45+BU53</f>
        <v>-0</v>
      </c>
      <c r="BV54" s="54" t="n">
        <f aca="false">BV52+BV45+BV53</f>
        <v>-0</v>
      </c>
      <c r="BW54" s="54" t="n">
        <f aca="false">BW52+BW45+BW53</f>
        <v>-0</v>
      </c>
      <c r="BX54" s="54" t="n">
        <f aca="false">BX52+BX45+BX53</f>
        <v>-0</v>
      </c>
      <c r="BY54" s="54" t="n">
        <f aca="false">BY52+BY45+BY53</f>
        <v>-0</v>
      </c>
      <c r="BZ54" s="54" t="n">
        <f aca="false">BZ52+BZ45+BZ53</f>
        <v>-0</v>
      </c>
      <c r="CA54" s="54" t="n">
        <f aca="false">CA52+CA45+CA53</f>
        <v>-0</v>
      </c>
      <c r="CB54" s="54" t="n">
        <f aca="false">CB52+CB45+CB53</f>
        <v>-0</v>
      </c>
      <c r="CC54" s="54" t="n">
        <f aca="false">CC52+CC45+CC53</f>
        <v>-0</v>
      </c>
      <c r="CD54" s="54" t="n">
        <f aca="false">CD52+CD45+CD53</f>
        <v>-0</v>
      </c>
      <c r="CE54" s="54" t="n">
        <f aca="false">CE52+CE45+CE53</f>
        <v>-0</v>
      </c>
      <c r="CF54" s="54" t="n">
        <f aca="false">CF52+CF45+CF53</f>
        <v>-0</v>
      </c>
      <c r="CG54" s="54" t="n">
        <f aca="false">CG52+CG45+CG53</f>
        <v>-0</v>
      </c>
      <c r="CH54" s="54" t="n">
        <f aca="false">CH52+CH45+CH53</f>
        <v>-0</v>
      </c>
      <c r="CI54" s="54" t="n">
        <f aca="false">CI52+CI45+CI53</f>
        <v>-0</v>
      </c>
      <c r="CJ54" s="54" t="n">
        <f aca="false">CJ52+CJ45+CJ53</f>
        <v>-0</v>
      </c>
      <c r="CK54" s="54" t="n">
        <f aca="false">CK52+CK45+CK53</f>
        <v>-0</v>
      </c>
      <c r="CL54" s="54" t="n">
        <f aca="false">CL52+CL45+CL53</f>
        <v>-0</v>
      </c>
      <c r="CM54" s="54" t="n">
        <f aca="false">CM52+CM45+CM53</f>
        <v>-0</v>
      </c>
      <c r="CN54" s="54" t="n">
        <f aca="false">CN52+CN45+CN53</f>
        <v>-0</v>
      </c>
      <c r="CO54" s="54" t="n">
        <f aca="false">CO52+CO45+CO53</f>
        <v>-0</v>
      </c>
      <c r="CP54" s="54" t="n">
        <f aca="false">CP52+CP45+CP53</f>
        <v>-0</v>
      </c>
      <c r="CQ54" s="54" t="n">
        <f aca="false">CQ52+CQ45+CQ53</f>
        <v>-0</v>
      </c>
      <c r="CR54" s="54" t="n">
        <f aca="false">CR52+CR45+CR53</f>
        <v>-0</v>
      </c>
      <c r="CS54" s="54" t="n">
        <f aca="false">CS52+CS45+CS53</f>
        <v>-0</v>
      </c>
      <c r="CT54" s="54" t="n">
        <f aca="false">CT52+CT45+CT53</f>
        <v>-0</v>
      </c>
      <c r="CU54" s="54" t="n">
        <f aca="false">CU52+CU45+CU53</f>
        <v>-0</v>
      </c>
      <c r="CV54" s="54" t="n">
        <f aca="false">CV52+CV45+CV53</f>
        <v>-0</v>
      </c>
      <c r="CW54" s="54" t="n">
        <f aca="false">CW52+CW45+CW53</f>
        <v>-0</v>
      </c>
      <c r="CX54" s="54" t="n">
        <f aca="false">CX52+CX45+CX53</f>
        <v>-0</v>
      </c>
      <c r="CY54" s="54" t="n">
        <f aca="false">CY52+CY45+CY53</f>
        <v>-0</v>
      </c>
      <c r="CZ54" s="54" t="n">
        <f aca="false">CZ52+CZ45+CZ53</f>
        <v>-0</v>
      </c>
      <c r="DA54" s="54" t="n">
        <f aca="false">DA52+DA45+DA53</f>
        <v>-0</v>
      </c>
      <c r="DB54" s="54" t="n">
        <f aca="false">DB52+DB45+DB53</f>
        <v>-0</v>
      </c>
      <c r="DC54" s="54" t="n">
        <f aca="false">DC52+DC45+DC53</f>
        <v>-0</v>
      </c>
      <c r="DD54" s="54" t="n">
        <f aca="false">DD52+DD45+DD53</f>
        <v>-0</v>
      </c>
      <c r="DE54" s="54" t="n">
        <f aca="false">DE52+DE45+DE53</f>
        <v>-0</v>
      </c>
      <c r="DF54" s="54" t="n">
        <f aca="false">DF52+DF45+DF53</f>
        <v>-0</v>
      </c>
      <c r="DG54" s="54" t="n">
        <f aca="false">DG52+DG45+DG53</f>
        <v>-0</v>
      </c>
      <c r="DH54" s="54" t="n">
        <f aca="false">DH52+DH45+DH53</f>
        <v>-0</v>
      </c>
      <c r="DI54" s="54" t="n">
        <f aca="false">DI52+DI45+DI53</f>
        <v>-0</v>
      </c>
      <c r="DJ54" s="54" t="n">
        <f aca="false">DJ52+DJ45+DJ53</f>
        <v>-0</v>
      </c>
      <c r="DK54" s="54" t="n">
        <f aca="false">DK52+DK45+DK53</f>
        <v>-0</v>
      </c>
      <c r="DL54" s="54" t="n">
        <f aca="false">DL52+DL45+DL53</f>
        <v>-0</v>
      </c>
      <c r="DM54" s="54" t="n">
        <f aca="false">DM52+DM45+DM53</f>
        <v>-0</v>
      </c>
      <c r="DN54" s="54" t="n">
        <f aca="false">DN52+DN45+DN53</f>
        <v>-0</v>
      </c>
      <c r="DO54" s="54" t="n">
        <f aca="false">DO52+DO45+DO53</f>
        <v>-0</v>
      </c>
      <c r="DP54" s="54" t="n">
        <f aca="false">DP52+DP45+DP53</f>
        <v>-0</v>
      </c>
      <c r="DQ54" s="54" t="n">
        <f aca="false">DQ52+DQ45+DQ53</f>
        <v>-0</v>
      </c>
      <c r="DR54" s="54" t="n">
        <f aca="false">DR52+DR45+DR53</f>
        <v>-0</v>
      </c>
      <c r="DS54" s="54" t="n">
        <f aca="false">DS52+DS45+DS53</f>
        <v>-0</v>
      </c>
      <c r="DT54" s="54" t="n">
        <f aca="false">DT52+DT45+DT53</f>
        <v>-0</v>
      </c>
      <c r="DU54" s="54" t="n">
        <f aca="false">DU52+DU45+DU53</f>
        <v>-0</v>
      </c>
      <c r="DV54" s="54" t="n">
        <f aca="false">DV52+DV45+DV53</f>
        <v>-0</v>
      </c>
      <c r="DW54" s="54" t="n">
        <f aca="false">DW52+DW45+DW53</f>
        <v>-0</v>
      </c>
      <c r="DX54" s="54" t="n">
        <f aca="false">DX52+DX45+DX53</f>
        <v>-0</v>
      </c>
      <c r="DY54" s="54" t="n">
        <f aca="false">DY52+DY45+DY53</f>
        <v>-0</v>
      </c>
      <c r="DZ54" s="54" t="n">
        <f aca="false">DZ52+DZ45+DZ53</f>
        <v>-0</v>
      </c>
      <c r="EA54" s="54" t="n">
        <f aca="false">EA52+EA45+EA53</f>
        <v>-0</v>
      </c>
      <c r="EB54" s="54" t="n">
        <f aca="false">EB52+EB45+EB53</f>
        <v>-0</v>
      </c>
      <c r="EC54" s="54" t="n">
        <f aca="false">EC52+EC45+EC53</f>
        <v>-0</v>
      </c>
      <c r="ED54" s="54" t="n">
        <f aca="false">ED52+ED45+ED53</f>
        <v>-0</v>
      </c>
      <c r="EE54" s="54" t="n">
        <f aca="false">EE52+EE45+EE53</f>
        <v>-0</v>
      </c>
      <c r="EF54" s="54" t="n">
        <f aca="false">EF52+EF45+EF53</f>
        <v>-0</v>
      </c>
      <c r="EG54" s="54" t="n">
        <f aca="false">EG52+EG45+EG53</f>
        <v>-0</v>
      </c>
      <c r="EH54" s="54" t="n">
        <f aca="false">EH52+EH45+EH53</f>
        <v>-0</v>
      </c>
      <c r="EI54" s="54" t="n">
        <f aca="false">EI52+EI45+EI53</f>
        <v>-0</v>
      </c>
      <c r="EJ54" s="54" t="n">
        <f aca="false">EJ52+EJ45+EJ53</f>
        <v>-0</v>
      </c>
      <c r="EK54" s="54" t="n">
        <f aca="false">EK52+EK45+EK53</f>
        <v>-0</v>
      </c>
      <c r="EL54" s="54" t="n">
        <f aca="false">EL52+EL45+EL53</f>
        <v>-0</v>
      </c>
      <c r="EM54" s="54" t="n">
        <f aca="false">EM52+EM45+EM53</f>
        <v>-0</v>
      </c>
      <c r="EN54" s="54" t="n">
        <f aca="false">EN52+EN45+EN53</f>
        <v>-0</v>
      </c>
      <c r="EO54" s="54" t="n">
        <f aca="false">EO52+EO45+EO53</f>
        <v>-0</v>
      </c>
    </row>
    <row r="56" customFormat="false" ht="15" hidden="false" customHeight="false" outlineLevel="0" collapsed="false">
      <c r="A56" s="9" t="s">
        <v>13</v>
      </c>
      <c r="B56" s="9"/>
      <c r="C56" s="9" t="s">
        <v>254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</row>
    <row r="57" customFormat="false" ht="15" hidden="false" customHeight="false" outlineLevel="0" collapsed="false">
      <c r="C57" s="0" t="s">
        <v>367</v>
      </c>
      <c r="D57" s="11" t="s">
        <v>327</v>
      </c>
      <c r="J57" s="52" t="n">
        <f aca="false">(1+In_Opex_Esc)^(J$7-YEAR(In_COD))</f>
        <v>0.905950644799755</v>
      </c>
      <c r="K57" s="52" t="n">
        <f aca="false">(1+In_Opex_Esc)^(K$7-YEAR(In_COD))</f>
        <v>0.928599410919749</v>
      </c>
      <c r="L57" s="52" t="n">
        <f aca="false">(1+In_Opex_Esc)^(L$7-YEAR(In_COD))</f>
        <v>0.928599410919749</v>
      </c>
      <c r="M57" s="52" t="n">
        <f aca="false">(1+In_Opex_Esc)^(M$7-YEAR(In_COD))</f>
        <v>0.928599410919749</v>
      </c>
      <c r="N57" s="52" t="n">
        <f aca="false">(1+In_Opex_Esc)^(N$7-YEAR(In_COD))</f>
        <v>0.928599410919749</v>
      </c>
      <c r="O57" s="52" t="n">
        <f aca="false">(1+In_Opex_Esc)^(O$7-YEAR(In_COD))</f>
        <v>0.951814396192743</v>
      </c>
      <c r="P57" s="52" t="n">
        <f aca="false">(1+In_Opex_Esc)^(P$7-YEAR(In_COD))</f>
        <v>0.951814396192743</v>
      </c>
      <c r="Q57" s="52" t="n">
        <f aca="false">(1+In_Opex_Esc)^(Q$7-YEAR(In_COD))</f>
        <v>0.951814396192743</v>
      </c>
      <c r="R57" s="52" t="n">
        <f aca="false">(1+In_Opex_Esc)^(R$7-YEAR(In_COD))</f>
        <v>0.951814396192743</v>
      </c>
      <c r="S57" s="52" t="n">
        <f aca="false">(1+In_Opex_Esc)^(S$7-YEAR(In_COD))</f>
        <v>0.975609756097561</v>
      </c>
      <c r="T57" s="52" t="n">
        <f aca="false">(1+In_Opex_Esc)^(T$7-YEAR(In_COD))</f>
        <v>0.975609756097561</v>
      </c>
      <c r="U57" s="52" t="n">
        <f aca="false">(1+In_Opex_Esc)^(U$7-YEAR(In_COD))</f>
        <v>0.975609756097561</v>
      </c>
      <c r="V57" s="52" t="n">
        <f aca="false">(1+In_Opex_Esc)^(V$7-YEAR(In_COD))</f>
        <v>0.975609756097561</v>
      </c>
      <c r="W57" s="52" t="n">
        <f aca="false">(1+In_Opex_Esc)^(W$7-YEAR(In_COD))</f>
        <v>1</v>
      </c>
      <c r="X57" s="52" t="n">
        <f aca="false">(1+In_Opex_Esc)^(X$7-YEAR(In_COD))</f>
        <v>1</v>
      </c>
      <c r="Y57" s="52" t="n">
        <f aca="false">(1+In_Opex_Esc)^(Y$7-YEAR(In_COD))</f>
        <v>1</v>
      </c>
      <c r="Z57" s="52" t="n">
        <f aca="false">(1+In_Opex_Esc)^(Z$7-YEAR(In_COD))</f>
        <v>1</v>
      </c>
      <c r="AA57" s="52" t="n">
        <f aca="false">(1+In_Opex_Esc)^(AA$7-YEAR(In_COD))</f>
        <v>1.025</v>
      </c>
      <c r="AB57" s="52" t="n">
        <f aca="false">(1+In_Opex_Esc)^(AB$7-YEAR(In_COD))</f>
        <v>1.025</v>
      </c>
      <c r="AC57" s="52" t="n">
        <f aca="false">(1+In_Opex_Esc)^(AC$7-YEAR(In_COD))</f>
        <v>1.025</v>
      </c>
      <c r="AD57" s="52" t="n">
        <f aca="false">(1+In_Opex_Esc)^(AD$7-YEAR(In_COD))</f>
        <v>1.025</v>
      </c>
      <c r="AE57" s="52" t="n">
        <f aca="false">(1+In_Opex_Esc)^(AE$7-YEAR(In_COD))</f>
        <v>1.050625</v>
      </c>
      <c r="AF57" s="52" t="n">
        <f aca="false">(1+In_Opex_Esc)^(AF$7-YEAR(In_COD))</f>
        <v>1.050625</v>
      </c>
      <c r="AG57" s="52" t="n">
        <f aca="false">(1+In_Opex_Esc)^(AG$7-YEAR(In_COD))</f>
        <v>1.050625</v>
      </c>
      <c r="AH57" s="52" t="n">
        <f aca="false">(1+In_Opex_Esc)^(AH$7-YEAR(In_COD))</f>
        <v>1.050625</v>
      </c>
      <c r="AI57" s="52" t="n">
        <f aca="false">(1+In_Opex_Esc)^(AI$7-YEAR(In_COD))</f>
        <v>1.076890625</v>
      </c>
      <c r="AJ57" s="52" t="n">
        <f aca="false">(1+In_Opex_Esc)^(AJ$7-YEAR(In_COD))</f>
        <v>1.076890625</v>
      </c>
      <c r="AK57" s="52" t="n">
        <f aca="false">(1+In_Opex_Esc)^(AK$7-YEAR(In_COD))</f>
        <v>1.076890625</v>
      </c>
      <c r="AL57" s="52" t="n">
        <f aca="false">(1+In_Opex_Esc)^(AL$7-YEAR(In_COD))</f>
        <v>1.076890625</v>
      </c>
      <c r="AM57" s="52" t="n">
        <f aca="false">(1+In_Opex_Esc)^(AM$7-YEAR(In_COD))</f>
        <v>1.103812890625</v>
      </c>
      <c r="AN57" s="52" t="n">
        <f aca="false">(1+In_Opex_Esc)^(AN$7-YEAR(In_COD))</f>
        <v>1.103812890625</v>
      </c>
      <c r="AO57" s="52" t="n">
        <f aca="false">(1+In_Opex_Esc)^(AO$7-YEAR(In_COD))</f>
        <v>1.103812890625</v>
      </c>
      <c r="AP57" s="52" t="n">
        <f aca="false">(1+In_Opex_Esc)^(AP$7-YEAR(In_COD))</f>
        <v>1.103812890625</v>
      </c>
      <c r="AQ57" s="52" t="n">
        <f aca="false">(1+In_Opex_Esc)^(AQ$7-YEAR(In_COD))</f>
        <v>1.13140821289062</v>
      </c>
      <c r="AR57" s="52" t="n">
        <f aca="false">(1+In_Opex_Esc)^(AR$7-YEAR(In_COD))</f>
        <v>1.13140821289062</v>
      </c>
      <c r="AS57" s="52" t="n">
        <f aca="false">(1+In_Opex_Esc)^(AS$7-YEAR(In_COD))</f>
        <v>1.13140821289062</v>
      </c>
      <c r="AT57" s="52" t="n">
        <f aca="false">(1+In_Opex_Esc)^(AT$7-YEAR(In_COD))</f>
        <v>1.13140821289062</v>
      </c>
      <c r="AU57" s="52" t="n">
        <f aca="false">(1+In_Opex_Esc)^(AU$7-YEAR(In_COD))</f>
        <v>1.15969341821289</v>
      </c>
      <c r="AV57" s="52" t="n">
        <f aca="false">(1+In_Opex_Esc)^(AV$7-YEAR(In_COD))</f>
        <v>1.15969341821289</v>
      </c>
      <c r="AW57" s="52" t="n">
        <f aca="false">(1+In_Opex_Esc)^(AW$7-YEAR(In_COD))</f>
        <v>1.15969341821289</v>
      </c>
      <c r="AX57" s="52" t="n">
        <f aca="false">(1+In_Opex_Esc)^(AX$7-YEAR(In_COD))</f>
        <v>1.15969341821289</v>
      </c>
      <c r="AY57" s="52" t="n">
        <f aca="false">(1+In_Opex_Esc)^(AY$7-YEAR(In_COD))</f>
        <v>1.18868575366821</v>
      </c>
      <c r="AZ57" s="52" t="n">
        <f aca="false">(1+In_Opex_Esc)^(AZ$7-YEAR(In_COD))</f>
        <v>1.18868575366821</v>
      </c>
      <c r="BA57" s="52" t="n">
        <f aca="false">(1+In_Opex_Esc)^(BA$7-YEAR(In_COD))</f>
        <v>1.18868575366821</v>
      </c>
      <c r="BB57" s="52" t="n">
        <f aca="false">(1+In_Opex_Esc)^(BB$7-YEAR(In_COD))</f>
        <v>1.18868575366821</v>
      </c>
      <c r="BC57" s="52" t="n">
        <f aca="false">(1+In_Opex_Esc)^(BC$7-YEAR(In_COD))</f>
        <v>1.21840289750992</v>
      </c>
      <c r="BD57" s="52" t="n">
        <f aca="false">(1+In_Opex_Esc)^(BD$7-YEAR(In_COD))</f>
        <v>1.21840289750992</v>
      </c>
      <c r="BE57" s="52" t="n">
        <f aca="false">(1+In_Opex_Esc)^(BE$7-YEAR(In_COD))</f>
        <v>1.21840289750992</v>
      </c>
      <c r="BF57" s="52" t="n">
        <f aca="false">(1+In_Opex_Esc)^(BF$7-YEAR(In_COD))</f>
        <v>1.21840289750992</v>
      </c>
      <c r="BG57" s="52" t="n">
        <f aca="false">(1+In_Opex_Esc)^(BG$7-YEAR(In_COD))</f>
        <v>1.24886296994767</v>
      </c>
      <c r="BH57" s="52" t="n">
        <f aca="false">(1+In_Opex_Esc)^(BH$7-YEAR(In_COD))</f>
        <v>1.24886296994767</v>
      </c>
      <c r="BI57" s="52" t="n">
        <f aca="false">(1+In_Opex_Esc)^(BI$7-YEAR(In_COD))</f>
        <v>1.24886296994767</v>
      </c>
      <c r="BJ57" s="52" t="n">
        <f aca="false">(1+In_Opex_Esc)^(BJ$7-YEAR(In_COD))</f>
        <v>1.24886296994767</v>
      </c>
      <c r="BK57" s="52" t="n">
        <f aca="false">(1+In_Opex_Esc)^(BK$7-YEAR(In_COD))</f>
        <v>1.28008454419636</v>
      </c>
      <c r="BL57" s="52" t="n">
        <f aca="false">(1+In_Opex_Esc)^(BL$7-YEAR(In_COD))</f>
        <v>1.28008454419636</v>
      </c>
      <c r="BM57" s="52" t="n">
        <f aca="false">(1+In_Opex_Esc)^(BM$7-YEAR(In_COD))</f>
        <v>1.28008454419636</v>
      </c>
      <c r="BN57" s="52" t="n">
        <f aca="false">(1+In_Opex_Esc)^(BN$7-YEAR(In_COD))</f>
        <v>1.28008454419636</v>
      </c>
      <c r="BO57" s="52" t="n">
        <f aca="false">(1+In_Opex_Esc)^(BO$7-YEAR(In_COD))</f>
        <v>1.31208665780127</v>
      </c>
      <c r="BP57" s="52" t="n">
        <f aca="false">(1+In_Opex_Esc)^(BP$7-YEAR(In_COD))</f>
        <v>1.31208665780127</v>
      </c>
      <c r="BQ57" s="52" t="n">
        <f aca="false">(1+In_Opex_Esc)^(BQ$7-YEAR(In_COD))</f>
        <v>1.31208665780127</v>
      </c>
      <c r="BR57" s="52" t="n">
        <f aca="false">(1+In_Opex_Esc)^(BR$7-YEAR(In_COD))</f>
        <v>1.31208665780127</v>
      </c>
      <c r="BS57" s="52" t="n">
        <f aca="false">(1+In_Opex_Esc)^(BS$7-YEAR(In_COD))</f>
        <v>1.3448888242463</v>
      </c>
      <c r="BT57" s="52" t="n">
        <f aca="false">(1+In_Opex_Esc)^(BT$7-YEAR(In_COD))</f>
        <v>1.3448888242463</v>
      </c>
      <c r="BU57" s="52" t="n">
        <f aca="false">(1+In_Opex_Esc)^(BU$7-YEAR(In_COD))</f>
        <v>1.3448888242463</v>
      </c>
      <c r="BV57" s="52" t="n">
        <f aca="false">(1+In_Opex_Esc)^(BV$7-YEAR(In_COD))</f>
        <v>1.3448888242463</v>
      </c>
      <c r="BW57" s="52" t="n">
        <f aca="false">(1+In_Opex_Esc)^(BW$7-YEAR(In_COD))</f>
        <v>1.37851104485245</v>
      </c>
      <c r="BX57" s="52" t="n">
        <f aca="false">(1+In_Opex_Esc)^(BX$7-YEAR(In_COD))</f>
        <v>1.37851104485245</v>
      </c>
      <c r="BY57" s="52" t="n">
        <f aca="false">(1+In_Opex_Esc)^(BY$7-YEAR(In_COD))</f>
        <v>1.37851104485245</v>
      </c>
      <c r="BZ57" s="52" t="n">
        <f aca="false">(1+In_Opex_Esc)^(BZ$7-YEAR(In_COD))</f>
        <v>1.37851104485245</v>
      </c>
      <c r="CA57" s="52" t="n">
        <f aca="false">(1+In_Opex_Esc)^(CA$7-YEAR(In_COD))</f>
        <v>1.41297382097377</v>
      </c>
      <c r="CB57" s="52" t="n">
        <f aca="false">(1+In_Opex_Esc)^(CB$7-YEAR(In_COD))</f>
        <v>1.41297382097377</v>
      </c>
      <c r="CC57" s="52" t="n">
        <f aca="false">(1+In_Opex_Esc)^(CC$7-YEAR(In_COD))</f>
        <v>1.41297382097377</v>
      </c>
      <c r="CD57" s="52" t="n">
        <f aca="false">(1+In_Opex_Esc)^(CD$7-YEAR(In_COD))</f>
        <v>1.41297382097377</v>
      </c>
      <c r="CE57" s="52" t="n">
        <f aca="false">(1+In_Opex_Esc)^(CE$7-YEAR(In_COD))</f>
        <v>1.44829816649811</v>
      </c>
      <c r="CF57" s="52" t="n">
        <f aca="false">(1+In_Opex_Esc)^(CF$7-YEAR(In_COD))</f>
        <v>1.44829816649811</v>
      </c>
      <c r="CG57" s="52" t="n">
        <f aca="false">(1+In_Opex_Esc)^(CG$7-YEAR(In_COD))</f>
        <v>1.44829816649811</v>
      </c>
      <c r="CH57" s="52" t="n">
        <f aca="false">(1+In_Opex_Esc)^(CH$7-YEAR(In_COD))</f>
        <v>1.44829816649811</v>
      </c>
      <c r="CI57" s="52" t="n">
        <f aca="false">(1+In_Opex_Esc)^(CI$7-YEAR(In_COD))</f>
        <v>1.48450562066056</v>
      </c>
      <c r="CJ57" s="52" t="n">
        <f aca="false">(1+In_Opex_Esc)^(CJ$7-YEAR(In_COD))</f>
        <v>1.48450562066056</v>
      </c>
      <c r="CK57" s="52" t="n">
        <f aca="false">(1+In_Opex_Esc)^(CK$7-YEAR(In_COD))</f>
        <v>1.48450562066056</v>
      </c>
      <c r="CL57" s="52" t="n">
        <f aca="false">(1+In_Opex_Esc)^(CL$7-YEAR(In_COD))</f>
        <v>1.48450562066056</v>
      </c>
      <c r="CM57" s="52" t="n">
        <f aca="false">(1+In_Opex_Esc)^(CM$7-YEAR(In_COD))</f>
        <v>1.52161826117708</v>
      </c>
      <c r="CN57" s="52" t="n">
        <f aca="false">(1+In_Opex_Esc)^(CN$7-YEAR(In_COD))</f>
        <v>1.52161826117708</v>
      </c>
      <c r="CO57" s="52" t="n">
        <f aca="false">(1+In_Opex_Esc)^(CO$7-YEAR(In_COD))</f>
        <v>1.52161826117708</v>
      </c>
      <c r="CP57" s="52" t="n">
        <f aca="false">(1+In_Opex_Esc)^(CP$7-YEAR(In_COD))</f>
        <v>1.52161826117708</v>
      </c>
      <c r="CQ57" s="52" t="n">
        <f aca="false">(1+In_Opex_Esc)^(CQ$7-YEAR(In_COD))</f>
        <v>1.5596587177065</v>
      </c>
      <c r="CR57" s="52" t="n">
        <f aca="false">(1+In_Opex_Esc)^(CR$7-YEAR(In_COD))</f>
        <v>1.5596587177065</v>
      </c>
      <c r="CS57" s="52" t="n">
        <f aca="false">(1+In_Opex_Esc)^(CS$7-YEAR(In_COD))</f>
        <v>1.5596587177065</v>
      </c>
      <c r="CT57" s="52" t="n">
        <f aca="false">(1+In_Opex_Esc)^(CT$7-YEAR(In_COD))</f>
        <v>1.5596587177065</v>
      </c>
      <c r="CU57" s="52" t="n">
        <f aca="false">(1+In_Opex_Esc)^(CU$7-YEAR(In_COD))</f>
        <v>1.59865018564917</v>
      </c>
      <c r="CV57" s="52" t="n">
        <f aca="false">(1+In_Opex_Esc)^(CV$7-YEAR(In_COD))</f>
        <v>1.59865018564917</v>
      </c>
      <c r="CW57" s="52" t="n">
        <f aca="false">(1+In_Opex_Esc)^(CW$7-YEAR(In_COD))</f>
        <v>1.59865018564917</v>
      </c>
      <c r="CX57" s="52" t="n">
        <f aca="false">(1+In_Opex_Esc)^(CX$7-YEAR(In_COD))</f>
        <v>1.59865018564917</v>
      </c>
      <c r="CY57" s="52" t="n">
        <f aca="false">(1+In_Opex_Esc)^(CY$7-YEAR(In_COD))</f>
        <v>1.63861644029039</v>
      </c>
      <c r="CZ57" s="52" t="n">
        <f aca="false">(1+In_Opex_Esc)^(CZ$7-YEAR(In_COD))</f>
        <v>1.63861644029039</v>
      </c>
      <c r="DA57" s="52" t="n">
        <f aca="false">(1+In_Opex_Esc)^(DA$7-YEAR(In_COD))</f>
        <v>1.63861644029039</v>
      </c>
      <c r="DB57" s="52" t="n">
        <f aca="false">(1+In_Opex_Esc)^(DB$7-YEAR(In_COD))</f>
        <v>1.63861644029039</v>
      </c>
      <c r="DC57" s="52" t="n">
        <f aca="false">(1+In_Opex_Esc)^(DC$7-YEAR(In_COD))</f>
        <v>1.67958185129765</v>
      </c>
      <c r="DD57" s="52" t="n">
        <f aca="false">(1+In_Opex_Esc)^(DD$7-YEAR(In_COD))</f>
        <v>1.67958185129765</v>
      </c>
      <c r="DE57" s="52" t="n">
        <f aca="false">(1+In_Opex_Esc)^(DE$7-YEAR(In_COD))</f>
        <v>1.67958185129765</v>
      </c>
      <c r="DF57" s="52" t="n">
        <f aca="false">(1+In_Opex_Esc)^(DF$7-YEAR(In_COD))</f>
        <v>1.67958185129765</v>
      </c>
      <c r="DG57" s="52" t="n">
        <f aca="false">(1+In_Opex_Esc)^(DG$7-YEAR(In_COD))</f>
        <v>1.7215713975801</v>
      </c>
      <c r="DH57" s="52" t="n">
        <f aca="false">(1+In_Opex_Esc)^(DH$7-YEAR(In_COD))</f>
        <v>1.7215713975801</v>
      </c>
      <c r="DI57" s="52" t="n">
        <f aca="false">(1+In_Opex_Esc)^(DI$7-YEAR(In_COD))</f>
        <v>1.7215713975801</v>
      </c>
      <c r="DJ57" s="52" t="n">
        <f aca="false">(1+In_Opex_Esc)^(DJ$7-YEAR(In_COD))</f>
        <v>1.7215713975801</v>
      </c>
      <c r="DK57" s="52" t="n">
        <f aca="false">(1+In_Opex_Esc)^(DK$7-YEAR(In_COD))</f>
        <v>1.7646106825196</v>
      </c>
      <c r="DL57" s="52" t="n">
        <f aca="false">(1+In_Opex_Esc)^(DL$7-YEAR(In_COD))</f>
        <v>1.7646106825196</v>
      </c>
      <c r="DM57" s="52" t="n">
        <f aca="false">(1+In_Opex_Esc)^(DM$7-YEAR(In_COD))</f>
        <v>1.7646106825196</v>
      </c>
      <c r="DN57" s="52" t="n">
        <f aca="false">(1+In_Opex_Esc)^(DN$7-YEAR(In_COD))</f>
        <v>1.7646106825196</v>
      </c>
      <c r="DO57" s="52" t="n">
        <f aca="false">(1+In_Opex_Esc)^(DO$7-YEAR(In_COD))</f>
        <v>1.80872594958259</v>
      </c>
      <c r="DP57" s="52" t="n">
        <f aca="false">(1+In_Opex_Esc)^(DP$7-YEAR(In_COD))</f>
        <v>1.80872594958259</v>
      </c>
      <c r="DQ57" s="52" t="n">
        <f aca="false">(1+In_Opex_Esc)^(DQ$7-YEAR(In_COD))</f>
        <v>1.80872594958259</v>
      </c>
      <c r="DR57" s="52" t="n">
        <f aca="false">(1+In_Opex_Esc)^(DR$7-YEAR(In_COD))</f>
        <v>1.80872594958259</v>
      </c>
      <c r="DS57" s="52" t="n">
        <f aca="false">(1+In_Opex_Esc)^(DS$7-YEAR(In_COD))</f>
        <v>1.85394409832215</v>
      </c>
      <c r="DT57" s="52" t="n">
        <f aca="false">(1+In_Opex_Esc)^(DT$7-YEAR(In_COD))</f>
        <v>1.85394409832215</v>
      </c>
      <c r="DU57" s="52" t="n">
        <f aca="false">(1+In_Opex_Esc)^(DU$7-YEAR(In_COD))</f>
        <v>1.85394409832215</v>
      </c>
      <c r="DV57" s="52" t="n">
        <f aca="false">(1+In_Opex_Esc)^(DV$7-YEAR(In_COD))</f>
        <v>1.85394409832215</v>
      </c>
      <c r="DW57" s="52" t="n">
        <f aca="false">(1+In_Opex_Esc)^(DW$7-YEAR(In_COD))</f>
        <v>1.90029270078021</v>
      </c>
      <c r="DX57" s="52" t="n">
        <f aca="false">(1+In_Opex_Esc)^(DX$7-YEAR(In_COD))</f>
        <v>1.90029270078021</v>
      </c>
      <c r="DY57" s="52" t="n">
        <f aca="false">(1+In_Opex_Esc)^(DY$7-YEAR(In_COD))</f>
        <v>1.90029270078021</v>
      </c>
      <c r="DZ57" s="52" t="n">
        <f aca="false">(1+In_Opex_Esc)^(DZ$7-YEAR(In_COD))</f>
        <v>1.90029270078021</v>
      </c>
      <c r="EA57" s="52" t="n">
        <f aca="false">(1+In_Opex_Esc)^(EA$7-YEAR(In_COD))</f>
        <v>1.94780001829971</v>
      </c>
      <c r="EB57" s="52" t="n">
        <f aca="false">(1+In_Opex_Esc)^(EB$7-YEAR(In_COD))</f>
        <v>1.94780001829971</v>
      </c>
      <c r="EC57" s="52" t="n">
        <f aca="false">(1+In_Opex_Esc)^(EC$7-YEAR(In_COD))</f>
        <v>1.94780001829971</v>
      </c>
      <c r="ED57" s="52" t="n">
        <f aca="false">(1+In_Opex_Esc)^(ED$7-YEAR(In_COD))</f>
        <v>1.94780001829971</v>
      </c>
      <c r="EE57" s="52" t="n">
        <f aca="false">(1+In_Opex_Esc)^(EE$7-YEAR(In_COD))</f>
        <v>1.9964950187572</v>
      </c>
      <c r="EF57" s="52" t="n">
        <f aca="false">(1+In_Opex_Esc)^(EF$7-YEAR(In_COD))</f>
        <v>1.9964950187572</v>
      </c>
      <c r="EG57" s="52" t="n">
        <f aca="false">(1+In_Opex_Esc)^(EG$7-YEAR(In_COD))</f>
        <v>1.9964950187572</v>
      </c>
      <c r="EH57" s="52" t="n">
        <f aca="false">(1+In_Opex_Esc)^(EH$7-YEAR(In_COD))</f>
        <v>1.9964950187572</v>
      </c>
      <c r="EI57" s="52" t="n">
        <f aca="false">(1+In_Opex_Esc)^(EI$7-YEAR(In_COD))</f>
        <v>2.04640739422613</v>
      </c>
      <c r="EJ57" s="52" t="n">
        <f aca="false">(1+In_Opex_Esc)^(EJ$7-YEAR(In_COD))</f>
        <v>2.04640739422613</v>
      </c>
      <c r="EK57" s="52" t="n">
        <f aca="false">(1+In_Opex_Esc)^(EK$7-YEAR(In_COD))</f>
        <v>2.04640739422613</v>
      </c>
      <c r="EL57" s="52" t="n">
        <f aca="false">(1+In_Opex_Esc)^(EL$7-YEAR(In_COD))</f>
        <v>2.04640739422613</v>
      </c>
      <c r="EM57" s="52" t="n">
        <f aca="false">(1+In_Opex_Esc)^(EM$7-YEAR(In_COD))</f>
        <v>2.09756757908179</v>
      </c>
      <c r="EN57" s="52" t="n">
        <f aca="false">(1+In_Opex_Esc)^(EN$7-YEAR(In_COD))</f>
        <v>2.09756757908179</v>
      </c>
      <c r="EO57" s="52" t="n">
        <f aca="false">(1+In_Opex_Esc)^(EO$7-YEAR(In_COD))</f>
        <v>2.09756757908179</v>
      </c>
    </row>
    <row r="58" customFormat="false" ht="15" hidden="false" customHeight="false" outlineLevel="0" collapsed="false">
      <c r="C58" s="0" t="s">
        <v>368</v>
      </c>
      <c r="D58" s="11" t="s">
        <v>24</v>
      </c>
      <c r="J58" s="25" t="n">
        <f aca="false">In_PPA_Price*(1+In_PPA_Esc)^(J$7-YEAR(In_COD))</f>
        <v>86.4882310034535</v>
      </c>
      <c r="K58" s="25" t="n">
        <f aca="false">In_PPA_Price*(1+In_PPA_Esc)^(K$7-YEAR(In_COD))</f>
        <v>87.353113313488</v>
      </c>
      <c r="L58" s="25" t="n">
        <f aca="false">In_PPA_Price*(1+In_PPA_Esc)^(L$7-YEAR(In_COD))</f>
        <v>87.353113313488</v>
      </c>
      <c r="M58" s="25" t="n">
        <f aca="false">In_PPA_Price*(1+In_PPA_Esc)^(M$7-YEAR(In_COD))</f>
        <v>87.353113313488</v>
      </c>
      <c r="N58" s="25" t="n">
        <f aca="false">In_PPA_Price*(1+In_PPA_Esc)^(N$7-YEAR(In_COD))</f>
        <v>87.353113313488</v>
      </c>
      <c r="O58" s="25" t="n">
        <f aca="false">In_PPA_Price*(1+In_PPA_Esc)^(O$7-YEAR(In_COD))</f>
        <v>88.2266444466229</v>
      </c>
      <c r="P58" s="25" t="n">
        <f aca="false">In_PPA_Price*(1+In_PPA_Esc)^(P$7-YEAR(In_COD))</f>
        <v>88.2266444466229</v>
      </c>
      <c r="Q58" s="25" t="n">
        <f aca="false">In_PPA_Price*(1+In_PPA_Esc)^(Q$7-YEAR(In_COD))</f>
        <v>88.2266444466229</v>
      </c>
      <c r="R58" s="25" t="n">
        <f aca="false">In_PPA_Price*(1+In_PPA_Esc)^(R$7-YEAR(In_COD))</f>
        <v>88.2266444466229</v>
      </c>
      <c r="S58" s="25" t="n">
        <f aca="false">In_PPA_Price*(1+In_PPA_Esc)^(S$7-YEAR(In_COD))</f>
        <v>89.1089108910891</v>
      </c>
      <c r="T58" s="25" t="n">
        <f aca="false">In_PPA_Price*(1+In_PPA_Esc)^(T$7-YEAR(In_COD))</f>
        <v>89.1089108910891</v>
      </c>
      <c r="U58" s="25" t="n">
        <f aca="false">In_PPA_Price*(1+In_PPA_Esc)^(U$7-YEAR(In_COD))</f>
        <v>89.1089108910891</v>
      </c>
      <c r="V58" s="25" t="n">
        <f aca="false">In_PPA_Price*(1+In_PPA_Esc)^(V$7-YEAR(In_COD))</f>
        <v>89.1089108910891</v>
      </c>
      <c r="W58" s="25" t="n">
        <f aca="false">In_PPA_Price*(1+In_PPA_Esc)^(W$7-YEAR(In_COD))</f>
        <v>90</v>
      </c>
      <c r="X58" s="25" t="n">
        <f aca="false">In_PPA_Price*(1+In_PPA_Esc)^(X$7-YEAR(In_COD))</f>
        <v>90</v>
      </c>
      <c r="Y58" s="25" t="n">
        <f aca="false">In_PPA_Price*(1+In_PPA_Esc)^(Y$7-YEAR(In_COD))</f>
        <v>90</v>
      </c>
      <c r="Z58" s="25" t="n">
        <f aca="false">In_PPA_Price*(1+In_PPA_Esc)^(Z$7-YEAR(In_COD))</f>
        <v>90</v>
      </c>
      <c r="AA58" s="25" t="n">
        <f aca="false">In_PPA_Price*(1+In_PPA_Esc)^(AA$7-YEAR(In_COD))</f>
        <v>90.9</v>
      </c>
      <c r="AB58" s="25" t="n">
        <f aca="false">In_PPA_Price*(1+In_PPA_Esc)^(AB$7-YEAR(In_COD))</f>
        <v>90.9</v>
      </c>
      <c r="AC58" s="25" t="n">
        <f aca="false">In_PPA_Price*(1+In_PPA_Esc)^(AC$7-YEAR(In_COD))</f>
        <v>90.9</v>
      </c>
      <c r="AD58" s="25" t="n">
        <f aca="false">In_PPA_Price*(1+In_PPA_Esc)^(AD$7-YEAR(In_COD))</f>
        <v>90.9</v>
      </c>
      <c r="AE58" s="25" t="n">
        <f aca="false">In_PPA_Price*(1+In_PPA_Esc)^(AE$7-YEAR(In_COD))</f>
        <v>91.809</v>
      </c>
      <c r="AF58" s="25" t="n">
        <f aca="false">In_PPA_Price*(1+In_PPA_Esc)^(AF$7-YEAR(In_COD))</f>
        <v>91.809</v>
      </c>
      <c r="AG58" s="25" t="n">
        <f aca="false">In_PPA_Price*(1+In_PPA_Esc)^(AG$7-YEAR(In_COD))</f>
        <v>91.809</v>
      </c>
      <c r="AH58" s="25" t="n">
        <f aca="false">In_PPA_Price*(1+In_PPA_Esc)^(AH$7-YEAR(In_COD))</f>
        <v>91.809</v>
      </c>
      <c r="AI58" s="25" t="n">
        <f aca="false">In_PPA_Price*(1+In_PPA_Esc)^(AI$7-YEAR(In_COD))</f>
        <v>92.72709</v>
      </c>
      <c r="AJ58" s="25" t="n">
        <f aca="false">In_PPA_Price*(1+In_PPA_Esc)^(AJ$7-YEAR(In_COD))</f>
        <v>92.72709</v>
      </c>
      <c r="AK58" s="25" t="n">
        <f aca="false">In_PPA_Price*(1+In_PPA_Esc)^(AK$7-YEAR(In_COD))</f>
        <v>92.72709</v>
      </c>
      <c r="AL58" s="25" t="n">
        <f aca="false">In_PPA_Price*(1+In_PPA_Esc)^(AL$7-YEAR(In_COD))</f>
        <v>92.72709</v>
      </c>
      <c r="AM58" s="25" t="n">
        <f aca="false">In_PPA_Price*(1+In_PPA_Esc)^(AM$7-YEAR(In_COD))</f>
        <v>93.6543609</v>
      </c>
      <c r="AN58" s="25" t="n">
        <f aca="false">In_PPA_Price*(1+In_PPA_Esc)^(AN$7-YEAR(In_COD))</f>
        <v>93.6543609</v>
      </c>
      <c r="AO58" s="25" t="n">
        <f aca="false">In_PPA_Price*(1+In_PPA_Esc)^(AO$7-YEAR(In_COD))</f>
        <v>93.6543609</v>
      </c>
      <c r="AP58" s="25" t="n">
        <f aca="false">In_PPA_Price*(1+In_PPA_Esc)^(AP$7-YEAR(In_COD))</f>
        <v>93.6543609</v>
      </c>
      <c r="AQ58" s="25" t="n">
        <f aca="false">In_PPA_Price*(1+In_PPA_Esc)^(AQ$7-YEAR(In_COD))</f>
        <v>94.590904509</v>
      </c>
      <c r="AR58" s="25" t="n">
        <f aca="false">In_PPA_Price*(1+In_PPA_Esc)^(AR$7-YEAR(In_COD))</f>
        <v>94.590904509</v>
      </c>
      <c r="AS58" s="25" t="n">
        <f aca="false">In_PPA_Price*(1+In_PPA_Esc)^(AS$7-YEAR(In_COD))</f>
        <v>94.590904509</v>
      </c>
      <c r="AT58" s="25" t="n">
        <f aca="false">In_PPA_Price*(1+In_PPA_Esc)^(AT$7-YEAR(In_COD))</f>
        <v>94.590904509</v>
      </c>
      <c r="AU58" s="25" t="n">
        <f aca="false">In_PPA_Price*(1+In_PPA_Esc)^(AU$7-YEAR(In_COD))</f>
        <v>95.53681355409</v>
      </c>
      <c r="AV58" s="25" t="n">
        <f aca="false">In_PPA_Price*(1+In_PPA_Esc)^(AV$7-YEAR(In_COD))</f>
        <v>95.53681355409</v>
      </c>
      <c r="AW58" s="25" t="n">
        <f aca="false">In_PPA_Price*(1+In_PPA_Esc)^(AW$7-YEAR(In_COD))</f>
        <v>95.53681355409</v>
      </c>
      <c r="AX58" s="25" t="n">
        <f aca="false">In_PPA_Price*(1+In_PPA_Esc)^(AX$7-YEAR(In_COD))</f>
        <v>95.53681355409</v>
      </c>
      <c r="AY58" s="25" t="n">
        <f aca="false">In_PPA_Price*(1+In_PPA_Esc)^(AY$7-YEAR(In_COD))</f>
        <v>96.4921816896309</v>
      </c>
      <c r="AZ58" s="25" t="n">
        <f aca="false">In_PPA_Price*(1+In_PPA_Esc)^(AZ$7-YEAR(In_COD))</f>
        <v>96.4921816896309</v>
      </c>
      <c r="BA58" s="25" t="n">
        <f aca="false">In_PPA_Price*(1+In_PPA_Esc)^(BA$7-YEAR(In_COD))</f>
        <v>96.4921816896309</v>
      </c>
      <c r="BB58" s="25" t="n">
        <f aca="false">In_PPA_Price*(1+In_PPA_Esc)^(BB$7-YEAR(In_COD))</f>
        <v>96.4921816896309</v>
      </c>
      <c r="BC58" s="25" t="n">
        <f aca="false">In_PPA_Price*(1+In_PPA_Esc)^(BC$7-YEAR(In_COD))</f>
        <v>97.4571035065272</v>
      </c>
      <c r="BD58" s="25" t="n">
        <f aca="false">In_PPA_Price*(1+In_PPA_Esc)^(BD$7-YEAR(In_COD))</f>
        <v>97.4571035065272</v>
      </c>
      <c r="BE58" s="25" t="n">
        <f aca="false">In_PPA_Price*(1+In_PPA_Esc)^(BE$7-YEAR(In_COD))</f>
        <v>97.4571035065272</v>
      </c>
      <c r="BF58" s="25" t="n">
        <f aca="false">In_PPA_Price*(1+In_PPA_Esc)^(BF$7-YEAR(In_COD))</f>
        <v>97.4571035065272</v>
      </c>
      <c r="BG58" s="25" t="n">
        <f aca="false">In_PPA_Price*(1+In_PPA_Esc)^(BG$7-YEAR(In_COD))</f>
        <v>98.4316745415925</v>
      </c>
      <c r="BH58" s="25" t="n">
        <f aca="false">In_PPA_Price*(1+In_PPA_Esc)^(BH$7-YEAR(In_COD))</f>
        <v>98.4316745415925</v>
      </c>
      <c r="BI58" s="25" t="n">
        <f aca="false">In_PPA_Price*(1+In_PPA_Esc)^(BI$7-YEAR(In_COD))</f>
        <v>98.4316745415925</v>
      </c>
      <c r="BJ58" s="25" t="n">
        <f aca="false">In_PPA_Price*(1+In_PPA_Esc)^(BJ$7-YEAR(In_COD))</f>
        <v>98.4316745415925</v>
      </c>
      <c r="BK58" s="25" t="n">
        <f aca="false">In_PPA_Price*(1+In_PPA_Esc)^(BK$7-YEAR(In_COD))</f>
        <v>99.4159912870084</v>
      </c>
      <c r="BL58" s="25" t="n">
        <f aca="false">In_PPA_Price*(1+In_PPA_Esc)^(BL$7-YEAR(In_COD))</f>
        <v>99.4159912870084</v>
      </c>
      <c r="BM58" s="25" t="n">
        <f aca="false">In_PPA_Price*(1+In_PPA_Esc)^(BM$7-YEAR(In_COD))</f>
        <v>99.4159912870084</v>
      </c>
      <c r="BN58" s="25" t="n">
        <f aca="false">In_PPA_Price*(1+In_PPA_Esc)^(BN$7-YEAR(In_COD))</f>
        <v>99.4159912870084</v>
      </c>
      <c r="BO58" s="25" t="n">
        <f aca="false">In_PPA_Price*(1+In_PPA_Esc)^(BO$7-YEAR(In_COD))</f>
        <v>100.410151199878</v>
      </c>
      <c r="BP58" s="25" t="n">
        <f aca="false">In_PPA_Price*(1+In_PPA_Esc)^(BP$7-YEAR(In_COD))</f>
        <v>100.410151199878</v>
      </c>
      <c r="BQ58" s="25" t="n">
        <f aca="false">In_PPA_Price*(1+In_PPA_Esc)^(BQ$7-YEAR(In_COD))</f>
        <v>100.410151199878</v>
      </c>
      <c r="BR58" s="25" t="n">
        <f aca="false">In_PPA_Price*(1+In_PPA_Esc)^(BR$7-YEAR(In_COD))</f>
        <v>100.410151199878</v>
      </c>
      <c r="BS58" s="25" t="n">
        <f aca="false">In_PPA_Price*(1+In_PPA_Esc)^(BS$7-YEAR(In_COD))</f>
        <v>101.414252711877</v>
      </c>
      <c r="BT58" s="25" t="n">
        <f aca="false">In_PPA_Price*(1+In_PPA_Esc)^(BT$7-YEAR(In_COD))</f>
        <v>101.414252711877</v>
      </c>
      <c r="BU58" s="25" t="n">
        <f aca="false">In_PPA_Price*(1+In_PPA_Esc)^(BU$7-YEAR(In_COD))</f>
        <v>101.414252711877</v>
      </c>
      <c r="BV58" s="25" t="n">
        <f aca="false">In_PPA_Price*(1+In_PPA_Esc)^(BV$7-YEAR(In_COD))</f>
        <v>101.414252711877</v>
      </c>
      <c r="BW58" s="25" t="n">
        <f aca="false">In_PPA_Price*(1+In_PPA_Esc)^(BW$7-YEAR(In_COD))</f>
        <v>102.428395238996</v>
      </c>
      <c r="BX58" s="25" t="n">
        <f aca="false">In_PPA_Price*(1+In_PPA_Esc)^(BX$7-YEAR(In_COD))</f>
        <v>102.428395238996</v>
      </c>
      <c r="BY58" s="25" t="n">
        <f aca="false">In_PPA_Price*(1+In_PPA_Esc)^(BY$7-YEAR(In_COD))</f>
        <v>102.428395238996</v>
      </c>
      <c r="BZ58" s="25" t="n">
        <f aca="false">In_PPA_Price*(1+In_PPA_Esc)^(BZ$7-YEAR(In_COD))</f>
        <v>102.428395238996</v>
      </c>
      <c r="CA58" s="25" t="n">
        <f aca="false">In_PPA_Price*(1+In_PPA_Esc)^(CA$7-YEAR(In_COD))</f>
        <v>103.452679191386</v>
      </c>
      <c r="CB58" s="25" t="n">
        <f aca="false">In_PPA_Price*(1+In_PPA_Esc)^(CB$7-YEAR(In_COD))</f>
        <v>103.452679191386</v>
      </c>
      <c r="CC58" s="25" t="n">
        <f aca="false">In_PPA_Price*(1+In_PPA_Esc)^(CC$7-YEAR(In_COD))</f>
        <v>103.452679191386</v>
      </c>
      <c r="CD58" s="25" t="n">
        <f aca="false">In_PPA_Price*(1+In_PPA_Esc)^(CD$7-YEAR(In_COD))</f>
        <v>103.452679191386</v>
      </c>
      <c r="CE58" s="25" t="n">
        <f aca="false">In_PPA_Price*(1+In_PPA_Esc)^(CE$7-YEAR(In_COD))</f>
        <v>104.4872059833</v>
      </c>
      <c r="CF58" s="25" t="n">
        <f aca="false">In_PPA_Price*(1+In_PPA_Esc)^(CF$7-YEAR(In_COD))</f>
        <v>104.4872059833</v>
      </c>
      <c r="CG58" s="25" t="n">
        <f aca="false">In_PPA_Price*(1+In_PPA_Esc)^(CG$7-YEAR(In_COD))</f>
        <v>104.4872059833</v>
      </c>
      <c r="CH58" s="25" t="n">
        <f aca="false">In_PPA_Price*(1+In_PPA_Esc)^(CH$7-YEAR(In_COD))</f>
        <v>104.4872059833</v>
      </c>
      <c r="CI58" s="25" t="n">
        <f aca="false">In_PPA_Price*(1+In_PPA_Esc)^(CI$7-YEAR(In_COD))</f>
        <v>105.532078043133</v>
      </c>
      <c r="CJ58" s="25" t="n">
        <f aca="false">In_PPA_Price*(1+In_PPA_Esc)^(CJ$7-YEAR(In_COD))</f>
        <v>105.532078043133</v>
      </c>
      <c r="CK58" s="25" t="n">
        <f aca="false">In_PPA_Price*(1+In_PPA_Esc)^(CK$7-YEAR(In_COD))</f>
        <v>105.532078043133</v>
      </c>
      <c r="CL58" s="25" t="n">
        <f aca="false">In_PPA_Price*(1+In_PPA_Esc)^(CL$7-YEAR(In_COD))</f>
        <v>105.532078043133</v>
      </c>
      <c r="CM58" s="25" t="n">
        <f aca="false">In_PPA_Price*(1+In_PPA_Esc)^(CM$7-YEAR(In_COD))</f>
        <v>106.587398823564</v>
      </c>
      <c r="CN58" s="25" t="n">
        <f aca="false">In_PPA_Price*(1+In_PPA_Esc)^(CN$7-YEAR(In_COD))</f>
        <v>106.587398823564</v>
      </c>
      <c r="CO58" s="25" t="n">
        <f aca="false">In_PPA_Price*(1+In_PPA_Esc)^(CO$7-YEAR(In_COD))</f>
        <v>106.587398823564</v>
      </c>
      <c r="CP58" s="25" t="n">
        <f aca="false">In_PPA_Price*(1+In_PPA_Esc)^(CP$7-YEAR(In_COD))</f>
        <v>106.587398823564</v>
      </c>
      <c r="CQ58" s="25" t="n">
        <f aca="false">In_PPA_Price*(1+In_PPA_Esc)^(CQ$7-YEAR(In_COD))</f>
        <v>107.6532728118</v>
      </c>
      <c r="CR58" s="25" t="n">
        <f aca="false">In_PPA_Price*(1+In_PPA_Esc)^(CR$7-YEAR(In_COD))</f>
        <v>107.6532728118</v>
      </c>
      <c r="CS58" s="25" t="n">
        <f aca="false">In_PPA_Price*(1+In_PPA_Esc)^(CS$7-YEAR(In_COD))</f>
        <v>107.6532728118</v>
      </c>
      <c r="CT58" s="25" t="n">
        <f aca="false">In_PPA_Price*(1+In_PPA_Esc)^(CT$7-YEAR(In_COD))</f>
        <v>107.6532728118</v>
      </c>
      <c r="CU58" s="25" t="n">
        <f aca="false">In_PPA_Price*(1+In_PPA_Esc)^(CU$7-YEAR(In_COD))</f>
        <v>108.729805539918</v>
      </c>
      <c r="CV58" s="25" t="n">
        <f aca="false">In_PPA_Price*(1+In_PPA_Esc)^(CV$7-YEAR(In_COD))</f>
        <v>108.729805539918</v>
      </c>
      <c r="CW58" s="25" t="n">
        <f aca="false">In_PPA_Price*(1+In_PPA_Esc)^(CW$7-YEAR(In_COD))</f>
        <v>108.729805539918</v>
      </c>
      <c r="CX58" s="25" t="n">
        <f aca="false">In_PPA_Price*(1+In_PPA_Esc)^(CX$7-YEAR(In_COD))</f>
        <v>108.729805539918</v>
      </c>
      <c r="CY58" s="25" t="n">
        <f aca="false">In_PPA_Price*(1+In_PPA_Esc)^(CY$7-YEAR(In_COD))</f>
        <v>109.817103595317</v>
      </c>
      <c r="CZ58" s="25" t="n">
        <f aca="false">In_PPA_Price*(1+In_PPA_Esc)^(CZ$7-YEAR(In_COD))</f>
        <v>109.817103595317</v>
      </c>
      <c r="DA58" s="25" t="n">
        <f aca="false">In_PPA_Price*(1+In_PPA_Esc)^(DA$7-YEAR(In_COD))</f>
        <v>109.817103595317</v>
      </c>
      <c r="DB58" s="25" t="n">
        <f aca="false">In_PPA_Price*(1+In_PPA_Esc)^(DB$7-YEAR(In_COD))</f>
        <v>109.817103595317</v>
      </c>
      <c r="DC58" s="25" t="n">
        <f aca="false">In_PPA_Price*(1+In_PPA_Esc)^(DC$7-YEAR(In_COD))</f>
        <v>110.91527463127</v>
      </c>
      <c r="DD58" s="25" t="n">
        <f aca="false">In_PPA_Price*(1+In_PPA_Esc)^(DD$7-YEAR(In_COD))</f>
        <v>110.91527463127</v>
      </c>
      <c r="DE58" s="25" t="n">
        <f aca="false">In_PPA_Price*(1+In_PPA_Esc)^(DE$7-YEAR(In_COD))</f>
        <v>110.91527463127</v>
      </c>
      <c r="DF58" s="25" t="n">
        <f aca="false">In_PPA_Price*(1+In_PPA_Esc)^(DF$7-YEAR(In_COD))</f>
        <v>110.91527463127</v>
      </c>
      <c r="DG58" s="25" t="n">
        <f aca="false">In_PPA_Price*(1+In_PPA_Esc)^(DG$7-YEAR(In_COD))</f>
        <v>112.024427377583</v>
      </c>
      <c r="DH58" s="25" t="n">
        <f aca="false">In_PPA_Price*(1+In_PPA_Esc)^(DH$7-YEAR(In_COD))</f>
        <v>112.024427377583</v>
      </c>
      <c r="DI58" s="25" t="n">
        <f aca="false">In_PPA_Price*(1+In_PPA_Esc)^(DI$7-YEAR(In_COD))</f>
        <v>112.024427377583</v>
      </c>
      <c r="DJ58" s="25" t="n">
        <f aca="false">In_PPA_Price*(1+In_PPA_Esc)^(DJ$7-YEAR(In_COD))</f>
        <v>112.024427377583</v>
      </c>
      <c r="DK58" s="25" t="n">
        <f aca="false">In_PPA_Price*(1+In_PPA_Esc)^(DK$7-YEAR(In_COD))</f>
        <v>113.144671651359</v>
      </c>
      <c r="DL58" s="25" t="n">
        <f aca="false">In_PPA_Price*(1+In_PPA_Esc)^(DL$7-YEAR(In_COD))</f>
        <v>113.144671651359</v>
      </c>
      <c r="DM58" s="25" t="n">
        <f aca="false">In_PPA_Price*(1+In_PPA_Esc)^(DM$7-YEAR(In_COD))</f>
        <v>113.144671651359</v>
      </c>
      <c r="DN58" s="25" t="n">
        <f aca="false">In_PPA_Price*(1+In_PPA_Esc)^(DN$7-YEAR(In_COD))</f>
        <v>113.144671651359</v>
      </c>
      <c r="DO58" s="25" t="n">
        <f aca="false">In_PPA_Price*(1+In_PPA_Esc)^(DO$7-YEAR(In_COD))</f>
        <v>114.276118367872</v>
      </c>
      <c r="DP58" s="25" t="n">
        <f aca="false">In_PPA_Price*(1+In_PPA_Esc)^(DP$7-YEAR(In_COD))</f>
        <v>114.276118367872</v>
      </c>
      <c r="DQ58" s="25" t="n">
        <f aca="false">In_PPA_Price*(1+In_PPA_Esc)^(DQ$7-YEAR(In_COD))</f>
        <v>114.276118367872</v>
      </c>
      <c r="DR58" s="25" t="n">
        <f aca="false">In_PPA_Price*(1+In_PPA_Esc)^(DR$7-YEAR(In_COD))</f>
        <v>114.276118367872</v>
      </c>
      <c r="DS58" s="25" t="n">
        <f aca="false">In_PPA_Price*(1+In_PPA_Esc)^(DS$7-YEAR(In_COD))</f>
        <v>115.418879551551</v>
      </c>
      <c r="DT58" s="25" t="n">
        <f aca="false">In_PPA_Price*(1+In_PPA_Esc)^(DT$7-YEAR(In_COD))</f>
        <v>115.418879551551</v>
      </c>
      <c r="DU58" s="25" t="n">
        <f aca="false">In_PPA_Price*(1+In_PPA_Esc)^(DU$7-YEAR(In_COD))</f>
        <v>115.418879551551</v>
      </c>
      <c r="DV58" s="25" t="n">
        <f aca="false">In_PPA_Price*(1+In_PPA_Esc)^(DV$7-YEAR(In_COD))</f>
        <v>115.418879551551</v>
      </c>
      <c r="DW58" s="25" t="n">
        <f aca="false">In_PPA_Price*(1+In_PPA_Esc)^(DW$7-YEAR(In_COD))</f>
        <v>116.573068347067</v>
      </c>
      <c r="DX58" s="25" t="n">
        <f aca="false">In_PPA_Price*(1+In_PPA_Esc)^(DX$7-YEAR(In_COD))</f>
        <v>116.573068347067</v>
      </c>
      <c r="DY58" s="25" t="n">
        <f aca="false">In_PPA_Price*(1+In_PPA_Esc)^(DY$7-YEAR(In_COD))</f>
        <v>116.573068347067</v>
      </c>
      <c r="DZ58" s="25" t="n">
        <f aca="false">In_PPA_Price*(1+In_PPA_Esc)^(DZ$7-YEAR(In_COD))</f>
        <v>116.573068347067</v>
      </c>
      <c r="EA58" s="25" t="n">
        <f aca="false">In_PPA_Price*(1+In_PPA_Esc)^(EA$7-YEAR(In_COD))</f>
        <v>117.738799030537</v>
      </c>
      <c r="EB58" s="25" t="n">
        <f aca="false">In_PPA_Price*(1+In_PPA_Esc)^(EB$7-YEAR(In_COD))</f>
        <v>117.738799030537</v>
      </c>
      <c r="EC58" s="25" t="n">
        <f aca="false">In_PPA_Price*(1+In_PPA_Esc)^(EC$7-YEAR(In_COD))</f>
        <v>117.738799030537</v>
      </c>
      <c r="ED58" s="25" t="n">
        <f aca="false">In_PPA_Price*(1+In_PPA_Esc)^(ED$7-YEAR(In_COD))</f>
        <v>117.738799030537</v>
      </c>
      <c r="EE58" s="25" t="n">
        <f aca="false">In_PPA_Price*(1+In_PPA_Esc)^(EE$7-YEAR(In_COD))</f>
        <v>118.916187020843</v>
      </c>
      <c r="EF58" s="25" t="n">
        <f aca="false">In_PPA_Price*(1+In_PPA_Esc)^(EF$7-YEAR(In_COD))</f>
        <v>118.916187020843</v>
      </c>
      <c r="EG58" s="25" t="n">
        <f aca="false">In_PPA_Price*(1+In_PPA_Esc)^(EG$7-YEAR(In_COD))</f>
        <v>118.916187020843</v>
      </c>
      <c r="EH58" s="25" t="n">
        <f aca="false">In_PPA_Price*(1+In_PPA_Esc)^(EH$7-YEAR(In_COD))</f>
        <v>118.916187020843</v>
      </c>
      <c r="EI58" s="25" t="n">
        <f aca="false">In_PPA_Price*(1+In_PPA_Esc)^(EI$7-YEAR(In_COD))</f>
        <v>120.105348891051</v>
      </c>
      <c r="EJ58" s="25" t="n">
        <f aca="false">In_PPA_Price*(1+In_PPA_Esc)^(EJ$7-YEAR(In_COD))</f>
        <v>120.105348891051</v>
      </c>
      <c r="EK58" s="25" t="n">
        <f aca="false">In_PPA_Price*(1+In_PPA_Esc)^(EK$7-YEAR(In_COD))</f>
        <v>120.105348891051</v>
      </c>
      <c r="EL58" s="25" t="n">
        <f aca="false">In_PPA_Price*(1+In_PPA_Esc)^(EL$7-YEAR(In_COD))</f>
        <v>120.105348891051</v>
      </c>
      <c r="EM58" s="25" t="n">
        <f aca="false">In_PPA_Price*(1+In_PPA_Esc)^(EM$7-YEAR(In_COD))</f>
        <v>121.306402379962</v>
      </c>
      <c r="EN58" s="25" t="n">
        <f aca="false">In_PPA_Price*(1+In_PPA_Esc)^(EN$7-YEAR(In_COD))</f>
        <v>121.306402379962</v>
      </c>
      <c r="EO58" s="25" t="n">
        <f aca="false">In_PPA_Price*(1+In_PPA_Esc)^(EO$7-YEAR(In_COD))</f>
        <v>121.306402379962</v>
      </c>
    </row>
    <row r="59" customFormat="false" ht="15" hidden="false" customHeight="false" outlineLevel="0" collapsed="false">
      <c r="C59" s="0" t="s">
        <v>369</v>
      </c>
      <c r="D59" s="11" t="s">
        <v>370</v>
      </c>
      <c r="E59" s="43" t="n">
        <f aca="false">SUMIF($J$7:$EO$7,YEAR(In_COD)+1,$J59:$EO59)</f>
        <v>120448.851945205</v>
      </c>
      <c r="I59" s="43" t="n">
        <f aca="false">SUM(J59:EO59)</f>
        <v>3465738.51998063</v>
      </c>
      <c r="J59" s="43" t="n">
        <f aca="false">In_Wind_MW*In_P50_Hours*(1-In_Curtailment)*(1-In_Degradation)^(J20-1)*J15*J$6</f>
        <v>0</v>
      </c>
      <c r="K59" s="43" t="n">
        <f aca="false">In_Wind_MW*In_P50_Hours*(1-In_Curtailment)*(1-In_Degradation)^(K20-1)*K15*K$6</f>
        <v>0</v>
      </c>
      <c r="L59" s="43" t="n">
        <f aca="false">In_Wind_MW*In_P50_Hours*(1-In_Curtailment)*(1-In_Degradation)^(L20-1)*L15*L$6</f>
        <v>0</v>
      </c>
      <c r="M59" s="43" t="n">
        <f aca="false">In_Wind_MW*In_P50_Hours*(1-In_Curtailment)*(1-In_Degradation)^(M20-1)*M15*M$6</f>
        <v>0</v>
      </c>
      <c r="N59" s="43" t="n">
        <f aca="false">In_Wind_MW*In_P50_Hours*(1-In_Curtailment)*(1-In_Degradation)^(N20-1)*N15*N$6</f>
        <v>0</v>
      </c>
      <c r="O59" s="43" t="n">
        <f aca="false">In_Wind_MW*In_P50_Hours*(1-In_Curtailment)*(1-In_Degradation)^(O20-1)*O15*O$6</f>
        <v>0</v>
      </c>
      <c r="P59" s="43" t="n">
        <f aca="false">In_Wind_MW*In_P50_Hours*(1-In_Curtailment)*(1-In_Degradation)^(P20-1)*P15*P$6</f>
        <v>0</v>
      </c>
      <c r="Q59" s="43" t="n">
        <f aca="false">In_Wind_MW*In_P50_Hours*(1-In_Curtailment)*(1-In_Degradation)^(Q20-1)*Q15*Q$6</f>
        <v>0</v>
      </c>
      <c r="R59" s="43" t="n">
        <f aca="false">In_Wind_MW*In_P50_Hours*(1-In_Curtailment)*(1-In_Degradation)^(R20-1)*R15*R$6</f>
        <v>0</v>
      </c>
      <c r="S59" s="43" t="n">
        <f aca="false">In_Wind_MW*In_P50_Hours*(1-In_Curtailment)*(1-In_Degradation)^(S20-1)*S15*S$6</f>
        <v>0</v>
      </c>
      <c r="T59" s="43" t="n">
        <f aca="false">In_Wind_MW*In_P50_Hours*(1-In_Curtailment)*(1-In_Degradation)^(T20-1)*T15*T$6</f>
        <v>0</v>
      </c>
      <c r="U59" s="43" t="n">
        <f aca="false">In_Wind_MW*In_P50_Hours*(1-In_Curtailment)*(1-In_Degradation)^(U20-1)*U15*U$6</f>
        <v>0</v>
      </c>
      <c r="V59" s="43" t="n">
        <f aca="false">In_Wind_MW*In_P50_Hours*(1-In_Curtailment)*(1-In_Degradation)^(V20-1)*V15*V$6</f>
        <v>0</v>
      </c>
      <c r="W59" s="43" t="n">
        <f aca="false">In_Wind_MW*In_P50_Hours*(1-In_Curtailment)*(1-In_Degradation)^(W20-1)*W15*W$6</f>
        <v>0</v>
      </c>
      <c r="X59" s="43" t="n">
        <f aca="false">In_Wind_MW*In_P50_Hours*(1-In_Curtailment)*(1-In_Degradation)^(X20-1)*X15*X$6</f>
        <v>0</v>
      </c>
      <c r="Y59" s="43" t="n">
        <f aca="false">In_Wind_MW*In_P50_Hours*(1-In_Curtailment)*(1-In_Degradation)^(Y20-1)*Y15*Y$6</f>
        <v>0</v>
      </c>
      <c r="Z59" s="43" t="n">
        <f aca="false">In_Wind_MW*In_P50_Hours*(1-In_Curtailment)*(1-In_Degradation)^(Z20-1)*Z15*Z$6</f>
        <v>30382.6849315069</v>
      </c>
      <c r="AA59" s="43" t="n">
        <f aca="false">In_Wind_MW*In_P50_Hours*(1-In_Curtailment)*(1-In_Degradation)^(AA20-1)*AA15*AA$6</f>
        <v>29722.1917808219</v>
      </c>
      <c r="AB59" s="43" t="n">
        <f aca="false">In_Wind_MW*In_P50_Hours*(1-In_Curtailment)*(1-In_Degradation)^(AB20-1)*AB15*AB$6</f>
        <v>30052.4383561644</v>
      </c>
      <c r="AC59" s="43" t="n">
        <f aca="false">In_Wind_MW*In_P50_Hours*(1-In_Curtailment)*(1-In_Degradation)^(AC20-1)*AC15*AC$6</f>
        <v>30382.6849315069</v>
      </c>
      <c r="AD59" s="43" t="n">
        <f aca="false">In_Wind_MW*In_P50_Hours*(1-In_Curtailment)*(1-In_Degradation)^(AD20-1)*AD15*AD$6</f>
        <v>30291.5368767123</v>
      </c>
      <c r="AE59" s="43" t="n">
        <f aca="false">In_Wind_MW*In_P50_Hours*(1-In_Curtailment)*(1-In_Degradation)^(AE20-1)*AE15*AE$6</f>
        <v>29962.2810410959</v>
      </c>
      <c r="AF59" s="43" t="n">
        <f aca="false">In_Wind_MW*In_P50_Hours*(1-In_Curtailment)*(1-In_Degradation)^(AF20-1)*AF15*AF$6</f>
        <v>29962.2810410959</v>
      </c>
      <c r="AG59" s="43" t="n">
        <f aca="false">In_Wind_MW*In_P50_Hours*(1-In_Curtailment)*(1-In_Degradation)^(AG20-1)*AG15*AG$6</f>
        <v>30291.5368767123</v>
      </c>
      <c r="AH59" s="43" t="n">
        <f aca="false">In_Wind_MW*In_P50_Hours*(1-In_Curtailment)*(1-In_Degradation)^(AH20-1)*AH15*AH$6</f>
        <v>30200.6622660822</v>
      </c>
      <c r="AI59" s="43" t="n">
        <f aca="false">In_Wind_MW*In_P50_Hours*(1-In_Curtailment)*(1-In_Degradation)^(AI20-1)*AI15*AI$6</f>
        <v>29544.126129863</v>
      </c>
      <c r="AJ59" s="43" t="n">
        <f aca="false">In_Wind_MW*In_P50_Hours*(1-In_Curtailment)*(1-In_Degradation)^(AJ20-1)*AJ15*AJ$6</f>
        <v>29872.3941979726</v>
      </c>
      <c r="AK59" s="43" t="n">
        <f aca="false">In_Wind_MW*In_P50_Hours*(1-In_Curtailment)*(1-In_Degradation)^(AK20-1)*AK15*AK$6</f>
        <v>30200.6622660822</v>
      </c>
      <c r="AL59" s="43" t="n">
        <f aca="false">In_Wind_MW*In_P50_Hours*(1-In_Curtailment)*(1-In_Degradation)^(AL20-1)*AL15*AL$6</f>
        <v>30110.060279284</v>
      </c>
      <c r="AM59" s="43" t="n">
        <f aca="false">In_Wind_MW*In_P50_Hours*(1-In_Curtailment)*(1-In_Degradation)^(AM20-1)*AM15*AM$6</f>
        <v>29455.4937514734</v>
      </c>
      <c r="AN59" s="43" t="n">
        <f aca="false">In_Wind_MW*In_P50_Hours*(1-In_Curtailment)*(1-In_Degradation)^(AN20-1)*AN15*AN$6</f>
        <v>29782.7770153787</v>
      </c>
      <c r="AO59" s="43" t="n">
        <f aca="false">In_Wind_MW*In_P50_Hours*(1-In_Curtailment)*(1-In_Degradation)^(AO20-1)*AO15*AO$6</f>
        <v>30110.060279284</v>
      </c>
      <c r="AP59" s="43" t="n">
        <f aca="false">In_Wind_MW*In_P50_Hours*(1-In_Curtailment)*(1-In_Degradation)^(AP20-1)*AP15*AP$6</f>
        <v>30019.7300984461</v>
      </c>
      <c r="AQ59" s="43" t="n">
        <f aca="false">In_Wind_MW*In_P50_Hours*(1-In_Curtailment)*(1-In_Degradation)^(AQ20-1)*AQ15*AQ$6</f>
        <v>29367.127270219</v>
      </c>
      <c r="AR59" s="43" t="n">
        <f aca="false">In_Wind_MW*In_P50_Hours*(1-In_Curtailment)*(1-In_Degradation)^(AR20-1)*AR15*AR$6</f>
        <v>29693.4286843326</v>
      </c>
      <c r="AS59" s="43" t="n">
        <f aca="false">In_Wind_MW*In_P50_Hours*(1-In_Curtailment)*(1-In_Degradation)^(AS20-1)*AS15*AS$6</f>
        <v>30019.7300984461</v>
      </c>
      <c r="AT59" s="43" t="n">
        <f aca="false">In_Wind_MW*In_P50_Hours*(1-In_Curtailment)*(1-In_Degradation)^(AT20-1)*AT15*AT$6</f>
        <v>29929.6709081508</v>
      </c>
      <c r="AU59" s="43" t="n">
        <f aca="false">In_Wind_MW*In_P50_Hours*(1-In_Curtailment)*(1-In_Degradation)^(AU20-1)*AU15*AU$6</f>
        <v>29604.3483982796</v>
      </c>
      <c r="AV59" s="43" t="n">
        <f aca="false">In_Wind_MW*In_P50_Hours*(1-In_Curtailment)*(1-In_Degradation)^(AV20-1)*AV15*AV$6</f>
        <v>29604.3483982796</v>
      </c>
      <c r="AW59" s="43" t="n">
        <f aca="false">In_Wind_MW*In_P50_Hours*(1-In_Curtailment)*(1-In_Degradation)^(AW20-1)*AW15*AW$6</f>
        <v>29929.6709081508</v>
      </c>
      <c r="AX59" s="43" t="n">
        <f aca="false">In_Wind_MW*In_P50_Hours*(1-In_Curtailment)*(1-In_Degradation)^(AX20-1)*AX15*AX$6</f>
        <v>29839.8818954263</v>
      </c>
      <c r="AY59" s="43" t="n">
        <f aca="false">In_Wind_MW*In_P50_Hours*(1-In_Curtailment)*(1-In_Degradation)^(AY20-1)*AY15*AY$6</f>
        <v>29191.1888107431</v>
      </c>
      <c r="AZ59" s="43" t="n">
        <f aca="false">In_Wind_MW*In_P50_Hours*(1-In_Curtailment)*(1-In_Degradation)^(AZ20-1)*AZ15*AZ$6</f>
        <v>29515.5353530847</v>
      </c>
      <c r="BA59" s="43" t="n">
        <f aca="false">In_Wind_MW*In_P50_Hours*(1-In_Curtailment)*(1-In_Degradation)^(BA20-1)*BA15*BA$6</f>
        <v>29839.8818954263</v>
      </c>
      <c r="BB59" s="43" t="n">
        <f aca="false">In_Wind_MW*In_P50_Hours*(1-In_Curtailment)*(1-In_Degradation)^(BB20-1)*BB15*BB$6</f>
        <v>29750.36224974</v>
      </c>
      <c r="BC59" s="43" t="n">
        <f aca="false">In_Wind_MW*In_P50_Hours*(1-In_Curtailment)*(1-In_Degradation)^(BC20-1)*BC15*BC$6</f>
        <v>29103.6152443109</v>
      </c>
      <c r="BD59" s="43" t="n">
        <f aca="false">In_Wind_MW*In_P50_Hours*(1-In_Curtailment)*(1-In_Degradation)^(BD20-1)*BD15*BD$6</f>
        <v>29426.9887470255</v>
      </c>
      <c r="BE59" s="43" t="n">
        <f aca="false">In_Wind_MW*In_P50_Hours*(1-In_Curtailment)*(1-In_Degradation)^(BE20-1)*BE15*BE$6</f>
        <v>29750.36224974</v>
      </c>
      <c r="BF59" s="43" t="n">
        <f aca="false">In_Wind_MW*In_P50_Hours*(1-In_Curtailment)*(1-In_Degradation)^(BF20-1)*BF15*BF$6</f>
        <v>29661.1111629908</v>
      </c>
      <c r="BG59" s="43" t="n">
        <f aca="false">In_Wind_MW*In_P50_Hours*(1-In_Curtailment)*(1-In_Degradation)^(BG20-1)*BG15*BG$6</f>
        <v>29016.304398578</v>
      </c>
      <c r="BH59" s="43" t="n">
        <f aca="false">In_Wind_MW*In_P50_Hours*(1-In_Curtailment)*(1-In_Degradation)^(BH20-1)*BH15*BH$6</f>
        <v>29338.7077807844</v>
      </c>
      <c r="BI59" s="43" t="n">
        <f aca="false">In_Wind_MW*In_P50_Hours*(1-In_Curtailment)*(1-In_Degradation)^(BI20-1)*BI15*BI$6</f>
        <v>29661.1111629908</v>
      </c>
      <c r="BJ59" s="43" t="n">
        <f aca="false">In_Wind_MW*In_P50_Hours*(1-In_Curtailment)*(1-In_Degradation)^(BJ20-1)*BJ15*BJ$6</f>
        <v>29572.1278295018</v>
      </c>
      <c r="BK59" s="43" t="n">
        <f aca="false">In_Wind_MW*In_P50_Hours*(1-In_Curtailment)*(1-In_Degradation)^(BK20-1)*BK15*BK$6</f>
        <v>29250.691657442</v>
      </c>
      <c r="BL59" s="43" t="n">
        <f aca="false">In_Wind_MW*In_P50_Hours*(1-In_Curtailment)*(1-In_Degradation)^(BL20-1)*BL15*BL$6</f>
        <v>29250.691657442</v>
      </c>
      <c r="BM59" s="43" t="n">
        <f aca="false">In_Wind_MW*In_P50_Hours*(1-In_Curtailment)*(1-In_Degradation)^(BM20-1)*BM15*BM$6</f>
        <v>29572.1278295018</v>
      </c>
      <c r="BN59" s="43" t="n">
        <f aca="false">In_Wind_MW*In_P50_Hours*(1-In_Curtailment)*(1-In_Degradation)^(BN20-1)*BN15*BN$6</f>
        <v>29483.4114460133</v>
      </c>
      <c r="BO59" s="43" t="n">
        <f aca="false">In_Wind_MW*In_P50_Hours*(1-In_Curtailment)*(1-In_Degradation)^(BO20-1)*BO15*BO$6</f>
        <v>28842.4677189261</v>
      </c>
      <c r="BP59" s="43" t="n">
        <f aca="false">In_Wind_MW*In_P50_Hours*(1-In_Curtailment)*(1-In_Degradation)^(BP20-1)*BP15*BP$6</f>
        <v>29162.9395824697</v>
      </c>
      <c r="BQ59" s="43" t="n">
        <f aca="false">In_Wind_MW*In_P50_Hours*(1-In_Curtailment)*(1-In_Degradation)^(BQ20-1)*BQ15*BQ$6</f>
        <v>29483.4114460133</v>
      </c>
      <c r="BR59" s="43" t="n">
        <f aca="false">In_Wind_MW*In_P50_Hours*(1-In_Curtailment)*(1-In_Degradation)^(BR20-1)*BR15*BR$6</f>
        <v>29394.9612116753</v>
      </c>
      <c r="BS59" s="43" t="n">
        <f aca="false">In_Wind_MW*In_P50_Hours*(1-In_Curtailment)*(1-In_Degradation)^(BS20-1)*BS15*BS$6</f>
        <v>28755.9403157693</v>
      </c>
      <c r="BT59" s="43" t="n">
        <f aca="false">In_Wind_MW*In_P50_Hours*(1-In_Curtailment)*(1-In_Degradation)^(BT20-1)*BT15*BT$6</f>
        <v>29075.4507637223</v>
      </c>
      <c r="BU59" s="43" t="n">
        <f aca="false">In_Wind_MW*In_P50_Hours*(1-In_Curtailment)*(1-In_Degradation)^(BU20-1)*BU15*BU$6</f>
        <v>29394.9612116753</v>
      </c>
      <c r="BV59" s="43" t="n">
        <f aca="false">In_Wind_MW*In_P50_Hours*(1-In_Curtailment)*(1-In_Degradation)^(BV20-1)*BV15*BV$6</f>
        <v>29306.7763280403</v>
      </c>
      <c r="BW59" s="43" t="n">
        <f aca="false">In_Wind_MW*In_P50_Hours*(1-In_Curtailment)*(1-In_Degradation)^(BW20-1)*BW15*BW$6</f>
        <v>28669.672494822</v>
      </c>
      <c r="BX59" s="43" t="n">
        <f aca="false">In_Wind_MW*In_P50_Hours*(1-In_Curtailment)*(1-In_Degradation)^(BX20-1)*BX15*BX$6</f>
        <v>28988.2244114311</v>
      </c>
      <c r="BY59" s="43" t="n">
        <f aca="false">In_Wind_MW*In_P50_Hours*(1-In_Curtailment)*(1-In_Degradation)^(BY20-1)*BY15*BY$6</f>
        <v>29306.7763280403</v>
      </c>
      <c r="BZ59" s="43" t="n">
        <f aca="false">In_Wind_MW*In_P50_Hours*(1-In_Curtailment)*(1-In_Degradation)^(BZ20-1)*BZ15*BZ$6</f>
        <v>29218.8559990561</v>
      </c>
      <c r="CA59" s="43" t="n">
        <f aca="false">In_Wind_MW*In_P50_Hours*(1-In_Curtailment)*(1-In_Degradation)^(CA20-1)*CA15*CA$6</f>
        <v>28901.2597381968</v>
      </c>
      <c r="CB59" s="43" t="n">
        <f aca="false">In_Wind_MW*In_P50_Hours*(1-In_Curtailment)*(1-In_Degradation)^(CB20-1)*CB15*CB$6</f>
        <v>28901.2597381968</v>
      </c>
      <c r="CC59" s="43" t="n">
        <f aca="false">In_Wind_MW*In_P50_Hours*(1-In_Curtailment)*(1-In_Degradation)^(CC20-1)*CC15*CC$6</f>
        <v>29218.8559990561</v>
      </c>
      <c r="CD59" s="43" t="n">
        <f aca="false">In_Wind_MW*In_P50_Hours*(1-In_Curtailment)*(1-In_Degradation)^(CD20-1)*CD15*CD$6</f>
        <v>29131.199431059</v>
      </c>
      <c r="CE59" s="43" t="n">
        <f aca="false">In_Wind_MW*In_P50_Hours*(1-In_Curtailment)*(1-In_Degradation)^(CE20-1)*CE15*CE$6</f>
        <v>28497.9124869055</v>
      </c>
      <c r="CF59" s="43" t="n">
        <f aca="false">In_Wind_MW*In_P50_Hours*(1-In_Curtailment)*(1-In_Degradation)^(CF20-1)*CF15*CF$6</f>
        <v>28814.5559589822</v>
      </c>
      <c r="CG59" s="43" t="n">
        <f aca="false">In_Wind_MW*In_P50_Hours*(1-In_Curtailment)*(1-In_Degradation)^(CG20-1)*CG15*CG$6</f>
        <v>29131.199431059</v>
      </c>
      <c r="CH59" s="43" t="n">
        <f aca="false">In_Wind_MW*In_P50_Hours*(1-In_Curtailment)*(1-In_Degradation)^(CH20-1)*CH15*CH$6</f>
        <v>29043.8058327658</v>
      </c>
      <c r="CI59" s="43" t="n">
        <f aca="false">In_Wind_MW*In_P50_Hours*(1-In_Curtailment)*(1-In_Degradation)^(CI20-1)*CI15*CI$6</f>
        <v>28412.4187494448</v>
      </c>
      <c r="CJ59" s="43" t="n">
        <f aca="false">In_Wind_MW*In_P50_Hours*(1-In_Curtailment)*(1-In_Degradation)^(CJ20-1)*CJ15*CJ$6</f>
        <v>28728.1122911053</v>
      </c>
      <c r="CK59" s="43" t="n">
        <f aca="false">In_Wind_MW*In_P50_Hours*(1-In_Curtailment)*(1-In_Degradation)^(CK20-1)*CK15*CK$6</f>
        <v>29043.8058327658</v>
      </c>
      <c r="CL59" s="43" t="n">
        <f aca="false">In_Wind_MW*In_P50_Hours*(1-In_Curtailment)*(1-In_Degradation)^(CL20-1)*CL15*CL$6</f>
        <v>28956.6744152675</v>
      </c>
      <c r="CM59" s="43" t="n">
        <f aca="false">In_Wind_MW*In_P50_Hours*(1-In_Curtailment)*(1-In_Degradation)^(CM20-1)*CM15*CM$6</f>
        <v>28327.1814931965</v>
      </c>
      <c r="CN59" s="43" t="n">
        <f aca="false">In_Wind_MW*In_P50_Hours*(1-In_Curtailment)*(1-In_Degradation)^(CN20-1)*CN15*CN$6</f>
        <v>28641.927954232</v>
      </c>
      <c r="CO59" s="43" t="n">
        <f aca="false">In_Wind_MW*In_P50_Hours*(1-In_Curtailment)*(1-In_Degradation)^(CO20-1)*CO15*CO$6</f>
        <v>28956.6744152675</v>
      </c>
      <c r="CP59" s="43" t="n">
        <f aca="false">In_Wind_MW*In_P50_Hours*(1-In_Curtailment)*(1-In_Degradation)^(CP20-1)*CP15*CP$6</f>
        <v>28869.8043920217</v>
      </c>
      <c r="CQ59" s="43" t="n">
        <f aca="false">In_Wind_MW*In_P50_Hours*(1-In_Curtailment)*(1-In_Degradation)^(CQ20-1)*CQ15*CQ$6</f>
        <v>28556.0021703693</v>
      </c>
      <c r="CR59" s="43" t="n">
        <f aca="false">In_Wind_MW*In_P50_Hours*(1-In_Curtailment)*(1-In_Degradation)^(CR20-1)*CR15*CR$6</f>
        <v>28556.0021703693</v>
      </c>
      <c r="CS59" s="43" t="n">
        <f aca="false">In_Wind_MW*In_P50_Hours*(1-In_Curtailment)*(1-In_Degradation)^(CS20-1)*CS15*CS$6</f>
        <v>28869.8043920217</v>
      </c>
      <c r="CT59" s="43" t="n">
        <f aca="false">In_Wind_MW*In_P50_Hours*(1-In_Curtailment)*(1-In_Degradation)^(CT20-1)*CT15*CT$6</f>
        <v>28783.1949788456</v>
      </c>
      <c r="CU59" s="43" t="n">
        <f aca="false">In_Wind_MW*In_P50_Hours*(1-In_Curtailment)*(1-In_Degradation)^(CU20-1)*CU15*CU$6</f>
        <v>28157.4733488707</v>
      </c>
      <c r="CV59" s="43" t="n">
        <f aca="false">In_Wind_MW*In_P50_Hours*(1-In_Curtailment)*(1-In_Degradation)^(CV20-1)*CV15*CV$6</f>
        <v>28470.3341638582</v>
      </c>
      <c r="CW59" s="43" t="n">
        <f aca="false">In_Wind_MW*In_P50_Hours*(1-In_Curtailment)*(1-In_Degradation)^(CW20-1)*CW15*CW$6</f>
        <v>28783.1949788456</v>
      </c>
      <c r="CX59" s="43" t="n">
        <f aca="false">In_Wind_MW*In_P50_Hours*(1-In_Curtailment)*(1-In_Degradation)^(CX20-1)*CX15*CX$6</f>
        <v>28696.8453939091</v>
      </c>
      <c r="CY59" s="43" t="n">
        <f aca="false">In_Wind_MW*In_P50_Hours*(1-In_Curtailment)*(1-In_Degradation)^(CY20-1)*CY15*CY$6</f>
        <v>28073.0009288241</v>
      </c>
      <c r="CZ59" s="43" t="n">
        <f aca="false">In_Wind_MW*In_P50_Hours*(1-In_Curtailment)*(1-In_Degradation)^(CZ20-1)*CZ15*CZ$6</f>
        <v>28384.9231613666</v>
      </c>
      <c r="DA59" s="43" t="n">
        <f aca="false">In_Wind_MW*In_P50_Hours*(1-In_Curtailment)*(1-In_Degradation)^(DA20-1)*DA15*DA$6</f>
        <v>28696.8453939091</v>
      </c>
      <c r="DB59" s="43" t="n">
        <f aca="false">In_Wind_MW*In_P50_Hours*(1-In_Curtailment)*(1-In_Degradation)^(DB20-1)*DB15*DB$6</f>
        <v>28610.7548577274</v>
      </c>
      <c r="DC59" s="43" t="n">
        <f aca="false">In_Wind_MW*In_P50_Hours*(1-In_Curtailment)*(1-In_Degradation)^(DC20-1)*DC15*DC$6</f>
        <v>27988.7819260376</v>
      </c>
      <c r="DD59" s="43" t="n">
        <f aca="false">In_Wind_MW*In_P50_Hours*(1-In_Curtailment)*(1-In_Degradation)^(DD20-1)*DD15*DD$6</f>
        <v>28299.7683918825</v>
      </c>
      <c r="DE59" s="43" t="n">
        <f aca="false">In_Wind_MW*In_P50_Hours*(1-In_Curtailment)*(1-In_Degradation)^(DE20-1)*DE15*DE$6</f>
        <v>28610.7548577274</v>
      </c>
      <c r="DF59" s="43" t="n">
        <f aca="false">In_Wind_MW*In_P50_Hours*(1-In_Curtailment)*(1-In_Degradation)^(DF20-1)*DF15*DF$6</f>
        <v>28524.9225931542</v>
      </c>
      <c r="DG59" s="43" t="n">
        <f aca="false">In_Wind_MW*In_P50_Hours*(1-In_Curtailment)*(1-In_Degradation)^(DG20-1)*DG15*DG$6</f>
        <v>28214.8690867069</v>
      </c>
      <c r="DH59" s="43" t="n">
        <f aca="false">In_Wind_MW*In_P50_Hours*(1-In_Curtailment)*(1-In_Degradation)^(DH20-1)*DH15*DH$6</f>
        <v>28214.8690867069</v>
      </c>
      <c r="DI59" s="43" t="n">
        <f aca="false">In_Wind_MW*In_P50_Hours*(1-In_Curtailment)*(1-In_Degradation)^(DI20-1)*DI15*DI$6</f>
        <v>28524.9225931542</v>
      </c>
      <c r="DJ59" s="43" t="n">
        <f aca="false">In_Wind_MW*In_P50_Hours*(1-In_Curtailment)*(1-In_Degradation)^(DJ20-1)*DJ15*DJ$6</f>
        <v>28439.3478253747</v>
      </c>
      <c r="DK59" s="43" t="n">
        <f aca="false">In_Wind_MW*In_P50_Hours*(1-In_Curtailment)*(1-In_Degradation)^(DK20-1)*DK15*DK$6</f>
        <v>27821.1011335187</v>
      </c>
      <c r="DL59" s="43" t="n">
        <f aca="false">In_Wind_MW*In_P50_Hours*(1-In_Curtailment)*(1-In_Degradation)^(DL20-1)*DL15*DL$6</f>
        <v>28130.2244794467</v>
      </c>
      <c r="DM59" s="43" t="n">
        <f aca="false">In_Wind_MW*In_P50_Hours*(1-In_Curtailment)*(1-In_Degradation)^(DM20-1)*DM15*DM$6</f>
        <v>28439.3478253747</v>
      </c>
      <c r="DN59" s="43" t="n">
        <f aca="false">In_Wind_MW*In_P50_Hours*(1-In_Curtailment)*(1-In_Degradation)^(DN20-1)*DN15*DN$6</f>
        <v>28354.0297818986</v>
      </c>
      <c r="DO59" s="43" t="n">
        <f aca="false">In_Wind_MW*In_P50_Hours*(1-In_Curtailment)*(1-In_Degradation)^(DO20-1)*DO15*DO$6</f>
        <v>27737.6378301182</v>
      </c>
      <c r="DP59" s="43" t="n">
        <f aca="false">In_Wind_MW*In_P50_Hours*(1-In_Curtailment)*(1-In_Degradation)^(DP20-1)*DP15*DP$6</f>
        <v>28045.8338060084</v>
      </c>
      <c r="DQ59" s="43" t="n">
        <f aca="false">In_Wind_MW*In_P50_Hours*(1-In_Curtailment)*(1-In_Degradation)^(DQ20-1)*DQ15*DQ$6</f>
        <v>28354.0297818986</v>
      </c>
      <c r="DR59" s="43" t="n">
        <f aca="false">In_Wind_MW*In_P50_Hours*(1-In_Curtailment)*(1-In_Degradation)^(DR20-1)*DR15*DR$6</f>
        <v>28268.9676925529</v>
      </c>
      <c r="DS59" s="43" t="n">
        <f aca="false">In_Wind_MW*In_P50_Hours*(1-In_Curtailment)*(1-In_Degradation)^(DS20-1)*DS15*DS$6</f>
        <v>27654.4249166278</v>
      </c>
      <c r="DT59" s="43" t="n">
        <f aca="false">In_Wind_MW*In_P50_Hours*(1-In_Curtailment)*(1-In_Degradation)^(DT20-1)*DT15*DT$6</f>
        <v>27961.6963045904</v>
      </c>
      <c r="DU59" s="43" t="n">
        <f aca="false">In_Wind_MW*In_P50_Hours*(1-In_Curtailment)*(1-In_Degradation)^(DU20-1)*DU15*DU$6</f>
        <v>28268.9676925529</v>
      </c>
      <c r="DV59" s="43" t="n">
        <f aca="false">In_Wind_MW*In_P50_Hours*(1-In_Curtailment)*(1-In_Degradation)^(DV20-1)*DV15*DV$6</f>
        <v>28184.1607894752</v>
      </c>
      <c r="DW59" s="43" t="n">
        <f aca="false">In_Wind_MW*In_P50_Hours*(1-In_Curtailment)*(1-In_Degradation)^(DW20-1)*DW15*DW$6</f>
        <v>27877.8112156766</v>
      </c>
      <c r="DX59" s="43" t="n">
        <f aca="false">In_Wind_MW*In_P50_Hours*(1-In_Curtailment)*(1-In_Degradation)^(DX20-1)*DX15*DX$6</f>
        <v>27877.8112156766</v>
      </c>
      <c r="DY59" s="43" t="n">
        <f aca="false">In_Wind_MW*In_P50_Hours*(1-In_Curtailment)*(1-In_Degradation)^(DY20-1)*DY15*DY$6</f>
        <v>28184.1607894752</v>
      </c>
      <c r="DZ59" s="43" t="n">
        <f aca="false">In_Wind_MW*In_P50_Hours*(1-In_Curtailment)*(1-In_Degradation)^(DZ20-1)*DZ15*DZ$6</f>
        <v>28099.6083071068</v>
      </c>
      <c r="EA59" s="43" t="n">
        <f aca="false">In_Wind_MW*In_P50_Hours*(1-In_Curtailment)*(1-In_Degradation)^(EA20-1)*EA15*EA$6</f>
        <v>27488.7472569523</v>
      </c>
      <c r="EB59" s="43" t="n">
        <f aca="false">In_Wind_MW*In_P50_Hours*(1-In_Curtailment)*(1-In_Degradation)^(EB20-1)*EB15*EB$6</f>
        <v>27794.1777820296</v>
      </c>
      <c r="EC59" s="43" t="n">
        <f aca="false">In_Wind_MW*In_P50_Hours*(1-In_Curtailment)*(1-In_Degradation)^(EC20-1)*EC15*EC$6</f>
        <v>28099.6083071068</v>
      </c>
      <c r="ED59" s="43" t="n">
        <f aca="false">In_Wind_MW*In_P50_Hours*(1-In_Curtailment)*(1-In_Degradation)^(ED20-1)*ED15*ED$6</f>
        <v>28015.3094821855</v>
      </c>
      <c r="EE59" s="43" t="n">
        <f aca="false">In_Wind_MW*In_P50_Hours*(1-In_Curtailment)*(1-In_Degradation)^(EE20-1)*EE15*EE$6</f>
        <v>27406.2810151815</v>
      </c>
      <c r="EF59" s="43" t="n">
        <f aca="false">In_Wind_MW*In_P50_Hours*(1-In_Curtailment)*(1-In_Degradation)^(EF20-1)*EF15*EF$6</f>
        <v>27710.7952486835</v>
      </c>
      <c r="EG59" s="43" t="n">
        <f aca="false">In_Wind_MW*In_P50_Hours*(1-In_Curtailment)*(1-In_Degradation)^(EG20-1)*EG15*EG$6</f>
        <v>28015.3094821855</v>
      </c>
      <c r="EH59" s="43" t="n">
        <f aca="false">In_Wind_MW*In_P50_Hours*(1-In_Curtailment)*(1-In_Degradation)^(EH20-1)*EH15*EH$6</f>
        <v>27931.2635537389</v>
      </c>
      <c r="EI59" s="43" t="n">
        <f aca="false">In_Wind_MW*In_P50_Hours*(1-In_Curtailment)*(1-In_Degradation)^(EI20-1)*EI15*EI$6</f>
        <v>27324.0621721359</v>
      </c>
      <c r="EJ59" s="43" t="n">
        <f aca="false">In_Wind_MW*In_P50_Hours*(1-In_Curtailment)*(1-In_Degradation)^(EJ20-1)*EJ15*EJ$6</f>
        <v>27627.6628629374</v>
      </c>
      <c r="EK59" s="43" t="n">
        <f aca="false">In_Wind_MW*In_P50_Hours*(1-In_Curtailment)*(1-In_Degradation)^(EK20-1)*EK15*EK$6</f>
        <v>27931.2635537389</v>
      </c>
      <c r="EL59" s="43" t="n">
        <f aca="false">In_Wind_MW*In_P50_Hours*(1-In_Curtailment)*(1-In_Degradation)^(EL20-1)*EL15*EL$6</f>
        <v>27847.4697630777</v>
      </c>
      <c r="EM59" s="43" t="n">
        <f aca="false">In_Wind_MW*In_P50_Hours*(1-In_Curtailment)*(1-In_Degradation)^(EM20-1)*EM15*EM$6</f>
        <v>27544.7798743486</v>
      </c>
      <c r="EN59" s="43" t="n">
        <f aca="false">In_Wind_MW*In_P50_Hours*(1-In_Curtailment)*(1-In_Degradation)^(EN20-1)*EN15*EN$6</f>
        <v>27544.7798743486</v>
      </c>
      <c r="EO59" s="43" t="n">
        <f aca="false">In_Wind_MW*In_P50_Hours*(1-In_Curtailment)*(1-In_Degradation)^(EO20-1)*EO15*EO$6</f>
        <v>27847.4697630777</v>
      </c>
    </row>
    <row r="60" customFormat="false" ht="15" hidden="false" customHeight="false" outlineLevel="0" collapsed="false">
      <c r="C60" s="0" t="s">
        <v>371</v>
      </c>
      <c r="D60" s="11" t="s">
        <v>33</v>
      </c>
      <c r="E60" s="43" t="n">
        <f aca="false">SUMIF($J$7:$EO$7,YEAR(In_COD)+1,$J60:$EO60)</f>
        <v>10948.8006418192</v>
      </c>
      <c r="I60" s="43" t="n">
        <f aca="false">SUM(J60:EO60)</f>
        <v>363558.718290489</v>
      </c>
      <c r="J60" s="43" t="n">
        <f aca="false">J59*J58/Thousand</f>
        <v>0</v>
      </c>
      <c r="K60" s="43" t="n">
        <f aca="false">K59*K58/Thousand</f>
        <v>0</v>
      </c>
      <c r="L60" s="43" t="n">
        <f aca="false">L59*L58/Thousand</f>
        <v>0</v>
      </c>
      <c r="M60" s="43" t="n">
        <f aca="false">M59*M58/Thousand</f>
        <v>0</v>
      </c>
      <c r="N60" s="43" t="n">
        <f aca="false">N59*N58/Thousand</f>
        <v>0</v>
      </c>
      <c r="O60" s="43" t="n">
        <f aca="false">O59*O58/Thousand</f>
        <v>0</v>
      </c>
      <c r="P60" s="43" t="n">
        <f aca="false">P59*P58/Thousand</f>
        <v>0</v>
      </c>
      <c r="Q60" s="43" t="n">
        <f aca="false">Q59*Q58/Thousand</f>
        <v>0</v>
      </c>
      <c r="R60" s="43" t="n">
        <f aca="false">R59*R58/Thousand</f>
        <v>0</v>
      </c>
      <c r="S60" s="43" t="n">
        <f aca="false">S59*S58/Thousand</f>
        <v>0</v>
      </c>
      <c r="T60" s="43" t="n">
        <f aca="false">T59*T58/Thousand</f>
        <v>0</v>
      </c>
      <c r="U60" s="43" t="n">
        <f aca="false">U59*U58/Thousand</f>
        <v>0</v>
      </c>
      <c r="V60" s="43" t="n">
        <f aca="false">V59*V58/Thousand</f>
        <v>0</v>
      </c>
      <c r="W60" s="43" t="n">
        <f aca="false">W59*W58/Thousand</f>
        <v>0</v>
      </c>
      <c r="X60" s="43" t="n">
        <f aca="false">X59*X58/Thousand</f>
        <v>0</v>
      </c>
      <c r="Y60" s="43" t="n">
        <f aca="false">Y59*Y58/Thousand</f>
        <v>0</v>
      </c>
      <c r="Z60" s="43" t="n">
        <f aca="false">Z59*Z58/Thousand</f>
        <v>2734.44164383562</v>
      </c>
      <c r="AA60" s="43" t="n">
        <f aca="false">AA59*AA58/Thousand</f>
        <v>2701.74723287671</v>
      </c>
      <c r="AB60" s="43" t="n">
        <f aca="false">AB59*AB58/Thousand</f>
        <v>2731.76664657534</v>
      </c>
      <c r="AC60" s="43" t="n">
        <f aca="false">AC59*AC58/Thousand</f>
        <v>2761.78606027397</v>
      </c>
      <c r="AD60" s="43" t="n">
        <f aca="false">AD59*AD58/Thousand</f>
        <v>2753.50070209315</v>
      </c>
      <c r="AE60" s="43" t="n">
        <f aca="false">AE59*AE58/Thousand</f>
        <v>2750.80706010197</v>
      </c>
      <c r="AF60" s="43" t="n">
        <f aca="false">AF59*AF58/Thousand</f>
        <v>2750.80706010197</v>
      </c>
      <c r="AG60" s="43" t="n">
        <f aca="false">AG59*AG58/Thousand</f>
        <v>2781.03570911408</v>
      </c>
      <c r="AH60" s="43" t="n">
        <f aca="false">AH59*AH58/Thousand</f>
        <v>2772.69260198674</v>
      </c>
      <c r="AI60" s="43" t="n">
        <f aca="false">AI59*AI58/Thousand</f>
        <v>2739.54084261516</v>
      </c>
      <c r="AJ60" s="43" t="n">
        <f aca="false">AJ59*AJ58/Thousand</f>
        <v>2769.98018531088</v>
      </c>
      <c r="AK60" s="43" t="n">
        <f aca="false">AK59*AK58/Thousand</f>
        <v>2800.41952800661</v>
      </c>
      <c r="AL60" s="43" t="n">
        <f aca="false">AL59*AL58/Thousand</f>
        <v>2792.01826942259</v>
      </c>
      <c r="AM60" s="43" t="n">
        <f aca="false">AM59*AM58/Thousand</f>
        <v>2758.63544228819</v>
      </c>
      <c r="AN60" s="43" t="n">
        <f aca="false">AN59*AN58/Thousand</f>
        <v>2789.2869472025</v>
      </c>
      <c r="AO60" s="43" t="n">
        <f aca="false">AO59*AO58/Thousand</f>
        <v>2819.93845211681</v>
      </c>
      <c r="AP60" s="43" t="n">
        <f aca="false">AP59*AP58/Thousand</f>
        <v>2811.47863676046</v>
      </c>
      <c r="AQ60" s="43" t="n">
        <f aca="false">AQ59*AQ58/Thousand</f>
        <v>2777.86313132094</v>
      </c>
      <c r="AR60" s="43" t="n">
        <f aca="false">AR59*AR58/Thousand</f>
        <v>2808.7282772245</v>
      </c>
      <c r="AS60" s="43" t="n">
        <f aca="false">AS59*AS58/Thousand</f>
        <v>2839.59342312807</v>
      </c>
      <c r="AT60" s="43" t="n">
        <f aca="false">AT59*AT58/Thousand</f>
        <v>2831.07464285868</v>
      </c>
      <c r="AU60" s="43" t="n">
        <f aca="false">AU59*AU58/Thousand</f>
        <v>2828.30511331676</v>
      </c>
      <c r="AV60" s="43" t="n">
        <f aca="false">AV59*AV58/Thousand</f>
        <v>2828.30511331676</v>
      </c>
      <c r="AW60" s="43" t="n">
        <f aca="false">AW59*AW58/Thousand</f>
        <v>2859.38538928727</v>
      </c>
      <c r="AX60" s="43" t="n">
        <f aca="false">AX59*AX58/Thousand</f>
        <v>2850.80723311941</v>
      </c>
      <c r="AY60" s="43" t="n">
        <f aca="false">AY59*AY58/Thousand</f>
        <v>2816.72149446255</v>
      </c>
      <c r="AZ60" s="43" t="n">
        <f aca="false">AZ59*AZ58/Thousand</f>
        <v>2848.01839995657</v>
      </c>
      <c r="BA60" s="43" t="n">
        <f aca="false">BA59*BA58/Thousand</f>
        <v>2879.3153054506</v>
      </c>
      <c r="BB60" s="43" t="n">
        <f aca="false">BB59*BB58/Thousand</f>
        <v>2870.67735953425</v>
      </c>
      <c r="BC60" s="43" t="n">
        <f aca="false">BC59*BC58/Thousand</f>
        <v>2836.35404327895</v>
      </c>
      <c r="BD60" s="43" t="n">
        <f aca="false">BD59*BD58/Thousand</f>
        <v>2867.86908820427</v>
      </c>
      <c r="BE60" s="43" t="n">
        <f aca="false">BE59*BE58/Thousand</f>
        <v>2899.38413312959</v>
      </c>
      <c r="BF60" s="43" t="n">
        <f aca="false">BF59*BF58/Thousand</f>
        <v>2890.68598073021</v>
      </c>
      <c r="BG60" s="43" t="n">
        <f aca="false">BG59*BG58/Thousand</f>
        <v>2856.1234309606</v>
      </c>
      <c r="BH60" s="43" t="n">
        <f aca="false">BH59*BH58/Thousand</f>
        <v>2887.85813574906</v>
      </c>
      <c r="BI60" s="43" t="n">
        <f aca="false">BI59*BI58/Thousand</f>
        <v>2919.59284053751</v>
      </c>
      <c r="BJ60" s="43" t="n">
        <f aca="false">BJ59*BJ58/Thousand</f>
        <v>2910.83406201589</v>
      </c>
      <c r="BK60" s="43" t="n">
        <f aca="false">BK59*BK58/Thousand</f>
        <v>2907.98650695523</v>
      </c>
      <c r="BL60" s="43" t="n">
        <f aca="false">BL59*BL58/Thousand</f>
        <v>2907.98650695523</v>
      </c>
      <c r="BM60" s="43" t="n">
        <f aca="false">BM59*BM58/Thousand</f>
        <v>2939.94240263605</v>
      </c>
      <c r="BN60" s="43" t="n">
        <f aca="false">BN59*BN58/Thousand</f>
        <v>2931.12257542815</v>
      </c>
      <c r="BO60" s="43" t="n">
        <f aca="false">BO59*BO58/Thousand</f>
        <v>2896.07654463498</v>
      </c>
      <c r="BP60" s="43" t="n">
        <f aca="false">BP59*BP58/Thousand</f>
        <v>2928.2551729087</v>
      </c>
      <c r="BQ60" s="43" t="n">
        <f aca="false">BQ59*BQ58/Thousand</f>
        <v>2960.43380118243</v>
      </c>
      <c r="BR60" s="43" t="n">
        <f aca="false">BR59*BR58/Thousand</f>
        <v>2951.55249977888</v>
      </c>
      <c r="BS60" s="43" t="n">
        <f aca="false">BS59*BS58/Thousand</f>
        <v>2916.26219815109</v>
      </c>
      <c r="BT60" s="43" t="n">
        <f aca="false">BT59*BT58/Thousand</f>
        <v>2948.66511146388</v>
      </c>
      <c r="BU60" s="43" t="n">
        <f aca="false">BU59*BU58/Thousand</f>
        <v>2981.06802477667</v>
      </c>
      <c r="BV60" s="43" t="n">
        <f aca="false">BV59*BV58/Thousand</f>
        <v>2972.12482070234</v>
      </c>
      <c r="BW60" s="43" t="n">
        <f aca="false">BW59*BW58/Thousand</f>
        <v>2936.5885456722</v>
      </c>
      <c r="BX60" s="43" t="n">
        <f aca="false">BX59*BX58/Thousand</f>
        <v>2969.21730729078</v>
      </c>
      <c r="BY60" s="43" t="n">
        <f aca="false">BY59*BY58/Thousand</f>
        <v>3001.84606890936</v>
      </c>
      <c r="BZ60" s="43" t="n">
        <f aca="false">BZ59*BZ58/Thousand</f>
        <v>2992.84053070263</v>
      </c>
      <c r="CA60" s="43" t="n">
        <f aca="false">CA59*CA58/Thousand</f>
        <v>2989.9127519226</v>
      </c>
      <c r="CB60" s="43" t="n">
        <f aca="false">CB59*CB58/Thousand</f>
        <v>2989.9127519226</v>
      </c>
      <c r="CC60" s="43" t="n">
        <f aca="false">CC59*CC58/Thousand</f>
        <v>3022.76893600966</v>
      </c>
      <c r="CD60" s="43" t="n">
        <f aca="false">CD59*CD58/Thousand</f>
        <v>3013.70062920163</v>
      </c>
      <c r="CE60" s="43" t="n">
        <f aca="false">CE59*CE58/Thousand</f>
        <v>2977.66725211335</v>
      </c>
      <c r="CF60" s="43" t="n">
        <f aca="false">CF59*CF58/Thousand</f>
        <v>3010.7524438035</v>
      </c>
      <c r="CG60" s="43" t="n">
        <f aca="false">CG59*CG58/Thousand</f>
        <v>3043.83763549365</v>
      </c>
      <c r="CH60" s="43" t="n">
        <f aca="false">CH59*CH58/Thousand</f>
        <v>3034.70612258717</v>
      </c>
      <c r="CI60" s="43" t="n">
        <f aca="false">CI59*CI58/Thousand</f>
        <v>2998.42159286058</v>
      </c>
      <c r="CJ60" s="43" t="n">
        <f aca="false">CJ59*CJ58/Thousand</f>
        <v>3031.73738833681</v>
      </c>
      <c r="CK60" s="43" t="n">
        <f aca="false">CK59*CK58/Thousand</f>
        <v>3065.05318381304</v>
      </c>
      <c r="CL60" s="43" t="n">
        <f aca="false">CL59*CL58/Thousand</f>
        <v>3055.8580242616</v>
      </c>
      <c r="CM60" s="43" t="n">
        <f aca="false">CM59*CM58/Thousand</f>
        <v>3019.32059136282</v>
      </c>
      <c r="CN60" s="43" t="n">
        <f aca="false">CN59*CN58/Thousand</f>
        <v>3052.86859793352</v>
      </c>
      <c r="CO60" s="43" t="n">
        <f aca="false">CO59*CO58/Thousand</f>
        <v>3086.41660450422</v>
      </c>
      <c r="CP60" s="43" t="n">
        <f aca="false">CP59*CP58/Thousand</f>
        <v>3077.1573546907</v>
      </c>
      <c r="CQ60" s="43" t="n">
        <f aca="false">CQ59*CQ58/Thousand</f>
        <v>3074.14709206111</v>
      </c>
      <c r="CR60" s="43" t="n">
        <f aca="false">CR59*CR58/Thousand</f>
        <v>3074.14709206111</v>
      </c>
      <c r="CS60" s="43" t="n">
        <f aca="false">CS59*CS58/Thousand</f>
        <v>3107.92892823761</v>
      </c>
      <c r="CT60" s="43" t="n">
        <f aca="false">CT59*CT58/Thousand</f>
        <v>3098.6051414529</v>
      </c>
      <c r="CU60" s="43" t="n">
        <f aca="false">CU59*CU58/Thousand</f>
        <v>3061.55660171813</v>
      </c>
      <c r="CV60" s="43" t="n">
        <f aca="false">CV59*CV58/Thousand</f>
        <v>3095.57389729278</v>
      </c>
      <c r="CW60" s="43" t="n">
        <f aca="false">CW59*CW58/Thousand</f>
        <v>3129.59119286743</v>
      </c>
      <c r="CX60" s="43" t="n">
        <f aca="false">CX59*CX58/Thousand</f>
        <v>3120.20241928882</v>
      </c>
      <c r="CY60" s="43" t="n">
        <f aca="false">CY59*CY58/Thousand</f>
        <v>3082.89565123211</v>
      </c>
      <c r="CZ60" s="43" t="n">
        <f aca="false">CZ59*CZ58/Thousand</f>
        <v>3117.15004735691</v>
      </c>
      <c r="DA60" s="43" t="n">
        <f aca="false">DA59*DA58/Thousand</f>
        <v>3151.40444348171</v>
      </c>
      <c r="DB60" s="43" t="n">
        <f aca="false">DB59*DB58/Thousand</f>
        <v>3141.95023015127</v>
      </c>
      <c r="DC60" s="43" t="n">
        <f aca="false">DC59*DC58/Thousand</f>
        <v>3104.3834339212</v>
      </c>
      <c r="DD60" s="43" t="n">
        <f aca="false">DD59*DD58/Thousand</f>
        <v>3138.87658318699</v>
      </c>
      <c r="DE60" s="43" t="n">
        <f aca="false">DE59*DE58/Thousand</f>
        <v>3173.36973245278</v>
      </c>
      <c r="DF60" s="43" t="n">
        <f aca="false">DF59*DF58/Thousand</f>
        <v>3163.84962325542</v>
      </c>
      <c r="DG60" s="43" t="n">
        <f aca="false">DG59*DG58/Thousand</f>
        <v>3160.7545529718</v>
      </c>
      <c r="DH60" s="43" t="n">
        <f aca="false">DH59*DH58/Thousand</f>
        <v>3160.7545529718</v>
      </c>
      <c r="DI60" s="43" t="n">
        <f aca="false">DI59*DI58/Thousand</f>
        <v>3195.48811948797</v>
      </c>
      <c r="DJ60" s="43" t="n">
        <f aca="false">DJ59*DJ58/Thousand</f>
        <v>3185.90165512951</v>
      </c>
      <c r="DK60" s="43" t="n">
        <f aca="false">DK59*DK58/Thousand</f>
        <v>3147.80935273122</v>
      </c>
      <c r="DL60" s="43" t="n">
        <f aca="false">DL59*DL58/Thousand</f>
        <v>3182.78501220601</v>
      </c>
      <c r="DM60" s="43" t="n">
        <f aca="false">DM59*DM58/Thousand</f>
        <v>3217.76067168081</v>
      </c>
      <c r="DN60" s="43" t="n">
        <f aca="false">DN59*DN58/Thousand</f>
        <v>3208.10738966576</v>
      </c>
      <c r="DO60" s="43" t="n">
        <f aca="false">DO59*DO58/Thousand</f>
        <v>3169.74958391976</v>
      </c>
      <c r="DP60" s="43" t="n">
        <f aca="false">DP59*DP58/Thousand</f>
        <v>3204.96902374109</v>
      </c>
      <c r="DQ60" s="43" t="n">
        <f aca="false">DQ59*DQ58/Thousand</f>
        <v>3240.18846356242</v>
      </c>
      <c r="DR60" s="43" t="n">
        <f aca="false">DR59*DR58/Thousand</f>
        <v>3230.46789817173</v>
      </c>
      <c r="DS60" s="43" t="n">
        <f aca="false">DS59*DS58/Thousand</f>
        <v>3191.84273851968</v>
      </c>
      <c r="DT60" s="43" t="n">
        <f aca="false">DT59*DT58/Thousand</f>
        <v>3227.30765783657</v>
      </c>
      <c r="DU60" s="43" t="n">
        <f aca="false">DU59*DU58/Thousand</f>
        <v>3262.77257715345</v>
      </c>
      <c r="DV60" s="43" t="n">
        <f aca="false">DV59*DV58/Thousand</f>
        <v>3252.98425942199</v>
      </c>
      <c r="DW60" s="43" t="n">
        <f aca="false">DW59*DW58/Thousand</f>
        <v>3249.80199221169</v>
      </c>
      <c r="DX60" s="43" t="n">
        <f aca="false">DX59*DX58/Thousand</f>
        <v>3249.80199221169</v>
      </c>
      <c r="DY60" s="43" t="n">
        <f aca="false">DY59*DY58/Thousand</f>
        <v>3285.51410201621</v>
      </c>
      <c r="DZ60" s="43" t="n">
        <f aca="false">DZ59*DZ58/Thousand</f>
        <v>3275.65755971016</v>
      </c>
      <c r="EA60" s="43" t="n">
        <f aca="false">EA59*EA58/Thousand</f>
        <v>3236.49208888754</v>
      </c>
      <c r="EB60" s="43" t="n">
        <f aca="false">EB59*EB58/Thousand</f>
        <v>3272.4531120974</v>
      </c>
      <c r="EC60" s="43" t="n">
        <f aca="false">EC59*EC58/Thousand</f>
        <v>3308.41413530726</v>
      </c>
      <c r="ED60" s="43" t="n">
        <f aca="false">ED59*ED58/Thousand</f>
        <v>3298.48889290134</v>
      </c>
      <c r="EE60" s="43" t="n">
        <f aca="false">EE59*EE58/Thousand</f>
        <v>3259.05043874709</v>
      </c>
      <c r="EF60" s="43" t="n">
        <f aca="false">EF59*EF58/Thousand</f>
        <v>3295.26211028872</v>
      </c>
      <c r="EG60" s="43" t="n">
        <f aca="false">EG59*EG58/Thousand</f>
        <v>3331.47378183036</v>
      </c>
      <c r="EH60" s="43" t="n">
        <f aca="false">EH59*EH58/Thousand</f>
        <v>3321.47936048486</v>
      </c>
      <c r="EI60" s="43" t="n">
        <f aca="false">EI59*EI58/Thousand</f>
        <v>3281.76602030515</v>
      </c>
      <c r="EJ60" s="43" t="n">
        <f aca="false">EJ59*EJ58/Thousand</f>
        <v>3318.23008719743</v>
      </c>
      <c r="EK60" s="43" t="n">
        <f aca="false">EK59*EK58/Thousand</f>
        <v>3354.69415408971</v>
      </c>
      <c r="EL60" s="43" t="n">
        <f aca="false">EL59*EL58/Thousand</f>
        <v>3344.63007162744</v>
      </c>
      <c r="EM60" s="43" t="n">
        <f aca="false">EM59*EM58/Thousand</f>
        <v>3341.3581509052</v>
      </c>
      <c r="EN60" s="43" t="n">
        <f aca="false">EN59*EN58/Thousand</f>
        <v>3341.3581509052</v>
      </c>
      <c r="EO60" s="43" t="n">
        <f aca="false">EO59*EO58/Thousand</f>
        <v>3378.07637234372</v>
      </c>
    </row>
    <row r="61" customFormat="false" ht="15" hidden="false" customHeight="false" outlineLevel="0" collapsed="false">
      <c r="C61" s="0" t="s">
        <v>372</v>
      </c>
      <c r="D61" s="11" t="s">
        <v>33</v>
      </c>
      <c r="I61" s="43" t="n">
        <f aca="false">SUM(J61:EO61)</f>
        <v>-25691.6788451423</v>
      </c>
      <c r="J61" s="43" t="n">
        <f aca="false">-In_Var_Opex*J59*J57/Thousand</f>
        <v>-0</v>
      </c>
      <c r="K61" s="43" t="n">
        <f aca="false">-In_Var_Opex*K59*K57/Thousand</f>
        <v>-0</v>
      </c>
      <c r="L61" s="43" t="n">
        <f aca="false">-In_Var_Opex*L59*L57/Thousand</f>
        <v>-0</v>
      </c>
      <c r="M61" s="43" t="n">
        <f aca="false">-In_Var_Opex*M59*M57/Thousand</f>
        <v>-0</v>
      </c>
      <c r="N61" s="43" t="n">
        <f aca="false">-In_Var_Opex*N59*N57/Thousand</f>
        <v>-0</v>
      </c>
      <c r="O61" s="43" t="n">
        <f aca="false">-In_Var_Opex*O59*O57/Thousand</f>
        <v>-0</v>
      </c>
      <c r="P61" s="43" t="n">
        <f aca="false">-In_Var_Opex*P59*P57/Thousand</f>
        <v>-0</v>
      </c>
      <c r="Q61" s="43" t="n">
        <f aca="false">-In_Var_Opex*Q59*Q57/Thousand</f>
        <v>-0</v>
      </c>
      <c r="R61" s="43" t="n">
        <f aca="false">-In_Var_Opex*R59*R57/Thousand</f>
        <v>-0</v>
      </c>
      <c r="S61" s="43" t="n">
        <f aca="false">-In_Var_Opex*S59*S57/Thousand</f>
        <v>-0</v>
      </c>
      <c r="T61" s="43" t="n">
        <f aca="false">-In_Var_Opex*T59*T57/Thousand</f>
        <v>-0</v>
      </c>
      <c r="U61" s="43" t="n">
        <f aca="false">-In_Var_Opex*U59*U57/Thousand</f>
        <v>-0</v>
      </c>
      <c r="V61" s="43" t="n">
        <f aca="false">-In_Var_Opex*V59*V57/Thousand</f>
        <v>-0</v>
      </c>
      <c r="W61" s="43" t="n">
        <f aca="false">-In_Var_Opex*W59*W57/Thousand</f>
        <v>-0</v>
      </c>
      <c r="X61" s="43" t="n">
        <f aca="false">-In_Var_Opex*X59*X57/Thousand</f>
        <v>-0</v>
      </c>
      <c r="Y61" s="43" t="n">
        <f aca="false">-In_Var_Opex*Y59*Y57/Thousand</f>
        <v>-0</v>
      </c>
      <c r="Z61" s="43" t="n">
        <f aca="false">-In_Var_Opex*Z59*Z57/Thousand</f>
        <v>-151.913424657534</v>
      </c>
      <c r="AA61" s="43" t="n">
        <f aca="false">-In_Var_Opex*AA59*AA57/Thousand</f>
        <v>-152.326232876712</v>
      </c>
      <c r="AB61" s="43" t="n">
        <f aca="false">-In_Var_Opex*AB59*AB57/Thousand</f>
        <v>-154.018746575342</v>
      </c>
      <c r="AC61" s="43" t="n">
        <f aca="false">-In_Var_Opex*AC59*AC57/Thousand</f>
        <v>-155.711260273973</v>
      </c>
      <c r="AD61" s="43" t="n">
        <f aca="false">-In_Var_Opex*AD59*AD57/Thousand</f>
        <v>-155.244126493151</v>
      </c>
      <c r="AE61" s="43" t="n">
        <f aca="false">-In_Var_Opex*AE59*AE57/Thousand</f>
        <v>-157.395607594007</v>
      </c>
      <c r="AF61" s="43" t="n">
        <f aca="false">-In_Var_Opex*AF59*AF57/Thousand</f>
        <v>-157.395607594007</v>
      </c>
      <c r="AG61" s="43" t="n">
        <f aca="false">-In_Var_Opex*AG59*AG57/Thousand</f>
        <v>-159.125229655479</v>
      </c>
      <c r="AH61" s="43" t="n">
        <f aca="false">-In_Var_Opex*AH59*AH57/Thousand</f>
        <v>-158.647853966513</v>
      </c>
      <c r="AI61" s="43" t="n">
        <f aca="false">-In_Var_Opex*AI59*AI57/Thousand</f>
        <v>-159.078962265335</v>
      </c>
      <c r="AJ61" s="43" t="n">
        <f aca="false">-In_Var_Opex*AJ59*AJ57/Thousand</f>
        <v>-160.846506290505</v>
      </c>
      <c r="AK61" s="43" t="n">
        <f aca="false">-In_Var_Opex*AK59*AK57/Thousand</f>
        <v>-162.614050315676</v>
      </c>
      <c r="AL61" s="43" t="n">
        <f aca="false">-In_Var_Opex*AL59*AL57/Thousand</f>
        <v>-162.126208164729</v>
      </c>
      <c r="AM61" s="43" t="n">
        <f aca="false">-In_Var_Opex*AM59*AM57/Thousand</f>
        <v>-162.566768513002</v>
      </c>
      <c r="AN61" s="43" t="n">
        <f aca="false">-In_Var_Opex*AN59*AN57/Thousand</f>
        <v>-164.373065940925</v>
      </c>
      <c r="AO61" s="43" t="n">
        <f aca="false">-In_Var_Opex*AO59*AO57/Thousand</f>
        <v>-166.179363368847</v>
      </c>
      <c r="AP61" s="43" t="n">
        <f aca="false">-In_Var_Opex*AP59*AP57/Thousand</f>
        <v>-165.68082527874</v>
      </c>
      <c r="AQ61" s="43" t="n">
        <f aca="false">-In_Var_Opex*AQ59*AQ57/Thousand</f>
        <v>-166.13104491265</v>
      </c>
      <c r="AR61" s="43" t="n">
        <f aca="false">-In_Var_Opex*AR59*AR57/Thousand</f>
        <v>-167.976945411679</v>
      </c>
      <c r="AS61" s="43" t="n">
        <f aca="false">-In_Var_Opex*AS59*AS57/Thousand</f>
        <v>-169.822845910709</v>
      </c>
      <c r="AT61" s="43" t="n">
        <f aca="false">-In_Var_Opex*AT59*AT57/Thousand</f>
        <v>-169.313377372977</v>
      </c>
      <c r="AU61" s="43" t="n">
        <f aca="false">-In_Var_Opex*AU59*AU57/Thousand</f>
        <v>-171.659839939831</v>
      </c>
      <c r="AV61" s="43" t="n">
        <f aca="false">-In_Var_Opex*AV59*AV57/Thousand</f>
        <v>-171.659839939831</v>
      </c>
      <c r="AW61" s="43" t="n">
        <f aca="false">-In_Var_Opex*AW59*AW57/Thousand</f>
        <v>-173.546211807301</v>
      </c>
      <c r="AX61" s="43" t="n">
        <f aca="false">-In_Var_Opex*AX59*AX57/Thousand</f>
        <v>-173.025573171879</v>
      </c>
      <c r="AY61" s="43" t="n">
        <f aca="false">-In_Var_Opex*AY59*AY57/Thousand</f>
        <v>-173.495751359846</v>
      </c>
      <c r="AZ61" s="43" t="n">
        <f aca="false">-In_Var_Opex*AZ59*AZ57/Thousand</f>
        <v>-175.423481930511</v>
      </c>
      <c r="BA61" s="43" t="n">
        <f aca="false">-In_Var_Opex*BA59*BA57/Thousand</f>
        <v>-177.351212501176</v>
      </c>
      <c r="BB61" s="43" t="n">
        <f aca="false">-In_Var_Opex*BB59*BB57/Thousand</f>
        <v>-176.819158863673</v>
      </c>
      <c r="BC61" s="43" t="n">
        <f aca="false">-In_Var_Opex*BC59*BC57/Thousand</f>
        <v>-177.299645708411</v>
      </c>
      <c r="BD61" s="43" t="n">
        <f aca="false">-In_Var_Opex*BD59*BD57/Thousand</f>
        <v>-179.269641771838</v>
      </c>
      <c r="BE61" s="43" t="n">
        <f aca="false">-In_Var_Opex*BE59*BE57/Thousand</f>
        <v>-181.239637835265</v>
      </c>
      <c r="BF61" s="43" t="n">
        <f aca="false">-In_Var_Opex*BF59*BF57/Thousand</f>
        <v>-180.695918921759</v>
      </c>
      <c r="BG61" s="43" t="n">
        <f aca="false">-In_Var_Opex*BG59*BG57/Thousand</f>
        <v>-181.186940440568</v>
      </c>
      <c r="BH61" s="43" t="n">
        <f aca="false">-In_Var_Opex*BH59*BH57/Thousand</f>
        <v>-183.200128667685</v>
      </c>
      <c r="BI61" s="43" t="n">
        <f aca="false">-In_Var_Opex*BI59*BI57/Thousand</f>
        <v>-185.213316894803</v>
      </c>
      <c r="BJ61" s="43" t="n">
        <f aca="false">-In_Var_Opex*BJ59*BJ57/Thousand</f>
        <v>-184.657676944118</v>
      </c>
      <c r="BK61" s="43" t="n">
        <f aca="false">-In_Var_Opex*BK59*BK57/Thousand</f>
        <v>-187.216791488724</v>
      </c>
      <c r="BL61" s="43" t="n">
        <f aca="false">-In_Var_Opex*BL59*BL57/Thousand</f>
        <v>-187.216791488724</v>
      </c>
      <c r="BM61" s="43" t="n">
        <f aca="false">-In_Var_Opex*BM59*BM57/Thousand</f>
        <v>-189.274118867721</v>
      </c>
      <c r="BN61" s="43" t="n">
        <f aca="false">-In_Var_Opex*BN59*BN57/Thousand</f>
        <v>-188.706296511118</v>
      </c>
      <c r="BO61" s="43" t="n">
        <f aca="false">-In_Var_Opex*BO59*BO57/Thousand</f>
        <v>-189.219085360333</v>
      </c>
      <c r="BP61" s="43" t="n">
        <f aca="false">-In_Var_Opex*BP59*BP57/Thousand</f>
        <v>-191.321519642115</v>
      </c>
      <c r="BQ61" s="43" t="n">
        <f aca="false">-In_Var_Opex*BQ59*BQ57/Thousand</f>
        <v>-193.423953923896</v>
      </c>
      <c r="BR61" s="43" t="n">
        <f aca="false">-In_Var_Opex*BR59*BR57/Thousand</f>
        <v>-192.843682062124</v>
      </c>
      <c r="BS61" s="43" t="n">
        <f aca="false">-In_Var_Opex*BS59*BS57/Thousand</f>
        <v>-193.367713806858</v>
      </c>
      <c r="BT61" s="43" t="n">
        <f aca="false">-In_Var_Opex*BT59*BT57/Thousand</f>
        <v>-195.516243960268</v>
      </c>
      <c r="BU61" s="43" t="n">
        <f aca="false">-In_Var_Opex*BU59*BU57/Thousand</f>
        <v>-197.664774113677</v>
      </c>
      <c r="BV61" s="43" t="n">
        <f aca="false">-In_Var_Opex*BV59*BV57/Thousand</f>
        <v>-197.071779791336</v>
      </c>
      <c r="BW61" s="43" t="n">
        <f aca="false">-In_Var_Opex*BW59*BW57/Thousand</f>
        <v>-197.607300932074</v>
      </c>
      <c r="BX61" s="43" t="n">
        <f aca="false">-In_Var_Opex*BX59*BX57/Thousand</f>
        <v>-199.802937609097</v>
      </c>
      <c r="BY61" s="43" t="n">
        <f aca="false">-In_Var_Opex*BY59*BY57/Thousand</f>
        <v>-201.99857428612</v>
      </c>
      <c r="BZ61" s="43" t="n">
        <f aca="false">-In_Var_Opex*BZ59*BZ57/Thousand</f>
        <v>-201.392578563261</v>
      </c>
      <c r="CA61" s="43" t="n">
        <f aca="false">-In_Var_Opex*CA59*CA57/Thousand</f>
        <v>-204.183617016176</v>
      </c>
      <c r="CB61" s="43" t="n">
        <f aca="false">-In_Var_Opex*CB59*CB57/Thousand</f>
        <v>-204.183617016176</v>
      </c>
      <c r="CC61" s="43" t="n">
        <f aca="false">-In_Var_Opex*CC59*CC57/Thousand</f>
        <v>-206.427393027343</v>
      </c>
      <c r="CD61" s="43" t="n">
        <f aca="false">-In_Var_Opex*CD59*CD57/Thousand</f>
        <v>-205.808110848261</v>
      </c>
      <c r="CE61" s="43" t="n">
        <f aca="false">-In_Var_Opex*CE59*CE57/Thousand</f>
        <v>-206.367372019044</v>
      </c>
      <c r="CF61" s="43" t="n">
        <f aca="false">-In_Var_Opex*CF59*CF57/Thousand</f>
        <v>-208.660342819256</v>
      </c>
      <c r="CG61" s="43" t="n">
        <f aca="false">-In_Var_Opex*CG59*CG57/Thousand</f>
        <v>-210.953313619467</v>
      </c>
      <c r="CH61" s="43" t="n">
        <f aca="false">-In_Var_Opex*CH59*CH57/Thousand</f>
        <v>-210.320453678609</v>
      </c>
      <c r="CI61" s="43" t="n">
        <f aca="false">-In_Var_Opex*CI59*CI57/Thousand</f>
        <v>-210.891976650562</v>
      </c>
      <c r="CJ61" s="43" t="n">
        <f aca="false">-In_Var_Opex*CJ59*CJ57/Thousand</f>
        <v>-213.235220835568</v>
      </c>
      <c r="CK61" s="43" t="n">
        <f aca="false">-In_Var_Opex*CK59*CK57/Thousand</f>
        <v>-215.578465020574</v>
      </c>
      <c r="CL61" s="43" t="n">
        <f aca="false">-In_Var_Opex*CL59*CL57/Thousand</f>
        <v>-214.931729625513</v>
      </c>
      <c r="CM61" s="43" t="n">
        <f aca="false">-In_Var_Opex*CM59*CM57/Thousand</f>
        <v>-215.515783238625</v>
      </c>
      <c r="CN61" s="43" t="n">
        <f aca="false">-In_Var_Opex*CN59*CN57/Thousand</f>
        <v>-217.910403052388</v>
      </c>
      <c r="CO61" s="43" t="n">
        <f aca="false">-In_Var_Opex*CO59*CO57/Thousand</f>
        <v>-220.30502286615</v>
      </c>
      <c r="CP61" s="43" t="n">
        <f aca="false">-In_Var_Opex*CP59*CP57/Thousand</f>
        <v>-219.644107797552</v>
      </c>
      <c r="CQ61" s="43" t="n">
        <f aca="false">-In_Var_Opex*CQ59*CQ57/Thousand</f>
        <v>-222.688088639311</v>
      </c>
      <c r="CR61" s="43" t="n">
        <f aca="false">-In_Var_Opex*CR59*CR57/Thousand</f>
        <v>-222.688088639311</v>
      </c>
      <c r="CS61" s="43" t="n">
        <f aca="false">-In_Var_Opex*CS59*CS57/Thousand</f>
        <v>-225.135210492491</v>
      </c>
      <c r="CT61" s="43" t="n">
        <f aca="false">-In_Var_Opex*CT59*CT57/Thousand</f>
        <v>-224.459804861013</v>
      </c>
      <c r="CU61" s="43" t="n">
        <f aca="false">-In_Var_Opex*CU59*CU57/Thousand</f>
        <v>-225.069749982918</v>
      </c>
      <c r="CV61" s="43" t="n">
        <f aca="false">-In_Var_Opex*CV59*CV57/Thousand</f>
        <v>-227.570524982728</v>
      </c>
      <c r="CW61" s="43" t="n">
        <f aca="false">-In_Var_Opex*CW59*CW57/Thousand</f>
        <v>-230.071299982538</v>
      </c>
      <c r="CX61" s="43" t="n">
        <f aca="false">-In_Var_Opex*CX59*CX57/Thousand</f>
        <v>-229.381086082591</v>
      </c>
      <c r="CY61" s="43" t="n">
        <f aca="false">-In_Var_Opex*CY59*CY57/Thousand</f>
        <v>-230.004404251293</v>
      </c>
      <c r="CZ61" s="43" t="n">
        <f aca="false">-In_Var_Opex*CZ59*CZ57/Thousand</f>
        <v>-232.560008742975</v>
      </c>
      <c r="DA61" s="43" t="n">
        <f aca="false">-In_Var_Opex*DA59*DA57/Thousand</f>
        <v>-235.115613234656</v>
      </c>
      <c r="DB61" s="43" t="n">
        <f aca="false">-In_Var_Opex*DB59*DB57/Thousand</f>
        <v>-234.410266394952</v>
      </c>
      <c r="DC61" s="43" t="n">
        <f aca="false">-In_Var_Opex*DC59*DC57/Thousand</f>
        <v>-235.047250814503</v>
      </c>
      <c r="DD61" s="43" t="n">
        <f aca="false">-In_Var_Opex*DD59*DD57/Thousand</f>
        <v>-237.658886934664</v>
      </c>
      <c r="DE61" s="43" t="n">
        <f aca="false">-In_Var_Opex*DE59*DE57/Thousand</f>
        <v>-240.270523054825</v>
      </c>
      <c r="DF61" s="43" t="n">
        <f aca="false">-In_Var_Opex*DF59*DF57/Thousand</f>
        <v>-239.549711485661</v>
      </c>
      <c r="DG61" s="43" t="n">
        <f aca="false">-In_Var_Opex*DG59*DG57/Thousand</f>
        <v>-242.869558030707</v>
      </c>
      <c r="DH61" s="43" t="n">
        <f aca="false">-In_Var_Opex*DH59*DH57/Thousand</f>
        <v>-242.869558030707</v>
      </c>
      <c r="DI61" s="43" t="n">
        <f aca="false">-In_Var_Opex*DI59*DI57/Thousand</f>
        <v>-245.538454272802</v>
      </c>
      <c r="DJ61" s="43" t="n">
        <f aca="false">-In_Var_Opex*DJ59*DJ57/Thousand</f>
        <v>-244.801838909984</v>
      </c>
      <c r="DK61" s="43" t="n">
        <f aca="false">-In_Var_Opex*DK59*DK57/Thousand</f>
        <v>-245.467061298326</v>
      </c>
      <c r="DL61" s="43" t="n">
        <f aca="false">-In_Var_Opex*DL59*DL57/Thousand</f>
        <v>-248.19447309053</v>
      </c>
      <c r="DM61" s="43" t="n">
        <f aca="false">-In_Var_Opex*DM59*DM57/Thousand</f>
        <v>-250.921884882734</v>
      </c>
      <c r="DN61" s="43" t="n">
        <f aca="false">-In_Var_Opex*DN59*DN57/Thousand</f>
        <v>-250.169119228085</v>
      </c>
      <c r="DO61" s="43" t="n">
        <f aca="false">-In_Var_Opex*DO59*DO57/Thousand</f>
        <v>-250.848926617292</v>
      </c>
      <c r="DP61" s="43" t="n">
        <f aca="false">-In_Var_Opex*DP59*DP57/Thousand</f>
        <v>-253.63613691304</v>
      </c>
      <c r="DQ61" s="43" t="n">
        <f aca="false">-In_Var_Opex*DQ59*DQ57/Thousand</f>
        <v>-256.423347208787</v>
      </c>
      <c r="DR61" s="43" t="n">
        <f aca="false">-In_Var_Opex*DR59*DR57/Thousand</f>
        <v>-255.654077167161</v>
      </c>
      <c r="DS61" s="43" t="n">
        <f aca="false">-In_Var_Opex*DS59*DS57/Thousand</f>
        <v>-256.348789333376</v>
      </c>
      <c r="DT61" s="43" t="n">
        <f aca="false">-In_Var_Opex*DT59*DT57/Thousand</f>
        <v>-259.197109214858</v>
      </c>
      <c r="DU61" s="43" t="n">
        <f aca="false">-In_Var_Opex*DU59*DU57/Thousand</f>
        <v>-262.04542909634</v>
      </c>
      <c r="DV61" s="43" t="n">
        <f aca="false">-In_Var_Opex*DV59*DV57/Thousand</f>
        <v>-261.259292809051</v>
      </c>
      <c r="DW61" s="43" t="n">
        <f aca="false">-In_Var_Opex*DW59*DW57/Thousand</f>
        <v>-264.880005834394</v>
      </c>
      <c r="DX61" s="43" t="n">
        <f aca="false">-In_Var_Opex*DX59*DX57/Thousand</f>
        <v>-264.880005834394</v>
      </c>
      <c r="DY61" s="43" t="n">
        <f aca="false">-In_Var_Opex*DY59*DY57/Thousand</f>
        <v>-267.790775129277</v>
      </c>
      <c r="DZ61" s="43" t="n">
        <f aca="false">-In_Var_Opex*DZ59*DZ57/Thousand</f>
        <v>-266.98740280389</v>
      </c>
      <c r="EA61" s="43" t="n">
        <f aca="false">-In_Var_Opex*EA59*EA57/Thousand</f>
        <v>-267.712912050639</v>
      </c>
      <c r="EB61" s="43" t="n">
        <f aca="false">-In_Var_Opex*EB59*EB57/Thousand</f>
        <v>-270.687499962313</v>
      </c>
      <c r="EC61" s="43" t="n">
        <f aca="false">-In_Var_Opex*EC59*EC57/Thousand</f>
        <v>-273.662087873987</v>
      </c>
      <c r="ED61" s="43" t="n">
        <f aca="false">-In_Var_Opex*ED59*ED57/Thousand</f>
        <v>-272.841101610365</v>
      </c>
      <c r="EE61" s="43" t="n">
        <f aca="false">-In_Var_Opex*EE59*EE57/Thousand</f>
        <v>-273.582517647349</v>
      </c>
      <c r="EF61" s="43" t="n">
        <f aca="false">-In_Var_Opex*EF59*EF57/Thousand</f>
        <v>-276.622323398987</v>
      </c>
      <c r="EG61" s="43" t="n">
        <f aca="false">-In_Var_Opex*EG59*EG57/Thousand</f>
        <v>-279.662129150624</v>
      </c>
      <c r="EH61" s="43" t="n">
        <f aca="false">-In_Var_Opex*EH59*EH57/Thousand</f>
        <v>-278.823142763172</v>
      </c>
      <c r="EI61" s="43" t="n">
        <f aca="false">-In_Var_Opex*EI59*EI57/Thousand</f>
        <v>-279.580814346768</v>
      </c>
      <c r="EJ61" s="43" t="n">
        <f aca="false">-In_Var_Opex*EJ59*EJ57/Thousand</f>
        <v>-282.687267839509</v>
      </c>
      <c r="EK61" s="43" t="n">
        <f aca="false">-In_Var_Opex*EK59*EK57/Thousand</f>
        <v>-285.793721332251</v>
      </c>
      <c r="EL61" s="43" t="n">
        <f aca="false">-In_Var_Opex*EL59*EL57/Thousand</f>
        <v>-284.936340168255</v>
      </c>
      <c r="EM61" s="43" t="n">
        <f aca="false">-In_Var_Opex*EM59*EM57/Thousand</f>
        <v>-288.885186186891</v>
      </c>
      <c r="EN61" s="43" t="n">
        <f aca="false">-In_Var_Opex*EN59*EN57/Thousand</f>
        <v>-288.885186186891</v>
      </c>
      <c r="EO61" s="43" t="n">
        <f aca="false">-In_Var_Opex*EO59*EO57/Thousand</f>
        <v>-292.059748672461</v>
      </c>
    </row>
    <row r="62" customFormat="false" ht="15" hidden="false" customHeight="false" outlineLevel="0" collapsed="false">
      <c r="C62" s="0" t="s">
        <v>373</v>
      </c>
      <c r="D62" s="11" t="s">
        <v>33</v>
      </c>
      <c r="I62" s="43" t="n">
        <f aca="false">SUM(J62:EO62)</f>
        <v>-55946.2502426781</v>
      </c>
      <c r="J62" s="43" t="n">
        <f aca="false">-(In_Fixed_Opex*In_Wind_MW+In_Admin)*J57*J15*J$6</f>
        <v>-0</v>
      </c>
      <c r="K62" s="43" t="n">
        <f aca="false">-(In_Fixed_Opex*In_Wind_MW+In_Admin)*K57*K15*K$6</f>
        <v>-0</v>
      </c>
      <c r="L62" s="43" t="n">
        <f aca="false">-(In_Fixed_Opex*In_Wind_MW+In_Admin)*L57*L15*L$6</f>
        <v>-0</v>
      </c>
      <c r="M62" s="43" t="n">
        <f aca="false">-(In_Fixed_Opex*In_Wind_MW+In_Admin)*M57*M15*M$6</f>
        <v>-0</v>
      </c>
      <c r="N62" s="43" t="n">
        <f aca="false">-(In_Fixed_Opex*In_Wind_MW+In_Admin)*N57*N15*N$6</f>
        <v>-0</v>
      </c>
      <c r="O62" s="43" t="n">
        <f aca="false">-(In_Fixed_Opex*In_Wind_MW+In_Admin)*O57*O15*O$6</f>
        <v>-0</v>
      </c>
      <c r="P62" s="43" t="n">
        <f aca="false">-(In_Fixed_Opex*In_Wind_MW+In_Admin)*P57*P15*P$6</f>
        <v>-0</v>
      </c>
      <c r="Q62" s="43" t="n">
        <f aca="false">-(In_Fixed_Opex*In_Wind_MW+In_Admin)*Q57*Q15*Q$6</f>
        <v>-0</v>
      </c>
      <c r="R62" s="43" t="n">
        <f aca="false">-(In_Fixed_Opex*In_Wind_MW+In_Admin)*R57*R15*R$6</f>
        <v>-0</v>
      </c>
      <c r="S62" s="43" t="n">
        <f aca="false">-(In_Fixed_Opex*In_Wind_MW+In_Admin)*S57*S15*S$6</f>
        <v>-0</v>
      </c>
      <c r="T62" s="43" t="n">
        <f aca="false">-(In_Fixed_Opex*In_Wind_MW+In_Admin)*T57*T15*T$6</f>
        <v>-0</v>
      </c>
      <c r="U62" s="43" t="n">
        <f aca="false">-(In_Fixed_Opex*In_Wind_MW+In_Admin)*U57*U15*U$6</f>
        <v>-0</v>
      </c>
      <c r="V62" s="43" t="n">
        <f aca="false">-(In_Fixed_Opex*In_Wind_MW+In_Admin)*V57*V15*V$6</f>
        <v>-0</v>
      </c>
      <c r="W62" s="43" t="n">
        <f aca="false">-(In_Fixed_Opex*In_Wind_MW+In_Admin)*W57*W15*W$6</f>
        <v>-0</v>
      </c>
      <c r="X62" s="43" t="n">
        <f aca="false">-(In_Fixed_Opex*In_Wind_MW+In_Admin)*X57*X15*X$6</f>
        <v>-0</v>
      </c>
      <c r="Y62" s="43" t="n">
        <f aca="false">-(In_Fixed_Opex*In_Wind_MW+In_Admin)*Y57*Y15*Y$6</f>
        <v>-0</v>
      </c>
      <c r="Z62" s="43" t="n">
        <f aca="false">-(In_Fixed_Opex*In_Wind_MW+In_Admin)*Z57*Z15*Z$6</f>
        <v>-315.068493150685</v>
      </c>
      <c r="AA62" s="43" t="n">
        <f aca="false">-(In_Fixed_Opex*In_Wind_MW+In_Admin)*AA57*AA15*AA$6</f>
        <v>-315.924657534247</v>
      </c>
      <c r="AB62" s="43" t="n">
        <f aca="false">-(In_Fixed_Opex*In_Wind_MW+In_Admin)*AB57*AB15*AB$6</f>
        <v>-319.434931506849</v>
      </c>
      <c r="AC62" s="43" t="n">
        <f aca="false">-(In_Fixed_Opex*In_Wind_MW+In_Admin)*AC57*AC15*AC$6</f>
        <v>-322.945205479452</v>
      </c>
      <c r="AD62" s="43" t="n">
        <f aca="false">-(In_Fixed_Opex*In_Wind_MW+In_Admin)*AD57*AD15*AD$6</f>
        <v>-322.945205479452</v>
      </c>
      <c r="AE62" s="43" t="n">
        <f aca="false">-(In_Fixed_Opex*In_Wind_MW+In_Admin)*AE57*AE15*AE$6</f>
        <v>-327.420804794521</v>
      </c>
      <c r="AF62" s="43" t="n">
        <f aca="false">-(In_Fixed_Opex*In_Wind_MW+In_Admin)*AF57*AF15*AF$6</f>
        <v>-327.420804794521</v>
      </c>
      <c r="AG62" s="43" t="n">
        <f aca="false">-(In_Fixed_Opex*In_Wind_MW+In_Admin)*AG57*AG15*AG$6</f>
        <v>-331.018835616438</v>
      </c>
      <c r="AH62" s="43" t="n">
        <f aca="false">-(In_Fixed_Opex*In_Wind_MW+In_Admin)*AH57*AH15*AH$6</f>
        <v>-331.018835616438</v>
      </c>
      <c r="AI62" s="43" t="n">
        <f aca="false">-(In_Fixed_Opex*In_Wind_MW+In_Admin)*AI57*AI15*AI$6</f>
        <v>-331.918343321918</v>
      </c>
      <c r="AJ62" s="43" t="n">
        <f aca="false">-(In_Fixed_Opex*In_Wind_MW+In_Admin)*AJ57*AJ15*AJ$6</f>
        <v>-335.606324914383</v>
      </c>
      <c r="AK62" s="43" t="n">
        <f aca="false">-(In_Fixed_Opex*In_Wind_MW+In_Admin)*AK57*AK15*AK$6</f>
        <v>-339.294306506849</v>
      </c>
      <c r="AL62" s="43" t="n">
        <f aca="false">-(In_Fixed_Opex*In_Wind_MW+In_Admin)*AL57*AL15*AL$6</f>
        <v>-339.294306506849</v>
      </c>
      <c r="AM62" s="43" t="n">
        <f aca="false">-(In_Fixed_Opex*In_Wind_MW+In_Admin)*AM57*AM15*AM$6</f>
        <v>-340.216301904966</v>
      </c>
      <c r="AN62" s="43" t="n">
        <f aca="false">-(In_Fixed_Opex*In_Wind_MW+In_Admin)*AN57*AN15*AN$6</f>
        <v>-343.996483037243</v>
      </c>
      <c r="AO62" s="43" t="n">
        <f aca="false">-(In_Fixed_Opex*In_Wind_MW+In_Admin)*AO57*AO15*AO$6</f>
        <v>-347.77666416952</v>
      </c>
      <c r="AP62" s="43" t="n">
        <f aca="false">-(In_Fixed_Opex*In_Wind_MW+In_Admin)*AP57*AP15*AP$6</f>
        <v>-347.77666416952</v>
      </c>
      <c r="AQ62" s="43" t="n">
        <f aca="false">-(In_Fixed_Opex*In_Wind_MW+In_Admin)*AQ57*AQ15*AQ$6</f>
        <v>-348.72170945259</v>
      </c>
      <c r="AR62" s="43" t="n">
        <f aca="false">-(In_Fixed_Opex*In_Wind_MW+In_Admin)*AR57*AR15*AR$6</f>
        <v>-352.596395113174</v>
      </c>
      <c r="AS62" s="43" t="n">
        <f aca="false">-(In_Fixed_Opex*In_Wind_MW+In_Admin)*AS57*AS15*AS$6</f>
        <v>-356.471080773758</v>
      </c>
      <c r="AT62" s="43" t="n">
        <f aca="false">-(In_Fixed_Opex*In_Wind_MW+In_Admin)*AT57*AT15*AT$6</f>
        <v>-356.471080773758</v>
      </c>
      <c r="AU62" s="43" t="n">
        <f aca="false">-(In_Fixed_Opex*In_Wind_MW+In_Admin)*AU57*AU15*AU$6</f>
        <v>-361.411304991003</v>
      </c>
      <c r="AV62" s="43" t="n">
        <f aca="false">-(In_Fixed_Opex*In_Wind_MW+In_Admin)*AV57*AV15*AV$6</f>
        <v>-361.411304991003</v>
      </c>
      <c r="AW62" s="43" t="n">
        <f aca="false">-(In_Fixed_Opex*In_Wind_MW+In_Admin)*AW57*AW15*AW$6</f>
        <v>-365.382857793102</v>
      </c>
      <c r="AX62" s="43" t="n">
        <f aca="false">-(In_Fixed_Opex*In_Wind_MW+In_Admin)*AX57*AX15*AX$6</f>
        <v>-365.382857793102</v>
      </c>
      <c r="AY62" s="43" t="n">
        <f aca="false">-(In_Fixed_Opex*In_Wind_MW+In_Admin)*AY57*AY15*AY$6</f>
        <v>-366.375745993627</v>
      </c>
      <c r="AZ62" s="43" t="n">
        <f aca="false">-(In_Fixed_Opex*In_Wind_MW+In_Admin)*AZ57*AZ15*AZ$6</f>
        <v>-370.446587615778</v>
      </c>
      <c r="BA62" s="43" t="n">
        <f aca="false">-(In_Fixed_Opex*In_Wind_MW+In_Admin)*BA57*BA15*BA$6</f>
        <v>-374.51742923793</v>
      </c>
      <c r="BB62" s="43" t="n">
        <f aca="false">-(In_Fixed_Opex*In_Wind_MW+In_Admin)*BB57*BB15*BB$6</f>
        <v>-374.51742923793</v>
      </c>
      <c r="BC62" s="43" t="n">
        <f aca="false">-(In_Fixed_Opex*In_Wind_MW+In_Admin)*BC57*BC15*BC$6</f>
        <v>-375.535139643468</v>
      </c>
      <c r="BD62" s="43" t="n">
        <f aca="false">-(In_Fixed_Opex*In_Wind_MW+In_Admin)*BD57*BD15*BD$6</f>
        <v>-379.707752306173</v>
      </c>
      <c r="BE62" s="43" t="n">
        <f aca="false">-(In_Fixed_Opex*In_Wind_MW+In_Admin)*BE57*BE15*BE$6</f>
        <v>-383.880364968878</v>
      </c>
      <c r="BF62" s="43" t="n">
        <f aca="false">-(In_Fixed_Opex*In_Wind_MW+In_Admin)*BF57*BF15*BF$6</f>
        <v>-383.880364968878</v>
      </c>
      <c r="BG62" s="43" t="n">
        <f aca="false">-(In_Fixed_Opex*In_Wind_MW+In_Admin)*BG57*BG15*BG$6</f>
        <v>-384.923518134554</v>
      </c>
      <c r="BH62" s="43" t="n">
        <f aca="false">-(In_Fixed_Opex*In_Wind_MW+In_Admin)*BH57*BH15*BH$6</f>
        <v>-389.200446113827</v>
      </c>
      <c r="BI62" s="43" t="n">
        <f aca="false">-(In_Fixed_Opex*In_Wind_MW+In_Admin)*BI57*BI15*BI$6</f>
        <v>-393.4773740931</v>
      </c>
      <c r="BJ62" s="43" t="n">
        <f aca="false">-(In_Fixed_Opex*In_Wind_MW+In_Admin)*BJ57*BJ15*BJ$6</f>
        <v>-393.4773740931</v>
      </c>
      <c r="BK62" s="43" t="n">
        <f aca="false">-(In_Fixed_Opex*In_Wind_MW+In_Admin)*BK57*BK15*BK$6</f>
        <v>-398.930457266673</v>
      </c>
      <c r="BL62" s="43" t="n">
        <f aca="false">-(In_Fixed_Opex*In_Wind_MW+In_Admin)*BL57*BL15*BL$6</f>
        <v>-398.930457266673</v>
      </c>
      <c r="BM62" s="43" t="n">
        <f aca="false">-(In_Fixed_Opex*In_Wind_MW+In_Admin)*BM57*BM15*BM$6</f>
        <v>-403.314308445428</v>
      </c>
      <c r="BN62" s="43" t="n">
        <f aca="false">-(In_Fixed_Opex*In_Wind_MW+In_Admin)*BN57*BN15*BN$6</f>
        <v>-403.314308445428</v>
      </c>
      <c r="BO62" s="43" t="n">
        <f aca="false">-(In_Fixed_Opex*In_Wind_MW+In_Admin)*BO57*BO15*BO$6</f>
        <v>-404.410271240116</v>
      </c>
      <c r="BP62" s="43" t="n">
        <f aca="false">-(In_Fixed_Opex*In_Wind_MW+In_Admin)*BP57*BP15*BP$6</f>
        <v>-408.90371869834</v>
      </c>
      <c r="BQ62" s="43" t="n">
        <f aca="false">-(In_Fixed_Opex*In_Wind_MW+In_Admin)*BQ57*BQ15*BQ$6</f>
        <v>-413.397166156563</v>
      </c>
      <c r="BR62" s="43" t="n">
        <f aca="false">-(In_Fixed_Opex*In_Wind_MW+In_Admin)*BR57*BR15*BR$6</f>
        <v>-413.397166156563</v>
      </c>
      <c r="BS62" s="43" t="n">
        <f aca="false">-(In_Fixed_Opex*In_Wind_MW+In_Admin)*BS57*BS15*BS$6</f>
        <v>-414.520528021119</v>
      </c>
      <c r="BT62" s="43" t="n">
        <f aca="false">-(In_Fixed_Opex*In_Wind_MW+In_Admin)*BT57*BT15*BT$6</f>
        <v>-419.126311665798</v>
      </c>
      <c r="BU62" s="43" t="n">
        <f aca="false">-(In_Fixed_Opex*In_Wind_MW+In_Admin)*BU57*BU15*BU$6</f>
        <v>-423.732095310477</v>
      </c>
      <c r="BV62" s="43" t="n">
        <f aca="false">-(In_Fixed_Opex*In_Wind_MW+In_Admin)*BV57*BV15*BV$6</f>
        <v>-423.732095310477</v>
      </c>
      <c r="BW62" s="43" t="n">
        <f aca="false">-(In_Fixed_Opex*In_Wind_MW+In_Admin)*BW57*BW15*BW$6</f>
        <v>-424.883541221647</v>
      </c>
      <c r="BX62" s="43" t="n">
        <f aca="false">-(In_Fixed_Opex*In_Wind_MW+In_Admin)*BX57*BX15*BX$6</f>
        <v>-429.604469457443</v>
      </c>
      <c r="BY62" s="43" t="n">
        <f aca="false">-(In_Fixed_Opex*In_Wind_MW+In_Admin)*BY57*BY15*BY$6</f>
        <v>-434.325397693239</v>
      </c>
      <c r="BZ62" s="43" t="n">
        <f aca="false">-(In_Fixed_Opex*In_Wind_MW+In_Admin)*BZ57*BZ15*BZ$6</f>
        <v>-434.325397693239</v>
      </c>
      <c r="CA62" s="43" t="n">
        <f aca="false">-(In_Fixed_Opex*In_Wind_MW+In_Admin)*CA57*CA15*CA$6</f>
        <v>-440.344581193879</v>
      </c>
      <c r="CB62" s="43" t="n">
        <f aca="false">-(In_Fixed_Opex*In_Wind_MW+In_Admin)*CB57*CB15*CB$6</f>
        <v>-440.344581193879</v>
      </c>
      <c r="CC62" s="43" t="n">
        <f aca="false">-(In_Fixed_Opex*In_Wind_MW+In_Admin)*CC57*CC15*CC$6</f>
        <v>-445.18353263557</v>
      </c>
      <c r="CD62" s="43" t="n">
        <f aca="false">-(In_Fixed_Opex*In_Wind_MW+In_Admin)*CD57*CD15*CD$6</f>
        <v>-445.18353263557</v>
      </c>
      <c r="CE62" s="43" t="n">
        <f aca="false">-(In_Fixed_Opex*In_Wind_MW+In_Admin)*CE57*CE15*CE$6</f>
        <v>-446.393270495993</v>
      </c>
      <c r="CF62" s="43" t="n">
        <f aca="false">-(In_Fixed_Opex*In_Wind_MW+In_Admin)*CF57*CF15*CF$6</f>
        <v>-451.353195723726</v>
      </c>
      <c r="CG62" s="43" t="n">
        <f aca="false">-(In_Fixed_Opex*In_Wind_MW+In_Admin)*CG57*CG15*CG$6</f>
        <v>-456.313120951459</v>
      </c>
      <c r="CH62" s="43" t="n">
        <f aca="false">-(In_Fixed_Opex*In_Wind_MW+In_Admin)*CH57*CH15*CH$6</f>
        <v>-456.313120951459</v>
      </c>
      <c r="CI62" s="43" t="n">
        <f aca="false">-(In_Fixed_Opex*In_Wind_MW+In_Admin)*CI57*CI15*CI$6</f>
        <v>-457.553102258392</v>
      </c>
      <c r="CJ62" s="43" t="n">
        <f aca="false">-(In_Fixed_Opex*In_Wind_MW+In_Admin)*CJ57*CJ15*CJ$6</f>
        <v>-462.637025616819</v>
      </c>
      <c r="CK62" s="43" t="n">
        <f aca="false">-(In_Fixed_Opex*In_Wind_MW+In_Admin)*CK57*CK15*CK$6</f>
        <v>-467.720948975246</v>
      </c>
      <c r="CL62" s="43" t="n">
        <f aca="false">-(In_Fixed_Opex*In_Wind_MW+In_Admin)*CL57*CL15*CL$6</f>
        <v>-467.720948975246</v>
      </c>
      <c r="CM62" s="43" t="n">
        <f aca="false">-(In_Fixed_Opex*In_Wind_MW+In_Admin)*CM57*CM15*CM$6</f>
        <v>-468.991929814852</v>
      </c>
      <c r="CN62" s="43" t="n">
        <f aca="false">-(In_Fixed_Opex*In_Wind_MW+In_Admin)*CN57*CN15*CN$6</f>
        <v>-474.20295125724</v>
      </c>
      <c r="CO62" s="43" t="n">
        <f aca="false">-(In_Fixed_Opex*In_Wind_MW+In_Admin)*CO57*CO15*CO$6</f>
        <v>-479.413972699627</v>
      </c>
      <c r="CP62" s="43" t="n">
        <f aca="false">-(In_Fixed_Opex*In_Wind_MW+In_Admin)*CP57*CP15*CP$6</f>
        <v>-479.413972699627</v>
      </c>
      <c r="CQ62" s="43" t="n">
        <f aca="false">-(In_Fixed_Opex*In_Wind_MW+In_Admin)*CQ57*CQ15*CQ$6</f>
        <v>-486.05802503867</v>
      </c>
      <c r="CR62" s="43" t="n">
        <f aca="false">-(In_Fixed_Opex*In_Wind_MW+In_Admin)*CR57*CR15*CR$6</f>
        <v>-486.05802503867</v>
      </c>
      <c r="CS62" s="43" t="n">
        <f aca="false">-(In_Fixed_Opex*In_Wind_MW+In_Admin)*CS57*CS15*CS$6</f>
        <v>-491.399322017117</v>
      </c>
      <c r="CT62" s="43" t="n">
        <f aca="false">-(In_Fixed_Opex*In_Wind_MW+In_Admin)*CT57*CT15*CT$6</f>
        <v>-491.399322017117</v>
      </c>
      <c r="CU62" s="43" t="n">
        <f aca="false">-(In_Fixed_Opex*In_Wind_MW+In_Admin)*CU57*CU15*CU$6</f>
        <v>-492.734646261729</v>
      </c>
      <c r="CV62" s="43" t="n">
        <f aca="false">-(In_Fixed_Opex*In_Wind_MW+In_Admin)*CV57*CV15*CV$6</f>
        <v>-498.209475664637</v>
      </c>
      <c r="CW62" s="43" t="n">
        <f aca="false">-(In_Fixed_Opex*In_Wind_MW+In_Admin)*CW57*CW15*CW$6</f>
        <v>-503.684305067545</v>
      </c>
      <c r="CX62" s="43" t="n">
        <f aca="false">-(In_Fixed_Opex*In_Wind_MW+In_Admin)*CX57*CX15*CX$6</f>
        <v>-503.684305067545</v>
      </c>
      <c r="CY62" s="43" t="n">
        <f aca="false">-(In_Fixed_Opex*In_Wind_MW+In_Admin)*CY57*CY15*CY$6</f>
        <v>-505.053012418272</v>
      </c>
      <c r="CZ62" s="43" t="n">
        <f aca="false">-(In_Fixed_Opex*In_Wind_MW+In_Admin)*CZ57*CZ15*CZ$6</f>
        <v>-510.664712556253</v>
      </c>
      <c r="DA62" s="43" t="n">
        <f aca="false">-(In_Fixed_Opex*In_Wind_MW+In_Admin)*DA57*DA15*DA$6</f>
        <v>-516.276412694234</v>
      </c>
      <c r="DB62" s="43" t="n">
        <f aca="false">-(In_Fixed_Opex*In_Wind_MW+In_Admin)*DB57*DB15*DB$6</f>
        <v>-516.276412694234</v>
      </c>
      <c r="DC62" s="43" t="n">
        <f aca="false">-(In_Fixed_Opex*In_Wind_MW+In_Admin)*DC57*DC15*DC$6</f>
        <v>-517.679337728729</v>
      </c>
      <c r="DD62" s="43" t="n">
        <f aca="false">-(In_Fixed_Opex*In_Wind_MW+In_Admin)*DD57*DD15*DD$6</f>
        <v>-523.431330370159</v>
      </c>
      <c r="DE62" s="43" t="n">
        <f aca="false">-(In_Fixed_Opex*In_Wind_MW+In_Admin)*DE57*DE15*DE$6</f>
        <v>-529.18332301159</v>
      </c>
      <c r="DF62" s="43" t="n">
        <f aca="false">-(In_Fixed_Opex*In_Wind_MW+In_Admin)*DF57*DF15*DF$6</f>
        <v>-529.18332301159</v>
      </c>
      <c r="DG62" s="43" t="n">
        <f aca="false">-(In_Fixed_Opex*In_Wind_MW+In_Admin)*DG57*DG15*DG$6</f>
        <v>-536.517113629413</v>
      </c>
      <c r="DH62" s="43" t="n">
        <f aca="false">-(In_Fixed_Opex*In_Wind_MW+In_Admin)*DH57*DH15*DH$6</f>
        <v>-536.517113629413</v>
      </c>
      <c r="DI62" s="43" t="n">
        <f aca="false">-(In_Fixed_Opex*In_Wind_MW+In_Admin)*DI57*DI15*DI$6</f>
        <v>-542.412906086879</v>
      </c>
      <c r="DJ62" s="43" t="n">
        <f aca="false">-(In_Fixed_Opex*In_Wind_MW+In_Admin)*DJ57*DJ15*DJ$6</f>
        <v>-542.412906086879</v>
      </c>
      <c r="DK62" s="43" t="n">
        <f aca="false">-(In_Fixed_Opex*In_Wind_MW+In_Admin)*DK57*DK15*DK$6</f>
        <v>-543.886854201246</v>
      </c>
      <c r="DL62" s="43" t="n">
        <f aca="false">-(In_Fixed_Opex*In_Wind_MW+In_Admin)*DL57*DL15*DL$6</f>
        <v>-549.930041470149</v>
      </c>
      <c r="DM62" s="43" t="n">
        <f aca="false">-(In_Fixed_Opex*In_Wind_MW+In_Admin)*DM57*DM15*DM$6</f>
        <v>-555.973228739051</v>
      </c>
      <c r="DN62" s="43" t="n">
        <f aca="false">-(In_Fixed_Opex*In_Wind_MW+In_Admin)*DN57*DN15*DN$6</f>
        <v>-555.973228739051</v>
      </c>
      <c r="DO62" s="43" t="n">
        <f aca="false">-(In_Fixed_Opex*In_Wind_MW+In_Admin)*DO57*DO15*DO$6</f>
        <v>-557.484025556277</v>
      </c>
      <c r="DP62" s="43" t="n">
        <f aca="false">-(In_Fixed_Opex*In_Wind_MW+In_Admin)*DP57*DP15*DP$6</f>
        <v>-563.678292506902</v>
      </c>
      <c r="DQ62" s="43" t="n">
        <f aca="false">-(In_Fixed_Opex*In_Wind_MW+In_Admin)*DQ57*DQ15*DQ$6</f>
        <v>-569.872559457528</v>
      </c>
      <c r="DR62" s="43" t="n">
        <f aca="false">-(In_Fixed_Opex*In_Wind_MW+In_Admin)*DR57*DR15*DR$6</f>
        <v>-569.872559457528</v>
      </c>
      <c r="DS62" s="43" t="n">
        <f aca="false">-(In_Fixed_Opex*In_Wind_MW+In_Admin)*DS57*DS15*DS$6</f>
        <v>-571.421126195184</v>
      </c>
      <c r="DT62" s="43" t="n">
        <f aca="false">-(In_Fixed_Opex*In_Wind_MW+In_Admin)*DT57*DT15*DT$6</f>
        <v>-577.770249819575</v>
      </c>
      <c r="DU62" s="43" t="n">
        <f aca="false">-(In_Fixed_Opex*In_Wind_MW+In_Admin)*DU57*DU15*DU$6</f>
        <v>-584.119373443966</v>
      </c>
      <c r="DV62" s="43" t="n">
        <f aca="false">-(In_Fixed_Opex*In_Wind_MW+In_Admin)*DV57*DV15*DV$6</f>
        <v>-584.119373443966</v>
      </c>
      <c r="DW62" s="43" t="n">
        <f aca="false">-(In_Fixed_Opex*In_Wind_MW+In_Admin)*DW57*DW15*DW$6</f>
        <v>-592.214506065064</v>
      </c>
      <c r="DX62" s="43" t="n">
        <f aca="false">-(In_Fixed_Opex*In_Wind_MW+In_Admin)*DX57*DX15*DX$6</f>
        <v>-592.214506065064</v>
      </c>
      <c r="DY62" s="43" t="n">
        <f aca="false">-(In_Fixed_Opex*In_Wind_MW+In_Admin)*DY57*DY15*DY$6</f>
        <v>-598.722357780065</v>
      </c>
      <c r="DZ62" s="43" t="n">
        <f aca="false">-(In_Fixed_Opex*In_Wind_MW+In_Admin)*DZ57*DZ15*DZ$6</f>
        <v>-598.722357780065</v>
      </c>
      <c r="EA62" s="43" t="n">
        <f aca="false">-(In_Fixed_Opex*In_Wind_MW+In_Admin)*EA57*EA15*EA$6</f>
        <v>-600.349320708815</v>
      </c>
      <c r="EB62" s="43" t="n">
        <f aca="false">-(In_Fixed_Opex*In_Wind_MW+In_Admin)*EB57*EB15*EB$6</f>
        <v>-607.019868716691</v>
      </c>
      <c r="EC62" s="43" t="n">
        <f aca="false">-(In_Fixed_Opex*In_Wind_MW+In_Admin)*EC57*EC15*EC$6</f>
        <v>-613.690416724566</v>
      </c>
      <c r="ED62" s="43" t="n">
        <f aca="false">-(In_Fixed_Opex*In_Wind_MW+In_Admin)*ED57*ED15*ED$6</f>
        <v>-613.690416724566</v>
      </c>
      <c r="EE62" s="43" t="n">
        <f aca="false">-(In_Fixed_Opex*In_Wind_MW+In_Admin)*EE57*EE15*EE$6</f>
        <v>-615.358053726535</v>
      </c>
      <c r="EF62" s="43" t="n">
        <f aca="false">-(In_Fixed_Opex*In_Wind_MW+In_Admin)*EF57*EF15*EF$6</f>
        <v>-622.195365434608</v>
      </c>
      <c r="EG62" s="43" t="n">
        <f aca="false">-(In_Fixed_Opex*In_Wind_MW+In_Admin)*EG57*EG15*EG$6</f>
        <v>-629.03267714268</v>
      </c>
      <c r="EH62" s="43" t="n">
        <f aca="false">-(In_Fixed_Opex*In_Wind_MW+In_Admin)*EH57*EH15*EH$6</f>
        <v>-629.03267714268</v>
      </c>
      <c r="EI62" s="43" t="n">
        <f aca="false">-(In_Fixed_Opex*In_Wind_MW+In_Admin)*EI57*EI15*EI$6</f>
        <v>-630.742005069699</v>
      </c>
      <c r="EJ62" s="43" t="n">
        <f aca="false">-(In_Fixed_Opex*In_Wind_MW+In_Admin)*EJ57*EJ15*EJ$6</f>
        <v>-637.750249570473</v>
      </c>
      <c r="EK62" s="43" t="n">
        <f aca="false">-(In_Fixed_Opex*In_Wind_MW+In_Admin)*EK57*EK15*EK$6</f>
        <v>-644.758494071248</v>
      </c>
      <c r="EL62" s="43" t="n">
        <f aca="false">-(In_Fixed_Opex*In_Wind_MW+In_Admin)*EL57*EL15*EL$6</f>
        <v>-644.758494071248</v>
      </c>
      <c r="EM62" s="43" t="n">
        <f aca="false">-(In_Fixed_Opex*In_Wind_MW+In_Admin)*EM57*EM15*EM$6</f>
        <v>-653.694005809735</v>
      </c>
      <c r="EN62" s="43" t="n">
        <f aca="false">-(In_Fixed_Opex*In_Wind_MW+In_Admin)*EN57*EN15*EN$6</f>
        <v>-653.694005809735</v>
      </c>
      <c r="EO62" s="43" t="n">
        <f aca="false">-(In_Fixed_Opex*In_Wind_MW+In_Admin)*EO57*EO15*EO$6</f>
        <v>-660.877456423028</v>
      </c>
    </row>
    <row r="63" customFormat="false" ht="15" hidden="false" customHeight="false" outlineLevel="0" collapsed="false">
      <c r="C63" s="0" t="s">
        <v>374</v>
      </c>
      <c r="D63" s="11" t="s">
        <v>33</v>
      </c>
      <c r="I63" s="43" t="n">
        <f aca="false">SUM(J63:EO63)</f>
        <v>-7008.06968066603</v>
      </c>
      <c r="J63" s="43" t="n">
        <f aca="false">-In_Lease*In_Wind_MW*J57*J16*J$6</f>
        <v>-0</v>
      </c>
      <c r="K63" s="43" t="n">
        <f aca="false">-In_Lease*In_Wind_MW*K57*K16*K$6</f>
        <v>-0</v>
      </c>
      <c r="L63" s="43" t="n">
        <f aca="false">-In_Lease*In_Wind_MW*L57*L16*L$6</f>
        <v>-0</v>
      </c>
      <c r="M63" s="43" t="n">
        <f aca="false">-In_Lease*In_Wind_MW*M57*M16*M$6</f>
        <v>-0</v>
      </c>
      <c r="N63" s="43" t="n">
        <f aca="false">-In_Lease*In_Wind_MW*N57*N16*N$6</f>
        <v>-0</v>
      </c>
      <c r="O63" s="43" t="n">
        <f aca="false">-In_Lease*In_Wind_MW*O57*O16*O$6</f>
        <v>-0</v>
      </c>
      <c r="P63" s="43" t="n">
        <f aca="false">-In_Lease*In_Wind_MW*P57*P16*P$6</f>
        <v>-0</v>
      </c>
      <c r="Q63" s="43" t="n">
        <f aca="false">-In_Lease*In_Wind_MW*Q57*Q16*Q$6</f>
        <v>-0</v>
      </c>
      <c r="R63" s="43" t="n">
        <f aca="false">-In_Lease*In_Wind_MW*R57*R16*R$6</f>
        <v>-35.9864073081092</v>
      </c>
      <c r="S63" s="43" t="n">
        <f aca="false">-In_Lease*In_Wind_MW*S57*S16*S$6</f>
        <v>-36.0841964584029</v>
      </c>
      <c r="T63" s="43" t="n">
        <f aca="false">-In_Lease*In_Wind_MW*T57*T16*T$6</f>
        <v>-36.4851319746074</v>
      </c>
      <c r="U63" s="43" t="n">
        <f aca="false">-In_Lease*In_Wind_MW*U57*U16*U$6</f>
        <v>-36.8860674908119</v>
      </c>
      <c r="V63" s="43" t="n">
        <f aca="false">-In_Lease*In_Wind_MW*V57*V16*V$6</f>
        <v>-36.8860674908119</v>
      </c>
      <c r="W63" s="43" t="n">
        <f aca="false">-In_Lease*In_Wind_MW*W57*W16*W$6</f>
        <v>-36.986301369863</v>
      </c>
      <c r="X63" s="43" t="n">
        <f aca="false">-In_Lease*In_Wind_MW*X57*X16*X$6</f>
        <v>-37.3972602739726</v>
      </c>
      <c r="Y63" s="43" t="n">
        <f aca="false">-In_Lease*In_Wind_MW*Y57*Y16*Y$6</f>
        <v>-37.8082191780822</v>
      </c>
      <c r="Z63" s="43" t="n">
        <f aca="false">-In_Lease*In_Wind_MW*Z57*Z16*Z$6</f>
        <v>-37.8082191780822</v>
      </c>
      <c r="AA63" s="43" t="n">
        <f aca="false">-In_Lease*In_Wind_MW*AA57*AA16*AA$6</f>
        <v>-37.9109589041096</v>
      </c>
      <c r="AB63" s="43" t="n">
        <f aca="false">-In_Lease*In_Wind_MW*AB57*AB16*AB$6</f>
        <v>-38.3321917808219</v>
      </c>
      <c r="AC63" s="43" t="n">
        <f aca="false">-In_Lease*In_Wind_MW*AC57*AC16*AC$6</f>
        <v>-38.7534246575343</v>
      </c>
      <c r="AD63" s="43" t="n">
        <f aca="false">-In_Lease*In_Wind_MW*AD57*AD16*AD$6</f>
        <v>-38.7534246575343</v>
      </c>
      <c r="AE63" s="43" t="n">
        <f aca="false">-In_Lease*In_Wind_MW*AE57*AE16*AE$6</f>
        <v>-39.2904965753425</v>
      </c>
      <c r="AF63" s="43" t="n">
        <f aca="false">-In_Lease*In_Wind_MW*AF57*AF16*AF$6</f>
        <v>-39.2904965753425</v>
      </c>
      <c r="AG63" s="43" t="n">
        <f aca="false">-In_Lease*In_Wind_MW*AG57*AG16*AG$6</f>
        <v>-39.7222602739726</v>
      </c>
      <c r="AH63" s="43" t="n">
        <f aca="false">-In_Lease*In_Wind_MW*AH57*AH16*AH$6</f>
        <v>-39.7222602739726</v>
      </c>
      <c r="AI63" s="43" t="n">
        <f aca="false">-In_Lease*In_Wind_MW*AI57*AI16*AI$6</f>
        <v>-39.8302011986301</v>
      </c>
      <c r="AJ63" s="43" t="n">
        <f aca="false">-In_Lease*In_Wind_MW*AJ57*AJ16*AJ$6</f>
        <v>-40.272758989726</v>
      </c>
      <c r="AK63" s="43" t="n">
        <f aca="false">-In_Lease*In_Wind_MW*AK57*AK16*AK$6</f>
        <v>-40.7153167808219</v>
      </c>
      <c r="AL63" s="43" t="n">
        <f aca="false">-In_Lease*In_Wind_MW*AL57*AL16*AL$6</f>
        <v>-40.7153167808219</v>
      </c>
      <c r="AM63" s="43" t="n">
        <f aca="false">-In_Lease*In_Wind_MW*AM57*AM16*AM$6</f>
        <v>-40.8259562285959</v>
      </c>
      <c r="AN63" s="43" t="n">
        <f aca="false">-In_Lease*In_Wind_MW*AN57*AN16*AN$6</f>
        <v>-41.2795779644692</v>
      </c>
      <c r="AO63" s="43" t="n">
        <f aca="false">-In_Lease*In_Wind_MW*AO57*AO16*AO$6</f>
        <v>-41.7331997003424</v>
      </c>
      <c r="AP63" s="43" t="n">
        <f aca="false">-In_Lease*In_Wind_MW*AP57*AP16*AP$6</f>
        <v>-41.7331997003424</v>
      </c>
      <c r="AQ63" s="43" t="n">
        <f aca="false">-In_Lease*In_Wind_MW*AQ57*AQ16*AQ$6</f>
        <v>-41.8466051343108</v>
      </c>
      <c r="AR63" s="43" t="n">
        <f aca="false">-In_Lease*In_Wind_MW*AR57*AR16*AR$6</f>
        <v>-42.3115674135809</v>
      </c>
      <c r="AS63" s="43" t="n">
        <f aca="false">-In_Lease*In_Wind_MW*AS57*AS16*AS$6</f>
        <v>-42.776529692851</v>
      </c>
      <c r="AT63" s="43" t="n">
        <f aca="false">-In_Lease*In_Wind_MW*AT57*AT16*AT$6</f>
        <v>-42.776529692851</v>
      </c>
      <c r="AU63" s="43" t="n">
        <f aca="false">-In_Lease*In_Wind_MW*AU57*AU16*AU$6</f>
        <v>-43.3693565989204</v>
      </c>
      <c r="AV63" s="43" t="n">
        <f aca="false">-In_Lease*In_Wind_MW*AV57*AV16*AV$6</f>
        <v>-43.3693565989204</v>
      </c>
      <c r="AW63" s="43" t="n">
        <f aca="false">-In_Lease*In_Wind_MW*AW57*AW16*AW$6</f>
        <v>-43.8459429351723</v>
      </c>
      <c r="AX63" s="43" t="n">
        <f aca="false">-In_Lease*In_Wind_MW*AX57*AX16*AX$6</f>
        <v>-43.8459429351723</v>
      </c>
      <c r="AY63" s="43" t="n">
        <f aca="false">-In_Lease*In_Wind_MW*AY57*AY16*AY$6</f>
        <v>-43.9650895192353</v>
      </c>
      <c r="AZ63" s="43" t="n">
        <f aca="false">-In_Lease*In_Wind_MW*AZ57*AZ16*AZ$6</f>
        <v>-44.4535905138934</v>
      </c>
      <c r="BA63" s="43" t="n">
        <f aca="false">-In_Lease*In_Wind_MW*BA57*BA16*BA$6</f>
        <v>-44.9420915085516</v>
      </c>
      <c r="BB63" s="43" t="n">
        <f aca="false">-In_Lease*In_Wind_MW*BB57*BB16*BB$6</f>
        <v>-44.9420915085516</v>
      </c>
      <c r="BC63" s="43" t="n">
        <f aca="false">-In_Lease*In_Wind_MW*BC57*BC16*BC$6</f>
        <v>-45.0642167572161</v>
      </c>
      <c r="BD63" s="43" t="n">
        <f aca="false">-In_Lease*In_Wind_MW*BD57*BD16*BD$6</f>
        <v>-45.5649302767407</v>
      </c>
      <c r="BE63" s="43" t="n">
        <f aca="false">-In_Lease*In_Wind_MW*BE57*BE16*BE$6</f>
        <v>-46.0656437962654</v>
      </c>
      <c r="BF63" s="43" t="n">
        <f aca="false">-In_Lease*In_Wind_MW*BF57*BF16*BF$6</f>
        <v>-46.0656437962654</v>
      </c>
      <c r="BG63" s="43" t="n">
        <f aca="false">-In_Lease*In_Wind_MW*BG57*BG16*BG$6</f>
        <v>-46.1908221761465</v>
      </c>
      <c r="BH63" s="43" t="n">
        <f aca="false">-In_Lease*In_Wind_MW*BH57*BH16*BH$6</f>
        <v>-46.7040535336593</v>
      </c>
      <c r="BI63" s="43" t="n">
        <f aca="false">-In_Lease*In_Wind_MW*BI57*BI16*BI$6</f>
        <v>-47.217284891172</v>
      </c>
      <c r="BJ63" s="43" t="n">
        <f aca="false">-In_Lease*In_Wind_MW*BJ57*BJ16*BJ$6</f>
        <v>-47.217284891172</v>
      </c>
      <c r="BK63" s="43" t="n">
        <f aca="false">-In_Lease*In_Wind_MW*BK57*BK16*BK$6</f>
        <v>-47.8716548720007</v>
      </c>
      <c r="BL63" s="43" t="n">
        <f aca="false">-In_Lease*In_Wind_MW*BL57*BL16*BL$6</f>
        <v>-47.8716548720007</v>
      </c>
      <c r="BM63" s="43" t="n">
        <f aca="false">-In_Lease*In_Wind_MW*BM57*BM16*BM$6</f>
        <v>-48.3977170134513</v>
      </c>
      <c r="BN63" s="43" t="n">
        <f aca="false">-In_Lease*In_Wind_MW*BN57*BN16*BN$6</f>
        <v>-48.3977170134513</v>
      </c>
      <c r="BO63" s="43" t="n">
        <f aca="false">-In_Lease*In_Wind_MW*BO57*BO16*BO$6</f>
        <v>-48.5292325488139</v>
      </c>
      <c r="BP63" s="43" t="n">
        <f aca="false">-In_Lease*In_Wind_MW*BP57*BP16*BP$6</f>
        <v>-49.0684462438008</v>
      </c>
      <c r="BQ63" s="43" t="n">
        <f aca="false">-In_Lease*In_Wind_MW*BQ57*BQ16*BQ$6</f>
        <v>-49.6076599387876</v>
      </c>
      <c r="BR63" s="43" t="n">
        <f aca="false">-In_Lease*In_Wind_MW*BR57*BR16*BR$6</f>
        <v>-49.6076599387876</v>
      </c>
      <c r="BS63" s="43" t="n">
        <f aca="false">-In_Lease*In_Wind_MW*BS57*BS16*BS$6</f>
        <v>-49.7424633625343</v>
      </c>
      <c r="BT63" s="43" t="n">
        <f aca="false">-In_Lease*In_Wind_MW*BT57*BT16*BT$6</f>
        <v>-50.2951573998958</v>
      </c>
      <c r="BU63" s="43" t="n">
        <f aca="false">-In_Lease*In_Wind_MW*BU57*BU16*BU$6</f>
        <v>-50.8478514372573</v>
      </c>
      <c r="BV63" s="43" t="n">
        <f aca="false">-In_Lease*In_Wind_MW*BV57*BV16*BV$6</f>
        <v>-50.8478514372573</v>
      </c>
      <c r="BW63" s="43" t="n">
        <f aca="false">-In_Lease*In_Wind_MW*BW57*BW16*BW$6</f>
        <v>-50.9860249465976</v>
      </c>
      <c r="BX63" s="43" t="n">
        <f aca="false">-In_Lease*In_Wind_MW*BX57*BX16*BX$6</f>
        <v>-51.5525363348932</v>
      </c>
      <c r="BY63" s="43" t="n">
        <f aca="false">-In_Lease*In_Wind_MW*BY57*BY16*BY$6</f>
        <v>-52.1190477231887</v>
      </c>
      <c r="BZ63" s="43" t="n">
        <f aca="false">-In_Lease*In_Wind_MW*BZ57*BZ16*BZ$6</f>
        <v>-52.1190477231887</v>
      </c>
      <c r="CA63" s="43" t="n">
        <f aca="false">-In_Lease*In_Wind_MW*CA57*CA16*CA$6</f>
        <v>-52.8413497432655</v>
      </c>
      <c r="CB63" s="43" t="n">
        <f aca="false">-In_Lease*In_Wind_MW*CB57*CB16*CB$6</f>
        <v>-52.8413497432655</v>
      </c>
      <c r="CC63" s="43" t="n">
        <f aca="false">-In_Lease*In_Wind_MW*CC57*CC16*CC$6</f>
        <v>-53.4220239162684</v>
      </c>
      <c r="CD63" s="43" t="n">
        <f aca="false">-In_Lease*In_Wind_MW*CD57*CD16*CD$6</f>
        <v>-53.4220239162684</v>
      </c>
      <c r="CE63" s="43" t="n">
        <f aca="false">-In_Lease*In_Wind_MW*CE57*CE16*CE$6</f>
        <v>-53.5671924595191</v>
      </c>
      <c r="CF63" s="43" t="n">
        <f aca="false">-In_Lease*In_Wind_MW*CF57*CF16*CF$6</f>
        <v>-54.1623834868471</v>
      </c>
      <c r="CG63" s="43" t="n">
        <f aca="false">-In_Lease*In_Wind_MW*CG57*CG16*CG$6</f>
        <v>-54.7575745141751</v>
      </c>
      <c r="CH63" s="43" t="n">
        <f aca="false">-In_Lease*In_Wind_MW*CH57*CH16*CH$6</f>
        <v>-54.7575745141751</v>
      </c>
      <c r="CI63" s="43" t="n">
        <f aca="false">-In_Lease*In_Wind_MW*CI57*CI16*CI$6</f>
        <v>-54.9063722710071</v>
      </c>
      <c r="CJ63" s="43" t="n">
        <f aca="false">-In_Lease*In_Wind_MW*CJ57*CJ16*CJ$6</f>
        <v>-55.5164430740183</v>
      </c>
      <c r="CK63" s="43" t="n">
        <f aca="false">-In_Lease*In_Wind_MW*CK57*CK16*CK$6</f>
        <v>-56.1265138770295</v>
      </c>
      <c r="CL63" s="43" t="n">
        <f aca="false">-In_Lease*In_Wind_MW*CL57*CL16*CL$6</f>
        <v>-56.1265138770295</v>
      </c>
      <c r="CM63" s="43" t="n">
        <f aca="false">-In_Lease*In_Wind_MW*CM57*CM16*CM$6</f>
        <v>-56.2790315777823</v>
      </c>
      <c r="CN63" s="43" t="n">
        <f aca="false">-In_Lease*In_Wind_MW*CN57*CN16*CN$6</f>
        <v>-56.9043541508687</v>
      </c>
      <c r="CO63" s="43" t="n">
        <f aca="false">-In_Lease*In_Wind_MW*CO57*CO16*CO$6</f>
        <v>-57.5296767239552</v>
      </c>
      <c r="CP63" s="43" t="n">
        <f aca="false">-In_Lease*In_Wind_MW*CP57*CP16*CP$6</f>
        <v>-57.5296767239552</v>
      </c>
      <c r="CQ63" s="43" t="n">
        <f aca="false">-In_Lease*In_Wind_MW*CQ57*CQ16*CQ$6</f>
        <v>-58.3269630046405</v>
      </c>
      <c r="CR63" s="43" t="n">
        <f aca="false">-In_Lease*In_Wind_MW*CR57*CR16*CR$6</f>
        <v>-58.3269630046405</v>
      </c>
      <c r="CS63" s="43" t="n">
        <f aca="false">-In_Lease*In_Wind_MW*CS57*CS16*CS$6</f>
        <v>-58.9679186420541</v>
      </c>
      <c r="CT63" s="43" t="n">
        <f aca="false">-In_Lease*In_Wind_MW*CT57*CT16*CT$6</f>
        <v>-58.9679186420541</v>
      </c>
      <c r="CU63" s="43" t="n">
        <f aca="false">-In_Lease*In_Wind_MW*CU57*CU16*CU$6</f>
        <v>-59.1281575514075</v>
      </c>
      <c r="CV63" s="43" t="n">
        <f aca="false">-In_Lease*In_Wind_MW*CV57*CV16*CV$6</f>
        <v>-59.7851370797565</v>
      </c>
      <c r="CW63" s="43" t="n">
        <f aca="false">-In_Lease*In_Wind_MW*CW57*CW16*CW$6</f>
        <v>-60.4421166081054</v>
      </c>
      <c r="CX63" s="43" t="n">
        <f aca="false">-In_Lease*In_Wind_MW*CX57*CX16*CX$6</f>
        <v>-60.4421166081054</v>
      </c>
      <c r="CY63" s="43" t="n">
        <f aca="false">-In_Lease*In_Wind_MW*CY57*CY16*CY$6</f>
        <v>-60.6063614901927</v>
      </c>
      <c r="CZ63" s="43" t="n">
        <f aca="false">-In_Lease*In_Wind_MW*CZ57*CZ16*CZ$6</f>
        <v>-61.2797655067504</v>
      </c>
      <c r="DA63" s="43" t="n">
        <f aca="false">-In_Lease*In_Wind_MW*DA57*DA16*DA$6</f>
        <v>-61.9531695233081</v>
      </c>
      <c r="DB63" s="43" t="n">
        <f aca="false">-In_Lease*In_Wind_MW*DB57*DB16*DB$6</f>
        <v>-61.9531695233081</v>
      </c>
      <c r="DC63" s="43" t="n">
        <f aca="false">-In_Lease*In_Wind_MW*DC57*DC16*DC$6</f>
        <v>-62.1215205274475</v>
      </c>
      <c r="DD63" s="43" t="n">
        <f aca="false">-In_Lease*In_Wind_MW*DD57*DD16*DD$6</f>
        <v>-62.8117596444191</v>
      </c>
      <c r="DE63" s="43" t="n">
        <f aca="false">-In_Lease*In_Wind_MW*DE57*DE16*DE$6</f>
        <v>-63.5019987613908</v>
      </c>
      <c r="DF63" s="43" t="n">
        <f aca="false">-In_Lease*In_Wind_MW*DF57*DF16*DF$6</f>
        <v>-63.5019987613908</v>
      </c>
      <c r="DG63" s="43" t="n">
        <f aca="false">-In_Lease*In_Wind_MW*DG57*DG16*DG$6</f>
        <v>-64.3820536355296</v>
      </c>
      <c r="DH63" s="43" t="n">
        <f aca="false">-In_Lease*In_Wind_MW*DH57*DH16*DH$6</f>
        <v>-64.3820536355296</v>
      </c>
      <c r="DI63" s="43" t="n">
        <f aca="false">-In_Lease*In_Wind_MW*DI57*DI16*DI$6</f>
        <v>-65.0895487304255</v>
      </c>
      <c r="DJ63" s="43" t="n">
        <f aca="false">-In_Lease*In_Wind_MW*DJ57*DJ16*DJ$6</f>
        <v>-65.0895487304255</v>
      </c>
      <c r="DK63" s="43" t="n">
        <f aca="false">-In_Lease*In_Wind_MW*DK57*DK16*DK$6</f>
        <v>-65.2664225041495</v>
      </c>
      <c r="DL63" s="43" t="n">
        <f aca="false">-In_Lease*In_Wind_MW*DL57*DL16*DL$6</f>
        <v>-65.9916049764178</v>
      </c>
      <c r="DM63" s="43" t="n">
        <f aca="false">-In_Lease*In_Wind_MW*DM57*DM16*DM$6</f>
        <v>-66.7167874486862</v>
      </c>
      <c r="DN63" s="43" t="n">
        <f aca="false">-In_Lease*In_Wind_MW*DN57*DN16*DN$6</f>
        <v>-66.7167874486862</v>
      </c>
      <c r="DO63" s="43" t="n">
        <f aca="false">-In_Lease*In_Wind_MW*DO57*DO16*DO$6</f>
        <v>-66.8980830667532</v>
      </c>
      <c r="DP63" s="43" t="n">
        <f aca="false">-In_Lease*In_Wind_MW*DP57*DP16*DP$6</f>
        <v>-67.6413951008283</v>
      </c>
      <c r="DQ63" s="43" t="n">
        <f aca="false">-In_Lease*In_Wind_MW*DQ57*DQ16*DQ$6</f>
        <v>-68.3847071349033</v>
      </c>
      <c r="DR63" s="43" t="n">
        <f aca="false">-In_Lease*In_Wind_MW*DR57*DR16*DR$6</f>
        <v>-68.3847071349033</v>
      </c>
      <c r="DS63" s="43" t="n">
        <f aca="false">-In_Lease*In_Wind_MW*DS57*DS16*DS$6</f>
        <v>-68.570535143422</v>
      </c>
      <c r="DT63" s="43" t="n">
        <f aca="false">-In_Lease*In_Wind_MW*DT57*DT16*DT$6</f>
        <v>-69.332429978349</v>
      </c>
      <c r="DU63" s="43" t="n">
        <f aca="false">-In_Lease*In_Wind_MW*DU57*DU16*DU$6</f>
        <v>-70.0943248132759</v>
      </c>
      <c r="DV63" s="43" t="n">
        <f aca="false">-In_Lease*In_Wind_MW*DV57*DV16*DV$6</f>
        <v>-70.0943248132759</v>
      </c>
      <c r="DW63" s="43" t="n">
        <f aca="false">-In_Lease*In_Wind_MW*DW57*DW16*DW$6</f>
        <v>-71.0657407278077</v>
      </c>
      <c r="DX63" s="43" t="n">
        <f aca="false">-In_Lease*In_Wind_MW*DX57*DX16*DX$6</f>
        <v>-71.0657407278077</v>
      </c>
      <c r="DY63" s="43" t="n">
        <f aca="false">-In_Lease*In_Wind_MW*DY57*DY16*DY$6</f>
        <v>-71.8466829336078</v>
      </c>
      <c r="DZ63" s="43" t="n">
        <f aca="false">-In_Lease*In_Wind_MW*DZ57*DZ16*DZ$6</f>
        <v>-71.8466829336078</v>
      </c>
      <c r="EA63" s="43" t="n">
        <f aca="false">-In_Lease*In_Wind_MW*EA57*EA16*EA$6</f>
        <v>-72.0419184850578</v>
      </c>
      <c r="EB63" s="43" t="n">
        <f aca="false">-In_Lease*In_Wind_MW*EB57*EB16*EB$6</f>
        <v>-72.8423842460029</v>
      </c>
      <c r="EC63" s="43" t="n">
        <f aca="false">-In_Lease*In_Wind_MW*EC57*EC16*EC$6</f>
        <v>-73.642850006948</v>
      </c>
      <c r="ED63" s="43" t="n">
        <f aca="false">-In_Lease*In_Wind_MW*ED57*ED16*ED$6</f>
        <v>-73.642850006948</v>
      </c>
      <c r="EE63" s="43" t="n">
        <f aca="false">-In_Lease*In_Wind_MW*EE57*EE16*EE$6</f>
        <v>-73.8429664471842</v>
      </c>
      <c r="EF63" s="43" t="n">
        <f aca="false">-In_Lease*In_Wind_MW*EF57*EF16*EF$6</f>
        <v>-74.6634438521529</v>
      </c>
      <c r="EG63" s="43" t="n">
        <f aca="false">-In_Lease*In_Wind_MW*EG57*EG16*EG$6</f>
        <v>-75.4839212571217</v>
      </c>
      <c r="EH63" s="43" t="n">
        <f aca="false">-In_Lease*In_Wind_MW*EH57*EH16*EH$6</f>
        <v>-75.4839212571217</v>
      </c>
      <c r="EI63" s="43" t="n">
        <f aca="false">-In_Lease*In_Wind_MW*EI57*EI16*EI$6</f>
        <v>-75.6890406083638</v>
      </c>
      <c r="EJ63" s="43" t="n">
        <f aca="false">-In_Lease*In_Wind_MW*EJ57*EJ16*EJ$6</f>
        <v>-76.5300299484568</v>
      </c>
      <c r="EK63" s="43" t="n">
        <f aca="false">-In_Lease*In_Wind_MW*EK57*EK16*EK$6</f>
        <v>-77.3710192885497</v>
      </c>
      <c r="EL63" s="43" t="n">
        <f aca="false">-In_Lease*In_Wind_MW*EL57*EL16*EL$6</f>
        <v>-77.3710192885497</v>
      </c>
      <c r="EM63" s="43" t="n">
        <f aca="false">-In_Lease*In_Wind_MW*EM57*EM16*EM$6</f>
        <v>-78.4432806971682</v>
      </c>
      <c r="EN63" s="43" t="n">
        <f aca="false">-In_Lease*In_Wind_MW*EN57*EN16*EN$6</f>
        <v>-78.4432806971682</v>
      </c>
      <c r="EO63" s="43" t="n">
        <f aca="false">-In_Lease*In_Wind_MW*EO57*EO16*EO$6</f>
        <v>-79.3052947707634</v>
      </c>
    </row>
    <row r="64" customFormat="false" ht="15" hidden="false" customHeight="false" outlineLevel="0" collapsed="false">
      <c r="C64" s="0" t="s">
        <v>375</v>
      </c>
      <c r="D64" s="11" t="s">
        <v>33</v>
      </c>
      <c r="I64" s="43" t="n">
        <f aca="false">SUM(J64:EO64)</f>
        <v>-8725.40923897174</v>
      </c>
      <c r="J64" s="43" t="n">
        <f aca="false">-J60*(In_MEKH+In_HIPA+In_Innovation)</f>
        <v>-0</v>
      </c>
      <c r="K64" s="43" t="n">
        <f aca="false">-K60*(In_MEKH+In_HIPA+In_Innovation)</f>
        <v>-0</v>
      </c>
      <c r="L64" s="43" t="n">
        <f aca="false">-L60*(In_MEKH+In_HIPA+In_Innovation)</f>
        <v>-0</v>
      </c>
      <c r="M64" s="43" t="n">
        <f aca="false">-M60*(In_MEKH+In_HIPA+In_Innovation)</f>
        <v>-0</v>
      </c>
      <c r="N64" s="43" t="n">
        <f aca="false">-N60*(In_MEKH+In_HIPA+In_Innovation)</f>
        <v>-0</v>
      </c>
      <c r="O64" s="43" t="n">
        <f aca="false">-O60*(In_MEKH+In_HIPA+In_Innovation)</f>
        <v>-0</v>
      </c>
      <c r="P64" s="43" t="n">
        <f aca="false">-P60*(In_MEKH+In_HIPA+In_Innovation)</f>
        <v>-0</v>
      </c>
      <c r="Q64" s="43" t="n">
        <f aca="false">-Q60*(In_MEKH+In_HIPA+In_Innovation)</f>
        <v>-0</v>
      </c>
      <c r="R64" s="43" t="n">
        <f aca="false">-R60*(In_MEKH+In_HIPA+In_Innovation)</f>
        <v>-0</v>
      </c>
      <c r="S64" s="43" t="n">
        <f aca="false">-S60*(In_MEKH+In_HIPA+In_Innovation)</f>
        <v>-0</v>
      </c>
      <c r="T64" s="43" t="n">
        <f aca="false">-T60*(In_MEKH+In_HIPA+In_Innovation)</f>
        <v>-0</v>
      </c>
      <c r="U64" s="43" t="n">
        <f aca="false">-U60*(In_MEKH+In_HIPA+In_Innovation)</f>
        <v>-0</v>
      </c>
      <c r="V64" s="43" t="n">
        <f aca="false">-V60*(In_MEKH+In_HIPA+In_Innovation)</f>
        <v>-0</v>
      </c>
      <c r="W64" s="43" t="n">
        <f aca="false">-W60*(In_MEKH+In_HIPA+In_Innovation)</f>
        <v>-0</v>
      </c>
      <c r="X64" s="43" t="n">
        <f aca="false">-X60*(In_MEKH+In_HIPA+In_Innovation)</f>
        <v>-0</v>
      </c>
      <c r="Y64" s="43" t="n">
        <f aca="false">-Y60*(In_MEKH+In_HIPA+In_Innovation)</f>
        <v>-0</v>
      </c>
      <c r="Z64" s="43" t="n">
        <f aca="false">-Z60*(In_MEKH+In_HIPA+In_Innovation)</f>
        <v>-65.6265994520548</v>
      </c>
      <c r="AA64" s="43" t="n">
        <f aca="false">-AA60*(In_MEKH+In_HIPA+In_Innovation)</f>
        <v>-64.8419335890411</v>
      </c>
      <c r="AB64" s="43" t="n">
        <f aca="false">-AB60*(In_MEKH+In_HIPA+In_Innovation)</f>
        <v>-65.5623995178082</v>
      </c>
      <c r="AC64" s="43" t="n">
        <f aca="false">-AC60*(In_MEKH+In_HIPA+In_Innovation)</f>
        <v>-66.2828654465754</v>
      </c>
      <c r="AD64" s="43" t="n">
        <f aca="false">-AD60*(In_MEKH+In_HIPA+In_Innovation)</f>
        <v>-66.0840168502356</v>
      </c>
      <c r="AE64" s="43" t="n">
        <f aca="false">-AE60*(In_MEKH+In_HIPA+In_Innovation)</f>
        <v>-66.0193694424473</v>
      </c>
      <c r="AF64" s="43" t="n">
        <f aca="false">-AF60*(In_MEKH+In_HIPA+In_Innovation)</f>
        <v>-66.0193694424473</v>
      </c>
      <c r="AG64" s="43" t="n">
        <f aca="false">-AG60*(In_MEKH+In_HIPA+In_Innovation)</f>
        <v>-66.744857018738</v>
      </c>
      <c r="AH64" s="43" t="n">
        <f aca="false">-AH60*(In_MEKH+In_HIPA+In_Innovation)</f>
        <v>-66.5446224476818</v>
      </c>
      <c r="AI64" s="43" t="n">
        <f aca="false">-AI60*(In_MEKH+In_HIPA+In_Innovation)</f>
        <v>-65.7489802227638</v>
      </c>
      <c r="AJ64" s="43" t="n">
        <f aca="false">-AJ60*(In_MEKH+In_HIPA+In_Innovation)</f>
        <v>-66.4795244474612</v>
      </c>
      <c r="AK64" s="43" t="n">
        <f aca="false">-AK60*(In_MEKH+In_HIPA+In_Innovation)</f>
        <v>-67.2100686721586</v>
      </c>
      <c r="AL64" s="43" t="n">
        <f aca="false">-AL60*(In_MEKH+In_HIPA+In_Innovation)</f>
        <v>-67.0084384661421</v>
      </c>
      <c r="AM64" s="43" t="n">
        <f aca="false">-AM60*(In_MEKH+In_HIPA+In_Innovation)</f>
        <v>-66.2072506149165</v>
      </c>
      <c r="AN64" s="43" t="n">
        <f aca="false">-AN60*(In_MEKH+In_HIPA+In_Innovation)</f>
        <v>-66.94288673286</v>
      </c>
      <c r="AO64" s="43" t="n">
        <f aca="false">-AO60*(In_MEKH+In_HIPA+In_Innovation)</f>
        <v>-67.6785228508035</v>
      </c>
      <c r="AP64" s="43" t="n">
        <f aca="false">-AP60*(In_MEKH+In_HIPA+In_Innovation)</f>
        <v>-67.4754872822511</v>
      </c>
      <c r="AQ64" s="43" t="n">
        <f aca="false">-AQ60*(In_MEKH+In_HIPA+In_Innovation)</f>
        <v>-66.6687151517025</v>
      </c>
      <c r="AR64" s="43" t="n">
        <f aca="false">-AR60*(In_MEKH+In_HIPA+In_Innovation)</f>
        <v>-67.4094786533881</v>
      </c>
      <c r="AS64" s="43" t="n">
        <f aca="false">-AS60*(In_MEKH+In_HIPA+In_Innovation)</f>
        <v>-68.1502421550736</v>
      </c>
      <c r="AT64" s="43" t="n">
        <f aca="false">-AT60*(In_MEKH+In_HIPA+In_Innovation)</f>
        <v>-67.9457914286084</v>
      </c>
      <c r="AU64" s="43" t="n">
        <f aca="false">-AU60*(In_MEKH+In_HIPA+In_Innovation)</f>
        <v>-67.8793227196022</v>
      </c>
      <c r="AV64" s="43" t="n">
        <f aca="false">-AV60*(In_MEKH+In_HIPA+In_Innovation)</f>
        <v>-67.8793227196022</v>
      </c>
      <c r="AW64" s="43" t="n">
        <f aca="false">-AW60*(In_MEKH+In_HIPA+In_Innovation)</f>
        <v>-68.6252493428945</v>
      </c>
      <c r="AX64" s="43" t="n">
        <f aca="false">-AX60*(In_MEKH+In_HIPA+In_Innovation)</f>
        <v>-68.4193735948658</v>
      </c>
      <c r="AY64" s="43" t="n">
        <f aca="false">-AY60*(In_MEKH+In_HIPA+In_Innovation)</f>
        <v>-67.6013158671011</v>
      </c>
      <c r="AZ64" s="43" t="n">
        <f aca="false">-AZ60*(In_MEKH+In_HIPA+In_Innovation)</f>
        <v>-68.3524415989578</v>
      </c>
      <c r="BA64" s="43" t="n">
        <f aca="false">-BA60*(In_MEKH+In_HIPA+In_Innovation)</f>
        <v>-69.1035673308145</v>
      </c>
      <c r="BB64" s="43" t="n">
        <f aca="false">-BB60*(In_MEKH+In_HIPA+In_Innovation)</f>
        <v>-68.896256628822</v>
      </c>
      <c r="BC64" s="43" t="n">
        <f aca="false">-BC60*(In_MEKH+In_HIPA+In_Innovation)</f>
        <v>-68.0724970386948</v>
      </c>
      <c r="BD64" s="43" t="n">
        <f aca="false">-BD60*(In_MEKH+In_HIPA+In_Innovation)</f>
        <v>-68.8288581169025</v>
      </c>
      <c r="BE64" s="43" t="n">
        <f aca="false">-BE60*(In_MEKH+In_HIPA+In_Innovation)</f>
        <v>-69.5852191951102</v>
      </c>
      <c r="BF64" s="43" t="n">
        <f aca="false">-BF60*(In_MEKH+In_HIPA+In_Innovation)</f>
        <v>-69.3764635375249</v>
      </c>
      <c r="BG64" s="43" t="n">
        <f aca="false">-BG60*(In_MEKH+In_HIPA+In_Innovation)</f>
        <v>-68.5469623430545</v>
      </c>
      <c r="BH64" s="43" t="n">
        <f aca="false">-BH60*(In_MEKH+In_HIPA+In_Innovation)</f>
        <v>-69.3085952579773</v>
      </c>
      <c r="BI64" s="43" t="n">
        <f aca="false">-BI60*(In_MEKH+In_HIPA+In_Innovation)</f>
        <v>-70.0702281729002</v>
      </c>
      <c r="BJ64" s="43" t="n">
        <f aca="false">-BJ60*(In_MEKH+In_HIPA+In_Innovation)</f>
        <v>-69.8600174883815</v>
      </c>
      <c r="BK64" s="43" t="n">
        <f aca="false">-BK60*(In_MEKH+In_HIPA+In_Innovation)</f>
        <v>-69.7916761669254</v>
      </c>
      <c r="BL64" s="43" t="n">
        <f aca="false">-BL60*(In_MEKH+In_HIPA+In_Innovation)</f>
        <v>-69.7916761669254</v>
      </c>
      <c r="BM64" s="43" t="n">
        <f aca="false">-BM60*(In_MEKH+In_HIPA+In_Innovation)</f>
        <v>-70.5586176632653</v>
      </c>
      <c r="BN64" s="43" t="n">
        <f aca="false">-BN60*(In_MEKH+In_HIPA+In_Innovation)</f>
        <v>-70.3469418102755</v>
      </c>
      <c r="BO64" s="43" t="n">
        <f aca="false">-BO60*(In_MEKH+In_HIPA+In_Innovation)</f>
        <v>-69.5058370712396</v>
      </c>
      <c r="BP64" s="43" t="n">
        <f aca="false">-BP60*(In_MEKH+In_HIPA+In_Innovation)</f>
        <v>-70.2781241498089</v>
      </c>
      <c r="BQ64" s="43" t="n">
        <f aca="false">-BQ60*(In_MEKH+In_HIPA+In_Innovation)</f>
        <v>-71.0504112283782</v>
      </c>
      <c r="BR64" s="43" t="n">
        <f aca="false">-BR60*(In_MEKH+In_HIPA+In_Innovation)</f>
        <v>-70.8372599946931</v>
      </c>
      <c r="BS64" s="43" t="n">
        <f aca="false">-BS60*(In_MEKH+In_HIPA+In_Innovation)</f>
        <v>-69.9902927556261</v>
      </c>
      <c r="BT64" s="43" t="n">
        <f aca="false">-BT60*(In_MEKH+In_HIPA+In_Innovation)</f>
        <v>-70.7679626751331</v>
      </c>
      <c r="BU64" s="43" t="n">
        <f aca="false">-BU60*(In_MEKH+In_HIPA+In_Innovation)</f>
        <v>-71.54563259464</v>
      </c>
      <c r="BV64" s="43" t="n">
        <f aca="false">-BV60*(In_MEKH+In_HIPA+In_Innovation)</f>
        <v>-71.3309956968561</v>
      </c>
      <c r="BW64" s="43" t="n">
        <f aca="false">-BW60*(In_MEKH+In_HIPA+In_Innovation)</f>
        <v>-70.4781250961328</v>
      </c>
      <c r="BX64" s="43" t="n">
        <f aca="false">-BX60*(In_MEKH+In_HIPA+In_Innovation)</f>
        <v>-71.2612153749788</v>
      </c>
      <c r="BY64" s="43" t="n">
        <f aca="false">-BY60*(In_MEKH+In_HIPA+In_Innovation)</f>
        <v>-72.0443056538247</v>
      </c>
      <c r="BZ64" s="43" t="n">
        <f aca="false">-BZ60*(In_MEKH+In_HIPA+In_Innovation)</f>
        <v>-71.8281727368632</v>
      </c>
      <c r="CA64" s="43" t="n">
        <f aca="false">-CA60*(In_MEKH+In_HIPA+In_Innovation)</f>
        <v>-71.7579060461424</v>
      </c>
      <c r="CB64" s="43" t="n">
        <f aca="false">-CB60*(In_MEKH+In_HIPA+In_Innovation)</f>
        <v>-71.7579060461424</v>
      </c>
      <c r="CC64" s="43" t="n">
        <f aca="false">-CC60*(In_MEKH+In_HIPA+In_Innovation)</f>
        <v>-72.5464544642318</v>
      </c>
      <c r="CD64" s="43" t="n">
        <f aca="false">-CD60*(In_MEKH+In_HIPA+In_Innovation)</f>
        <v>-72.3288151008392</v>
      </c>
      <c r="CE64" s="43" t="n">
        <f aca="false">-CE60*(In_MEKH+In_HIPA+In_Innovation)</f>
        <v>-71.4640140507204</v>
      </c>
      <c r="CF64" s="43" t="n">
        <f aca="false">-CF60*(In_MEKH+In_HIPA+In_Innovation)</f>
        <v>-72.258058651284</v>
      </c>
      <c r="CG64" s="43" t="n">
        <f aca="false">-CG60*(In_MEKH+In_HIPA+In_Innovation)</f>
        <v>-73.0521032518475</v>
      </c>
      <c r="CH64" s="43" t="n">
        <f aca="false">-CH60*(In_MEKH+In_HIPA+In_Innovation)</f>
        <v>-72.832946942092</v>
      </c>
      <c r="CI64" s="43" t="n">
        <f aca="false">-CI60*(In_MEKH+In_HIPA+In_Innovation)</f>
        <v>-71.9621182286539</v>
      </c>
      <c r="CJ64" s="43" t="n">
        <f aca="false">-CJ60*(In_MEKH+In_HIPA+In_Innovation)</f>
        <v>-72.7616973200834</v>
      </c>
      <c r="CK64" s="43" t="n">
        <f aca="false">-CK60*(In_MEKH+In_HIPA+In_Innovation)</f>
        <v>-73.5612764115129</v>
      </c>
      <c r="CL64" s="43" t="n">
        <f aca="false">-CL60*(In_MEKH+In_HIPA+In_Innovation)</f>
        <v>-73.3405925822784</v>
      </c>
      <c r="CM64" s="43" t="n">
        <f aca="false">-CM60*(In_MEKH+In_HIPA+In_Innovation)</f>
        <v>-72.4636941927076</v>
      </c>
      <c r="CN64" s="43" t="n">
        <f aca="false">-CN60*(In_MEKH+In_HIPA+In_Innovation)</f>
        <v>-73.2688463504044</v>
      </c>
      <c r="CO64" s="43" t="n">
        <f aca="false">-CO60*(In_MEKH+In_HIPA+In_Innovation)</f>
        <v>-74.0739985081012</v>
      </c>
      <c r="CP64" s="43" t="n">
        <f aca="false">-CP60*(In_MEKH+In_HIPA+In_Innovation)</f>
        <v>-73.8517765125768</v>
      </c>
      <c r="CQ64" s="43" t="n">
        <f aca="false">-CQ60*(In_MEKH+In_HIPA+In_Innovation)</f>
        <v>-73.7795302094667</v>
      </c>
      <c r="CR64" s="43" t="n">
        <f aca="false">-CR60*(In_MEKH+In_HIPA+In_Innovation)</f>
        <v>-73.7795302094667</v>
      </c>
      <c r="CS64" s="43" t="n">
        <f aca="false">-CS60*(In_MEKH+In_HIPA+In_Innovation)</f>
        <v>-74.5902942777026</v>
      </c>
      <c r="CT64" s="43" t="n">
        <f aca="false">-CT60*(In_MEKH+In_HIPA+In_Innovation)</f>
        <v>-74.3665233948695</v>
      </c>
      <c r="CU64" s="43" t="n">
        <f aca="false">-CU60*(In_MEKH+In_HIPA+In_Innovation)</f>
        <v>-73.4773584412352</v>
      </c>
      <c r="CV64" s="43" t="n">
        <f aca="false">-CV60*(In_MEKH+In_HIPA+In_Innovation)</f>
        <v>-74.2937735350267</v>
      </c>
      <c r="CW64" s="43" t="n">
        <f aca="false">-CW60*(In_MEKH+In_HIPA+In_Innovation)</f>
        <v>-75.1101886288182</v>
      </c>
      <c r="CX64" s="43" t="n">
        <f aca="false">-CX60*(In_MEKH+In_HIPA+In_Innovation)</f>
        <v>-74.8848580629318</v>
      </c>
      <c r="CY64" s="43" t="n">
        <f aca="false">-CY60*(In_MEKH+In_HIPA+In_Innovation)</f>
        <v>-73.9894956295706</v>
      </c>
      <c r="CZ64" s="43" t="n">
        <f aca="false">-CZ60*(In_MEKH+In_HIPA+In_Innovation)</f>
        <v>-74.8116011365658</v>
      </c>
      <c r="DA64" s="43" t="n">
        <f aca="false">-DA60*(In_MEKH+In_HIPA+In_Innovation)</f>
        <v>-75.6337066435611</v>
      </c>
      <c r="DB64" s="43" t="n">
        <f aca="false">-DB60*(In_MEKH+In_HIPA+In_Innovation)</f>
        <v>-75.4068055236304</v>
      </c>
      <c r="DC64" s="43" t="n">
        <f aca="false">-DC60*(In_MEKH+In_HIPA+In_Innovation)</f>
        <v>-74.5052024141087</v>
      </c>
      <c r="DD64" s="43" t="n">
        <f aca="false">-DD60*(In_MEKH+In_HIPA+In_Innovation)</f>
        <v>-75.3330379964877</v>
      </c>
      <c r="DE64" s="43" t="n">
        <f aca="false">-DE60*(In_MEKH+In_HIPA+In_Innovation)</f>
        <v>-76.1608735788667</v>
      </c>
      <c r="DF64" s="43" t="n">
        <f aca="false">-DF60*(In_MEKH+In_HIPA+In_Innovation)</f>
        <v>-75.9323909581301</v>
      </c>
      <c r="DG64" s="43" t="n">
        <f aca="false">-DG60*(In_MEKH+In_HIPA+In_Innovation)</f>
        <v>-75.8581092713232</v>
      </c>
      <c r="DH64" s="43" t="n">
        <f aca="false">-DH60*(In_MEKH+In_HIPA+In_Innovation)</f>
        <v>-75.8581092713232</v>
      </c>
      <c r="DI64" s="43" t="n">
        <f aca="false">-DI60*(In_MEKH+In_HIPA+In_Innovation)</f>
        <v>-76.6917148677114</v>
      </c>
      <c r="DJ64" s="43" t="n">
        <f aca="false">-DJ60*(In_MEKH+In_HIPA+In_Innovation)</f>
        <v>-76.4616397231083</v>
      </c>
      <c r="DK64" s="43" t="n">
        <f aca="false">-DK60*(In_MEKH+In_HIPA+In_Innovation)</f>
        <v>-75.5474244655493</v>
      </c>
      <c r="DL64" s="43" t="n">
        <f aca="false">-DL60*(In_MEKH+In_HIPA+In_Innovation)</f>
        <v>-76.3868402929443</v>
      </c>
      <c r="DM64" s="43" t="n">
        <f aca="false">-DM60*(In_MEKH+In_HIPA+In_Innovation)</f>
        <v>-77.2262561203393</v>
      </c>
      <c r="DN64" s="43" t="n">
        <f aca="false">-DN60*(In_MEKH+In_HIPA+In_Innovation)</f>
        <v>-76.9945773519783</v>
      </c>
      <c r="DO64" s="43" t="n">
        <f aca="false">-DO60*(In_MEKH+In_HIPA+In_Innovation)</f>
        <v>-76.0739900140742</v>
      </c>
      <c r="DP64" s="43" t="n">
        <f aca="false">-DP60*(In_MEKH+In_HIPA+In_Innovation)</f>
        <v>-76.9192565697862</v>
      </c>
      <c r="DQ64" s="43" t="n">
        <f aca="false">-DQ60*(In_MEKH+In_HIPA+In_Innovation)</f>
        <v>-77.7645231254981</v>
      </c>
      <c r="DR64" s="43" t="n">
        <f aca="false">-DR60*(In_MEKH+In_HIPA+In_Innovation)</f>
        <v>-77.5312295561216</v>
      </c>
      <c r="DS64" s="43" t="n">
        <f aca="false">-DS60*(In_MEKH+In_HIPA+In_Innovation)</f>
        <v>-76.6042257244723</v>
      </c>
      <c r="DT64" s="43" t="n">
        <f aca="false">-DT60*(In_MEKH+In_HIPA+In_Innovation)</f>
        <v>-77.4553837880776</v>
      </c>
      <c r="DU64" s="43" t="n">
        <f aca="false">-DU60*(In_MEKH+In_HIPA+In_Innovation)</f>
        <v>-78.3065418516828</v>
      </c>
      <c r="DV64" s="43" t="n">
        <f aca="false">-DV60*(In_MEKH+In_HIPA+In_Innovation)</f>
        <v>-78.0716222261278</v>
      </c>
      <c r="DW64" s="43" t="n">
        <f aca="false">-DW60*(In_MEKH+In_HIPA+In_Innovation)</f>
        <v>-77.9952478130805</v>
      </c>
      <c r="DX64" s="43" t="n">
        <f aca="false">-DX60*(In_MEKH+In_HIPA+In_Innovation)</f>
        <v>-77.9952478130805</v>
      </c>
      <c r="DY64" s="43" t="n">
        <f aca="false">-DY60*(In_MEKH+In_HIPA+In_Innovation)</f>
        <v>-78.8523384483891</v>
      </c>
      <c r="DZ64" s="43" t="n">
        <f aca="false">-DZ60*(In_MEKH+In_HIPA+In_Innovation)</f>
        <v>-78.6157814330439</v>
      </c>
      <c r="EA64" s="43" t="n">
        <f aca="false">-EA60*(In_MEKH+In_HIPA+In_Innovation)</f>
        <v>-77.675810133301</v>
      </c>
      <c r="EB64" s="43" t="n">
        <f aca="false">-EB60*(In_MEKH+In_HIPA+In_Innovation)</f>
        <v>-78.5388746903377</v>
      </c>
      <c r="EC64" s="43" t="n">
        <f aca="false">-EC60*(In_MEKH+In_HIPA+In_Innovation)</f>
        <v>-79.4019392473743</v>
      </c>
      <c r="ED64" s="43" t="n">
        <f aca="false">-ED60*(In_MEKH+In_HIPA+In_Innovation)</f>
        <v>-79.1637334296322</v>
      </c>
      <c r="EE64" s="43" t="n">
        <f aca="false">-EE60*(In_MEKH+In_HIPA+In_Innovation)</f>
        <v>-78.2172105299301</v>
      </c>
      <c r="EF64" s="43" t="n">
        <f aca="false">-EF60*(In_MEKH+In_HIPA+In_Innovation)</f>
        <v>-79.0862906469293</v>
      </c>
      <c r="EG64" s="43" t="n">
        <f aca="false">-EG60*(In_MEKH+In_HIPA+In_Innovation)</f>
        <v>-79.9553707639285</v>
      </c>
      <c r="EH64" s="43" t="n">
        <f aca="false">-EH60*(In_MEKH+In_HIPA+In_Innovation)</f>
        <v>-79.7155046516367</v>
      </c>
      <c r="EI64" s="43" t="n">
        <f aca="false">-EI60*(In_MEKH+In_HIPA+In_Innovation)</f>
        <v>-78.7623844873237</v>
      </c>
      <c r="EJ64" s="43" t="n">
        <f aca="false">-EJ60*(In_MEKH+In_HIPA+In_Innovation)</f>
        <v>-79.6375220927384</v>
      </c>
      <c r="EK64" s="43" t="n">
        <f aca="false">-EK60*(In_MEKH+In_HIPA+In_Innovation)</f>
        <v>-80.5126596981531</v>
      </c>
      <c r="EL64" s="43" t="n">
        <f aca="false">-EL60*(In_MEKH+In_HIPA+In_Innovation)</f>
        <v>-80.2711217190587</v>
      </c>
      <c r="EM64" s="43" t="n">
        <f aca="false">-EM60*(In_MEKH+In_HIPA+In_Innovation)</f>
        <v>-80.1925956217248</v>
      </c>
      <c r="EN64" s="43" t="n">
        <f aca="false">-EN60*(In_MEKH+In_HIPA+In_Innovation)</f>
        <v>-80.1925956217248</v>
      </c>
      <c r="EO64" s="43" t="n">
        <f aca="false">-EO60*(In_MEKH+In_HIPA+In_Innovation)</f>
        <v>-81.0738329362492</v>
      </c>
    </row>
    <row r="65" customFormat="false" ht="15" hidden="false" customHeight="false" outlineLevel="0" collapsed="false">
      <c r="C65" s="0" t="s">
        <v>272</v>
      </c>
      <c r="D65" s="11" t="s">
        <v>33</v>
      </c>
      <c r="I65" s="43" t="n">
        <f aca="false">SUM(J65:EO65)</f>
        <v>-4450.47787433885</v>
      </c>
      <c r="J65" s="43" t="n">
        <f aca="false">In_Opex_Contingency*(J61+J62+J63-J60*In_MEKH)</f>
        <v>-0</v>
      </c>
      <c r="K65" s="43" t="n">
        <f aca="false">In_Opex_Contingency*(K61+K62+K63-K60*In_MEKH)</f>
        <v>-0</v>
      </c>
      <c r="L65" s="43" t="n">
        <f aca="false">In_Opex_Contingency*(L61+L62+L63-L60*In_MEKH)</f>
        <v>-0</v>
      </c>
      <c r="M65" s="43" t="n">
        <f aca="false">In_Opex_Contingency*(M61+M62+M63-M60*In_MEKH)</f>
        <v>-0</v>
      </c>
      <c r="N65" s="43" t="n">
        <f aca="false">In_Opex_Contingency*(N61+N62+N63-N60*In_MEKH)</f>
        <v>-0</v>
      </c>
      <c r="O65" s="43" t="n">
        <f aca="false">In_Opex_Contingency*(O61+O62+O63-O60*In_MEKH)</f>
        <v>-0</v>
      </c>
      <c r="P65" s="43" t="n">
        <f aca="false">In_Opex_Contingency*(P61+P62+P63-P60*In_MEKH)</f>
        <v>-0</v>
      </c>
      <c r="Q65" s="43" t="n">
        <f aca="false">In_Opex_Contingency*(Q61+Q62+Q63-Q60*In_MEKH)</f>
        <v>-0</v>
      </c>
      <c r="R65" s="43" t="n">
        <f aca="false">In_Opex_Contingency*(R61+R62+R63-R60*In_MEKH)</f>
        <v>-1.79932036540546</v>
      </c>
      <c r="S65" s="43" t="n">
        <f aca="false">In_Opex_Contingency*(S61+S62+S63-S60*In_MEKH)</f>
        <v>-1.80420982292015</v>
      </c>
      <c r="T65" s="43" t="n">
        <f aca="false">In_Opex_Contingency*(T61+T62+T63-T60*In_MEKH)</f>
        <v>-1.82425659873037</v>
      </c>
      <c r="U65" s="43" t="n">
        <f aca="false">In_Opex_Contingency*(U61+U62+U63-U60*In_MEKH)</f>
        <v>-1.8443033745406</v>
      </c>
      <c r="V65" s="43" t="n">
        <f aca="false">In_Opex_Contingency*(V61+V62+V63-V60*In_MEKH)</f>
        <v>-1.8443033745406</v>
      </c>
      <c r="W65" s="43" t="n">
        <f aca="false">In_Opex_Contingency*(W61+W62+W63-W60*In_MEKH)</f>
        <v>-1.84931506849315</v>
      </c>
      <c r="X65" s="43" t="n">
        <f aca="false">In_Opex_Contingency*(X61+X62+X63-X60*In_MEKH)</f>
        <v>-1.86986301369863</v>
      </c>
      <c r="Y65" s="43" t="n">
        <f aca="false">In_Opex_Contingency*(Y61+Y62+Y63-Y60*In_MEKH)</f>
        <v>-1.89041095890411</v>
      </c>
      <c r="Z65" s="43" t="n">
        <f aca="false">In_Opex_Contingency*(Z61+Z62+Z63-Z60*In_MEKH)</f>
        <v>-25.3762289315069</v>
      </c>
      <c r="AA65" s="43" t="n">
        <f aca="false">In_Opex_Contingency*(AA61+AA62+AA63-AA60*In_MEKH)</f>
        <v>-25.4431798273973</v>
      </c>
      <c r="AB65" s="43" t="n">
        <f aca="false">In_Opex_Contingency*(AB61+AB62+AB63-AB60*In_MEKH)</f>
        <v>-25.7258818254795</v>
      </c>
      <c r="AC65" s="43" t="n">
        <f aca="false">In_Opex_Contingency*(AC61+AC62+AC63-AC60*In_MEKH)</f>
        <v>-26.0085838235616</v>
      </c>
      <c r="AD65" s="43" t="n">
        <f aca="false">In_Opex_Contingency*(AD61+AD62+AD63-AD60*In_MEKH)</f>
        <v>-25.9848128666115</v>
      </c>
      <c r="AE65" s="43" t="n">
        <f aca="false">In_Opex_Contingency*(AE61+AE62+AE63-AE60*In_MEKH)</f>
        <v>-26.3428858011986</v>
      </c>
      <c r="AF65" s="43" t="n">
        <f aca="false">In_Opex_Contingency*(AF61+AF62+AF63-AF60*In_MEKH)</f>
        <v>-26.3428858011986</v>
      </c>
      <c r="AG65" s="43" t="n">
        <f aca="false">In_Opex_Contingency*(AG61+AG62+AG63-AG60*In_MEKH)</f>
        <v>-26.6323680627502</v>
      </c>
      <c r="AH65" s="43" t="n">
        <f aca="false">In_Opex_Contingency*(AH61+AH62+AH63-AH60*In_MEKH)</f>
        <v>-26.6080821229455</v>
      </c>
      <c r="AI65" s="43" t="n">
        <f aca="false">In_Opex_Contingency*(AI61+AI62+AI63-AI60*In_MEKH)</f>
        <v>-26.6783523814249</v>
      </c>
      <c r="AJ65" s="43" t="n">
        <f aca="false">In_Opex_Contingency*(AJ61+AJ62+AJ63-AJ60*In_MEKH)</f>
        <v>-26.9747785189963</v>
      </c>
      <c r="AK65" s="43" t="n">
        <f aca="false">In_Opex_Contingency*(AK61+AK62+AK63-AK60*In_MEKH)</f>
        <v>-27.2712046565677</v>
      </c>
      <c r="AL65" s="43" t="n">
        <f aca="false">In_Opex_Contingency*(AL61+AL62+AL63-AL60*In_MEKH)</f>
        <v>-27.2463924860911</v>
      </c>
      <c r="AM65" s="43" t="n">
        <f aca="false">In_Opex_Contingency*(AM61+AM62+AM63-AM60*In_MEKH)</f>
        <v>-27.3183831044426</v>
      </c>
      <c r="AN65" s="43" t="n">
        <f aca="false">In_Opex_Contingency*(AN61+AN62+AN63-AN60*In_MEKH)</f>
        <v>-27.621920694492</v>
      </c>
      <c r="AO65" s="43" t="n">
        <f aca="false">In_Opex_Contingency*(AO61+AO62+AO63-AO60*In_MEKH)</f>
        <v>-27.9254582845413</v>
      </c>
      <c r="AP65" s="43" t="n">
        <f aca="false">In_Opex_Contingency*(AP61+AP62+AP63-AP60*In_MEKH)</f>
        <v>-27.9001083892682</v>
      </c>
      <c r="AQ65" s="43" t="n">
        <f aca="false">In_Opex_Contingency*(AQ61+AQ62+AQ63-AQ60*In_MEKH)</f>
        <v>-27.9738611315436</v>
      </c>
      <c r="AR65" s="43" t="n">
        <f aca="false">In_Opex_Contingency*(AR61+AR62+AR63-AR60*In_MEKH)</f>
        <v>-28.2846818107829</v>
      </c>
      <c r="AS65" s="43" t="n">
        <f aca="false">In_Opex_Contingency*(AS61+AS62+AS63-AS60*In_MEKH)</f>
        <v>-28.5955024900223</v>
      </c>
      <c r="AT65" s="43" t="n">
        <f aca="false">In_Opex_Contingency*(AT61+AT62+AT63-AT60*In_MEKH)</f>
        <v>-28.5696031241222</v>
      </c>
      <c r="AU65" s="43" t="n">
        <f aca="false">In_Opex_Contingency*(AU61+AU62+AU63-AU60*In_MEKH)</f>
        <v>-28.9634403321536</v>
      </c>
      <c r="AV65" s="43" t="n">
        <f aca="false">In_Opex_Contingency*(AV61+AV62+AV63-AV60*In_MEKH)</f>
        <v>-28.9634403321536</v>
      </c>
      <c r="AW65" s="43" t="n">
        <f aca="false">In_Opex_Contingency*(AW61+AW62+AW63-AW60*In_MEKH)</f>
        <v>-29.2817198962432</v>
      </c>
      <c r="AX65" s="43" t="n">
        <f aca="false">In_Opex_Contingency*(AX61+AX62+AX63-AX60*In_MEKH)</f>
        <v>-29.2552590566637</v>
      </c>
      <c r="AY65" s="43" t="n">
        <f aca="false">In_Opex_Contingency*(AY61+AY62+AY63-AY60*In_MEKH)</f>
        <v>-29.3326654183586</v>
      </c>
      <c r="AZ65" s="43" t="n">
        <f aca="false">In_Opex_Contingency*(AZ61+AZ62+AZ63-AZ60*In_MEKH)</f>
        <v>-29.658583923007</v>
      </c>
      <c r="BA65" s="43" t="n">
        <f aca="false">In_Opex_Contingency*(BA61+BA62+BA63-BA60*In_MEKH)</f>
        <v>-29.9845024276554</v>
      </c>
      <c r="BB65" s="43" t="n">
        <f aca="false">In_Opex_Contingency*(BB61+BB62+BB63-BB60*In_MEKH)</f>
        <v>-29.9574678484844</v>
      </c>
      <c r="BC65" s="43" t="n">
        <f aca="false">In_Opex_Contingency*(BC61+BC62+BC63-BC60*In_MEKH)</f>
        <v>-30.0367678076187</v>
      </c>
      <c r="BD65" s="43" t="n">
        <f aca="false">In_Opex_Contingency*(BD61+BD62+BD63-BD60*In_MEKH)</f>
        <v>-30.3705096721478</v>
      </c>
      <c r="BE65" s="43" t="n">
        <f aca="false">In_Opex_Contingency*(BE61+BE62+BE63-BE60*In_MEKH)</f>
        <v>-30.7042515366769</v>
      </c>
      <c r="BF65" s="43" t="n">
        <f aca="false">In_Opex_Contingency*(BF61+BF62+BF63-BF60*In_MEKH)</f>
        <v>-30.6766306833816</v>
      </c>
      <c r="BG65" s="43" t="n">
        <f aca="false">In_Opex_Contingency*(BG61+BG62+BG63-BG60*In_MEKH)</f>
        <v>-30.7578702091115</v>
      </c>
      <c r="BH65" s="43" t="n">
        <f aca="false">In_Opex_Contingency*(BH61+BH62+BH63-BH60*In_MEKH)</f>
        <v>-31.099624322546</v>
      </c>
      <c r="BI65" s="43" t="n">
        <f aca="false">In_Opex_Contingency*(BI61+BI62+BI63-BI60*In_MEKH)</f>
        <v>-31.4413784359806</v>
      </c>
      <c r="BJ65" s="43" t="n">
        <f aca="false">In_Opex_Contingency*(BJ61+BJ62+BJ63-BJ60*In_MEKH)</f>
        <v>-31.4131584995203</v>
      </c>
      <c r="BK65" s="43" t="n">
        <f aca="false">In_Opex_Contingency*(BK61+BK62+BK63-BK60*In_MEKH)</f>
        <v>-31.8463445067177</v>
      </c>
      <c r="BL65" s="43" t="n">
        <f aca="false">In_Opex_Contingency*(BL61+BL62+BL63-BL60*In_MEKH)</f>
        <v>-31.8463445067177</v>
      </c>
      <c r="BM65" s="43" t="n">
        <f aca="false">In_Opex_Contingency*(BM61+BM62+BM63-BM60*In_MEKH)</f>
        <v>-32.1963043364618</v>
      </c>
      <c r="BN65" s="43" t="n">
        <f aca="false">In_Opex_Contingency*(BN61+BN62+BN63-BN60*In_MEKH)</f>
        <v>-32.1674722272713</v>
      </c>
      <c r="BO65" s="43" t="n">
        <f aca="false">In_Opex_Contingency*(BO61+BO62+BO63-BO60*In_MEKH)</f>
        <v>-32.2527332846949</v>
      </c>
      <c r="BP65" s="43" t="n">
        <f aca="false">In_Opex_Contingency*(BP61+BP62+BP63-BP60*In_MEKH)</f>
        <v>-32.6110969878582</v>
      </c>
      <c r="BQ65" s="43" t="n">
        <f aca="false">In_Opex_Contingency*(BQ61+BQ62+BQ63-BQ60*In_MEKH)</f>
        <v>-32.9694606910215</v>
      </c>
      <c r="BR65" s="43" t="n">
        <f aca="false">In_Opex_Contingency*(BR61+BR62+BR63-BR60*In_MEKH)</f>
        <v>-32.9400030328627</v>
      </c>
      <c r="BS65" s="43" t="n">
        <f aca="false">In_Opex_Contingency*(BS61+BS62+BS63-BS60*In_MEKH)</f>
        <v>-33.0273483694331</v>
      </c>
      <c r="BT65" s="43" t="n">
        <f aca="false">In_Opex_Contingency*(BT61+BT62+BT63-BT60*In_MEKH)</f>
        <v>-33.3943189068713</v>
      </c>
      <c r="BU65" s="43" t="n">
        <f aca="false">In_Opex_Contingency*(BU61+BU62+BU63-BU60*In_MEKH)</f>
        <v>-33.7612894443094</v>
      </c>
      <c r="BV65" s="43" t="n">
        <f aca="false">In_Opex_Contingency*(BV61+BV62+BV63-BV60*In_MEKH)</f>
        <v>-33.7311925679887</v>
      </c>
      <c r="BW65" s="43" t="n">
        <f aca="false">In_Opex_Contingency*(BW61+BW62+BW63-BW60*In_MEKH)</f>
        <v>-33.8206727822995</v>
      </c>
      <c r="BX65" s="43" t="n">
        <f aca="false">In_Opex_Contingency*(BX61+BX62+BX63-BX60*In_MEKH)</f>
        <v>-34.1964580354362</v>
      </c>
      <c r="BY65" s="43" t="n">
        <f aca="false">In_Opex_Contingency*(BY61+BY62+BY63-BY60*In_MEKH)</f>
        <v>-34.5722432885728</v>
      </c>
      <c r="BZ65" s="43" t="n">
        <f aca="false">In_Opex_Contingency*(BZ61+BZ62+BZ63-BZ60*In_MEKH)</f>
        <v>-34.5414932255196</v>
      </c>
      <c r="CA65" s="43" t="n">
        <f aca="false">In_Opex_Contingency*(CA61+CA62+CA63-CA60*In_MEKH)</f>
        <v>-35.0179730352622</v>
      </c>
      <c r="CB65" s="43" t="n">
        <f aca="false">In_Opex_Contingency*(CB61+CB62+CB63-CB60*In_MEKH)</f>
        <v>-35.0179730352622</v>
      </c>
      <c r="CC65" s="43" t="n">
        <f aca="false">In_Opex_Contingency*(CC61+CC62+CC63-CC60*In_MEKH)</f>
        <v>-35.4027859257596</v>
      </c>
      <c r="CD65" s="43" t="n">
        <f aca="false">In_Opex_Contingency*(CD61+CD62+CD63-CD60*In_MEKH)</f>
        <v>-35.3713684014651</v>
      </c>
      <c r="CE65" s="43" t="n">
        <f aca="false">In_Opex_Contingency*(CE61+CE62+CE63-CE60*In_MEKH)</f>
        <v>-35.4652751113335</v>
      </c>
      <c r="CF65" s="43" t="n">
        <f aca="false">In_Opex_Contingency*(CF61+CF62+CF63-CF60*In_MEKH)</f>
        <v>-35.8593337236816</v>
      </c>
      <c r="CG65" s="43" t="n">
        <f aca="false">In_Opex_Contingency*(CG61+CG62+CG63-CG60*In_MEKH)</f>
        <v>-36.2533923360298</v>
      </c>
      <c r="CH65" s="43" t="n">
        <f aca="false">In_Opex_Contingency*(CH61+CH62+CH63-CH60*In_MEKH)</f>
        <v>-36.2212927633415</v>
      </c>
      <c r="CI65" s="43" t="n">
        <f aca="false">In_Opex_Contingency*(CI61+CI62+CI63-CI60*In_MEKH)</f>
        <v>-36.3174936386411</v>
      </c>
      <c r="CJ65" s="43" t="n">
        <f aca="false">In_Opex_Contingency*(CJ61+CJ62+CJ63-CJ60*In_MEKH)</f>
        <v>-36.7210213457371</v>
      </c>
      <c r="CK65" s="43" t="n">
        <f aca="false">In_Opex_Contingency*(CK61+CK62+CK63-CK60*In_MEKH)</f>
        <v>-37.1245490528331</v>
      </c>
      <c r="CL65" s="43" t="n">
        <f aca="false">In_Opex_Contingency*(CL61+CL62+CL63-CL60*In_MEKH)</f>
        <v>-37.0917525251025</v>
      </c>
      <c r="CM65" s="43" t="n">
        <f aca="false">In_Opex_Contingency*(CM61+CM62+CM63-CM60*In_MEKH)</f>
        <v>-37.1903032611311</v>
      </c>
      <c r="CN65" s="43" t="n">
        <f aca="false">In_Opex_Contingency*(CN61+CN62+CN63-CN60*In_MEKH)</f>
        <v>-37.6035288529215</v>
      </c>
      <c r="CO65" s="43" t="n">
        <f aca="false">In_Opex_Contingency*(CO61+CO62+CO63-CO60*In_MEKH)</f>
        <v>-38.0167544447118</v>
      </c>
      <c r="CP65" s="43" t="n">
        <f aca="false">In_Opex_Contingency*(CP61+CP62+CP63-CP60*In_MEKH)</f>
        <v>-37.9832457287912</v>
      </c>
      <c r="CQ65" s="43" t="n">
        <f aca="false">In_Opex_Contingency*(CQ61+CQ62+CQ63-CQ60*In_MEKH)</f>
        <v>-38.5073611887342</v>
      </c>
      <c r="CR65" s="43" t="n">
        <f aca="false">In_Opex_Contingency*(CR61+CR62+CR63-CR60*In_MEKH)</f>
        <v>-38.5073611887342</v>
      </c>
      <c r="CS65" s="43" t="n">
        <f aca="false">In_Opex_Contingency*(CS61+CS62+CS63-CS60*In_MEKH)</f>
        <v>-38.930519003995</v>
      </c>
      <c r="CT65" s="43" t="n">
        <f aca="false">In_Opex_Contingency*(CT61+CT62+CT63-CT60*In_MEKH)</f>
        <v>-38.8962825330819</v>
      </c>
      <c r="CU65" s="43" t="n">
        <f aca="false">In_Opex_Contingency*(CU61+CU62+CU63-CU60*In_MEKH)</f>
        <v>-38.9997055198886</v>
      </c>
      <c r="CV65" s="43" t="n">
        <f aca="false">In_Opex_Contingency*(CV61+CV62+CV63-CV60*In_MEKH)</f>
        <v>-39.4330355812207</v>
      </c>
      <c r="CW65" s="43" t="n">
        <f aca="false">In_Opex_Contingency*(CW61+CW62+CW63-CW60*In_MEKH)</f>
        <v>-39.8663656425528</v>
      </c>
      <c r="CX65" s="43" t="n">
        <f aca="false">In_Opex_Contingency*(CX61+CX62+CX63-CX60*In_MEKH)</f>
        <v>-39.8313855088765</v>
      </c>
      <c r="CY65" s="43" t="n">
        <f aca="false">In_Opex_Contingency*(CY61+CY62+CY63-CY60*In_MEKH)</f>
        <v>-39.9373336905495</v>
      </c>
      <c r="CZ65" s="43" t="n">
        <f aca="false">In_Opex_Contingency*(CZ61+CZ62+CZ63-CZ60*In_MEKH)</f>
        <v>-40.3810818426667</v>
      </c>
      <c r="DA65" s="43" t="n">
        <f aca="false">In_Opex_Contingency*(DA61+DA62+DA63-DA60*In_MEKH)</f>
        <v>-40.824829994784</v>
      </c>
      <c r="DB65" s="43" t="n">
        <f aca="false">In_Opex_Contingency*(DB61+DB62+DB63-DB60*In_MEKH)</f>
        <v>-40.7890899421322</v>
      </c>
      <c r="DC65" s="43" t="n">
        <f aca="false">In_Opex_Contingency*(DC61+DC62+DC63-DC60*In_MEKH)</f>
        <v>-40.89762462523</v>
      </c>
      <c r="DD65" s="43" t="n">
        <f aca="false">In_Opex_Contingency*(DD61+DD62+DD63-DD60*In_MEKH)</f>
        <v>-41.3520426766215</v>
      </c>
      <c r="DE65" s="43" t="n">
        <f aca="false">In_Opex_Contingency*(DE61+DE62+DE63-DE60*In_MEKH)</f>
        <v>-41.8064607280129</v>
      </c>
      <c r="DF65" s="43" t="n">
        <f aca="false">In_Opex_Contingency*(DF61+DF62+DF63-DF60*In_MEKH)</f>
        <v>-41.7699441440948</v>
      </c>
      <c r="DG65" s="43" t="n">
        <f aca="false">In_Opex_Contingency*(DG61+DG62+DG63-DG60*In_MEKH)</f>
        <v>-42.3464739924311</v>
      </c>
      <c r="DH65" s="43" t="n">
        <f aca="false">In_Opex_Contingency*(DH61+DH62+DH63-DH60*In_MEKH)</f>
        <v>-42.3464739924311</v>
      </c>
      <c r="DI65" s="43" t="n">
        <f aca="false">In_Opex_Contingency*(DI61+DI62+DI63-DI60*In_MEKH)</f>
        <v>-42.8118198604798</v>
      </c>
      <c r="DJ65" s="43" t="n">
        <f aca="false">In_Opex_Contingency*(DJ61+DJ62+DJ63-DJ60*In_MEKH)</f>
        <v>-42.7745097691209</v>
      </c>
      <c r="DK65" s="43" t="n">
        <f aca="false">In_Opex_Contingency*(DK61+DK62+DK63-DK60*In_MEKH)</f>
        <v>-42.8884073678226</v>
      </c>
      <c r="DL65" s="43" t="n">
        <f aca="false">In_Opex_Contingency*(DL61+DL62+DL63-DL60*In_MEKH)</f>
        <v>-43.3649452274651</v>
      </c>
      <c r="DM65" s="43" t="n">
        <f aca="false">In_Opex_Contingency*(DM61+DM62+DM63-DM60*In_MEKH)</f>
        <v>-43.8414830871076</v>
      </c>
      <c r="DN65" s="43" t="n">
        <f aca="false">In_Opex_Contingency*(DN61+DN62+DN63-DN60*In_MEKH)</f>
        <v>-43.8033621402744</v>
      </c>
      <c r="DO65" s="43" t="n">
        <f aca="false">In_Opex_Contingency*(DO61+DO62+DO63-DO60*In_MEKH)</f>
        <v>-43.9200392412121</v>
      </c>
      <c r="DP65" s="43" t="n">
        <f aca="false">In_Opex_Contingency*(DP61+DP62+DP63-DP60*In_MEKH)</f>
        <v>-44.4080396772256</v>
      </c>
      <c r="DQ65" s="43" t="n">
        <f aca="false">In_Opex_Contingency*(DQ61+DQ62+DQ63-DQ60*In_MEKH)</f>
        <v>-44.896040113239</v>
      </c>
      <c r="DR65" s="43" t="n">
        <f aca="false">In_Opex_Contingency*(DR61+DR62+DR63-DR60*In_MEKH)</f>
        <v>-44.8570905828882</v>
      </c>
      <c r="DS65" s="43" t="n">
        <f aca="false">In_Opex_Contingency*(DS61+DS62+DS63-DS60*In_MEKH)</f>
        <v>-44.9766146705251</v>
      </c>
      <c r="DT65" s="43" t="n">
        <f aca="false">In_Opex_Contingency*(DT61+DT62+DT63-DT60*In_MEKH)</f>
        <v>-45.4763548335309</v>
      </c>
      <c r="DU65" s="43" t="n">
        <f aca="false">In_Opex_Contingency*(DU61+DU62+DU63-DU60*In_MEKH)</f>
        <v>-45.9760949965368</v>
      </c>
      <c r="DV65" s="43" t="n">
        <f aca="false">In_Opex_Contingency*(DV61+DV62+DV63-DV60*In_MEKH)</f>
        <v>-45.9362987662857</v>
      </c>
      <c r="DW65" s="43" t="n">
        <f aca="false">In_Opex_Contingency*(DW61+DW62+DW63-DW60*In_MEKH)</f>
        <v>-46.5705027309739</v>
      </c>
      <c r="DX65" s="43" t="n">
        <f aca="false">In_Opex_Contingency*(DX61+DX62+DX63-DX60*In_MEKH)</f>
        <v>-46.5705027309739</v>
      </c>
      <c r="DY65" s="43" t="n">
        <f aca="false">In_Opex_Contingency*(DY61+DY62+DY63-DY60*In_MEKH)</f>
        <v>-47.0822664972483</v>
      </c>
      <c r="DZ65" s="43" t="n">
        <f aca="false">In_Opex_Contingency*(DZ61+DZ62+DZ63-DZ60*In_MEKH)</f>
        <v>-47.0416050538636</v>
      </c>
      <c r="EA65" s="43" t="n">
        <f aca="false">In_Opex_Contingency*(EA61+EA62+EA63-EA60*In_MEKH)</f>
        <v>-47.16703216667</v>
      </c>
      <c r="EB65" s="43" t="n">
        <f aca="false">In_Opex_Contingency*(EB61+EB62+EB63-EB60*In_MEKH)</f>
        <v>-47.6911103018552</v>
      </c>
      <c r="EC65" s="43" t="n">
        <f aca="false">In_Opex_Contingency*(EC61+EC62+EC63-EC60*In_MEKH)</f>
        <v>-48.2151884370404</v>
      </c>
      <c r="ED65" s="43" t="n">
        <f aca="false">In_Opex_Contingency*(ED61+ED62+ED63-ED60*In_MEKH)</f>
        <v>-48.173642861739</v>
      </c>
      <c r="EE65" s="43" t="n">
        <f aca="false">In_Opex_Contingency*(EE61+EE62+EE63-EE60*In_MEKH)</f>
        <v>-48.3021294129908</v>
      </c>
      <c r="EF65" s="43" t="n">
        <f aca="false">In_Opex_Contingency*(EF61+EF62+EF63-EF60*In_MEKH)</f>
        <v>-48.8388197398018</v>
      </c>
      <c r="EG65" s="43" t="n">
        <f aca="false">In_Opex_Contingency*(EG61+EG62+EG63-EG60*In_MEKH)</f>
        <v>-49.3755100666128</v>
      </c>
      <c r="EH65" s="43" t="n">
        <f aca="false">In_Opex_Contingency*(EH61+EH62+EH63-EH60*In_MEKH)</f>
        <v>-49.333061026173</v>
      </c>
      <c r="EI65" s="43" t="n">
        <f aca="false">In_Opex_Contingency*(EI61+EI62+EI63-EI60*In_MEKH)</f>
        <v>-49.4646813022568</v>
      </c>
      <c r="EJ65" s="43" t="n">
        <f aca="false">In_Opex_Contingency*(EJ61+EJ62+EJ63-EJ60*In_MEKH)</f>
        <v>-50.0142888722818</v>
      </c>
      <c r="EK65" s="43" t="n">
        <f aca="false">In_Opex_Contingency*(EK61+EK62+EK63-EK60*In_MEKH)</f>
        <v>-50.5638964423069</v>
      </c>
      <c r="EL65" s="43" t="n">
        <f aca="false">In_Opex_Contingency*(EL61+EL62+EL63-EL60*In_MEKH)</f>
        <v>-50.520524179984</v>
      </c>
      <c r="EM65" s="43" t="n">
        <f aca="false">In_Opex_Contingency*(EM61+EM62+EM63-EM60*In_MEKH)</f>
        <v>-51.2181915422349</v>
      </c>
      <c r="EN65" s="43" t="n">
        <f aca="false">In_Opex_Contingency*(EN61+EN62+EN63-EN60*In_MEKH)</f>
        <v>-51.2181915422349</v>
      </c>
      <c r="EO65" s="43" t="n">
        <f aca="false">In_Opex_Contingency*(EO61+EO62+EO63-EO60*In_MEKH)</f>
        <v>-51.7810288119298</v>
      </c>
    </row>
    <row r="66" customFormat="false" ht="15" hidden="false" customHeight="false" outlineLevel="0" collapsed="false">
      <c r="C66" s="0" t="s">
        <v>23</v>
      </c>
      <c r="D66" s="11" t="s">
        <v>33</v>
      </c>
      <c r="I66" s="43" t="n">
        <f aca="false">SUM(J66:EO66)</f>
        <v>-8664.34629995159</v>
      </c>
      <c r="J66" s="43" t="n">
        <f aca="false">-$E25*J59/Thousand</f>
        <v>-0</v>
      </c>
      <c r="K66" s="43" t="n">
        <f aca="false">-$E25*K59/Thousand</f>
        <v>-0</v>
      </c>
      <c r="L66" s="43" t="n">
        <f aca="false">-$E25*L59/Thousand</f>
        <v>-0</v>
      </c>
      <c r="M66" s="43" t="n">
        <f aca="false">-$E25*M59/Thousand</f>
        <v>-0</v>
      </c>
      <c r="N66" s="43" t="n">
        <f aca="false">-$E25*N59/Thousand</f>
        <v>-0</v>
      </c>
      <c r="O66" s="43" t="n">
        <f aca="false">-$E25*O59/Thousand</f>
        <v>-0</v>
      </c>
      <c r="P66" s="43" t="n">
        <f aca="false">-$E25*P59/Thousand</f>
        <v>-0</v>
      </c>
      <c r="Q66" s="43" t="n">
        <f aca="false">-$E25*Q59/Thousand</f>
        <v>-0</v>
      </c>
      <c r="R66" s="43" t="n">
        <f aca="false">-$E25*R59/Thousand</f>
        <v>-0</v>
      </c>
      <c r="S66" s="43" t="n">
        <f aca="false">-$E25*S59/Thousand</f>
        <v>-0</v>
      </c>
      <c r="T66" s="43" t="n">
        <f aca="false">-$E25*T59/Thousand</f>
        <v>-0</v>
      </c>
      <c r="U66" s="43" t="n">
        <f aca="false">-$E25*U59/Thousand</f>
        <v>-0</v>
      </c>
      <c r="V66" s="43" t="n">
        <f aca="false">-$E25*V59/Thousand</f>
        <v>-0</v>
      </c>
      <c r="W66" s="43" t="n">
        <f aca="false">-$E25*W59/Thousand</f>
        <v>-0</v>
      </c>
      <c r="X66" s="43" t="n">
        <f aca="false">-$E25*X59/Thousand</f>
        <v>-0</v>
      </c>
      <c r="Y66" s="43" t="n">
        <f aca="false">-$E25*Y59/Thousand</f>
        <v>-0</v>
      </c>
      <c r="Z66" s="43" t="n">
        <f aca="false">-$E25*Z59/Thousand</f>
        <v>-75.9567123287671</v>
      </c>
      <c r="AA66" s="43" t="n">
        <f aca="false">-$E25*AA59/Thousand</f>
        <v>-74.3054794520548</v>
      </c>
      <c r="AB66" s="43" t="n">
        <f aca="false">-$E25*AB59/Thousand</f>
        <v>-75.131095890411</v>
      </c>
      <c r="AC66" s="43" t="n">
        <f aca="false">-$E25*AC59/Thousand</f>
        <v>-75.9567123287671</v>
      </c>
      <c r="AD66" s="43" t="n">
        <f aca="false">-$E25*AD59/Thousand</f>
        <v>-75.7288421917808</v>
      </c>
      <c r="AE66" s="43" t="n">
        <f aca="false">-$E25*AE59/Thousand</f>
        <v>-74.9057026027397</v>
      </c>
      <c r="AF66" s="43" t="n">
        <f aca="false">-$E25*AF59/Thousand</f>
        <v>-74.9057026027397</v>
      </c>
      <c r="AG66" s="43" t="n">
        <f aca="false">-$E25*AG59/Thousand</f>
        <v>-75.7288421917808</v>
      </c>
      <c r="AH66" s="43" t="n">
        <f aca="false">-$E25*AH59/Thousand</f>
        <v>-75.5016556652055</v>
      </c>
      <c r="AI66" s="43" t="n">
        <f aca="false">-$E25*AI59/Thousand</f>
        <v>-73.8603153246575</v>
      </c>
      <c r="AJ66" s="43" t="n">
        <f aca="false">-$E25*AJ59/Thousand</f>
        <v>-74.6809854949315</v>
      </c>
      <c r="AK66" s="43" t="n">
        <f aca="false">-$E25*AK59/Thousand</f>
        <v>-75.5016556652055</v>
      </c>
      <c r="AL66" s="43" t="n">
        <f aca="false">-$E25*AL59/Thousand</f>
        <v>-75.2751506982099</v>
      </c>
      <c r="AM66" s="43" t="n">
        <f aca="false">-$E25*AM59/Thousand</f>
        <v>-73.6387343786836</v>
      </c>
      <c r="AN66" s="43" t="n">
        <f aca="false">-$E25*AN59/Thousand</f>
        <v>-74.4569425384467</v>
      </c>
      <c r="AO66" s="43" t="n">
        <f aca="false">-$E25*AO59/Thousand</f>
        <v>-75.2751506982099</v>
      </c>
      <c r="AP66" s="43" t="n">
        <f aca="false">-$E25*AP59/Thousand</f>
        <v>-75.0493252461153</v>
      </c>
      <c r="AQ66" s="43" t="n">
        <f aca="false">-$E25*AQ59/Thousand</f>
        <v>-73.4178181755475</v>
      </c>
      <c r="AR66" s="43" t="n">
        <f aca="false">-$E25*AR59/Thousand</f>
        <v>-74.2335717108314</v>
      </c>
      <c r="AS66" s="43" t="n">
        <f aca="false">-$E25*AS59/Thousand</f>
        <v>-75.0493252461153</v>
      </c>
      <c r="AT66" s="43" t="n">
        <f aca="false">-$E25*AT59/Thousand</f>
        <v>-74.8241772703769</v>
      </c>
      <c r="AU66" s="43" t="n">
        <f aca="false">-$E25*AU59/Thousand</f>
        <v>-74.0108709956989</v>
      </c>
      <c r="AV66" s="43" t="n">
        <f aca="false">-$E25*AV59/Thousand</f>
        <v>-74.0108709956989</v>
      </c>
      <c r="AW66" s="43" t="n">
        <f aca="false">-$E25*AW59/Thousand</f>
        <v>-74.8241772703769</v>
      </c>
      <c r="AX66" s="43" t="n">
        <f aca="false">-$E25*AX59/Thousand</f>
        <v>-74.5997047385658</v>
      </c>
      <c r="AY66" s="43" t="n">
        <f aca="false">-$E25*AY59/Thousand</f>
        <v>-72.9779720268578</v>
      </c>
      <c r="AZ66" s="43" t="n">
        <f aca="false">-$E25*AZ59/Thousand</f>
        <v>-73.7888383827118</v>
      </c>
      <c r="BA66" s="43" t="n">
        <f aca="false">-$E25*BA59/Thousand</f>
        <v>-74.5997047385658</v>
      </c>
      <c r="BB66" s="43" t="n">
        <f aca="false">-$E25*BB59/Thousand</f>
        <v>-74.3759056243501</v>
      </c>
      <c r="BC66" s="43" t="n">
        <f aca="false">-$E25*BC59/Thousand</f>
        <v>-72.7590381107772</v>
      </c>
      <c r="BD66" s="43" t="n">
        <f aca="false">-$E25*BD59/Thousand</f>
        <v>-73.5674718675636</v>
      </c>
      <c r="BE66" s="43" t="n">
        <f aca="false">-$E25*BE59/Thousand</f>
        <v>-74.3759056243501</v>
      </c>
      <c r="BF66" s="43" t="n">
        <f aca="false">-$E25*BF59/Thousand</f>
        <v>-74.152777907477</v>
      </c>
      <c r="BG66" s="43" t="n">
        <f aca="false">-$E25*BG59/Thousand</f>
        <v>-72.5407609964449</v>
      </c>
      <c r="BH66" s="43" t="n">
        <f aca="false">-$E25*BH59/Thousand</f>
        <v>-73.346769451961</v>
      </c>
      <c r="BI66" s="43" t="n">
        <f aca="false">-$E25*BI59/Thousand</f>
        <v>-74.152777907477</v>
      </c>
      <c r="BJ66" s="43" t="n">
        <f aca="false">-$E25*BJ59/Thousand</f>
        <v>-73.9303195737546</v>
      </c>
      <c r="BK66" s="43" t="n">
        <f aca="false">-$E25*BK59/Thousand</f>
        <v>-73.1267291436051</v>
      </c>
      <c r="BL66" s="43" t="n">
        <f aca="false">-$E25*BL59/Thousand</f>
        <v>-73.1267291436051</v>
      </c>
      <c r="BM66" s="43" t="n">
        <f aca="false">-$E25*BM59/Thousand</f>
        <v>-73.9303195737546</v>
      </c>
      <c r="BN66" s="43" t="n">
        <f aca="false">-$E25*BN59/Thousand</f>
        <v>-73.7085286150333</v>
      </c>
      <c r="BO66" s="43" t="n">
        <f aca="false">-$E25*BO59/Thousand</f>
        <v>-72.1061692973152</v>
      </c>
      <c r="BP66" s="43" t="n">
        <f aca="false">-$E25*BP59/Thousand</f>
        <v>-72.9073489561743</v>
      </c>
      <c r="BQ66" s="43" t="n">
        <f aca="false">-$E25*BQ59/Thousand</f>
        <v>-73.7085286150333</v>
      </c>
      <c r="BR66" s="43" t="n">
        <f aca="false">-$E25*BR59/Thousand</f>
        <v>-73.4874030291882</v>
      </c>
      <c r="BS66" s="43" t="n">
        <f aca="false">-$E25*BS59/Thousand</f>
        <v>-71.8898507894233</v>
      </c>
      <c r="BT66" s="43" t="n">
        <f aca="false">-$E25*BT59/Thousand</f>
        <v>-72.6886269093057</v>
      </c>
      <c r="BU66" s="43" t="n">
        <f aca="false">-$E25*BU59/Thousand</f>
        <v>-73.4874030291882</v>
      </c>
      <c r="BV66" s="43" t="n">
        <f aca="false">-$E25*BV59/Thousand</f>
        <v>-73.2669408201007</v>
      </c>
      <c r="BW66" s="43" t="n">
        <f aca="false">-$E25*BW59/Thousand</f>
        <v>-71.674181237055</v>
      </c>
      <c r="BX66" s="43" t="n">
        <f aca="false">-$E25*BX59/Thousand</f>
        <v>-72.4705610285778</v>
      </c>
      <c r="BY66" s="43" t="n">
        <f aca="false">-$E25*BY59/Thousand</f>
        <v>-73.2669408201007</v>
      </c>
      <c r="BZ66" s="43" t="n">
        <f aca="false">-$E25*BZ59/Thousand</f>
        <v>-73.0471399976403</v>
      </c>
      <c r="CA66" s="43" t="n">
        <f aca="false">-$E25*CA59/Thousand</f>
        <v>-72.2531493454921</v>
      </c>
      <c r="CB66" s="43" t="n">
        <f aca="false">-$E25*CB59/Thousand</f>
        <v>-72.2531493454921</v>
      </c>
      <c r="CC66" s="43" t="n">
        <f aca="false">-$E25*CC59/Thousand</f>
        <v>-73.0471399976403</v>
      </c>
      <c r="CD66" s="43" t="n">
        <f aca="false">-$E25*CD59/Thousand</f>
        <v>-72.8279985776474</v>
      </c>
      <c r="CE66" s="43" t="n">
        <f aca="false">-$E25*CE59/Thousand</f>
        <v>-71.2447812172638</v>
      </c>
      <c r="CF66" s="43" t="n">
        <f aca="false">-$E25*CF59/Thousand</f>
        <v>-72.0363898974556</v>
      </c>
      <c r="CG66" s="43" t="n">
        <f aca="false">-$E25*CG59/Thousand</f>
        <v>-72.8279985776474</v>
      </c>
      <c r="CH66" s="43" t="n">
        <f aca="false">-$E25*CH59/Thousand</f>
        <v>-72.6095145819145</v>
      </c>
      <c r="CI66" s="43" t="n">
        <f aca="false">-$E25*CI59/Thousand</f>
        <v>-71.031046873612</v>
      </c>
      <c r="CJ66" s="43" t="n">
        <f aca="false">-$E25*CJ59/Thousand</f>
        <v>-71.8202807277632</v>
      </c>
      <c r="CK66" s="43" t="n">
        <f aca="false">-$E25*CK59/Thousand</f>
        <v>-72.6095145819145</v>
      </c>
      <c r="CL66" s="43" t="n">
        <f aca="false">-$E25*CL59/Thousand</f>
        <v>-72.3916860381687</v>
      </c>
      <c r="CM66" s="43" t="n">
        <f aca="false">-$E25*CM59/Thousand</f>
        <v>-70.8179537329912</v>
      </c>
      <c r="CN66" s="43" t="n">
        <f aca="false">-$E25*CN59/Thousand</f>
        <v>-71.60481988558</v>
      </c>
      <c r="CO66" s="43" t="n">
        <f aca="false">-$E25*CO59/Thousand</f>
        <v>-72.3916860381687</v>
      </c>
      <c r="CP66" s="43" t="n">
        <f aca="false">-$E25*CP59/Thousand</f>
        <v>-72.1745109800542</v>
      </c>
      <c r="CQ66" s="43" t="n">
        <f aca="false">-$E25*CQ59/Thousand</f>
        <v>-71.3900054259232</v>
      </c>
      <c r="CR66" s="43" t="n">
        <f aca="false">-$E25*CR59/Thousand</f>
        <v>-71.3900054259232</v>
      </c>
      <c r="CS66" s="43" t="n">
        <f aca="false">-$E25*CS59/Thousand</f>
        <v>-72.1745109800542</v>
      </c>
      <c r="CT66" s="43" t="n">
        <f aca="false">-$E25*CT59/Thousand</f>
        <v>-71.9579874471141</v>
      </c>
      <c r="CU66" s="43" t="n">
        <f aca="false">-$E25*CU59/Thousand</f>
        <v>-70.3936833721768</v>
      </c>
      <c r="CV66" s="43" t="n">
        <f aca="false">-$E25*CV59/Thousand</f>
        <v>-71.1758354096454</v>
      </c>
      <c r="CW66" s="43" t="n">
        <f aca="false">-$E25*CW59/Thousand</f>
        <v>-71.9579874471141</v>
      </c>
      <c r="CX66" s="43" t="n">
        <f aca="false">-$E25*CX59/Thousand</f>
        <v>-71.7421134847727</v>
      </c>
      <c r="CY66" s="43" t="n">
        <f aca="false">-$E25*CY59/Thousand</f>
        <v>-70.1825023220603</v>
      </c>
      <c r="CZ66" s="43" t="n">
        <f aca="false">-$E25*CZ59/Thousand</f>
        <v>-70.9623079034165</v>
      </c>
      <c r="DA66" s="43" t="n">
        <f aca="false">-$E25*DA59/Thousand</f>
        <v>-71.7421134847727</v>
      </c>
      <c r="DB66" s="43" t="n">
        <f aca="false">-$E25*DB59/Thousand</f>
        <v>-71.5268871443184</v>
      </c>
      <c r="DC66" s="43" t="n">
        <f aca="false">-$E25*DC59/Thousand</f>
        <v>-69.9719548150941</v>
      </c>
      <c r="DD66" s="43" t="n">
        <f aca="false">-$E25*DD59/Thousand</f>
        <v>-70.7494209797062</v>
      </c>
      <c r="DE66" s="43" t="n">
        <f aca="false">-$E25*DE59/Thousand</f>
        <v>-71.5268871443184</v>
      </c>
      <c r="DF66" s="43" t="n">
        <f aca="false">-$E25*DF59/Thousand</f>
        <v>-71.3123064828855</v>
      </c>
      <c r="DG66" s="43" t="n">
        <f aca="false">-$E25*DG59/Thousand</f>
        <v>-70.5371727167671</v>
      </c>
      <c r="DH66" s="43" t="n">
        <f aca="false">-$E25*DH59/Thousand</f>
        <v>-70.5371727167671</v>
      </c>
      <c r="DI66" s="43" t="n">
        <f aca="false">-$E25*DI59/Thousand</f>
        <v>-71.3123064828855</v>
      </c>
      <c r="DJ66" s="43" t="n">
        <f aca="false">-$E25*DJ59/Thousand</f>
        <v>-71.0983695634368</v>
      </c>
      <c r="DK66" s="43" t="n">
        <f aca="false">-$E25*DK59/Thousand</f>
        <v>-69.5527528337969</v>
      </c>
      <c r="DL66" s="43" t="n">
        <f aca="false">-$E25*DL59/Thousand</f>
        <v>-70.3255611986168</v>
      </c>
      <c r="DM66" s="43" t="n">
        <f aca="false">-$E25*DM59/Thousand</f>
        <v>-71.0983695634368</v>
      </c>
      <c r="DN66" s="43" t="n">
        <f aca="false">-$E25*DN59/Thousand</f>
        <v>-70.8850744547465</v>
      </c>
      <c r="DO66" s="43" t="n">
        <f aca="false">-$E25*DO59/Thousand</f>
        <v>-69.3440945752955</v>
      </c>
      <c r="DP66" s="43" t="n">
        <f aca="false">-$E25*DP59/Thousand</f>
        <v>-70.114584515021</v>
      </c>
      <c r="DQ66" s="43" t="n">
        <f aca="false">-$E25*DQ59/Thousand</f>
        <v>-70.8850744547465</v>
      </c>
      <c r="DR66" s="43" t="n">
        <f aca="false">-$E25*DR59/Thousand</f>
        <v>-70.6724192313822</v>
      </c>
      <c r="DS66" s="43" t="n">
        <f aca="false">-$E25*DS59/Thousand</f>
        <v>-69.1360622915696</v>
      </c>
      <c r="DT66" s="43" t="n">
        <f aca="false">-$E25*DT59/Thousand</f>
        <v>-69.9042407614759</v>
      </c>
      <c r="DU66" s="43" t="n">
        <f aca="false">-$E25*DU59/Thousand</f>
        <v>-70.6724192313822</v>
      </c>
      <c r="DV66" s="43" t="n">
        <f aca="false">-$E25*DV59/Thousand</f>
        <v>-70.4604019736881</v>
      </c>
      <c r="DW66" s="43" t="n">
        <f aca="false">-$E25*DW59/Thousand</f>
        <v>-69.6945280391915</v>
      </c>
      <c r="DX66" s="43" t="n">
        <f aca="false">-$E25*DX59/Thousand</f>
        <v>-69.6945280391915</v>
      </c>
      <c r="DY66" s="43" t="n">
        <f aca="false">-$E25*DY59/Thousand</f>
        <v>-70.4604019736881</v>
      </c>
      <c r="DZ66" s="43" t="n">
        <f aca="false">-$E25*DZ59/Thousand</f>
        <v>-70.249020767767</v>
      </c>
      <c r="EA66" s="43" t="n">
        <f aca="false">-$E25*EA59/Thousand</f>
        <v>-68.7218681423808</v>
      </c>
      <c r="EB66" s="43" t="n">
        <f aca="false">-$E25*EB59/Thousand</f>
        <v>-69.4854444550739</v>
      </c>
      <c r="EC66" s="43" t="n">
        <f aca="false">-$E25*EC59/Thousand</f>
        <v>-70.249020767767</v>
      </c>
      <c r="ED66" s="43" t="n">
        <f aca="false">-$E25*ED59/Thousand</f>
        <v>-70.0382737054637</v>
      </c>
      <c r="EE66" s="43" t="n">
        <f aca="false">-$E25*EE59/Thousand</f>
        <v>-68.5157025379536</v>
      </c>
      <c r="EF66" s="43" t="n">
        <f aca="false">-$E25*EF59/Thousand</f>
        <v>-69.2769881217087</v>
      </c>
      <c r="EG66" s="43" t="n">
        <f aca="false">-$E25*EG59/Thousand</f>
        <v>-70.0382737054637</v>
      </c>
      <c r="EH66" s="43" t="n">
        <f aca="false">-$E25*EH59/Thousand</f>
        <v>-69.8281588843474</v>
      </c>
      <c r="EI66" s="43" t="n">
        <f aca="false">-$E25*EI59/Thousand</f>
        <v>-68.3101554303398</v>
      </c>
      <c r="EJ66" s="43" t="n">
        <f aca="false">-$E25*EJ59/Thousand</f>
        <v>-69.0691571573436</v>
      </c>
      <c r="EK66" s="43" t="n">
        <f aca="false">-$E25*EK59/Thousand</f>
        <v>-69.8281588843474</v>
      </c>
      <c r="EL66" s="43" t="n">
        <f aca="false">-$E25*EL59/Thousand</f>
        <v>-69.6186744076943</v>
      </c>
      <c r="EM66" s="43" t="n">
        <f aca="false">-$E25*EM59/Thousand</f>
        <v>-68.8619496858715</v>
      </c>
      <c r="EN66" s="43" t="n">
        <f aca="false">-$E25*EN59/Thousand</f>
        <v>-68.8619496858715</v>
      </c>
      <c r="EO66" s="43" t="n">
        <f aca="false">-$E25*EO59/Thousand</f>
        <v>-69.6186744076943</v>
      </c>
    </row>
    <row r="67" customFormat="false" ht="15" hidden="false" customHeight="false" outlineLevel="0" collapsed="false">
      <c r="C67" s="21" t="s">
        <v>376</v>
      </c>
      <c r="D67" s="11" t="s">
        <v>33</v>
      </c>
      <c r="E67" s="54" t="n">
        <f aca="false">SUMIF($J$7:$EO$7,YEAR(In_COD)+1,$J67:$EO67)</f>
        <v>8229.44447199028</v>
      </c>
      <c r="I67" s="54" t="n">
        <f aca="false">SUM(J67:EO67)</f>
        <v>253072.486108741</v>
      </c>
      <c r="J67" s="54" t="n">
        <f aca="false">SUM(J60:J66)</f>
        <v>0</v>
      </c>
      <c r="K67" s="54" t="n">
        <f aca="false">SUM(K60:K66)</f>
        <v>0</v>
      </c>
      <c r="L67" s="54" t="n">
        <f aca="false">SUM(L60:L66)</f>
        <v>0</v>
      </c>
      <c r="M67" s="54" t="n">
        <f aca="false">SUM(M60:M66)</f>
        <v>0</v>
      </c>
      <c r="N67" s="54" t="n">
        <f aca="false">SUM(N60:N66)</f>
        <v>0</v>
      </c>
      <c r="O67" s="54" t="n">
        <f aca="false">SUM(O60:O66)</f>
        <v>0</v>
      </c>
      <c r="P67" s="54" t="n">
        <f aca="false">SUM(P60:P66)</f>
        <v>0</v>
      </c>
      <c r="Q67" s="54" t="n">
        <f aca="false">SUM(Q60:Q66)</f>
        <v>0</v>
      </c>
      <c r="R67" s="54" t="n">
        <f aca="false">SUM(R60:R66)</f>
        <v>-37.7857276735146</v>
      </c>
      <c r="S67" s="54" t="n">
        <f aca="false">SUM(S60:S66)</f>
        <v>-37.8884062813231</v>
      </c>
      <c r="T67" s="54" t="n">
        <f aca="false">SUM(T60:T66)</f>
        <v>-38.3093885733378</v>
      </c>
      <c r="U67" s="54" t="n">
        <f aca="false">SUM(U60:U66)</f>
        <v>-38.7303708653525</v>
      </c>
      <c r="V67" s="54" t="n">
        <f aca="false">SUM(V60:V66)</f>
        <v>-38.7303708653525</v>
      </c>
      <c r="W67" s="54" t="n">
        <f aca="false">SUM(W60:W66)</f>
        <v>-38.8356164383562</v>
      </c>
      <c r="X67" s="54" t="n">
        <f aca="false">SUM(X60:X66)</f>
        <v>-39.2671232876712</v>
      </c>
      <c r="Y67" s="54" t="n">
        <f aca="false">SUM(Y60:Y66)</f>
        <v>-39.6986301369863</v>
      </c>
      <c r="Z67" s="54" t="n">
        <f aca="false">SUM(Z60:Z66)</f>
        <v>2062.69196613699</v>
      </c>
      <c r="AA67" s="54" t="n">
        <f aca="false">SUM(AA60:AA66)</f>
        <v>2030.99479069315</v>
      </c>
      <c r="AB67" s="54" t="n">
        <f aca="false">SUM(AB60:AB66)</f>
        <v>2053.56139947863</v>
      </c>
      <c r="AC67" s="54" t="n">
        <f aca="false">SUM(AC60:AC66)</f>
        <v>2076.12800826411</v>
      </c>
      <c r="AD67" s="54" t="n">
        <f aca="false">SUM(AD60:AD66)</f>
        <v>2068.76027355439</v>
      </c>
      <c r="AE67" s="54" t="n">
        <f aca="false">SUM(AE60:AE66)</f>
        <v>2059.43219329172</v>
      </c>
      <c r="AF67" s="54" t="n">
        <f aca="false">SUM(AF60:AF66)</f>
        <v>2059.43219329172</v>
      </c>
      <c r="AG67" s="54" t="n">
        <f aca="false">SUM(AG60:AG66)</f>
        <v>2082.06331629492</v>
      </c>
      <c r="AH67" s="54" t="n">
        <f aca="false">SUM(AH60:AH66)</f>
        <v>2074.64929189398</v>
      </c>
      <c r="AI67" s="54" t="n">
        <f aca="false">SUM(AI60:AI66)</f>
        <v>2042.42568790043</v>
      </c>
      <c r="AJ67" s="54" t="n">
        <f aca="false">SUM(AJ60:AJ66)</f>
        <v>2065.11930665488</v>
      </c>
      <c r="AK67" s="54" t="n">
        <f aca="false">SUM(AK60:AK66)</f>
        <v>2087.81292540933</v>
      </c>
      <c r="AL67" s="54" t="n">
        <f aca="false">SUM(AL60:AL66)</f>
        <v>2080.35245631975</v>
      </c>
      <c r="AM67" s="54" t="n">
        <f aca="false">SUM(AM60:AM66)</f>
        <v>2047.86204754358</v>
      </c>
      <c r="AN67" s="54" t="n">
        <f aca="false">SUM(AN60:AN66)</f>
        <v>2070.61607029406</v>
      </c>
      <c r="AO67" s="54" t="n">
        <f aca="false">SUM(AO60:AO66)</f>
        <v>2093.37009304455</v>
      </c>
      <c r="AP67" s="54" t="n">
        <f aca="false">SUM(AP60:AP66)</f>
        <v>2085.86302669423</v>
      </c>
      <c r="AQ67" s="54" t="n">
        <f aca="false">SUM(AQ60:AQ66)</f>
        <v>2053.10337736259</v>
      </c>
      <c r="AR67" s="54" t="n">
        <f aca="false">SUM(AR60:AR66)</f>
        <v>2075.91563711107</v>
      </c>
      <c r="AS67" s="54" t="n">
        <f aca="false">SUM(AS60:AS66)</f>
        <v>2098.72789685954</v>
      </c>
      <c r="AT67" s="54" t="n">
        <f aca="false">SUM(AT60:AT66)</f>
        <v>2091.17408319599</v>
      </c>
      <c r="AU67" s="54" t="n">
        <f aca="false">SUM(AU60:AU66)</f>
        <v>2081.01097773955</v>
      </c>
      <c r="AV67" s="54" t="n">
        <f aca="false">SUM(AV60:AV66)</f>
        <v>2081.01097773955</v>
      </c>
      <c r="AW67" s="54" t="n">
        <f aca="false">SUM(AW60:AW66)</f>
        <v>2103.87923024218</v>
      </c>
      <c r="AX67" s="54" t="n">
        <f aca="false">SUM(AX60:AX66)</f>
        <v>2096.27852182916</v>
      </c>
      <c r="AY67" s="54" t="n">
        <f aca="false">SUM(AY60:AY66)</f>
        <v>2062.97295427752</v>
      </c>
      <c r="AZ67" s="54" t="n">
        <f aca="false">SUM(AZ60:AZ66)</f>
        <v>2085.89487599172</v>
      </c>
      <c r="BA67" s="54" t="n">
        <f aca="false">SUM(BA60:BA66)</f>
        <v>2108.81679770591</v>
      </c>
      <c r="BB67" s="54" t="n">
        <f aca="false">SUM(BB60:BB66)</f>
        <v>2101.16904982244</v>
      </c>
      <c r="BC67" s="54" t="n">
        <f aca="false">SUM(BC60:BC66)</f>
        <v>2067.58673821276</v>
      </c>
      <c r="BD67" s="54" t="n">
        <f aca="false">SUM(BD60:BD66)</f>
        <v>2090.55992419291</v>
      </c>
      <c r="BE67" s="54" t="n">
        <f aca="false">SUM(BE60:BE66)</f>
        <v>2113.53311017305</v>
      </c>
      <c r="BF67" s="54" t="n">
        <f aca="false">SUM(BF60:BF66)</f>
        <v>2105.83818091492</v>
      </c>
      <c r="BG67" s="54" t="n">
        <f aca="false">SUM(BG60:BG66)</f>
        <v>2071.97655666072</v>
      </c>
      <c r="BH67" s="54" t="n">
        <f aca="false">SUM(BH60:BH66)</f>
        <v>2094.9985184014</v>
      </c>
      <c r="BI67" s="54" t="n">
        <f aca="false">SUM(BI60:BI66)</f>
        <v>2118.02048014207</v>
      </c>
      <c r="BJ67" s="54" t="n">
        <f aca="false">SUM(BJ60:BJ66)</f>
        <v>2110.27823052585</v>
      </c>
      <c r="BK67" s="54" t="n">
        <f aca="false">SUM(BK60:BK66)</f>
        <v>2099.20285351058</v>
      </c>
      <c r="BL67" s="54" t="n">
        <f aca="false">SUM(BL60:BL66)</f>
        <v>2099.20285351058</v>
      </c>
      <c r="BM67" s="54" t="n">
        <f aca="false">SUM(BM60:BM66)</f>
        <v>2122.27101673597</v>
      </c>
      <c r="BN67" s="54" t="n">
        <f aca="false">SUM(BN60:BN66)</f>
        <v>2114.48131080557</v>
      </c>
      <c r="BO67" s="54" t="n">
        <f aca="false">SUM(BO60:BO66)</f>
        <v>2080.05321583247</v>
      </c>
      <c r="BP67" s="54" t="n">
        <f aca="false">SUM(BP60:BP66)</f>
        <v>2103.16491823061</v>
      </c>
      <c r="BQ67" s="54" t="n">
        <f aca="false">SUM(BQ60:BQ66)</f>
        <v>2126.27662062875</v>
      </c>
      <c r="BR67" s="54" t="n">
        <f aca="false">SUM(BR60:BR66)</f>
        <v>2118.43932556466</v>
      </c>
      <c r="BS67" s="54" t="n">
        <f aca="false">SUM(BS60:BS66)</f>
        <v>2083.72400104609</v>
      </c>
      <c r="BT67" s="54" t="n">
        <f aca="false">SUM(BT60:BT66)</f>
        <v>2106.87648994661</v>
      </c>
      <c r="BU67" s="54" t="n">
        <f aca="false">SUM(BU60:BU66)</f>
        <v>2130.02897884712</v>
      </c>
      <c r="BV67" s="54" t="n">
        <f aca="false">SUM(BV60:BV66)</f>
        <v>2122.14396507832</v>
      </c>
      <c r="BW67" s="54" t="n">
        <f aca="false">SUM(BW60:BW66)</f>
        <v>2087.1386994564</v>
      </c>
      <c r="BX67" s="54" t="n">
        <f aca="false">SUM(BX60:BX66)</f>
        <v>2110.32912945036</v>
      </c>
      <c r="BY67" s="54" t="n">
        <f aca="false">SUM(BY60:BY66)</f>
        <v>2133.51955944432</v>
      </c>
      <c r="BZ67" s="54" t="n">
        <f aca="false">SUM(BZ60:BZ66)</f>
        <v>2125.58670076292</v>
      </c>
      <c r="CA67" s="54" t="n">
        <f aca="false">SUM(CA60:CA66)</f>
        <v>2113.51417554238</v>
      </c>
      <c r="CB67" s="54" t="n">
        <f aca="false">SUM(CB60:CB66)</f>
        <v>2113.51417554238</v>
      </c>
      <c r="CC67" s="54" t="n">
        <f aca="false">SUM(CC60:CC66)</f>
        <v>2136.73960604285</v>
      </c>
      <c r="CD67" s="54" t="n">
        <f aca="false">SUM(CD60:CD66)</f>
        <v>2128.75877972158</v>
      </c>
      <c r="CE67" s="54" t="n">
        <f aca="false">SUM(CE60:CE66)</f>
        <v>2093.16534675948</v>
      </c>
      <c r="CF67" s="54" t="n">
        <f aca="false">SUM(CF60:CF66)</f>
        <v>2116.42273950125</v>
      </c>
      <c r="CG67" s="54" t="n">
        <f aca="false">SUM(CG60:CG66)</f>
        <v>2139.68013224302</v>
      </c>
      <c r="CH67" s="54" t="n">
        <f aca="false">SUM(CH60:CH66)</f>
        <v>2131.65121915558</v>
      </c>
      <c r="CI67" s="54" t="n">
        <f aca="false">SUM(CI60:CI66)</f>
        <v>2095.75948293971</v>
      </c>
      <c r="CJ67" s="54" t="n">
        <f aca="false">SUM(CJ60:CJ66)</f>
        <v>2119.04569941682</v>
      </c>
      <c r="CK67" s="54" t="n">
        <f aca="false">SUM(CK60:CK66)</f>
        <v>2142.33191589393</v>
      </c>
      <c r="CL67" s="54" t="n">
        <f aca="false">SUM(CL60:CL66)</f>
        <v>2134.25480063826</v>
      </c>
      <c r="CM67" s="54" t="n">
        <f aca="false">SUM(CM60:CM66)</f>
        <v>2098.06189554473</v>
      </c>
      <c r="CN67" s="54" t="n">
        <f aca="false">SUM(CN60:CN66)</f>
        <v>2121.37369438411</v>
      </c>
      <c r="CO67" s="54" t="n">
        <f aca="false">SUM(CO60:CO66)</f>
        <v>2144.6854932235</v>
      </c>
      <c r="CP67" s="54" t="n">
        <f aca="false">SUM(CP60:CP66)</f>
        <v>2136.56006424815</v>
      </c>
      <c r="CQ67" s="54" t="n">
        <f aca="false">SUM(CQ60:CQ66)</f>
        <v>2123.39711855437</v>
      </c>
      <c r="CR67" s="54" t="n">
        <f aca="false">SUM(CR60:CR66)</f>
        <v>2123.39711855437</v>
      </c>
      <c r="CS67" s="54" t="n">
        <f aca="false">SUM(CS60:CS66)</f>
        <v>2146.7311528242</v>
      </c>
      <c r="CT67" s="54" t="n">
        <f aca="false">SUM(CT60:CT66)</f>
        <v>2138.55730255765</v>
      </c>
      <c r="CU67" s="54" t="n">
        <f aca="false">SUM(CU60:CU66)</f>
        <v>2101.75330058878</v>
      </c>
      <c r="CV67" s="54" t="n">
        <f aca="false">SUM(CV60:CV66)</f>
        <v>2125.10611503976</v>
      </c>
      <c r="CW67" s="54" t="n">
        <f aca="false">SUM(CW60:CW66)</f>
        <v>2148.45892949075</v>
      </c>
      <c r="CX67" s="54" t="n">
        <f aca="false">SUM(CX60:CX66)</f>
        <v>2140.236554474</v>
      </c>
      <c r="CY67" s="54" t="n">
        <f aca="false">SUM(CY60:CY66)</f>
        <v>2103.12254143017</v>
      </c>
      <c r="CZ67" s="54" t="n">
        <f aca="false">SUM(CZ60:CZ66)</f>
        <v>2126.49056966828</v>
      </c>
      <c r="DA67" s="54" t="n">
        <f aca="false">SUM(DA60:DA66)</f>
        <v>2149.8585979064</v>
      </c>
      <c r="DB67" s="54" t="n">
        <f aca="false">SUM(DB60:DB66)</f>
        <v>2141.58759892869</v>
      </c>
      <c r="DC67" s="54" t="n">
        <f aca="false">SUM(DC60:DC66)</f>
        <v>2104.16054299608</v>
      </c>
      <c r="DD67" s="54" t="n">
        <f aca="false">SUM(DD60:DD66)</f>
        <v>2127.54010458493</v>
      </c>
      <c r="DE67" s="54" t="n">
        <f aca="false">SUM(DE60:DE66)</f>
        <v>2150.91966617377</v>
      </c>
      <c r="DF67" s="54" t="n">
        <f aca="false">SUM(DF60:DF66)</f>
        <v>2142.59994841167</v>
      </c>
      <c r="DG67" s="54" t="n">
        <f aca="false">SUM(DG60:DG66)</f>
        <v>2128.24407169563</v>
      </c>
      <c r="DH67" s="54" t="n">
        <f aca="false">SUM(DH60:DH66)</f>
        <v>2128.24407169563</v>
      </c>
      <c r="DI67" s="54" t="n">
        <f aca="false">SUM(DI60:DI66)</f>
        <v>2151.63136918679</v>
      </c>
      <c r="DJ67" s="54" t="n">
        <f aca="false">SUM(DJ60:DJ66)</f>
        <v>2143.26284234656</v>
      </c>
      <c r="DK67" s="54" t="n">
        <f aca="false">SUM(DK60:DK66)</f>
        <v>2105.20043006033</v>
      </c>
      <c r="DL67" s="54" t="n">
        <f aca="false">SUM(DL60:DL66)</f>
        <v>2128.59154594989</v>
      </c>
      <c r="DM67" s="54" t="n">
        <f aca="false">SUM(DM60:DM66)</f>
        <v>2151.98266183945</v>
      </c>
      <c r="DN67" s="54" t="n">
        <f aca="false">SUM(DN60:DN66)</f>
        <v>2143.56524030294</v>
      </c>
      <c r="DO67" s="54" t="n">
        <f aca="false">SUM(DO60:DO66)</f>
        <v>2105.18042484886</v>
      </c>
      <c r="DP67" s="54" t="n">
        <f aca="false">SUM(DP60:DP66)</f>
        <v>2128.57131845829</v>
      </c>
      <c r="DQ67" s="54" t="n">
        <f aca="false">SUM(DQ60:DQ66)</f>
        <v>2151.96221206772</v>
      </c>
      <c r="DR67" s="54" t="n">
        <f aca="false">SUM(DR60:DR66)</f>
        <v>2143.49581504175</v>
      </c>
      <c r="DS67" s="54" t="n">
        <f aca="false">SUM(DS60:DS66)</f>
        <v>2104.78538516113</v>
      </c>
      <c r="DT67" s="54" t="n">
        <f aca="false">SUM(DT60:DT66)</f>
        <v>2128.1718894407</v>
      </c>
      <c r="DU67" s="54" t="n">
        <f aca="false">SUM(DU60:DU66)</f>
        <v>2151.55839372027</v>
      </c>
      <c r="DV67" s="54" t="n">
        <f aca="false">SUM(DV60:DV66)</f>
        <v>2143.0429453896</v>
      </c>
      <c r="DW67" s="54" t="n">
        <f aca="false">SUM(DW60:DW66)</f>
        <v>2127.38146100118</v>
      </c>
      <c r="DX67" s="54" t="n">
        <f aca="false">SUM(DX60:DX66)</f>
        <v>2127.38146100118</v>
      </c>
      <c r="DY67" s="54" t="n">
        <f aca="false">SUM(DY60:DY66)</f>
        <v>2150.75927925394</v>
      </c>
      <c r="DZ67" s="54" t="n">
        <f aca="false">SUM(DZ60:DZ66)</f>
        <v>2142.19470893793</v>
      </c>
      <c r="EA67" s="54" t="n">
        <f aca="false">SUM(EA60:EA66)</f>
        <v>2102.82322720068</v>
      </c>
      <c r="EB67" s="54" t="n">
        <f aca="false">SUM(EB60:EB66)</f>
        <v>2126.18792972513</v>
      </c>
      <c r="EC67" s="54" t="n">
        <f aca="false">SUM(EC60:EC66)</f>
        <v>2149.55263224958</v>
      </c>
      <c r="ED67" s="54" t="n">
        <f aca="false">SUM(ED60:ED66)</f>
        <v>2140.93887456263</v>
      </c>
      <c r="EE67" s="54" t="n">
        <f aca="false">SUM(EE60:EE66)</f>
        <v>2101.23185844514</v>
      </c>
      <c r="EF67" s="54" t="n">
        <f aca="false">SUM(EF60:EF66)</f>
        <v>2124.57887909453</v>
      </c>
      <c r="EG67" s="54" t="n">
        <f aca="false">SUM(EG60:EG66)</f>
        <v>2147.92589974392</v>
      </c>
      <c r="EH67" s="54" t="n">
        <f aca="false">SUM(EH60:EH66)</f>
        <v>2139.26289475973</v>
      </c>
      <c r="EI67" s="54" t="n">
        <f aca="false">SUM(EI60:EI66)</f>
        <v>2099.2169390604</v>
      </c>
      <c r="EJ67" s="54" t="n">
        <f aca="false">SUM(EJ60:EJ66)</f>
        <v>2122.54157171663</v>
      </c>
      <c r="EK67" s="54" t="n">
        <f aca="false">SUM(EK60:EK66)</f>
        <v>2145.86620437286</v>
      </c>
      <c r="EL67" s="54" t="n">
        <f aca="false">SUM(EL60:EL66)</f>
        <v>2137.15389779266</v>
      </c>
      <c r="EM67" s="54" t="n">
        <f aca="false">SUM(EM60:EM66)</f>
        <v>2120.06294136157</v>
      </c>
      <c r="EN67" s="54" t="n">
        <f aca="false">SUM(EN60:EN66)</f>
        <v>2120.06294136157</v>
      </c>
      <c r="EO67" s="54" t="n">
        <f aca="false">SUM(EO60:EO66)</f>
        <v>2143.36033632159</v>
      </c>
    </row>
    <row r="69" customFormat="false" ht="15" hidden="false" customHeight="false" outlineLevel="0" collapsed="false">
      <c r="A69" s="9" t="s">
        <v>13</v>
      </c>
      <c r="B69" s="9"/>
      <c r="C69" s="9" t="s">
        <v>377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</row>
    <row r="70" customFormat="false" ht="15" hidden="false" customHeight="false" outlineLevel="0" collapsed="false">
      <c r="C70" s="0" t="s">
        <v>378</v>
      </c>
      <c r="D70" s="11" t="s">
        <v>33</v>
      </c>
      <c r="J70" s="55" t="n">
        <v>0</v>
      </c>
      <c r="K70" s="55" t="n">
        <v>0</v>
      </c>
      <c r="L70" s="55" t="n">
        <v>0</v>
      </c>
      <c r="M70" s="55" t="n">
        <v>0</v>
      </c>
      <c r="N70" s="55" t="n">
        <v>0</v>
      </c>
      <c r="O70" s="55" t="n">
        <v>0</v>
      </c>
      <c r="P70" s="55" t="n">
        <v>0</v>
      </c>
      <c r="Q70" s="55" t="n">
        <v>0</v>
      </c>
      <c r="R70" s="55" t="n">
        <v>0</v>
      </c>
      <c r="S70" s="55" t="n">
        <v>0</v>
      </c>
      <c r="T70" s="55" t="n">
        <v>0</v>
      </c>
      <c r="U70" s="55" t="n">
        <v>0</v>
      </c>
      <c r="V70" s="55" t="n">
        <v>0</v>
      </c>
      <c r="W70" s="55" t="n">
        <v>0</v>
      </c>
      <c r="X70" s="55" t="n">
        <v>0</v>
      </c>
      <c r="Y70" s="55" t="n">
        <v>0</v>
      </c>
      <c r="Z70" s="55" t="n">
        <v>-22.5957976393826</v>
      </c>
      <c r="AA70" s="55" t="n">
        <v>-22.337747792832</v>
      </c>
      <c r="AB70" s="55" t="n">
        <v>-23.1153055824615</v>
      </c>
      <c r="AC70" s="55" t="n">
        <v>-23.9018721795937</v>
      </c>
      <c r="AD70" s="55" t="n">
        <v>-23.8172995511971</v>
      </c>
      <c r="AE70" s="55" t="n">
        <v>-24.1123090754065</v>
      </c>
      <c r="AF70" s="55" t="n">
        <v>-24.3607156972201</v>
      </c>
      <c r="AG70" s="55" t="n">
        <v>-41.774109702307</v>
      </c>
      <c r="AH70" s="55" t="n">
        <v>-50.1722904311118</v>
      </c>
      <c r="AI70" s="55" t="n">
        <v>-49.6487109128827</v>
      </c>
      <c r="AJ70" s="55" t="n">
        <v>-53.1274182502914</v>
      </c>
      <c r="AK70" s="55" t="n">
        <v>-54.7836986475805</v>
      </c>
      <c r="AL70" s="55" t="n">
        <v>-54.6576992348416</v>
      </c>
      <c r="AM70" s="55" t="n">
        <v>-54.107648881903</v>
      </c>
      <c r="AN70" s="55" t="n">
        <v>-55.7792191439831</v>
      </c>
      <c r="AO70" s="55" t="n">
        <v>-57.4695220976541</v>
      </c>
      <c r="AP70" s="55" t="n">
        <v>-57.36828750156</v>
      </c>
      <c r="AQ70" s="55" t="n">
        <v>-56.8232853515084</v>
      </c>
      <c r="AR70" s="55" t="n">
        <v>-58.5295863615516</v>
      </c>
      <c r="AS70" s="55" t="n">
        <v>-60.2550020870422</v>
      </c>
      <c r="AT70" s="55" t="n">
        <v>-60.1798182560366</v>
      </c>
      <c r="AU70" s="55" t="n">
        <v>-60.7860954822438</v>
      </c>
      <c r="AV70" s="55" t="n">
        <v>-61.3955052867907</v>
      </c>
      <c r="AW70" s="55" t="n">
        <v>-63.157323576614</v>
      </c>
      <c r="AX70" s="55" t="n">
        <v>-63.1096856475348</v>
      </c>
      <c r="AY70" s="55" t="n">
        <v>-62.5782666425205</v>
      </c>
      <c r="AZ70" s="55" t="n">
        <v>-64.3576178657246</v>
      </c>
      <c r="BA70" s="55" t="n">
        <v>-66.1568944428141</v>
      </c>
      <c r="BB70" s="55" t="n">
        <v>-66.1380681157936</v>
      </c>
      <c r="BC70" s="55" t="n">
        <v>-65.6151571048545</v>
      </c>
      <c r="BD70" s="55" t="n">
        <v>-67.4327920727806</v>
      </c>
      <c r="BE70" s="55" t="n">
        <v>-69.270780672178</v>
      </c>
      <c r="BF70" s="55" t="n">
        <v>-69.2822396466102</v>
      </c>
      <c r="BG70" s="55" t="n">
        <v>-68.7691095872063</v>
      </c>
      <c r="BH70" s="55" t="n">
        <v>-70.6263250753222</v>
      </c>
      <c r="BI70" s="55" t="n">
        <v>-72.5043393229284</v>
      </c>
      <c r="BJ70" s="55" t="n">
        <v>-72.5476257331457</v>
      </c>
      <c r="BK70" s="55" t="n">
        <v>-73.2087458291496</v>
      </c>
      <c r="BL70" s="55" t="n">
        <v>-73.9562632185899</v>
      </c>
      <c r="BM70" s="55" t="n">
        <v>-75.8758286373806</v>
      </c>
      <c r="BN70" s="55" t="n">
        <v>-75.9527070820276</v>
      </c>
      <c r="BO70" s="55" t="n">
        <v>-75.463377032402</v>
      </c>
      <c r="BP70" s="55" t="n">
        <v>-77.4040496895056</v>
      </c>
      <c r="BQ70" s="55" t="n">
        <v>-79.3664669460841</v>
      </c>
      <c r="BR70" s="55" t="n">
        <v>-79.4784827393456</v>
      </c>
      <c r="BS70" s="55" t="n">
        <v>-79.0031679751798</v>
      </c>
      <c r="BT70" s="55" t="n">
        <v>-80.9877038798208</v>
      </c>
      <c r="BU70" s="55" t="n">
        <v>-82.9944850349807</v>
      </c>
      <c r="BV70" s="55" t="n">
        <v>-83.1434058818362</v>
      </c>
      <c r="BW70" s="55" t="n">
        <v>-82.683662889313</v>
      </c>
      <c r="BX70" s="55" t="n">
        <v>-84.7136265535024</v>
      </c>
      <c r="BY70" s="55" t="n">
        <v>-86.7663563616653</v>
      </c>
      <c r="BZ70" s="55" t="n">
        <v>-86.9540322285254</v>
      </c>
      <c r="CA70" s="55" t="n">
        <v>-87.6887815049646</v>
      </c>
      <c r="CB70" s="55" t="n">
        <v>-88.6011028819704</v>
      </c>
      <c r="CC70" s="55" t="n">
        <v>-90.7015924016001</v>
      </c>
      <c r="CD70" s="55" t="n">
        <v>-90.9301111907224</v>
      </c>
      <c r="CE70" s="55" t="n">
        <v>-90.50665693252</v>
      </c>
      <c r="CF70" s="55" t="n">
        <v>-92.6326301953889</v>
      </c>
      <c r="CG70" s="55" t="n">
        <v>-94.7824778230681</v>
      </c>
      <c r="CH70" s="55" t="n">
        <v>-95.0537214071511</v>
      </c>
      <c r="CI70" s="55" t="n">
        <v>-94.6510088257512</v>
      </c>
      <c r="CJ70" s="55" t="n">
        <v>-96.8275780982394</v>
      </c>
      <c r="CK70" s="55" t="n">
        <v>-99.0286093417504</v>
      </c>
      <c r="CL70" s="55" t="n">
        <v>-99.3446988265106</v>
      </c>
      <c r="CM70" s="55" t="n">
        <v>-98.9646268757804</v>
      </c>
      <c r="CN70" s="55" t="n">
        <v>-101.193681537739</v>
      </c>
      <c r="CO70" s="55" t="n">
        <v>-103.447810114544</v>
      </c>
      <c r="CP70" s="55" t="n">
        <v>-103.810965529339</v>
      </c>
      <c r="CQ70" s="55" t="n">
        <v>-104.64258806661</v>
      </c>
      <c r="CR70" s="55" t="n">
        <v>-105.751681046171</v>
      </c>
      <c r="CS70" s="55" t="n">
        <v>-108.06106392947</v>
      </c>
      <c r="CT70" s="55" t="n">
        <v>-108.473761378393</v>
      </c>
      <c r="CU70" s="55" t="n">
        <v>-106.987409806669</v>
      </c>
      <c r="CV70" s="55" t="n">
        <v>-108.176158804521</v>
      </c>
      <c r="CW70" s="55" t="n">
        <v>-109.364907802373</v>
      </c>
      <c r="CX70" s="55" t="n">
        <v>-108.624894050865</v>
      </c>
      <c r="CY70" s="55" t="n">
        <v>-107.110641482394</v>
      </c>
      <c r="CZ70" s="55" t="n">
        <v>-108.300759721087</v>
      </c>
      <c r="DA70" s="55" t="n">
        <v>-109.490877959781</v>
      </c>
      <c r="DB70" s="55" t="n">
        <v>-192.742883903582</v>
      </c>
      <c r="DC70" s="55" t="n">
        <v>-189.374448869647</v>
      </c>
      <c r="DD70" s="55" t="n">
        <v>-191.478609412643</v>
      </c>
      <c r="DE70" s="55" t="n">
        <v>-193.582769955639</v>
      </c>
      <c r="DF70" s="55" t="n">
        <v>-192.83399535705</v>
      </c>
      <c r="DG70" s="55" t="n">
        <v>-191.541966452606</v>
      </c>
      <c r="DH70" s="55" t="n">
        <v>-191.541966452606</v>
      </c>
      <c r="DI70" s="55" t="n">
        <v>-193.646823226811</v>
      </c>
      <c r="DJ70" s="55" t="n">
        <v>-192.89365581119</v>
      </c>
      <c r="DK70" s="55" t="n">
        <v>-189.46803870543</v>
      </c>
      <c r="DL70" s="55" t="n">
        <v>-191.57323913549</v>
      </c>
      <c r="DM70" s="55" t="n">
        <v>-193.67843956555</v>
      </c>
      <c r="DN70" s="55" t="n">
        <v>-192.920871627264</v>
      </c>
      <c r="DO70" s="55" t="n">
        <v>-189.466238236397</v>
      </c>
      <c r="DP70" s="55" t="n">
        <v>-191.571418661246</v>
      </c>
      <c r="DQ70" s="55" t="n">
        <v>-193.676599086094</v>
      </c>
      <c r="DR70" s="55" t="n">
        <v>-192.914623353757</v>
      </c>
      <c r="DS70" s="55" t="n">
        <v>-189.430684664501</v>
      </c>
      <c r="DT70" s="55" t="n">
        <v>-191.535470049663</v>
      </c>
      <c r="DU70" s="55" t="n">
        <v>-193.640255434824</v>
      </c>
      <c r="DV70" s="55" t="n">
        <v>-192.873865085063</v>
      </c>
      <c r="DW70" s="55" t="n">
        <v>-191.464331490105</v>
      </c>
      <c r="DX70" s="55" t="n">
        <v>-191.464331490105</v>
      </c>
      <c r="DY70" s="55" t="n">
        <v>-193.568335132854</v>
      </c>
      <c r="DZ70" s="55" t="n">
        <v>-192.797523804413</v>
      </c>
      <c r="EA70" s="55" t="n">
        <v>-189.254090448061</v>
      </c>
      <c r="EB70" s="55" t="n">
        <v>-191.356913675261</v>
      </c>
      <c r="EC70" s="55" t="n">
        <v>-193.459736902462</v>
      </c>
      <c r="ED70" s="55" t="n">
        <v>-192.684498710636</v>
      </c>
      <c r="EE70" s="55" t="n">
        <v>-189.110867260062</v>
      </c>
      <c r="EF70" s="55" t="n">
        <v>-191.212099118508</v>
      </c>
      <c r="EG70" s="55" t="n">
        <v>-193.313330976953</v>
      </c>
      <c r="EH70" s="55" t="n">
        <v>-192.533660528376</v>
      </c>
      <c r="EI70" s="55" t="n">
        <v>-188.929524515436</v>
      </c>
      <c r="EJ70" s="55" t="n">
        <v>-191.028741454496</v>
      </c>
      <c r="EK70" s="55" t="n">
        <v>-193.127958393557</v>
      </c>
      <c r="EL70" s="55" t="n">
        <v>-192.343850801338</v>
      </c>
      <c r="EM70" s="55" t="n">
        <v>-190.805664722541</v>
      </c>
      <c r="EN70" s="55" t="n">
        <v>-190.805664722541</v>
      </c>
      <c r="EO70" s="55" t="n">
        <v>-192.902430268943</v>
      </c>
    </row>
    <row r="71" customFormat="false" ht="15" hidden="false" customHeight="false" outlineLevel="0" collapsed="false">
      <c r="C71" s="0" t="s">
        <v>379</v>
      </c>
      <c r="D71" s="11" t="s">
        <v>33</v>
      </c>
      <c r="I71" s="43" t="n">
        <f aca="false">SUM(J71:EO71)</f>
        <v>239514.757071042</v>
      </c>
      <c r="J71" s="43" t="n">
        <f aca="false">(J67+J46+J70)*(J$4&gt;In_COD)</f>
        <v>-0</v>
      </c>
      <c r="K71" s="43" t="n">
        <f aca="false">(K67+K46+K70)*(K$4&gt;In_COD)</f>
        <v>-0</v>
      </c>
      <c r="L71" s="43" t="n">
        <f aca="false">(L67+L46+L70)*(L$4&gt;In_COD)</f>
        <v>-0</v>
      </c>
      <c r="M71" s="43" t="n">
        <f aca="false">(M67+M46+M70)*(M$4&gt;In_COD)</f>
        <v>-0</v>
      </c>
      <c r="N71" s="43" t="n">
        <f aca="false">(N67+N46+N70)*(N$4&gt;In_COD)</f>
        <v>-0</v>
      </c>
      <c r="O71" s="43" t="n">
        <f aca="false">(O67+O46+O70)*(O$4&gt;In_COD)</f>
        <v>-0</v>
      </c>
      <c r="P71" s="43" t="n">
        <f aca="false">(P67+P46+P70)*(P$4&gt;In_COD)</f>
        <v>-0</v>
      </c>
      <c r="Q71" s="43" t="n">
        <f aca="false">(Q67+Q46+Q70)*(Q$4&gt;In_COD)</f>
        <v>-0</v>
      </c>
      <c r="R71" s="43" t="n">
        <f aca="false">(R67+R46+R70)*(R$4&gt;In_COD)</f>
        <v>-0</v>
      </c>
      <c r="S71" s="43" t="n">
        <f aca="false">(S67+S46+S70)*(S$4&gt;In_COD)</f>
        <v>-0</v>
      </c>
      <c r="T71" s="43" t="n">
        <f aca="false">(T67+T46+T70)*(T$4&gt;In_COD)</f>
        <v>-0</v>
      </c>
      <c r="U71" s="43" t="n">
        <f aca="false">(U67+U46+U70)*(U$4&gt;In_COD)</f>
        <v>-0</v>
      </c>
      <c r="V71" s="43" t="n">
        <f aca="false">(V67+V46+V70)*(V$4&gt;In_COD)</f>
        <v>-0</v>
      </c>
      <c r="W71" s="43" t="n">
        <f aca="false">(W67+W46+W70)*(W$4&gt;In_COD)</f>
        <v>-0</v>
      </c>
      <c r="X71" s="43" t="n">
        <f aca="false">(X67+X46+X70)*(X$4&gt;In_COD)</f>
        <v>-0</v>
      </c>
      <c r="Y71" s="43" t="n">
        <f aca="false">(Y67+Y46+Y70)*(Y$4&gt;In_COD)</f>
        <v>-0</v>
      </c>
      <c r="Z71" s="43" t="n">
        <f aca="false">(Z67+Z46+Z70)*(Z$4&gt;In_COD)</f>
        <v>2019.06858358486</v>
      </c>
      <c r="AA71" s="43" t="n">
        <f aca="false">(AA67+AA46+AA70)*(AA$4&gt;In_COD)</f>
        <v>1988.08657939872</v>
      </c>
      <c r="AB71" s="43" t="n">
        <f aca="false">(AB67+AB46+AB70)*(AB$4&gt;In_COD)</f>
        <v>2009.647069689</v>
      </c>
      <c r="AC71" s="43" t="n">
        <f aca="false">(AC67+AC46+AC70)*(AC$4&gt;In_COD)</f>
        <v>2031.19855117177</v>
      </c>
      <c r="AD71" s="43" t="n">
        <f aca="false">(AD67+AD46+AD70)*(AD$4&gt;In_COD)</f>
        <v>2023.91538909045</v>
      </c>
      <c r="AE71" s="43" t="n">
        <f aca="false">(AE67+AE46+AE70)*(AE$4&gt;In_COD)</f>
        <v>2014.52086000914</v>
      </c>
      <c r="AF71" s="43" t="n">
        <f aca="false">(AF67+AF46+AF70)*(AF$4&gt;In_COD)</f>
        <v>2014.27245338733</v>
      </c>
      <c r="AG71" s="43" t="n">
        <f aca="false">(AG67+AG46+AG70)*(AG$4&gt;In_COD)</f>
        <v>2019.26162167987</v>
      </c>
      <c r="AH71" s="43" t="n">
        <f aca="false">(AH67+AH46+AH70)*(AH$4&gt;In_COD)</f>
        <v>2003.44941655013</v>
      </c>
      <c r="AI71" s="43" t="n">
        <f aca="false">(AI67+AI46+AI70)*(AI$4&gt;In_COD)</f>
        <v>1972.20651348595</v>
      </c>
      <c r="AJ71" s="43" t="n">
        <f aca="false">(AJ67+AJ46+AJ70)*(AJ$4&gt;In_COD)</f>
        <v>2011.99188840459</v>
      </c>
      <c r="AK71" s="43" t="n">
        <f aca="false">(AK67+AK46+AK70)*(AK$4&gt;In_COD)</f>
        <v>2033.02922676175</v>
      </c>
      <c r="AL71" s="43" t="n">
        <f aca="false">(AL67+AL46+AL70)*(AL$4&gt;In_COD)</f>
        <v>2025.6947570849</v>
      </c>
      <c r="AM71" s="43" t="n">
        <f aca="false">(AM67+AM46+AM70)*(AM$4&gt;In_COD)</f>
        <v>1993.75439866168</v>
      </c>
      <c r="AN71" s="43" t="n">
        <f aca="false">(AN67+AN46+AN70)*(AN$4&gt;In_COD)</f>
        <v>2014.83685115008</v>
      </c>
      <c r="AO71" s="43" t="n">
        <f aca="false">(AO67+AO46+AO70)*(AO$4&gt;In_COD)</f>
        <v>2035.9005709469</v>
      </c>
      <c r="AP71" s="43" t="n">
        <f aca="false">(AP67+AP46+AP70)*(AP$4&gt;In_COD)</f>
        <v>2028.49473919267</v>
      </c>
      <c r="AQ71" s="43" t="n">
        <f aca="false">(AQ67+AQ46+AQ70)*(AQ$4&gt;In_COD)</f>
        <v>1996.28009201108</v>
      </c>
      <c r="AR71" s="43" t="n">
        <f aca="false">(AR67+AR46+AR70)*(AR$4&gt;In_COD)</f>
        <v>2017.38605074951</v>
      </c>
      <c r="AS71" s="43" t="n">
        <f aca="false">(AS67+AS46+AS70)*(AS$4&gt;In_COD)</f>
        <v>2038.4728947725</v>
      </c>
      <c r="AT71" s="43" t="n">
        <f aca="false">(AT67+AT46+AT70)*(AT$4&gt;In_COD)</f>
        <v>2030.99426493995</v>
      </c>
      <c r="AU71" s="43" t="n">
        <f aca="false">(AU67+AU46+AU70)*(AU$4&gt;In_COD)</f>
        <v>2020.2248822573</v>
      </c>
      <c r="AV71" s="43" t="n">
        <f aca="false">(AV67+AV46+AV70)*(AV$4&gt;In_COD)</f>
        <v>2019.61547245276</v>
      </c>
      <c r="AW71" s="43" t="n">
        <f aca="false">(AW67+AW46+AW70)*(AW$4&gt;In_COD)</f>
        <v>2040.72190666557</v>
      </c>
      <c r="AX71" s="43" t="n">
        <f aca="false">(AX67+AX46+AX70)*(AX$4&gt;In_COD)</f>
        <v>2033.16883618163</v>
      </c>
      <c r="AY71" s="43" t="n">
        <f aca="false">(AY67+AY46+AY70)*(AY$4&gt;In_COD)</f>
        <v>2000.394687635</v>
      </c>
      <c r="AZ71" s="43" t="n">
        <f aca="false">(AZ67+AZ46+AZ70)*(AZ$4&gt;In_COD)</f>
        <v>2021.53725812599</v>
      </c>
      <c r="BA71" s="43" t="n">
        <f aca="false">(BA67+BA46+BA70)*(BA$4&gt;In_COD)</f>
        <v>2042.6599032631</v>
      </c>
      <c r="BB71" s="43" t="n">
        <f aca="false">(BB67+BB46+BB70)*(BB$4&gt;In_COD)</f>
        <v>2035.03098170665</v>
      </c>
      <c r="BC71" s="43" t="n">
        <f aca="false">(BC67+BC46+BC70)*(BC$4&gt;In_COD)</f>
        <v>2001.97158110791</v>
      </c>
      <c r="BD71" s="43" t="n">
        <f aca="false">(BD67+BD46+BD70)*(BD$4&gt;In_COD)</f>
        <v>2023.12713212013</v>
      </c>
      <c r="BE71" s="43" t="n">
        <f aca="false">(BE67+BE46+BE70)*(BE$4&gt;In_COD)</f>
        <v>2044.26232950087</v>
      </c>
      <c r="BF71" s="43" t="n">
        <f aca="false">(BF67+BF46+BF70)*(BF$4&gt;In_COD)</f>
        <v>2036.55594126831</v>
      </c>
      <c r="BG71" s="43" t="n">
        <f aca="false">(BG67+BG46+BG70)*(BG$4&gt;In_COD)</f>
        <v>2003.20744707352</v>
      </c>
      <c r="BH71" s="43" t="n">
        <f aca="false">(BH67+BH46+BH70)*(BH$4&gt;In_COD)</f>
        <v>2024.37219332608</v>
      </c>
      <c r="BI71" s="43" t="n">
        <f aca="false">(BI67+BI46+BI70)*(BI$4&gt;In_COD)</f>
        <v>2045.51614081915</v>
      </c>
      <c r="BJ71" s="43" t="n">
        <f aca="false">(BJ67+BJ46+BJ70)*(BJ$4&gt;In_COD)</f>
        <v>2037.7306047927</v>
      </c>
      <c r="BK71" s="43" t="n">
        <f aca="false">(BK67+BK46+BK70)*(BK$4&gt;In_COD)</f>
        <v>2025.99410768143</v>
      </c>
      <c r="BL71" s="43" t="n">
        <f aca="false">(BL67+BL46+BL70)*(BL$4&gt;In_COD)</f>
        <v>2025.24659029199</v>
      </c>
      <c r="BM71" s="43" t="n">
        <f aca="false">(BM67+BM46+BM70)*(BM$4&gt;In_COD)</f>
        <v>2046.39518809859</v>
      </c>
      <c r="BN71" s="43" t="n">
        <f aca="false">(BN67+BN46+BN70)*(BN$4&gt;In_COD)</f>
        <v>2038.52860372354</v>
      </c>
      <c r="BO71" s="43" t="n">
        <f aca="false">(BO67+BO46+BO70)*(BO$4&gt;In_COD)</f>
        <v>2004.58983880007</v>
      </c>
      <c r="BP71" s="43" t="n">
        <f aca="false">(BP67+BP46+BP70)*(BP$4&gt;In_COD)</f>
        <v>2025.7608685411</v>
      </c>
      <c r="BQ71" s="43" t="n">
        <f aca="false">(BQ67+BQ46+BQ70)*(BQ$4&gt;In_COD)</f>
        <v>2046.91015368266</v>
      </c>
      <c r="BR71" s="43" t="n">
        <f aca="false">(BR67+BR46+BR70)*(BR$4&gt;In_COD)</f>
        <v>2038.96084282531</v>
      </c>
      <c r="BS71" s="43" t="n">
        <f aca="false">(BS67+BS46+BS70)*(BS$4&gt;In_COD)</f>
        <v>2004.72083307091</v>
      </c>
      <c r="BT71" s="43" t="n">
        <f aca="false">(BT67+BT46+BT70)*(BT$4&gt;In_COD)</f>
        <v>2025.88878606679</v>
      </c>
      <c r="BU71" s="43" t="n">
        <f aca="false">(BU67+BU46+BU70)*(BU$4&gt;In_COD)</f>
        <v>2047.03449381214</v>
      </c>
      <c r="BV71" s="43" t="n">
        <f aca="false">(BV67+BV46+BV70)*(BV$4&gt;In_COD)</f>
        <v>2039.00055919649</v>
      </c>
      <c r="BW71" s="43" t="n">
        <f aca="false">(BW67+BW46+BW70)*(BW$4&gt;In_COD)</f>
        <v>2004.45503656708</v>
      </c>
      <c r="BX71" s="43" t="n">
        <f aca="false">(BX67+BX46+BX70)*(BX$4&gt;In_COD)</f>
        <v>2025.61550289685</v>
      </c>
      <c r="BY71" s="43" t="n">
        <f aca="false">(BY67+BY46+BY70)*(BY$4&gt;In_COD)</f>
        <v>2046.75320308265</v>
      </c>
      <c r="BZ71" s="43" t="n">
        <f aca="false">(BZ67+BZ46+BZ70)*(BZ$4&gt;In_COD)</f>
        <v>2038.6326685344</v>
      </c>
      <c r="CA71" s="43" t="n">
        <f aca="false">(CA67+CA46+CA70)*(CA$4&gt;In_COD)</f>
        <v>2025.82539403742</v>
      </c>
      <c r="CB71" s="43" t="n">
        <f aca="false">(CB67+CB46+CB70)*(CB$4&gt;In_COD)</f>
        <v>2024.91307266041</v>
      </c>
      <c r="CC71" s="43" t="n">
        <f aca="false">(CC67+CC46+CC70)*(CC$4&gt;In_COD)</f>
        <v>2046.03801364125</v>
      </c>
      <c r="CD71" s="43" t="n">
        <f aca="false">(CD67+CD46+CD70)*(CD$4&gt;In_COD)</f>
        <v>2037.82866853086</v>
      </c>
      <c r="CE71" s="43" t="n">
        <f aca="false">(CE67+CE46+CE70)*(CE$4&gt;In_COD)</f>
        <v>2002.65868982696</v>
      </c>
      <c r="CF71" s="43" t="n">
        <f aca="false">(CF67+CF46+CF70)*(CF$4&gt;In_COD)</f>
        <v>2023.79010930586</v>
      </c>
      <c r="CG71" s="43" t="n">
        <f aca="false">(CG67+CG46+CG70)*(CG$4&gt;In_COD)</f>
        <v>2044.89765441995</v>
      </c>
      <c r="CH71" s="43" t="n">
        <f aca="false">(CH67+CH46+CH70)*(CH$4&gt;In_COD)</f>
        <v>2036.59749774842</v>
      </c>
      <c r="CI71" s="43" t="n">
        <f aca="false">(CI67+CI46+CI70)*(CI$4&gt;In_COD)</f>
        <v>2001.10847411396</v>
      </c>
      <c r="CJ71" s="43" t="n">
        <f aca="false">(CJ67+CJ46+CJ70)*(CJ$4&gt;In_COD)</f>
        <v>2022.21812131858</v>
      </c>
      <c r="CK71" s="43" t="n">
        <f aca="false">(CK67+CK46+CK70)*(CK$4&gt;In_COD)</f>
        <v>2043.30330655218</v>
      </c>
      <c r="CL71" s="43" t="n">
        <f aca="false">(CL67+CL46+CL70)*(CL$4&gt;In_COD)</f>
        <v>2034.91010181175</v>
      </c>
      <c r="CM71" s="43" t="n">
        <f aca="false">(CM67+CM46+CM70)*(CM$4&gt;In_COD)</f>
        <v>1999.09726866895</v>
      </c>
      <c r="CN71" s="43" t="n">
        <f aca="false">(CN67+CN46+CN70)*(CN$4&gt;In_COD)</f>
        <v>2020.18001284638</v>
      </c>
      <c r="CO71" s="43" t="n">
        <f aca="false">(CO67+CO46+CO70)*(CO$4&gt;In_COD)</f>
        <v>2041.23768310896</v>
      </c>
      <c r="CP71" s="43" t="n">
        <f aca="false">(CP67+CP46+CP70)*(CP$4&gt;In_COD)</f>
        <v>2032.74909871881</v>
      </c>
      <c r="CQ71" s="43" t="n">
        <f aca="false">(CQ67+CQ46+CQ70)*(CQ$4&gt;In_COD)</f>
        <v>2018.75453048776</v>
      </c>
      <c r="CR71" s="43" t="n">
        <f aca="false">(CR67+CR46+CR70)*(CR$4&gt;In_COD)</f>
        <v>2017.6454375082</v>
      </c>
      <c r="CS71" s="43" t="n">
        <f aca="false">(CS67+CS46+CS70)*(CS$4&gt;In_COD)</f>
        <v>2038.67008889473</v>
      </c>
      <c r="CT71" s="43" t="n">
        <f aca="false">(CT67+CT46+CT70)*(CT$4&gt;In_COD)</f>
        <v>2030.08354117925</v>
      </c>
      <c r="CU71" s="43" t="n">
        <f aca="false">(CU67+CU46+CU70)*(CU$4&gt;In_COD)</f>
        <v>1994.76589078211</v>
      </c>
      <c r="CV71" s="43" t="n">
        <f aca="false">(CV67+CV46+CV70)*(CV$4&gt;In_COD)</f>
        <v>2016.92995623524</v>
      </c>
      <c r="CW71" s="43" t="n">
        <f aca="false">(CW67+CW46+CW70)*(CW$4&gt;In_COD)</f>
        <v>2039.09402168838</v>
      </c>
      <c r="CX71" s="43" t="n">
        <f aca="false">(CX67+CX46+CX70)*(CX$4&gt;In_COD)</f>
        <v>2031.61166042314</v>
      </c>
      <c r="CY71" s="43" t="n">
        <f aca="false">(CY67+CY46+CY70)*(CY$4&gt;In_COD)</f>
        <v>1996.01189994778</v>
      </c>
      <c r="CZ71" s="43" t="n">
        <f aca="false">(CZ67+CZ46+CZ70)*(CZ$4&gt;In_COD)</f>
        <v>2018.1898099472</v>
      </c>
      <c r="DA71" s="43" t="n">
        <f aca="false">(DA67+DA46+DA70)*(DA$4&gt;In_COD)</f>
        <v>2040.36771994662</v>
      </c>
      <c r="DB71" s="43" t="n">
        <f aca="false">(DB67+DB46+DB70)*(DB$4&gt;In_COD)</f>
        <v>1948.84471502511</v>
      </c>
      <c r="DC71" s="43" t="n">
        <f aca="false">(DC67+DC46+DC70)*(DC$4&gt;In_COD)</f>
        <v>1914.78609412644</v>
      </c>
      <c r="DD71" s="43" t="n">
        <f aca="false">(DD67+DD46+DD70)*(DD$4&gt;In_COD)</f>
        <v>1936.06149517229</v>
      </c>
      <c r="DE71" s="43" t="n">
        <f aca="false">(DE67+DE46+DE70)*(DE$4&gt;In_COD)</f>
        <v>1957.33689621814</v>
      </c>
      <c r="DF71" s="43" t="n">
        <f aca="false">(DF67+DF46+DF70)*(DF$4&gt;In_COD)</f>
        <v>1949.76595305462</v>
      </c>
      <c r="DG71" s="43" t="n">
        <f aca="false">(DG67+DG46+DG70)*(DG$4&gt;In_COD)</f>
        <v>1936.70210524302</v>
      </c>
      <c r="DH71" s="43" t="n">
        <f aca="false">(DH67+DH46+DH70)*(DH$4&gt;In_COD)</f>
        <v>1936.70210524302</v>
      </c>
      <c r="DI71" s="43" t="n">
        <f aca="false">(DI67+DI46+DI70)*(DI$4&gt;In_COD)</f>
        <v>1957.98454595998</v>
      </c>
      <c r="DJ71" s="43" t="n">
        <f aca="false">(DJ67+DJ46+DJ70)*(DJ$4&gt;In_COD)</f>
        <v>1950.36918653537</v>
      </c>
      <c r="DK71" s="43" t="n">
        <f aca="false">(DK67+DK46+DK70)*(DK$4&gt;In_COD)</f>
        <v>1915.7323913549</v>
      </c>
      <c r="DL71" s="43" t="n">
        <f aca="false">(DL67+DL46+DL70)*(DL$4&gt;In_COD)</f>
        <v>1937.0183068144</v>
      </c>
      <c r="DM71" s="43" t="n">
        <f aca="false">(DM67+DM46+DM70)*(DM$4&gt;In_COD)</f>
        <v>1958.3042222739</v>
      </c>
      <c r="DN71" s="43" t="n">
        <f aca="false">(DN67+DN46+DN70)*(DN$4&gt;In_COD)</f>
        <v>1950.64436867568</v>
      </c>
      <c r="DO71" s="43" t="n">
        <f aca="false">(DO67+DO46+DO70)*(DO$4&gt;In_COD)</f>
        <v>1915.71418661246</v>
      </c>
      <c r="DP71" s="43" t="n">
        <f aca="false">(DP67+DP46+DP70)*(DP$4&gt;In_COD)</f>
        <v>1936.99989979704</v>
      </c>
      <c r="DQ71" s="43" t="n">
        <f aca="false">(DQ67+DQ46+DQ70)*(DQ$4&gt;In_COD)</f>
        <v>1958.28561298162</v>
      </c>
      <c r="DR71" s="43" t="n">
        <f aca="false">(DR67+DR46+DR70)*(DR$4&gt;In_COD)</f>
        <v>1950.58119168799</v>
      </c>
      <c r="DS71" s="43" t="n">
        <f aca="false">(DS67+DS46+DS70)*(DS$4&gt;In_COD)</f>
        <v>1915.35470049663</v>
      </c>
      <c r="DT71" s="43" t="n">
        <f aca="false">(DT67+DT46+DT70)*(DT$4&gt;In_COD)</f>
        <v>1936.63641939104</v>
      </c>
      <c r="DU71" s="43" t="n">
        <f aca="false">(DU67+DU46+DU70)*(DU$4&gt;In_COD)</f>
        <v>1957.91813828544</v>
      </c>
      <c r="DV71" s="43" t="n">
        <f aca="false">(DV67+DV46+DV70)*(DV$4&gt;In_COD)</f>
        <v>1950.16908030453</v>
      </c>
      <c r="DW71" s="43" t="n">
        <f aca="false">(DW67+DW46+DW70)*(DW$4&gt;In_COD)</f>
        <v>1935.91712951107</v>
      </c>
      <c r="DX71" s="43" t="n">
        <f aca="false">(DX67+DX46+DX70)*(DX$4&gt;In_COD)</f>
        <v>1935.91712951107</v>
      </c>
      <c r="DY71" s="43" t="n">
        <f aca="false">(DY67+DY46+DY70)*(DY$4&gt;In_COD)</f>
        <v>1957.19094412108</v>
      </c>
      <c r="DZ71" s="43" t="n">
        <f aca="false">(DZ67+DZ46+DZ70)*(DZ$4&gt;In_COD)</f>
        <v>1949.39718513351</v>
      </c>
      <c r="EA71" s="43" t="n">
        <f aca="false">(EA67+EA46+EA70)*(EA$4&gt;In_COD)</f>
        <v>1913.56913675262</v>
      </c>
      <c r="EB71" s="43" t="n">
        <f aca="false">(EB67+EB46+EB70)*(EB$4&gt;In_COD)</f>
        <v>1934.83101604987</v>
      </c>
      <c r="EC71" s="43" t="n">
        <f aca="false">(EC67+EC46+EC70)*(EC$4&gt;In_COD)</f>
        <v>1956.09289534712</v>
      </c>
      <c r="ED71" s="43" t="n">
        <f aca="false">(ED67+ED46+ED70)*(ED$4&gt;In_COD)</f>
        <v>1948.25437585199</v>
      </c>
      <c r="EE71" s="43" t="n">
        <f aca="false">(EE67+EE46+EE70)*(EE$4&gt;In_COD)</f>
        <v>1912.12099118508</v>
      </c>
      <c r="EF71" s="43" t="n">
        <f aca="false">(EF67+EF46+EF70)*(EF$4&gt;In_COD)</f>
        <v>1933.36677997603</v>
      </c>
      <c r="EG71" s="43" t="n">
        <f aca="false">(EG67+EG46+EG70)*(EG$4&gt;In_COD)</f>
        <v>1954.61256876697</v>
      </c>
      <c r="EH71" s="43" t="n">
        <f aca="false">(EH67+EH46+EH70)*(EH$4&gt;In_COD)</f>
        <v>1946.72923423136</v>
      </c>
      <c r="EI71" s="43" t="n">
        <f aca="false">(EI67+EI46+EI70)*(EI$4&gt;In_COD)</f>
        <v>1910.28741454497</v>
      </c>
      <c r="EJ71" s="43" t="n">
        <f aca="false">(EJ67+EJ46+EJ70)*(EJ$4&gt;In_COD)</f>
        <v>1931.51283026213</v>
      </c>
      <c r="EK71" s="43" t="n">
        <f aca="false">(EK67+EK46+EK70)*(EK$4&gt;In_COD)</f>
        <v>1952.7382459793</v>
      </c>
      <c r="EL71" s="43" t="n">
        <f aca="false">(EL67+EL46+EL70)*(EL$4&gt;In_COD)</f>
        <v>1944.81004699132</v>
      </c>
      <c r="EM71" s="43" t="n">
        <f aca="false">(EM67+EM46+EM70)*(EM$4&gt;In_COD)</f>
        <v>1929.25727663903</v>
      </c>
      <c r="EN71" s="43" t="n">
        <f aca="false">(EN67+EN46+EN70)*(EN$4&gt;In_COD)</f>
        <v>1929.25727663903</v>
      </c>
      <c r="EO71" s="43" t="n">
        <f aca="false">(EO67+EO46+EO70)*(EO$4&gt;In_COD)</f>
        <v>1950.45790605265</v>
      </c>
    </row>
    <row r="72" customFormat="false" ht="15" hidden="false" customHeight="false" outlineLevel="0" collapsed="false">
      <c r="C72" s="0" t="s">
        <v>380</v>
      </c>
      <c r="D72" s="11" t="s">
        <v>33</v>
      </c>
      <c r="E72" s="43" t="n">
        <f aca="false">SUMPRODUCT($J72:$EO72/$J21:$EO21)*$E21</f>
        <v>79723.6901170473</v>
      </c>
      <c r="I72" s="43" t="n">
        <f aca="false">SUM(J72:EO72)</f>
        <v>121457.892143411</v>
      </c>
      <c r="J72" s="43" t="n">
        <f aca="false">J71/In_DSCR*J17</f>
        <v>-0</v>
      </c>
      <c r="K72" s="43" t="n">
        <f aca="false">K71/In_DSCR*K17</f>
        <v>-0</v>
      </c>
      <c r="L72" s="43" t="n">
        <f aca="false">L71/In_DSCR*L17</f>
        <v>-0</v>
      </c>
      <c r="M72" s="43" t="n">
        <f aca="false">M71/In_DSCR*M17</f>
        <v>-0</v>
      </c>
      <c r="N72" s="43" t="n">
        <f aca="false">N71/In_DSCR*N17</f>
        <v>-0</v>
      </c>
      <c r="O72" s="43" t="n">
        <f aca="false">O71/In_DSCR*O17</f>
        <v>-0</v>
      </c>
      <c r="P72" s="43" t="n">
        <f aca="false">P71/In_DSCR*P17</f>
        <v>-0</v>
      </c>
      <c r="Q72" s="43" t="n">
        <f aca="false">Q71/In_DSCR*Q17</f>
        <v>-0</v>
      </c>
      <c r="R72" s="43" t="n">
        <f aca="false">R71/In_DSCR*R17</f>
        <v>-0</v>
      </c>
      <c r="S72" s="43" t="n">
        <f aca="false">S71/In_DSCR*S17</f>
        <v>-0</v>
      </c>
      <c r="T72" s="43" t="n">
        <f aca="false">T71/In_DSCR*T17</f>
        <v>-0</v>
      </c>
      <c r="U72" s="43" t="n">
        <f aca="false">U71/In_DSCR*U17</f>
        <v>-0</v>
      </c>
      <c r="V72" s="43" t="n">
        <f aca="false">V71/In_DSCR*V17</f>
        <v>-0</v>
      </c>
      <c r="W72" s="43" t="n">
        <f aca="false">W71/In_DSCR*W17</f>
        <v>-0</v>
      </c>
      <c r="X72" s="43" t="n">
        <f aca="false">X71/In_DSCR*X17</f>
        <v>-0</v>
      </c>
      <c r="Y72" s="43" t="n">
        <f aca="false">Y71/In_DSCR*Y17</f>
        <v>-0</v>
      </c>
      <c r="Z72" s="43" t="n">
        <f aca="false">Z71/In_DSCR*Z17</f>
        <v>1682.55715298739</v>
      </c>
      <c r="AA72" s="43" t="n">
        <f aca="false">AA71/In_DSCR*AA17</f>
        <v>1656.7388161656</v>
      </c>
      <c r="AB72" s="43" t="n">
        <f aca="false">AB71/In_DSCR*AB17</f>
        <v>1674.7058914075</v>
      </c>
      <c r="AC72" s="43" t="n">
        <f aca="false">AC71/In_DSCR*AC17</f>
        <v>1692.66545930981</v>
      </c>
      <c r="AD72" s="43" t="n">
        <f aca="false">AD71/In_DSCR*AD17</f>
        <v>1686.59615757537</v>
      </c>
      <c r="AE72" s="43" t="n">
        <f aca="false">AE71/In_DSCR*AE17</f>
        <v>1678.76738334095</v>
      </c>
      <c r="AF72" s="43" t="n">
        <f aca="false">AF71/In_DSCR*AF17</f>
        <v>1678.56037782277</v>
      </c>
      <c r="AG72" s="43" t="n">
        <f aca="false">AG71/In_DSCR*AG17</f>
        <v>1682.71801806656</v>
      </c>
      <c r="AH72" s="43" t="n">
        <f aca="false">AH71/In_DSCR*AH17</f>
        <v>1669.54118045844</v>
      </c>
      <c r="AI72" s="43" t="n">
        <f aca="false">AI71/In_DSCR*AI17</f>
        <v>1643.50542790496</v>
      </c>
      <c r="AJ72" s="43" t="n">
        <f aca="false">AJ71/In_DSCR*AJ17</f>
        <v>1676.65990700382</v>
      </c>
      <c r="AK72" s="43" t="n">
        <f aca="false">AK71/In_DSCR*AK17</f>
        <v>1694.19102230146</v>
      </c>
      <c r="AL72" s="43" t="n">
        <f aca="false">AL71/In_DSCR*AL17</f>
        <v>1688.07896423742</v>
      </c>
      <c r="AM72" s="43" t="n">
        <f aca="false">AM71/In_DSCR*AM17</f>
        <v>1661.46199888473</v>
      </c>
      <c r="AN72" s="43" t="n">
        <f aca="false">AN71/In_DSCR*AN17</f>
        <v>1679.03070929173</v>
      </c>
      <c r="AO72" s="43" t="n">
        <f aca="false">AO71/In_DSCR*AO17</f>
        <v>1696.58380912241</v>
      </c>
      <c r="AP72" s="43" t="n">
        <f aca="false">AP71/In_DSCR*AP17</f>
        <v>1690.41228266055</v>
      </c>
      <c r="AQ72" s="43" t="n">
        <f aca="false">AQ71/In_DSCR*AQ17</f>
        <v>1663.56674334257</v>
      </c>
      <c r="AR72" s="43" t="n">
        <f aca="false">AR71/In_DSCR*AR17</f>
        <v>1681.15504229126</v>
      </c>
      <c r="AS72" s="43" t="n">
        <f aca="false">AS71/In_DSCR*AS17</f>
        <v>1698.72741231041</v>
      </c>
      <c r="AT72" s="43" t="n">
        <f aca="false">AT71/In_DSCR*AT17</f>
        <v>1692.49522078329</v>
      </c>
      <c r="AU72" s="43" t="n">
        <f aca="false">AU71/In_DSCR*AU17</f>
        <v>1683.52073521442</v>
      </c>
      <c r="AV72" s="43" t="n">
        <f aca="false">AV71/In_DSCR*AV17</f>
        <v>1683.01289371063</v>
      </c>
      <c r="AW72" s="43" t="n">
        <f aca="false">AW71/In_DSCR*AW17</f>
        <v>1700.60158888797</v>
      </c>
      <c r="AX72" s="43" t="n">
        <f aca="false">AX71/In_DSCR*AX17</f>
        <v>1694.30736348469</v>
      </c>
      <c r="AY72" s="43" t="n">
        <f aca="false">AY71/In_DSCR*AY17</f>
        <v>1666.99557302917</v>
      </c>
      <c r="AZ72" s="43" t="n">
        <f aca="false">AZ71/In_DSCR*AZ17</f>
        <v>1684.61438177166</v>
      </c>
      <c r="BA72" s="43" t="n">
        <f aca="false">BA71/In_DSCR*BA17</f>
        <v>1702.21658605258</v>
      </c>
      <c r="BB72" s="43" t="n">
        <f aca="false">BB71/In_DSCR*BB17</f>
        <v>1695.85915142221</v>
      </c>
      <c r="BC72" s="43" t="n">
        <f aca="false">BC71/In_DSCR*BC17</f>
        <v>1668.30965092326</v>
      </c>
      <c r="BD72" s="43" t="n">
        <f aca="false">BD71/In_DSCR*BD17</f>
        <v>1685.93927676677</v>
      </c>
      <c r="BE72" s="43" t="n">
        <f aca="false">BE71/In_DSCR*BE17</f>
        <v>1703.55194125073</v>
      </c>
      <c r="BF72" s="43" t="n">
        <f aca="false">BF71/In_DSCR*BF17</f>
        <v>1697.12995105692</v>
      </c>
      <c r="BG72" s="43" t="n">
        <f aca="false">BG71/In_DSCR*BG17</f>
        <v>1669.33953922793</v>
      </c>
      <c r="BH72" s="43" t="n">
        <f aca="false">BH71/In_DSCR*BH17</f>
        <v>1686.97682777173</v>
      </c>
      <c r="BI72" s="43" t="n">
        <f aca="false">BI71/In_DSCR*BI17</f>
        <v>1704.59678401595</v>
      </c>
      <c r="BJ72" s="43" t="n">
        <f aca="false">BJ71/In_DSCR*BJ17</f>
        <v>1698.10883732725</v>
      </c>
      <c r="BK72" s="43" t="n">
        <f aca="false">BK71/In_DSCR*BK17</f>
        <v>1688.32842306786</v>
      </c>
      <c r="BL72" s="43" t="n">
        <f aca="false">BL71/In_DSCR*BL17</f>
        <v>1687.70549190999</v>
      </c>
      <c r="BM72" s="43" t="n">
        <f aca="false">BM71/In_DSCR*BM17</f>
        <v>1705.32932341549</v>
      </c>
      <c r="BN72" s="43" t="n">
        <f aca="false">BN71/In_DSCR*BN17</f>
        <v>1698.77383643628</v>
      </c>
      <c r="BO72" s="43" t="n">
        <f aca="false">BO71/In_DSCR*BO17</f>
        <v>1670.49153233339</v>
      </c>
      <c r="BP72" s="43" t="n">
        <f aca="false">BP71/In_DSCR*BP17</f>
        <v>1688.13405711759</v>
      </c>
      <c r="BQ72" s="43" t="n">
        <f aca="false">BQ71/In_DSCR*BQ17</f>
        <v>1705.75846140222</v>
      </c>
      <c r="BR72" s="43" t="n">
        <f aca="false">BR71/In_DSCR*BR17</f>
        <v>1699.13403568776</v>
      </c>
      <c r="BS72" s="43" t="n">
        <f aca="false">BS71/In_DSCR*BS17</f>
        <v>1670.60069422576</v>
      </c>
      <c r="BT72" s="43" t="n">
        <f aca="false">BT71/In_DSCR*BT17</f>
        <v>1688.24065505566</v>
      </c>
      <c r="BU72" s="43" t="n">
        <f aca="false">BU71/In_DSCR*BU17</f>
        <v>1705.86207817678</v>
      </c>
      <c r="BV72" s="43" t="n">
        <f aca="false">BV71/In_DSCR*BV17</f>
        <v>1699.16713266374</v>
      </c>
      <c r="BW72" s="43" t="n">
        <f aca="false">BW71/In_DSCR*BW17</f>
        <v>1670.37919713924</v>
      </c>
      <c r="BX72" s="43" t="n">
        <f aca="false">BX71/In_DSCR*BX17</f>
        <v>1688.01291908071</v>
      </c>
      <c r="BY72" s="43" t="n">
        <f aca="false">BY71/In_DSCR*BY17</f>
        <v>1705.62766923554</v>
      </c>
      <c r="BZ72" s="43" t="n">
        <f aca="false">BZ71/In_DSCR*BZ17</f>
        <v>1698.860557112</v>
      </c>
      <c r="CA72" s="43" t="n">
        <f aca="false">CA71/In_DSCR*CA17</f>
        <v>1688.18782836451</v>
      </c>
      <c r="CB72" s="43" t="n">
        <f aca="false">CB71/In_DSCR*CB17</f>
        <v>1687.42756055034</v>
      </c>
      <c r="CC72" s="43" t="n">
        <f aca="false">CC71/In_DSCR*CC17</f>
        <v>1705.03167803437</v>
      </c>
      <c r="CD72" s="43" t="n">
        <f aca="false">CD71/In_DSCR*CD17</f>
        <v>1698.19055710905</v>
      </c>
      <c r="CE72" s="43" t="n">
        <f aca="false">CE71/In_DSCR*CE17</f>
        <v>1668.88224152246</v>
      </c>
      <c r="CF72" s="43" t="n">
        <f aca="false">CF71/In_DSCR*CF17</f>
        <v>1686.49175775488</v>
      </c>
      <c r="CG72" s="43" t="n">
        <f aca="false">CG71/In_DSCR*CG17</f>
        <v>1704.08137868329</v>
      </c>
      <c r="CH72" s="43" t="n">
        <f aca="false">CH71/In_DSCR*CH17</f>
        <v>1697.16458145702</v>
      </c>
      <c r="CI72" s="43" t="n">
        <f aca="false">CI71/In_DSCR*CI17</f>
        <v>1667.59039509497</v>
      </c>
      <c r="CJ72" s="43" t="n">
        <f aca="false">CJ71/In_DSCR*CJ17</f>
        <v>1685.18176776548</v>
      </c>
      <c r="CK72" s="43" t="n">
        <f aca="false">CK71/In_DSCR*CK17</f>
        <v>1702.75275546015</v>
      </c>
      <c r="CL72" s="43" t="n">
        <f aca="false">CL71/In_DSCR*CL17</f>
        <v>1695.75841817646</v>
      </c>
      <c r="CM72" s="43" t="n">
        <f aca="false">CM71/In_DSCR*CM17</f>
        <v>1665.91439055746</v>
      </c>
      <c r="CN72" s="43" t="n">
        <f aca="false">CN71/In_DSCR*CN17</f>
        <v>1683.48334403865</v>
      </c>
      <c r="CO72" s="43" t="n">
        <f aca="false">CO71/In_DSCR*CO17</f>
        <v>1701.0314025908</v>
      </c>
      <c r="CP72" s="43" t="n">
        <f aca="false">CP71/In_DSCR*CP17</f>
        <v>1693.95758226567</v>
      </c>
      <c r="CQ72" s="43" t="n">
        <f aca="false">CQ71/In_DSCR*CQ17</f>
        <v>1682.29544207313</v>
      </c>
      <c r="CR72" s="43" t="n">
        <f aca="false">CR71/In_DSCR*CR17</f>
        <v>1681.3711979235</v>
      </c>
      <c r="CS72" s="43" t="n">
        <f aca="false">CS71/In_DSCR*CS17</f>
        <v>1698.8917407456</v>
      </c>
      <c r="CT72" s="43" t="n">
        <f aca="false">CT71/In_DSCR*CT17</f>
        <v>0</v>
      </c>
      <c r="CU72" s="43" t="n">
        <f aca="false">CU71/In_DSCR*CU17</f>
        <v>0</v>
      </c>
      <c r="CV72" s="43" t="n">
        <f aca="false">CV71/In_DSCR*CV17</f>
        <v>0</v>
      </c>
      <c r="CW72" s="43" t="n">
        <f aca="false">CW71/In_DSCR*CW17</f>
        <v>0</v>
      </c>
      <c r="CX72" s="43" t="n">
        <f aca="false">CX71/In_DSCR*CX17</f>
        <v>0</v>
      </c>
      <c r="CY72" s="43" t="n">
        <f aca="false">CY71/In_DSCR*CY17</f>
        <v>0</v>
      </c>
      <c r="CZ72" s="43" t="n">
        <f aca="false">CZ71/In_DSCR*CZ17</f>
        <v>0</v>
      </c>
      <c r="DA72" s="43" t="n">
        <f aca="false">DA71/In_DSCR*DA17</f>
        <v>0</v>
      </c>
      <c r="DB72" s="43" t="n">
        <f aca="false">DB71/In_DSCR*DB17</f>
        <v>0</v>
      </c>
      <c r="DC72" s="43" t="n">
        <f aca="false">DC71/In_DSCR*DC17</f>
        <v>0</v>
      </c>
      <c r="DD72" s="43" t="n">
        <f aca="false">DD71/In_DSCR*DD17</f>
        <v>0</v>
      </c>
      <c r="DE72" s="43" t="n">
        <f aca="false">DE71/In_DSCR*DE17</f>
        <v>0</v>
      </c>
      <c r="DF72" s="43" t="n">
        <f aca="false">DF71/In_DSCR*DF17</f>
        <v>0</v>
      </c>
      <c r="DG72" s="43" t="n">
        <f aca="false">DG71/In_DSCR*DG17</f>
        <v>0</v>
      </c>
      <c r="DH72" s="43" t="n">
        <f aca="false">DH71/In_DSCR*DH17</f>
        <v>0</v>
      </c>
      <c r="DI72" s="43" t="n">
        <f aca="false">DI71/In_DSCR*DI17</f>
        <v>0</v>
      </c>
      <c r="DJ72" s="43" t="n">
        <f aca="false">DJ71/In_DSCR*DJ17</f>
        <v>0</v>
      </c>
      <c r="DK72" s="43" t="n">
        <f aca="false">DK71/In_DSCR*DK17</f>
        <v>0</v>
      </c>
      <c r="DL72" s="43" t="n">
        <f aca="false">DL71/In_DSCR*DL17</f>
        <v>0</v>
      </c>
      <c r="DM72" s="43" t="n">
        <f aca="false">DM71/In_DSCR*DM17</f>
        <v>0</v>
      </c>
      <c r="DN72" s="43" t="n">
        <f aca="false">DN71/In_DSCR*DN17</f>
        <v>0</v>
      </c>
      <c r="DO72" s="43" t="n">
        <f aca="false">DO71/In_DSCR*DO17</f>
        <v>0</v>
      </c>
      <c r="DP72" s="43" t="n">
        <f aca="false">DP71/In_DSCR*DP17</f>
        <v>0</v>
      </c>
      <c r="DQ72" s="43" t="n">
        <f aca="false">DQ71/In_DSCR*DQ17</f>
        <v>0</v>
      </c>
      <c r="DR72" s="43" t="n">
        <f aca="false">DR71/In_DSCR*DR17</f>
        <v>0</v>
      </c>
      <c r="DS72" s="43" t="n">
        <f aca="false">DS71/In_DSCR*DS17</f>
        <v>0</v>
      </c>
      <c r="DT72" s="43" t="n">
        <f aca="false">DT71/In_DSCR*DT17</f>
        <v>0</v>
      </c>
      <c r="DU72" s="43" t="n">
        <f aca="false">DU71/In_DSCR*DU17</f>
        <v>0</v>
      </c>
      <c r="DV72" s="43" t="n">
        <f aca="false">DV71/In_DSCR*DV17</f>
        <v>0</v>
      </c>
      <c r="DW72" s="43" t="n">
        <f aca="false">DW71/In_DSCR*DW17</f>
        <v>0</v>
      </c>
      <c r="DX72" s="43" t="n">
        <f aca="false">DX71/In_DSCR*DX17</f>
        <v>0</v>
      </c>
      <c r="DY72" s="43" t="n">
        <f aca="false">DY71/In_DSCR*DY17</f>
        <v>0</v>
      </c>
      <c r="DZ72" s="43" t="n">
        <f aca="false">DZ71/In_DSCR*DZ17</f>
        <v>0</v>
      </c>
      <c r="EA72" s="43" t="n">
        <f aca="false">EA71/In_DSCR*EA17</f>
        <v>0</v>
      </c>
      <c r="EB72" s="43" t="n">
        <f aca="false">EB71/In_DSCR*EB17</f>
        <v>0</v>
      </c>
      <c r="EC72" s="43" t="n">
        <f aca="false">EC71/In_DSCR*EC17</f>
        <v>0</v>
      </c>
      <c r="ED72" s="43" t="n">
        <f aca="false">ED71/In_DSCR*ED17</f>
        <v>0</v>
      </c>
      <c r="EE72" s="43" t="n">
        <f aca="false">EE71/In_DSCR*EE17</f>
        <v>0</v>
      </c>
      <c r="EF72" s="43" t="n">
        <f aca="false">EF71/In_DSCR*EF17</f>
        <v>0</v>
      </c>
      <c r="EG72" s="43" t="n">
        <f aca="false">EG71/In_DSCR*EG17</f>
        <v>0</v>
      </c>
      <c r="EH72" s="43" t="n">
        <f aca="false">EH71/In_DSCR*EH17</f>
        <v>0</v>
      </c>
      <c r="EI72" s="43" t="n">
        <f aca="false">EI71/In_DSCR*EI17</f>
        <v>0</v>
      </c>
      <c r="EJ72" s="43" t="n">
        <f aca="false">EJ71/In_DSCR*EJ17</f>
        <v>0</v>
      </c>
      <c r="EK72" s="43" t="n">
        <f aca="false">EK71/In_DSCR*EK17</f>
        <v>0</v>
      </c>
      <c r="EL72" s="43" t="n">
        <f aca="false">EL71/In_DSCR*EL17</f>
        <v>0</v>
      </c>
      <c r="EM72" s="43" t="n">
        <f aca="false">EM71/In_DSCR*EM17</f>
        <v>0</v>
      </c>
      <c r="EN72" s="43" t="n">
        <f aca="false">EN71/In_DSCR*EN17</f>
        <v>0</v>
      </c>
      <c r="EO72" s="43" t="n">
        <f aca="false">EO71/In_DSCR*EO17</f>
        <v>0</v>
      </c>
    </row>
    <row r="73" customFormat="false" ht="15" hidden="false" customHeight="false" outlineLevel="0" collapsed="false">
      <c r="C73" s="0" t="s">
        <v>381</v>
      </c>
      <c r="D73" s="11" t="s">
        <v>53</v>
      </c>
      <c r="E73" s="44" t="n">
        <f aca="false">IF($E29=1,In_Gearing,In_Gearing_CN)</f>
        <v>0.7</v>
      </c>
    </row>
    <row r="74" customFormat="false" ht="15" hidden="false" customHeight="false" outlineLevel="0" collapsed="false">
      <c r="C74" s="21" t="s">
        <v>382</v>
      </c>
      <c r="D74" s="11" t="s">
        <v>53</v>
      </c>
      <c r="E74" s="27" t="n">
        <f aca="false">MIN($E73,$E72/-$E54)</f>
        <v>0.7</v>
      </c>
      <c r="F74" s="27" t="n">
        <f aca="false">$E74*-$E54/$E72</f>
        <v>0.60834339871754</v>
      </c>
    </row>
    <row r="76" customFormat="false" ht="15" hidden="false" customHeight="false" outlineLevel="0" collapsed="false">
      <c r="A76" s="9" t="s">
        <v>13</v>
      </c>
      <c r="B76" s="9"/>
      <c r="C76" s="9" t="s">
        <v>282</v>
      </c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</row>
    <row r="77" customFormat="false" ht="15" hidden="false" customHeight="false" outlineLevel="0" collapsed="false">
      <c r="C77" s="0" t="s">
        <v>383</v>
      </c>
      <c r="D77" s="11" t="s">
        <v>33</v>
      </c>
      <c r="I77" s="43" t="n">
        <f aca="false">SUM(J77:EO77)</f>
        <v>-25388.7263034827</v>
      </c>
      <c r="J77" s="43" t="n">
        <f aca="false">-I83*$F21*(J$4&gt;In_COD)</f>
        <v>-0</v>
      </c>
      <c r="K77" s="43" t="n">
        <f aca="false">-J83*$F21*(K$4&gt;In_COD)</f>
        <v>-0</v>
      </c>
      <c r="L77" s="43" t="n">
        <f aca="false">-K83*$F21*(L$4&gt;In_COD)</f>
        <v>-0</v>
      </c>
      <c r="M77" s="43" t="n">
        <f aca="false">-L83*$F21*(M$4&gt;In_COD)</f>
        <v>-0</v>
      </c>
      <c r="N77" s="43" t="n">
        <f aca="false">-M83*$F21*(N$4&gt;In_COD)</f>
        <v>-0</v>
      </c>
      <c r="O77" s="43" t="n">
        <f aca="false">-N83*$F21*(O$4&gt;In_COD)</f>
        <v>-0</v>
      </c>
      <c r="P77" s="43" t="n">
        <f aca="false">-O83*$F21*(P$4&gt;In_COD)</f>
        <v>-0</v>
      </c>
      <c r="Q77" s="43" t="n">
        <f aca="false">-P83*$F21*(Q$4&gt;In_COD)</f>
        <v>-0</v>
      </c>
      <c r="R77" s="43" t="n">
        <f aca="false">-Q83*$F21*(R$4&gt;In_COD)</f>
        <v>-0</v>
      </c>
      <c r="S77" s="43" t="n">
        <f aca="false">-R83*$F21*(S$4&gt;In_COD)</f>
        <v>-0</v>
      </c>
      <c r="T77" s="43" t="n">
        <f aca="false">-S83*$F21*(T$4&gt;In_COD)</f>
        <v>-0</v>
      </c>
      <c r="U77" s="43" t="n">
        <f aca="false">-T83*$F21*(U$4&gt;In_COD)</f>
        <v>-0</v>
      </c>
      <c r="V77" s="43" t="n">
        <f aca="false">-U83*$F21*(V$4&gt;In_COD)</f>
        <v>-0</v>
      </c>
      <c r="W77" s="43" t="n">
        <f aca="false">-V83*$F21*(W$4&gt;In_COD)</f>
        <v>-0</v>
      </c>
      <c r="X77" s="43" t="n">
        <f aca="false">-W83*$F21*(X$4&gt;In_COD)</f>
        <v>-0</v>
      </c>
      <c r="Y77" s="43" t="n">
        <f aca="false">-X83*$F21*(Y$4&gt;In_COD)</f>
        <v>-0</v>
      </c>
      <c r="Z77" s="43" t="n">
        <f aca="false">-Y83*$F21*(Z$4&gt;In_COD)</f>
        <v>-606.242257551356</v>
      </c>
      <c r="AA77" s="43" t="n">
        <f aca="false">-Z83*$F21*(AA$4&gt;In_COD)</f>
        <v>-601.025629058438</v>
      </c>
      <c r="AB77" s="43" t="n">
        <f aca="false">-AA83*$F21*(AB$4&gt;In_COD)</f>
        <v>-595.940122894</v>
      </c>
      <c r="AC77" s="43" t="n">
        <f aca="false">-AB83*$F21*(AC$4&gt;In_COD)</f>
        <v>-590.654421007286</v>
      </c>
      <c r="AD77" s="43" t="n">
        <f aca="false">-AC83*$F21*(AD$4&gt;In_COD)</f>
        <v>-585.166078039773</v>
      </c>
      <c r="AE77" s="43" t="n">
        <f aca="false">-AD83*$F21*(AE$4&gt;In_COD)</f>
        <v>-579.655283530728</v>
      </c>
      <c r="AF77" s="43" t="n">
        <f aca="false">-AE83*$F21*(AF$4&gt;In_COD)</f>
        <v>-574.13513637939</v>
      </c>
      <c r="AG77" s="43" t="n">
        <f aca="false">-AF83*$F21*(AG$4&gt;In_COD)</f>
        <v>-568.547561519166</v>
      </c>
      <c r="AH77" s="43" t="n">
        <f aca="false">-AG83*$F21*(AH$4&gt;In_COD)</f>
        <v>-562.858526060733</v>
      </c>
      <c r="AI77" s="43" t="n">
        <f aca="false">-AH83*$F21*(AI$4&gt;In_COD)</f>
        <v>-557.198578186255</v>
      </c>
      <c r="AJ77" s="43" t="n">
        <f aca="false">-AI83*$F21*(AJ$4&gt;In_COD)</f>
        <v>-551.665864440802</v>
      </c>
      <c r="AK77" s="43" t="n">
        <f aca="false">-AJ83*$F21*(AK$4&gt;In_COD)</f>
        <v>-545.811875417311</v>
      </c>
      <c r="AL77" s="43" t="n">
        <f aca="false">-AK83*$F21*(AL$4&gt;In_COD)</f>
        <v>-539.751399802732</v>
      </c>
      <c r="AM77" s="43" t="n">
        <f aca="false">-AL83*$F21*(AM$4&gt;In_COD)</f>
        <v>-533.661646120169</v>
      </c>
      <c r="AN77" s="43" t="n">
        <f aca="false">-AM83*$F21*(AN$4&gt;In_COD)</f>
        <v>-527.698173706151</v>
      </c>
      <c r="AO77" s="43" t="n">
        <f aca="false">-AN83*$F21*(AO$4&gt;In_COD)</f>
        <v>-521.526560274457</v>
      </c>
      <c r="AP77" s="43" t="n">
        <f aca="false">-AO83*$F21*(AP$4&gt;In_COD)</f>
        <v>-515.144322769755</v>
      </c>
      <c r="AQ77" s="43" t="n">
        <f aca="false">-AP83*$F21*(AQ$4&gt;In_COD)</f>
        <v>-508.729237388532</v>
      </c>
      <c r="AR77" s="43" t="n">
        <f aca="false">-AQ83*$F21*(AR$4&gt;In_COD)</f>
        <v>-502.438104772907</v>
      </c>
      <c r="AS77" s="43" t="n">
        <f aca="false">-AR83*$F21*(AS$4&gt;In_COD)</f>
        <v>-495.934586430086</v>
      </c>
      <c r="AT77" s="43" t="n">
        <f aca="false">-AS83*$F21*(AT$4&gt;In_COD)</f>
        <v>-489.216148666718</v>
      </c>
      <c r="AU77" s="43" t="n">
        <f aca="false">-AT83*$F21*(AU$4&gt;In_COD)</f>
        <v>-482.461121838495</v>
      </c>
      <c r="AV77" s="43" t="n">
        <f aca="false">-AU83*$F21*(AV$4&gt;In_COD)</f>
        <v>-475.689901788079</v>
      </c>
      <c r="AW77" s="43" t="n">
        <f aca="false">-AV83*$F21*(AW$4&gt;In_COD)</f>
        <v>-468.837903262363</v>
      </c>
      <c r="AX77" s="43" t="n">
        <f aca="false">-AW83*$F21*(AX$4&gt;In_COD)</f>
        <v>-461.766505172535</v>
      </c>
      <c r="AY77" s="43" t="n">
        <f aca="false">-AX83*$F21*(AY$4&gt;In_COD)</f>
        <v>-454.654577737512</v>
      </c>
      <c r="AZ77" s="43" t="n">
        <f aca="false">-AY83*$F21*(AZ$4&gt;In_COD)</f>
        <v>-447.661438052435</v>
      </c>
      <c r="BA77" s="43" t="n">
        <f aca="false">-AZ83*$F21*(BA$4&gt;In_COD)</f>
        <v>-440.446905546398</v>
      </c>
      <c r="BB77" s="43" t="n">
        <f aca="false">-BA83*$F21*(BB$4&gt;In_COD)</f>
        <v>-433.00833907432</v>
      </c>
      <c r="BC77" s="43" t="n">
        <f aca="false">-BB83*$F21*(BC$4&gt;In_COD)</f>
        <v>-425.525134313719</v>
      </c>
      <c r="BD77" s="43" t="n">
        <f aca="false">-BC83*$F21*(BD$4&gt;In_COD)</f>
        <v>-418.157883953191</v>
      </c>
      <c r="BE77" s="43" t="n">
        <f aca="false">-BD83*$F21*(BE$4&gt;In_COD)</f>
        <v>-410.56448213186</v>
      </c>
      <c r="BF77" s="43" t="n">
        <f aca="false">-BE83*$F21*(BF$4&gt;In_COD)</f>
        <v>-402.742230935604</v>
      </c>
      <c r="BG77" s="43" t="n">
        <f aca="false">-BF83*$F21*(BG$4&gt;In_COD)</f>
        <v>-394.871036291158</v>
      </c>
      <c r="BH77" s="43" t="n">
        <f aca="false">-BG83*$F21*(BH$4&gt;In_COD)</f>
        <v>-387.112778133454</v>
      </c>
      <c r="BI77" s="43" t="n">
        <f aca="false">-BH83*$F21*(BI$4&gt;In_COD)</f>
        <v>-379.123422648067</v>
      </c>
      <c r="BJ77" s="43" t="n">
        <f aca="false">-BI83*$F21*(BJ$4&gt;In_COD)</f>
        <v>-370.900212918277</v>
      </c>
      <c r="BK77" s="43" t="n">
        <f aca="false">-BJ83*$F21*(BK$4&gt;In_COD)</f>
        <v>-362.623549311106</v>
      </c>
      <c r="BL77" s="43" t="n">
        <f aca="false">-BK83*$F21*(BL$4&gt;In_COD)</f>
        <v>-354.317800539489</v>
      </c>
      <c r="BM77" s="43" t="n">
        <f aca="false">-BL83*$F21*(BM$4&gt;In_COD)</f>
        <v>-345.912966858947</v>
      </c>
      <c r="BN77" s="43" t="n">
        <f aca="false">-BM83*$F21*(BN$4&gt;In_COD)</f>
        <v>-337.269055987944</v>
      </c>
      <c r="BO77" s="43" t="n">
        <f aca="false">-BN83*$F21*(BO$4&gt;In_COD)</f>
        <v>-328.566946071417</v>
      </c>
      <c r="BP77" s="43" t="n">
        <f aca="false">-BO83*$F21*(BP$4&gt;In_COD)</f>
        <v>-319.971126693452</v>
      </c>
      <c r="BQ77" s="43" t="n">
        <f aca="false">-BP83*$F21*(BQ$4&gt;In_COD)</f>
        <v>-311.133700654649</v>
      </c>
      <c r="BR77" s="43" t="n">
        <f aca="false">-BQ83*$F21*(BR$4&gt;In_COD)</f>
        <v>-302.051785665324</v>
      </c>
      <c r="BS77" s="43" t="n">
        <f aca="false">-BR83*$F21*(BS$4&gt;In_COD)</f>
        <v>-292.906720809304</v>
      </c>
      <c r="BT77" s="43" t="n">
        <f aca="false">-BS83*$F21*(BT$4&gt;In_COD)</f>
        <v>-283.864318516605</v>
      </c>
      <c r="BU77" s="43" t="n">
        <f aca="false">-BT83*$F21*(BU$4&gt;In_COD)</f>
        <v>-274.574746773692</v>
      </c>
      <c r="BV77" s="43" t="n">
        <f aca="false">-BU83*$F21*(BV$4&gt;In_COD)</f>
        <v>-265.035056928595</v>
      </c>
      <c r="BW77" s="43" t="n">
        <f aca="false">-BV83*$F21*(BW$4&gt;In_COD)</f>
        <v>-255.42703128428</v>
      </c>
      <c r="BX77" s="43" t="n">
        <f aca="false">-BW83*$F21*(BX$4&gt;In_COD)</f>
        <v>-245.917817201149</v>
      </c>
      <c r="BY77" s="43" t="n">
        <f aca="false">-BX83*$F21*(BY$4&gt;In_COD)</f>
        <v>-236.155645962755</v>
      </c>
      <c r="BZ77" s="43" t="n">
        <f aca="false">-BY83*$F21*(BZ$4&gt;In_COD)</f>
        <v>-226.137499871672</v>
      </c>
      <c r="CA77" s="43" t="n">
        <f aca="false">-BZ83*$F21*(CA$4&gt;In_COD)</f>
        <v>-216.045586054309</v>
      </c>
      <c r="CB77" s="43" t="n">
        <f aca="false">-CA83*$F21*(CB$4&gt;In_COD)</f>
        <v>-205.908681865227</v>
      </c>
      <c r="CC77" s="43" t="n">
        <f aca="false">-CB83*$F21*(CC$4&gt;In_COD)</f>
        <v>-195.650847672607</v>
      </c>
      <c r="CD77" s="43" t="n">
        <f aca="false">-CC83*$F21*(CD$4&gt;In_COD)</f>
        <v>-185.130923694308</v>
      </c>
      <c r="CE77" s="43" t="n">
        <f aca="false">-CD83*$F21*(CE$4&gt;In_COD)</f>
        <v>-174.531522550715</v>
      </c>
      <c r="CF77" s="43" t="n">
        <f aca="false">-CE83*$F21*(CF$4&gt;In_COD)</f>
        <v>-164.02249789676</v>
      </c>
      <c r="CG77" s="43" t="n">
        <f aca="false">-CF83*$F21*(CG$4&gt;In_COD)</f>
        <v>-153.248202522698</v>
      </c>
      <c r="CH77" s="43" t="n">
        <f aca="false">-CG83*$F21*(CH$4&gt;In_COD)</f>
        <v>-142.205471834239</v>
      </c>
      <c r="CI77" s="43" t="n">
        <f aca="false">-CH83*$F21*(CI$4&gt;In_COD)</f>
        <v>-131.077304361334</v>
      </c>
      <c r="CJ77" s="43" t="n">
        <f aca="false">-CI83*$F21*(CJ$4&gt;In_COD)</f>
        <v>-120.034925558091</v>
      </c>
      <c r="CK77" s="43" t="n">
        <f aca="false">-CJ83*$F21*(CK$4&gt;In_COD)</f>
        <v>-108.720747076826</v>
      </c>
      <c r="CL77" s="43" t="n">
        <f aca="false">-CK83*$F21*(CL$4&gt;In_COD)</f>
        <v>-97.1315264348828</v>
      </c>
      <c r="CM77" s="43" t="n">
        <f aca="false">-CL83*$F21*(CM$4&gt;In_COD)</f>
        <v>-85.450627521352</v>
      </c>
      <c r="CN77" s="43" t="n">
        <f aca="false">-CM83*$F21*(CN$4&gt;In_COD)</f>
        <v>-73.8506600863166</v>
      </c>
      <c r="CO77" s="43" t="n">
        <f aca="false">-CN83*$F21*(CO$4&gt;In_COD)</f>
        <v>-61.9720935974351</v>
      </c>
      <c r="CP77" s="43" t="n">
        <f aca="false">-CO83*$F21*(CP$4&gt;In_COD)</f>
        <v>-49.8116044576862</v>
      </c>
      <c r="CQ77" s="43" t="n">
        <f aca="false">-CP83*$F21*(CQ$4&gt;In_COD)</f>
        <v>-37.5529006024217</v>
      </c>
      <c r="CR77" s="43" t="n">
        <f aca="false">-CQ83*$F21*(CR$4&gt;In_COD)</f>
        <v>-25.2296452739795</v>
      </c>
      <c r="CS77" s="43" t="n">
        <f aca="false">-CR83*$F21*(CS$4&gt;In_COD)</f>
        <v>-12.7593774767722</v>
      </c>
      <c r="CT77" s="43" t="n">
        <f aca="false">-CS83*$F21*(CT$4&gt;In_COD)</f>
        <v>-2.64464006249909E-012</v>
      </c>
      <c r="CU77" s="43" t="n">
        <f aca="false">-CT83*$F21*(CU$4&gt;In_COD)</f>
        <v>-2.67769806328033E-012</v>
      </c>
      <c r="CV77" s="43" t="n">
        <f aca="false">-CU83*$F21*(CV$4&gt;In_COD)</f>
        <v>-2.71116928907134E-012</v>
      </c>
      <c r="CW77" s="43" t="n">
        <f aca="false">-CV83*$F21*(CW$4&gt;In_COD)</f>
        <v>-2.74505890518473E-012</v>
      </c>
      <c r="CX77" s="43" t="n">
        <f aca="false">-CW83*$F21*(CX$4&gt;In_COD)</f>
        <v>-2.77937214149954E-012</v>
      </c>
      <c r="CY77" s="43" t="n">
        <f aca="false">-CX83*$F21*(CY$4&gt;In_COD)</f>
        <v>-2.81411429326828E-012</v>
      </c>
      <c r="CZ77" s="43" t="n">
        <f aca="false">-CY83*$F21*(CZ$4&gt;In_COD)</f>
        <v>-2.84929072193414E-012</v>
      </c>
      <c r="DA77" s="43" t="n">
        <f aca="false">-CZ83*$F21*(DA$4&gt;In_COD)</f>
        <v>-2.88490685595831E-012</v>
      </c>
      <c r="DB77" s="43" t="n">
        <f aca="false">-DA83*$F21*(DB$4&gt;In_COD)</f>
        <v>-2.92096819165779E-012</v>
      </c>
      <c r="DC77" s="43" t="n">
        <f aca="false">-DB83*$F21*(DC$4&gt;In_COD)</f>
        <v>-2.95748029405351E-012</v>
      </c>
      <c r="DD77" s="43" t="n">
        <f aca="false">-DC83*$F21*(DD$4&gt;In_COD)</f>
        <v>-2.99444879772918E-012</v>
      </c>
      <c r="DE77" s="43" t="n">
        <f aca="false">-DD83*$F21*(DE$4&gt;In_COD)</f>
        <v>-3.0318794077008E-012</v>
      </c>
      <c r="DF77" s="43" t="n">
        <f aca="false">-DE83*$F21*(DF$4&gt;In_COD)</f>
        <v>-3.06977790029706E-012</v>
      </c>
      <c r="DG77" s="43" t="n">
        <f aca="false">-DF83*$F21*(DG$4&gt;In_COD)</f>
        <v>-3.10815012405077E-012</v>
      </c>
      <c r="DH77" s="43" t="n">
        <f aca="false">-DG83*$F21*(DH$4&gt;In_COD)</f>
        <v>-3.1470020006014E-012</v>
      </c>
      <c r="DI77" s="43" t="n">
        <f aca="false">-DH83*$F21*(DI$4&gt;In_COD)</f>
        <v>-3.18633952560892E-012</v>
      </c>
      <c r="DJ77" s="43" t="n">
        <f aca="false">-DI83*$F21*(DJ$4&gt;In_COD)</f>
        <v>-3.22616876967903E-012</v>
      </c>
      <c r="DK77" s="43" t="n">
        <f aca="false">-DJ83*$F21*(DK$4&gt;In_COD)</f>
        <v>-3.26649587930002E-012</v>
      </c>
      <c r="DL77" s="43" t="n">
        <f aca="false">-DK83*$F21*(DL$4&gt;In_COD)</f>
        <v>-3.30732707779127E-012</v>
      </c>
      <c r="DM77" s="43" t="n">
        <f aca="false">-DL83*$F21*(DM$4&gt;In_COD)</f>
        <v>-3.34866866626366E-012</v>
      </c>
      <c r="DN77" s="43" t="n">
        <f aca="false">-DM83*$F21*(DN$4&gt;In_COD)</f>
        <v>-3.39052702459196E-012</v>
      </c>
      <c r="DO77" s="43" t="n">
        <f aca="false">-DN83*$F21*(DO$4&gt;In_COD)</f>
        <v>-3.43290861239936E-012</v>
      </c>
      <c r="DP77" s="43" t="n">
        <f aca="false">-DO83*$F21*(DP$4&gt;In_COD)</f>
        <v>-3.47581997005435E-012</v>
      </c>
      <c r="DQ77" s="43" t="n">
        <f aca="false">-DP83*$F21*(DQ$4&gt;In_COD)</f>
        <v>-3.51926771968003E-012</v>
      </c>
      <c r="DR77" s="43" t="n">
        <f aca="false">-DQ83*$F21*(DR$4&gt;In_COD)</f>
        <v>-3.56325856617603E-012</v>
      </c>
      <c r="DS77" s="43" t="n">
        <f aca="false">-DR83*$F21*(DS$4&gt;In_COD)</f>
        <v>-3.60779929825323E-012</v>
      </c>
      <c r="DT77" s="43" t="n">
        <f aca="false">-DS83*$F21*(DT$4&gt;In_COD)</f>
        <v>-3.65289678948139E-012</v>
      </c>
      <c r="DU77" s="43" t="n">
        <f aca="false">-DT83*$F21*(DU$4&gt;In_COD)</f>
        <v>-3.69855799934991E-012</v>
      </c>
      <c r="DV77" s="43" t="n">
        <f aca="false">-DU83*$F21*(DV$4&gt;In_COD)</f>
        <v>-3.74478997434179E-012</v>
      </c>
      <c r="DW77" s="43" t="n">
        <f aca="false">-DV83*$F21*(DW$4&gt;In_COD)</f>
        <v>-3.79159984902106E-012</v>
      </c>
      <c r="DX77" s="43" t="n">
        <f aca="false">-DW83*$F21*(DX$4&gt;In_COD)</f>
        <v>-3.83899484713382E-012</v>
      </c>
      <c r="DY77" s="43" t="n">
        <f aca="false">-DX83*$F21*(DY$4&gt;In_COD)</f>
        <v>-3.88698228272299E-012</v>
      </c>
      <c r="DZ77" s="43" t="n">
        <f aca="false">-DY83*$F21*(DZ$4&gt;In_COD)</f>
        <v>-3.93556956125703E-012</v>
      </c>
      <c r="EA77" s="43" t="n">
        <f aca="false">-DZ83*$F21*(EA$4&gt;In_COD)</f>
        <v>-3.98476418077274E-012</v>
      </c>
      <c r="EB77" s="43" t="n">
        <f aca="false">-EA83*$F21*(EB$4&gt;In_COD)</f>
        <v>-4.0345737330324E-012</v>
      </c>
      <c r="EC77" s="43" t="n">
        <f aca="false">-EB83*$F21*(EC$4&gt;In_COD)</f>
        <v>-4.08500590469531E-012</v>
      </c>
      <c r="ED77" s="43" t="n">
        <f aca="false">-EC83*$F21*(ED$4&gt;In_COD)</f>
        <v>-4.136068478504E-012</v>
      </c>
      <c r="EE77" s="43" t="n">
        <f aca="false">-ED83*$F21*(EE$4&gt;In_COD)</f>
        <v>-4.1877693344853E-012</v>
      </c>
      <c r="EF77" s="43" t="n">
        <f aca="false">-EE83*$F21*(EF$4&gt;In_COD)</f>
        <v>-4.24011645116637E-012</v>
      </c>
      <c r="EG77" s="43" t="n">
        <f aca="false">-EF83*$F21*(EG$4&gt;In_COD)</f>
        <v>-4.29311790680595E-012</v>
      </c>
      <c r="EH77" s="43" t="n">
        <f aca="false">-EG83*$F21*(EH$4&gt;In_COD)</f>
        <v>-4.34678188064102E-012</v>
      </c>
      <c r="EI77" s="43" t="n">
        <f aca="false">-EH83*$F21*(EI$4&gt;In_COD)</f>
        <v>-4.40111665414903E-012</v>
      </c>
      <c r="EJ77" s="43" t="n">
        <f aca="false">-EI83*$F21*(EJ$4&gt;In_COD)</f>
        <v>-4.4561306123259E-012</v>
      </c>
      <c r="EK77" s="43" t="n">
        <f aca="false">-EJ83*$F21*(EK$4&gt;In_COD)</f>
        <v>-4.51183224497997E-012</v>
      </c>
      <c r="EL77" s="43" t="n">
        <f aca="false">-EK83*$F21*(EL$4&gt;In_COD)</f>
        <v>-4.56823014804222E-012</v>
      </c>
      <c r="EM77" s="43" t="n">
        <f aca="false">-EL83*$F21*(EM$4&gt;In_COD)</f>
        <v>-4.62533302489275E-012</v>
      </c>
      <c r="EN77" s="43" t="n">
        <f aca="false">-EM83*$F21*(EN$4&gt;In_COD)</f>
        <v>-4.68314968770391E-012</v>
      </c>
      <c r="EO77" s="43" t="n">
        <f aca="false">-EN83*$F21*(EO$4&gt;In_COD)</f>
        <v>-4.7416890588002E-012</v>
      </c>
    </row>
    <row r="78" customFormat="false" ht="15" hidden="false" customHeight="false" outlineLevel="0" collapsed="false">
      <c r="C78" s="0" t="s">
        <v>384</v>
      </c>
      <c r="D78" s="11" t="s">
        <v>33</v>
      </c>
      <c r="I78" s="43" t="n">
        <f aca="false">SUM(J78:EO78)</f>
        <v>-73888.1069075909</v>
      </c>
      <c r="J78" s="43" t="n">
        <f aca="false">-J72*$F74</f>
        <v>0</v>
      </c>
      <c r="K78" s="43" t="n">
        <f aca="false">-K72*$F74</f>
        <v>0</v>
      </c>
      <c r="L78" s="43" t="n">
        <f aca="false">-L72*$F74</f>
        <v>0</v>
      </c>
      <c r="M78" s="43" t="n">
        <f aca="false">-M72*$F74</f>
        <v>0</v>
      </c>
      <c r="N78" s="43" t="n">
        <f aca="false">-N72*$F74</f>
        <v>0</v>
      </c>
      <c r="O78" s="43" t="n">
        <f aca="false">-O72*$F74</f>
        <v>0</v>
      </c>
      <c r="P78" s="43" t="n">
        <f aca="false">-P72*$F74</f>
        <v>0</v>
      </c>
      <c r="Q78" s="43" t="n">
        <f aca="false">-Q72*$F74</f>
        <v>0</v>
      </c>
      <c r="R78" s="43" t="n">
        <f aca="false">-R72*$F74</f>
        <v>0</v>
      </c>
      <c r="S78" s="43" t="n">
        <f aca="false">-S72*$F74</f>
        <v>0</v>
      </c>
      <c r="T78" s="43" t="n">
        <f aca="false">-T72*$F74</f>
        <v>0</v>
      </c>
      <c r="U78" s="43" t="n">
        <f aca="false">-U72*$F74</f>
        <v>0</v>
      </c>
      <c r="V78" s="43" t="n">
        <f aca="false">-V72*$F74</f>
        <v>0</v>
      </c>
      <c r="W78" s="43" t="n">
        <f aca="false">-W72*$F74</f>
        <v>0</v>
      </c>
      <c r="X78" s="43" t="n">
        <f aca="false">-X72*$F74</f>
        <v>0</v>
      </c>
      <c r="Y78" s="43" t="n">
        <f aca="false">-Y72*$F74</f>
        <v>0</v>
      </c>
      <c r="Z78" s="43" t="n">
        <f aca="false">-Z72*$F74</f>
        <v>-1023.57253698485</v>
      </c>
      <c r="AA78" s="43" t="n">
        <f aca="false">-AA72*$F74</f>
        <v>-1007.86612221346</v>
      </c>
      <c r="AB78" s="43" t="n">
        <f aca="false">-AB72*$F74</f>
        <v>-1018.79627383113</v>
      </c>
      <c r="AC78" s="43" t="n">
        <f aca="false">-AC72*$F74</f>
        <v>-1029.72185840832</v>
      </c>
      <c r="AD78" s="43" t="n">
        <f aca="false">-AD72*$F74</f>
        <v>-1026.02963876335</v>
      </c>
      <c r="AE78" s="43" t="n">
        <f aca="false">-AE72*$F74</f>
        <v>-1021.26705563779</v>
      </c>
      <c r="AF78" s="43" t="n">
        <f aca="false">-AF72*$F74</f>
        <v>-1021.1411251973</v>
      </c>
      <c r="AG78" s="43" t="n">
        <f aca="false">-AG72*$F74</f>
        <v>-1023.67039819386</v>
      </c>
      <c r="AH78" s="43" t="n">
        <f aca="false">-AH72*$F74</f>
        <v>-1015.65435601898</v>
      </c>
      <c r="AI78" s="43" t="n">
        <f aca="false">-AI72*$F74</f>
        <v>-999.815677822429</v>
      </c>
      <c r="AJ78" s="43" t="n">
        <f aca="false">-AJ72*$F74</f>
        <v>-1019.98498632014</v>
      </c>
      <c r="AK78" s="43" t="n">
        <f aca="false">-AK72*$F74</f>
        <v>-1030.64992458361</v>
      </c>
      <c r="AL78" s="43" t="n">
        <f aca="false">-AL72*$F74</f>
        <v>-1026.93169440778</v>
      </c>
      <c r="AM78" s="43" t="n">
        <f aca="false">-AM72*$F74</f>
        <v>-1010.73943924157</v>
      </c>
      <c r="AN78" s="43" t="n">
        <f aca="false">-AN72*$F74</f>
        <v>-1021.42724824166</v>
      </c>
      <c r="AO78" s="43" t="n">
        <f aca="false">-AO72*$F74</f>
        <v>-1032.10556065068</v>
      </c>
      <c r="AP78" s="43" t="n">
        <f aca="false">-AP72*$F74</f>
        <v>-1028.3511532676</v>
      </c>
      <c r="AQ78" s="43" t="n">
        <f aca="false">-AQ72*$F74</f>
        <v>-1012.01984663849</v>
      </c>
      <c r="AR78" s="43" t="n">
        <f aca="false">-AR72*$F74</f>
        <v>-1022.7195721986</v>
      </c>
      <c r="AS78" s="43" t="n">
        <f aca="false">-AS72*$F74</f>
        <v>-1033.40960749957</v>
      </c>
      <c r="AT78" s="43" t="n">
        <f aca="false">-AT72*$F74</f>
        <v>-1029.6182949245</v>
      </c>
      <c r="AU78" s="43" t="n">
        <f aca="false">-AU72*$F74</f>
        <v>-1024.15872587179</v>
      </c>
      <c r="AV78" s="43" t="n">
        <f aca="false">-AV72*$F74</f>
        <v>-1023.84978384537</v>
      </c>
      <c r="AW78" s="43" t="n">
        <f aca="false">-AW72*$F74</f>
        <v>-1034.54975044856</v>
      </c>
      <c r="AX78" s="43" t="n">
        <f aca="false">-AX72*$F74</f>
        <v>-1030.72069997443</v>
      </c>
      <c r="AY78" s="43" t="n">
        <f aca="false">-AY72*$F74</f>
        <v>-1014.10575254366</v>
      </c>
      <c r="AZ78" s="43" t="n">
        <f aca="false">-AZ72*$F74</f>
        <v>-1024.82403853542</v>
      </c>
      <c r="BA78" s="43" t="n">
        <f aca="false">-BA72*$F74</f>
        <v>-1035.53222331259</v>
      </c>
      <c r="BB78" s="43" t="n">
        <f aca="false">-BB72*$F74</f>
        <v>-1031.66471992243</v>
      </c>
      <c r="BC78" s="43" t="n">
        <f aca="false">-BC72*$F74</f>
        <v>-1014.90516315593</v>
      </c>
      <c r="BD78" s="43" t="n">
        <f aca="false">-BD72*$F74</f>
        <v>-1025.63002965969</v>
      </c>
      <c r="BE78" s="43" t="n">
        <f aca="false">-BE72*$F74</f>
        <v>-1036.34457783233</v>
      </c>
      <c r="BF78" s="43" t="n">
        <f aca="false">-BF72*$F74</f>
        <v>-1032.4378024913</v>
      </c>
      <c r="BG78" s="43" t="n">
        <f aca="false">-BG72*$F74</f>
        <v>-1015.53168890749</v>
      </c>
      <c r="BH78" s="43" t="n">
        <f aca="false">-BH72*$F74</f>
        <v>-1026.26121696439</v>
      </c>
      <c r="BI78" s="43" t="n">
        <f aca="false">-BI72*$F74</f>
        <v>-1036.98020103125</v>
      </c>
      <c r="BJ78" s="43" t="n">
        <f aca="false">-BJ72*$F74</f>
        <v>-1033.03330149195</v>
      </c>
      <c r="BK78" s="43" t="n">
        <f aca="false">-BK72*$F74</f>
        <v>-1027.08345104053</v>
      </c>
      <c r="BL78" s="43" t="n">
        <f aca="false">-BL72*$F74</f>
        <v>-1026.70449498278</v>
      </c>
      <c r="BM78" s="43" t="n">
        <f aca="false">-BM72*$F74</f>
        <v>-1037.42583653926</v>
      </c>
      <c r="BN78" s="43" t="n">
        <f aca="false">-BN72*$F74</f>
        <v>-1033.43784931008</v>
      </c>
      <c r="BO78" s="43" t="n">
        <f aca="false">-BO72*$F74</f>
        <v>-1016.23249630857</v>
      </c>
      <c r="BP78" s="43" t="n">
        <f aca="false">-BP72*$F74</f>
        <v>-1026.96520979774</v>
      </c>
      <c r="BQ78" s="43" t="n">
        <f aca="false">-BQ72*$F74</f>
        <v>-1037.68689980063</v>
      </c>
      <c r="BR78" s="43" t="n">
        <f aca="false">-BR72*$F74</f>
        <v>-1033.65697414694</v>
      </c>
      <c r="BS78" s="43" t="n">
        <f aca="false">-BS72*$F74</f>
        <v>-1016.29890422518</v>
      </c>
      <c r="BT78" s="43" t="n">
        <f aca="false">-BT72*$F74</f>
        <v>-1027.03005794968</v>
      </c>
      <c r="BU78" s="43" t="n">
        <f aca="false">-BU72*$F74</f>
        <v>-1037.74993438143</v>
      </c>
      <c r="BV78" s="43" t="n">
        <f aca="false">-BV72*$F74</f>
        <v>-1033.6771084738</v>
      </c>
      <c r="BW78" s="43" t="n">
        <f aca="false">-BW72*$F74</f>
        <v>-1016.16415793476</v>
      </c>
      <c r="BX78" s="43" t="n">
        <f aca="false">-BX72*$F74</f>
        <v>-1026.89151627268</v>
      </c>
      <c r="BY78" s="43" t="n">
        <f aca="false">-BY72*$F74</f>
        <v>-1037.60733324943</v>
      </c>
      <c r="BZ78" s="43" t="n">
        <f aca="false">-BZ72*$F74</f>
        <v>-1033.49060526069</v>
      </c>
      <c r="CA78" s="43" t="n">
        <f aca="false">-CA72*$F74</f>
        <v>-1026.99792118085</v>
      </c>
      <c r="CB78" s="43" t="n">
        <f aca="false">-CB72*$F74</f>
        <v>-1026.53541727484</v>
      </c>
      <c r="CC78" s="43" t="n">
        <f aca="false">-CC72*$F74</f>
        <v>-1037.2447659365</v>
      </c>
      <c r="CD78" s="43" t="n">
        <f aca="false">-CD72*$F74</f>
        <v>-1033.08301518175</v>
      </c>
      <c r="CE78" s="43" t="n">
        <f aca="false">-CE72*$F74</f>
        <v>-1015.25349486712</v>
      </c>
      <c r="CF78" s="43" t="n">
        <f aca="false">-CF72*$F74</f>
        <v>-1025.96612782172</v>
      </c>
      <c r="CG78" s="43" t="n">
        <f aca="false">-CG72*$F74</f>
        <v>-1036.66665759947</v>
      </c>
      <c r="CH78" s="43" t="n">
        <f aca="false">-CH72*$F74</f>
        <v>-1032.45886966659</v>
      </c>
      <c r="CI78" s="43" t="n">
        <f aca="false">-CI72*$F74</f>
        <v>-1014.4676086208</v>
      </c>
      <c r="CJ78" s="43" t="n">
        <f aca="false">-CJ72*$F74</f>
        <v>-1025.16920405929</v>
      </c>
      <c r="CK78" s="43" t="n">
        <f aca="false">-CK72*$F74</f>
        <v>-1035.85839843228</v>
      </c>
      <c r="CL78" s="43" t="n">
        <f aca="false">-CL72*$F74</f>
        <v>-1031.60343951735</v>
      </c>
      <c r="CM78" s="43" t="n">
        <f aca="false">-CM72*$F74</f>
        <v>-1013.44802232418</v>
      </c>
      <c r="CN78" s="43" t="n">
        <f aca="false">-CN72*$F74</f>
        <v>-1024.13597919684</v>
      </c>
      <c r="CO78" s="43" t="n">
        <f aca="false">-CO72*$F74</f>
        <v>-1034.81122477735</v>
      </c>
      <c r="CP78" s="43" t="n">
        <f aca="false">-CP72*$F74</f>
        <v>-1030.50791287885</v>
      </c>
      <c r="CQ78" s="43" t="n">
        <f aca="false">-CQ72*$F74</f>
        <v>-1023.41332687779</v>
      </c>
      <c r="CR78" s="43" t="n">
        <f aca="false">-CR72*$F74</f>
        <v>-1022.85106905056</v>
      </c>
      <c r="CS78" s="43" t="n">
        <f aca="false">-CS72*$F74</f>
        <v>-1033.50957561834</v>
      </c>
      <c r="CT78" s="43" t="n">
        <f aca="false">-CT72*$F74</f>
        <v>-0</v>
      </c>
      <c r="CU78" s="43" t="n">
        <f aca="false">-CU72*$F74</f>
        <v>-0</v>
      </c>
      <c r="CV78" s="43" t="n">
        <f aca="false">-CV72*$F74</f>
        <v>-0</v>
      </c>
      <c r="CW78" s="43" t="n">
        <f aca="false">-CW72*$F74</f>
        <v>-0</v>
      </c>
      <c r="CX78" s="43" t="n">
        <f aca="false">-CX72*$F74</f>
        <v>-0</v>
      </c>
      <c r="CY78" s="43" t="n">
        <f aca="false">-CY72*$F74</f>
        <v>-0</v>
      </c>
      <c r="CZ78" s="43" t="n">
        <f aca="false">-CZ72*$F74</f>
        <v>-0</v>
      </c>
      <c r="DA78" s="43" t="n">
        <f aca="false">-DA72*$F74</f>
        <v>-0</v>
      </c>
      <c r="DB78" s="43" t="n">
        <f aca="false">-DB72*$F74</f>
        <v>-0</v>
      </c>
      <c r="DC78" s="43" t="n">
        <f aca="false">-DC72*$F74</f>
        <v>-0</v>
      </c>
      <c r="DD78" s="43" t="n">
        <f aca="false">-DD72*$F74</f>
        <v>-0</v>
      </c>
      <c r="DE78" s="43" t="n">
        <f aca="false">-DE72*$F74</f>
        <v>-0</v>
      </c>
      <c r="DF78" s="43" t="n">
        <f aca="false">-DF72*$F74</f>
        <v>-0</v>
      </c>
      <c r="DG78" s="43" t="n">
        <f aca="false">-DG72*$F74</f>
        <v>-0</v>
      </c>
      <c r="DH78" s="43" t="n">
        <f aca="false">-DH72*$F74</f>
        <v>-0</v>
      </c>
      <c r="DI78" s="43" t="n">
        <f aca="false">-DI72*$F74</f>
        <v>-0</v>
      </c>
      <c r="DJ78" s="43" t="n">
        <f aca="false">-DJ72*$F74</f>
        <v>-0</v>
      </c>
      <c r="DK78" s="43" t="n">
        <f aca="false">-DK72*$F74</f>
        <v>-0</v>
      </c>
      <c r="DL78" s="43" t="n">
        <f aca="false">-DL72*$F74</f>
        <v>-0</v>
      </c>
      <c r="DM78" s="43" t="n">
        <f aca="false">-DM72*$F74</f>
        <v>-0</v>
      </c>
      <c r="DN78" s="43" t="n">
        <f aca="false">-DN72*$F74</f>
        <v>-0</v>
      </c>
      <c r="DO78" s="43" t="n">
        <f aca="false">-DO72*$F74</f>
        <v>-0</v>
      </c>
      <c r="DP78" s="43" t="n">
        <f aca="false">-DP72*$F74</f>
        <v>-0</v>
      </c>
      <c r="DQ78" s="43" t="n">
        <f aca="false">-DQ72*$F74</f>
        <v>-0</v>
      </c>
      <c r="DR78" s="43" t="n">
        <f aca="false">-DR72*$F74</f>
        <v>-0</v>
      </c>
      <c r="DS78" s="43" t="n">
        <f aca="false">-DS72*$F74</f>
        <v>-0</v>
      </c>
      <c r="DT78" s="43" t="n">
        <f aca="false">-DT72*$F74</f>
        <v>-0</v>
      </c>
      <c r="DU78" s="43" t="n">
        <f aca="false">-DU72*$F74</f>
        <v>-0</v>
      </c>
      <c r="DV78" s="43" t="n">
        <f aca="false">-DV72*$F74</f>
        <v>-0</v>
      </c>
      <c r="DW78" s="43" t="n">
        <f aca="false">-DW72*$F74</f>
        <v>-0</v>
      </c>
      <c r="DX78" s="43" t="n">
        <f aca="false">-DX72*$F74</f>
        <v>-0</v>
      </c>
      <c r="DY78" s="43" t="n">
        <f aca="false">-DY72*$F74</f>
        <v>-0</v>
      </c>
      <c r="DZ78" s="43" t="n">
        <f aca="false">-DZ72*$F74</f>
        <v>-0</v>
      </c>
      <c r="EA78" s="43" t="n">
        <f aca="false">-EA72*$F74</f>
        <v>-0</v>
      </c>
      <c r="EB78" s="43" t="n">
        <f aca="false">-EB72*$F74</f>
        <v>-0</v>
      </c>
      <c r="EC78" s="43" t="n">
        <f aca="false">-EC72*$F74</f>
        <v>-0</v>
      </c>
      <c r="ED78" s="43" t="n">
        <f aca="false">-ED72*$F74</f>
        <v>-0</v>
      </c>
      <c r="EE78" s="43" t="n">
        <f aca="false">-EE72*$F74</f>
        <v>-0</v>
      </c>
      <c r="EF78" s="43" t="n">
        <f aca="false">-EF72*$F74</f>
        <v>-0</v>
      </c>
      <c r="EG78" s="43" t="n">
        <f aca="false">-EG72*$F74</f>
        <v>-0</v>
      </c>
      <c r="EH78" s="43" t="n">
        <f aca="false">-EH72*$F74</f>
        <v>-0</v>
      </c>
      <c r="EI78" s="43" t="n">
        <f aca="false">-EI72*$F74</f>
        <v>-0</v>
      </c>
      <c r="EJ78" s="43" t="n">
        <f aca="false">-EJ72*$F74</f>
        <v>-0</v>
      </c>
      <c r="EK78" s="43" t="n">
        <f aca="false">-EK72*$F74</f>
        <v>-0</v>
      </c>
      <c r="EL78" s="43" t="n">
        <f aca="false">-EL72*$F74</f>
        <v>-0</v>
      </c>
      <c r="EM78" s="43" t="n">
        <f aca="false">-EM72*$F74</f>
        <v>-0</v>
      </c>
      <c r="EN78" s="43" t="n">
        <f aca="false">-EN72*$F74</f>
        <v>-0</v>
      </c>
      <c r="EO78" s="43" t="n">
        <f aca="false">-EO72*$F74</f>
        <v>-0</v>
      </c>
    </row>
    <row r="79" customFormat="false" ht="15" hidden="false" customHeight="false" outlineLevel="0" collapsed="false">
      <c r="C79" s="0" t="s">
        <v>385</v>
      </c>
      <c r="D79" s="11" t="s">
        <v>33</v>
      </c>
      <c r="J79" s="19" t="n">
        <f aca="false">I83</f>
        <v>0</v>
      </c>
      <c r="K79" s="19" t="n">
        <f aca="false">J83</f>
        <v>0</v>
      </c>
      <c r="L79" s="19" t="n">
        <f aca="false">K83</f>
        <v>0</v>
      </c>
      <c r="M79" s="19" t="n">
        <f aca="false">L83</f>
        <v>0</v>
      </c>
      <c r="N79" s="19" t="n">
        <f aca="false">M83</f>
        <v>0</v>
      </c>
      <c r="O79" s="19" t="n">
        <f aca="false">N83</f>
        <v>0</v>
      </c>
      <c r="P79" s="19" t="n">
        <f aca="false">O83</f>
        <v>0</v>
      </c>
      <c r="Q79" s="19" t="n">
        <f aca="false">P83</f>
        <v>0</v>
      </c>
      <c r="R79" s="19" t="n">
        <f aca="false">Q83</f>
        <v>0</v>
      </c>
      <c r="S79" s="19" t="n">
        <f aca="false">R83</f>
        <v>4960.34383561644</v>
      </c>
      <c r="T79" s="19" t="n">
        <f aca="false">S83</f>
        <v>15583.2346130137</v>
      </c>
      <c r="U79" s="19" t="n">
        <f aca="false">T83</f>
        <v>20684.4521004709</v>
      </c>
      <c r="V79" s="19" t="n">
        <f aca="false">U83</f>
        <v>25903.3515873432</v>
      </c>
      <c r="W79" s="19" t="n">
        <f aca="false">V83</f>
        <v>31187.4873178014</v>
      </c>
      <c r="X79" s="19" t="n">
        <f aca="false">W83</f>
        <v>36429.8411832466</v>
      </c>
      <c r="Y79" s="19" t="n">
        <f aca="false">X83</f>
        <v>41791.6412528317</v>
      </c>
      <c r="Z79" s="19" t="n">
        <f aca="false">Y83</f>
        <v>48499.3806041085</v>
      </c>
      <c r="AA79" s="19" t="n">
        <f aca="false">Z83</f>
        <v>48082.050324675</v>
      </c>
      <c r="AB79" s="19" t="n">
        <f aca="false">AA83</f>
        <v>47675.20983152</v>
      </c>
      <c r="AC79" s="19" t="n">
        <f aca="false">AB83</f>
        <v>47252.3536805829</v>
      </c>
      <c r="AD79" s="19" t="n">
        <f aca="false">AC83</f>
        <v>46813.2862431818</v>
      </c>
      <c r="AE79" s="19" t="n">
        <f aca="false">AD83</f>
        <v>46372.4226824583</v>
      </c>
      <c r="AF79" s="19" t="n">
        <f aca="false">AE83</f>
        <v>45930.8109103512</v>
      </c>
      <c r="AG79" s="19" t="n">
        <f aca="false">AF83</f>
        <v>45483.8049215333</v>
      </c>
      <c r="AH79" s="19" t="n">
        <f aca="false">AG83</f>
        <v>45028.6820848586</v>
      </c>
      <c r="AI79" s="19" t="n">
        <f aca="false">AH83</f>
        <v>44575.8862549004</v>
      </c>
      <c r="AJ79" s="19" t="n">
        <f aca="false">AI83</f>
        <v>44133.2691552642</v>
      </c>
      <c r="AK79" s="19" t="n">
        <f aca="false">AJ83</f>
        <v>43664.9500333848</v>
      </c>
      <c r="AL79" s="19" t="n">
        <f aca="false">AK83</f>
        <v>43180.1119842185</v>
      </c>
      <c r="AM79" s="19" t="n">
        <f aca="false">AL83</f>
        <v>42692.9316896135</v>
      </c>
      <c r="AN79" s="19" t="n">
        <f aca="false">AM83</f>
        <v>42215.8538964921</v>
      </c>
      <c r="AO79" s="19" t="n">
        <f aca="false">AN83</f>
        <v>41722.1248219566</v>
      </c>
      <c r="AP79" s="19" t="n">
        <f aca="false">AO83</f>
        <v>41211.5458215804</v>
      </c>
      <c r="AQ79" s="19" t="n">
        <f aca="false">AP83</f>
        <v>40698.3389910825</v>
      </c>
      <c r="AR79" s="19" t="n">
        <f aca="false">AQ83</f>
        <v>40195.0483818326</v>
      </c>
      <c r="AS79" s="19" t="n">
        <f aca="false">AR83</f>
        <v>39674.7669144069</v>
      </c>
      <c r="AT79" s="19" t="n">
        <f aca="false">AS83</f>
        <v>39137.2918933374</v>
      </c>
      <c r="AU79" s="19" t="n">
        <f aca="false">AT83</f>
        <v>38596.8897470796</v>
      </c>
      <c r="AV79" s="19" t="n">
        <f aca="false">AU83</f>
        <v>38055.1921430463</v>
      </c>
      <c r="AW79" s="19" t="n">
        <f aca="false">AV83</f>
        <v>37507.032260989</v>
      </c>
      <c r="AX79" s="19" t="n">
        <f aca="false">AW83</f>
        <v>36941.3204138028</v>
      </c>
      <c r="AY79" s="19" t="n">
        <f aca="false">AX83</f>
        <v>36372.3662190009</v>
      </c>
      <c r="AZ79" s="19" t="n">
        <f aca="false">AY83</f>
        <v>35812.9150441948</v>
      </c>
      <c r="BA79" s="19" t="n">
        <f aca="false">AZ83</f>
        <v>35235.7524437118</v>
      </c>
      <c r="BB79" s="19" t="n">
        <f aca="false">BA83</f>
        <v>34640.6671259456</v>
      </c>
      <c r="BC79" s="19" t="n">
        <f aca="false">BB83</f>
        <v>34042.0107450975</v>
      </c>
      <c r="BD79" s="19" t="n">
        <f aca="false">BC83</f>
        <v>33452.6307162553</v>
      </c>
      <c r="BE79" s="19" t="n">
        <f aca="false">BD83</f>
        <v>32845.1585705488</v>
      </c>
      <c r="BF79" s="19" t="n">
        <f aca="false">BE83</f>
        <v>32219.3784748483</v>
      </c>
      <c r="BG79" s="19" t="n">
        <f aca="false">BF83</f>
        <v>31589.6829032926</v>
      </c>
      <c r="BH79" s="19" t="n">
        <f aca="false">BG83</f>
        <v>30969.0222506763</v>
      </c>
      <c r="BI79" s="19" t="n">
        <f aca="false">BH83</f>
        <v>30329.8738118454</v>
      </c>
      <c r="BJ79" s="19" t="n">
        <f aca="false">BI83</f>
        <v>29672.0170334622</v>
      </c>
      <c r="BK79" s="19" t="n">
        <f aca="false">BJ83</f>
        <v>29009.8839448885</v>
      </c>
      <c r="BL79" s="19" t="n">
        <f aca="false">BK83</f>
        <v>28345.4240431591</v>
      </c>
      <c r="BM79" s="19" t="n">
        <f aca="false">BL83</f>
        <v>27673.0373487158</v>
      </c>
      <c r="BN79" s="19" t="n">
        <f aca="false">BM83</f>
        <v>26981.5244790355</v>
      </c>
      <c r="BO79" s="19" t="n">
        <f aca="false">BN83</f>
        <v>26285.3556857133</v>
      </c>
      <c r="BP79" s="19" t="n">
        <f aca="false">BO83</f>
        <v>25597.6901354762</v>
      </c>
      <c r="BQ79" s="19" t="n">
        <f aca="false">BP83</f>
        <v>24890.6960523719</v>
      </c>
      <c r="BR79" s="19" t="n">
        <f aca="false">BQ83</f>
        <v>24164.1428532259</v>
      </c>
      <c r="BS79" s="19" t="n">
        <f aca="false">BR83</f>
        <v>23432.5376647443</v>
      </c>
      <c r="BT79" s="19" t="n">
        <f aca="false">BS83</f>
        <v>22709.1454813284</v>
      </c>
      <c r="BU79" s="19" t="n">
        <f aca="false">BT83</f>
        <v>21965.9797418953</v>
      </c>
      <c r="BV79" s="19" t="n">
        <f aca="false">BU83</f>
        <v>21202.8045542876</v>
      </c>
      <c r="BW79" s="19" t="n">
        <f aca="false">BV83</f>
        <v>20434.1625027424</v>
      </c>
      <c r="BX79" s="19" t="n">
        <f aca="false">BW83</f>
        <v>19673.4253760919</v>
      </c>
      <c r="BY79" s="19" t="n">
        <f aca="false">BX83</f>
        <v>18892.4516770204</v>
      </c>
      <c r="BZ79" s="19" t="n">
        <f aca="false">BY83</f>
        <v>18090.9999897337</v>
      </c>
      <c r="CA79" s="19" t="n">
        <f aca="false">BZ83</f>
        <v>17283.6468843447</v>
      </c>
      <c r="CB79" s="19" t="n">
        <f aca="false">CA83</f>
        <v>16472.6945492182</v>
      </c>
      <c r="CC79" s="19" t="n">
        <f aca="false">CB83</f>
        <v>15652.0678138086</v>
      </c>
      <c r="CD79" s="19" t="n">
        <f aca="false">CC83</f>
        <v>14810.4738955447</v>
      </c>
      <c r="CE79" s="19" t="n">
        <f aca="false">CD83</f>
        <v>13962.5218040572</v>
      </c>
      <c r="CF79" s="19" t="n">
        <f aca="false">CE83</f>
        <v>13121.7998317408</v>
      </c>
      <c r="CG79" s="19" t="n">
        <f aca="false">CF83</f>
        <v>12259.8562018159</v>
      </c>
      <c r="CH79" s="19" t="n">
        <f aca="false">CG83</f>
        <v>11376.4377467391</v>
      </c>
      <c r="CI79" s="19" t="n">
        <f aca="false">CH83</f>
        <v>10486.1843489067</v>
      </c>
      <c r="CJ79" s="19" t="n">
        <f aca="false">CI83</f>
        <v>9602.79404464728</v>
      </c>
      <c r="CK79" s="19" t="n">
        <f aca="false">CJ83</f>
        <v>8697.65976614608</v>
      </c>
      <c r="CL79" s="19" t="n">
        <f aca="false">CK83</f>
        <v>7770.52211479062</v>
      </c>
      <c r="CM79" s="19" t="n">
        <f aca="false">CL83</f>
        <v>6836.05020170816</v>
      </c>
      <c r="CN79" s="19" t="n">
        <f aca="false">CM83</f>
        <v>5908.05280690533</v>
      </c>
      <c r="CO79" s="19" t="n">
        <f aca="false">CN83</f>
        <v>4957.76748779481</v>
      </c>
      <c r="CP79" s="19" t="n">
        <f aca="false">CO83</f>
        <v>3984.92835661489</v>
      </c>
      <c r="CQ79" s="19" t="n">
        <f aca="false">CP83</f>
        <v>3004.23204819373</v>
      </c>
      <c r="CR79" s="19" t="n">
        <f aca="false">CQ83</f>
        <v>2018.37162191836</v>
      </c>
      <c r="CS79" s="19" t="n">
        <f aca="false">CR83</f>
        <v>1020.75019814178</v>
      </c>
      <c r="CT79" s="19" t="n">
        <f aca="false">CS83</f>
        <v>2.11571204999927E-010</v>
      </c>
      <c r="CU79" s="19" t="n">
        <f aca="false">CT83</f>
        <v>2.14215845062427E-010</v>
      </c>
      <c r="CV79" s="19" t="n">
        <f aca="false">CU83</f>
        <v>2.16893543125707E-010</v>
      </c>
      <c r="CW79" s="19" t="n">
        <f aca="false">CV83</f>
        <v>2.19604712414778E-010</v>
      </c>
      <c r="CX79" s="19" t="n">
        <f aca="false">CW83</f>
        <v>2.22349771319963E-010</v>
      </c>
      <c r="CY79" s="19" t="n">
        <f aca="false">CX83</f>
        <v>2.25129143461462E-010</v>
      </c>
      <c r="CZ79" s="19" t="n">
        <f aca="false">CY83</f>
        <v>2.27943257754731E-010</v>
      </c>
      <c r="DA79" s="19" t="n">
        <f aca="false">CZ83</f>
        <v>2.30792548476665E-010</v>
      </c>
      <c r="DB79" s="19" t="n">
        <f aca="false">DA83</f>
        <v>2.33677455332623E-010</v>
      </c>
      <c r="DC79" s="19" t="n">
        <f aca="false">DB83</f>
        <v>2.36598423524281E-010</v>
      </c>
      <c r="DD79" s="19" t="n">
        <f aca="false">DC83</f>
        <v>2.39555903818334E-010</v>
      </c>
      <c r="DE79" s="19" t="n">
        <f aca="false">DD83</f>
        <v>2.42550352616064E-010</v>
      </c>
      <c r="DF79" s="19" t="n">
        <f aca="false">DE83</f>
        <v>2.45582232023764E-010</v>
      </c>
      <c r="DG79" s="19" t="n">
        <f aca="false">DF83</f>
        <v>2.48652009924062E-010</v>
      </c>
      <c r="DH79" s="19" t="n">
        <f aca="false">DG83</f>
        <v>2.51760160048112E-010</v>
      </c>
      <c r="DI79" s="19" t="n">
        <f aca="false">DH83</f>
        <v>2.54907162048714E-010</v>
      </c>
      <c r="DJ79" s="19" t="n">
        <f aca="false">DI83</f>
        <v>2.58093501574323E-010</v>
      </c>
      <c r="DK79" s="19" t="n">
        <f aca="false">DJ83</f>
        <v>2.61319670344002E-010</v>
      </c>
      <c r="DL79" s="19" t="n">
        <f aca="false">DK83</f>
        <v>2.64586166223302E-010</v>
      </c>
      <c r="DM79" s="19" t="n">
        <f aca="false">DL83</f>
        <v>2.67893493301093E-010</v>
      </c>
      <c r="DN79" s="19" t="n">
        <f aca="false">DM83</f>
        <v>2.71242161967357E-010</v>
      </c>
      <c r="DO79" s="19" t="n">
        <f aca="false">DN83</f>
        <v>2.74632688991949E-010</v>
      </c>
      <c r="DP79" s="19" t="n">
        <f aca="false">DO83</f>
        <v>2.78065597604348E-010</v>
      </c>
      <c r="DQ79" s="19" t="n">
        <f aca="false">DP83</f>
        <v>2.81541417574402E-010</v>
      </c>
      <c r="DR79" s="19" t="n">
        <f aca="false">DQ83</f>
        <v>2.85060685294082E-010</v>
      </c>
      <c r="DS79" s="19" t="n">
        <f aca="false">DR83</f>
        <v>2.88623943860258E-010</v>
      </c>
      <c r="DT79" s="19" t="n">
        <f aca="false">DS83</f>
        <v>2.92231743158512E-010</v>
      </c>
      <c r="DU79" s="19" t="n">
        <f aca="false">DT83</f>
        <v>2.95884639947993E-010</v>
      </c>
      <c r="DV79" s="19" t="n">
        <f aca="false">DU83</f>
        <v>2.99583197947343E-010</v>
      </c>
      <c r="DW79" s="19" t="n">
        <f aca="false">DV83</f>
        <v>3.03327987921685E-010</v>
      </c>
      <c r="DX79" s="19" t="n">
        <f aca="false">DW83</f>
        <v>3.07119587770706E-010</v>
      </c>
      <c r="DY79" s="19" t="n">
        <f aca="false">DX83</f>
        <v>3.10958582617839E-010</v>
      </c>
      <c r="DZ79" s="19" t="n">
        <f aca="false">DY83</f>
        <v>3.14845564900562E-010</v>
      </c>
      <c r="EA79" s="19" t="n">
        <f aca="false">DZ83</f>
        <v>3.1878113446182E-010</v>
      </c>
      <c r="EB79" s="19" t="n">
        <f aca="false">EA83</f>
        <v>3.22765898642592E-010</v>
      </c>
      <c r="EC79" s="19" t="n">
        <f aca="false">EB83</f>
        <v>3.26800472375625E-010</v>
      </c>
      <c r="ED79" s="19" t="n">
        <f aca="false">EC83</f>
        <v>3.3088547828032E-010</v>
      </c>
      <c r="EE79" s="19" t="n">
        <f aca="false">ED83</f>
        <v>3.35021546758824E-010</v>
      </c>
      <c r="EF79" s="19" t="n">
        <f aca="false">EE83</f>
        <v>3.39209316093309E-010</v>
      </c>
      <c r="EG79" s="19" t="n">
        <f aca="false">EF83</f>
        <v>3.43449432544476E-010</v>
      </c>
      <c r="EH79" s="19" t="n">
        <f aca="false">EG83</f>
        <v>3.47742550451282E-010</v>
      </c>
      <c r="EI79" s="19" t="n">
        <f aca="false">EH83</f>
        <v>3.52089332331923E-010</v>
      </c>
      <c r="EJ79" s="19" t="n">
        <f aca="false">EI83</f>
        <v>3.56490448986072E-010</v>
      </c>
      <c r="EK79" s="19" t="n">
        <f aca="false">EJ83</f>
        <v>3.60946579598397E-010</v>
      </c>
      <c r="EL79" s="19" t="n">
        <f aca="false">EK83</f>
        <v>3.65458411843377E-010</v>
      </c>
      <c r="EM79" s="19" t="n">
        <f aca="false">EL83</f>
        <v>3.7002664199142E-010</v>
      </c>
      <c r="EN79" s="19" t="n">
        <f aca="false">EM83</f>
        <v>3.74651975016312E-010</v>
      </c>
      <c r="EO79" s="19" t="n">
        <f aca="false">EN83</f>
        <v>3.79335124704016E-010</v>
      </c>
    </row>
    <row r="80" customFormat="false" ht="15" hidden="false" customHeight="false" outlineLevel="0" collapsed="false">
      <c r="C80" s="0" t="s">
        <v>386</v>
      </c>
      <c r="D80" s="11" t="s">
        <v>33</v>
      </c>
      <c r="I80" s="43" t="n">
        <f aca="false">SUM(J80:EO80)</f>
        <v>46292.6262054795</v>
      </c>
      <c r="J80" s="43" t="n">
        <f aca="false">-$E74*J54</f>
        <v>0</v>
      </c>
      <c r="K80" s="43" t="n">
        <f aca="false">-$E74*K54</f>
        <v>0</v>
      </c>
      <c r="L80" s="43" t="n">
        <f aca="false">-$E74*L54</f>
        <v>0</v>
      </c>
      <c r="M80" s="43" t="n">
        <f aca="false">-$E74*M54</f>
        <v>0</v>
      </c>
      <c r="N80" s="43" t="n">
        <f aca="false">-$E74*N54</f>
        <v>0</v>
      </c>
      <c r="O80" s="43" t="n">
        <f aca="false">-$E74*O54</f>
        <v>0</v>
      </c>
      <c r="P80" s="43" t="n">
        <f aca="false">-$E74*P54</f>
        <v>0</v>
      </c>
      <c r="Q80" s="43" t="n">
        <f aca="false">-$E74*Q54</f>
        <v>0</v>
      </c>
      <c r="R80" s="43" t="n">
        <f aca="false">-$E74*R54</f>
        <v>4960.34383561644</v>
      </c>
      <c r="S80" s="43" t="n">
        <f aca="false">-$E74*S54</f>
        <v>10560.8864794521</v>
      </c>
      <c r="T80" s="43" t="n">
        <f aca="false">-$E74*T54</f>
        <v>4906.42705479452</v>
      </c>
      <c r="U80" s="43" t="n">
        <f aca="false">-$E74*U54</f>
        <v>4960.34383561644</v>
      </c>
      <c r="V80" s="43" t="n">
        <f aca="false">-$E74*V54</f>
        <v>4960.34383561644</v>
      </c>
      <c r="W80" s="43" t="n">
        <f aca="false">-$E74*W54</f>
        <v>4852.5102739726</v>
      </c>
      <c r="X80" s="43" t="n">
        <f aca="false">-$E74*X54</f>
        <v>4906.42705479452</v>
      </c>
      <c r="Y80" s="43" t="n">
        <f aca="false">-$E74*Y54</f>
        <v>6185.34383561644</v>
      </c>
      <c r="Z80" s="43" t="n">
        <f aca="false">-$E74*Z54</f>
        <v>0</v>
      </c>
      <c r="AA80" s="43" t="n">
        <f aca="false">-$E74*AA54</f>
        <v>0</v>
      </c>
      <c r="AB80" s="43" t="n">
        <f aca="false">-$E74*AB54</f>
        <v>0</v>
      </c>
      <c r="AC80" s="43" t="n">
        <f aca="false">-$E74*AC54</f>
        <v>0</v>
      </c>
      <c r="AD80" s="43" t="n">
        <f aca="false">-$E74*AD54</f>
        <v>0</v>
      </c>
      <c r="AE80" s="43" t="n">
        <f aca="false">-$E74*AE54</f>
        <v>0</v>
      </c>
      <c r="AF80" s="43" t="n">
        <f aca="false">-$E74*AF54</f>
        <v>0</v>
      </c>
      <c r="AG80" s="43" t="n">
        <f aca="false">-$E74*AG54</f>
        <v>0</v>
      </c>
      <c r="AH80" s="43" t="n">
        <f aca="false">-$E74*AH54</f>
        <v>0</v>
      </c>
      <c r="AI80" s="43" t="n">
        <f aca="false">-$E74*AI54</f>
        <v>0</v>
      </c>
      <c r="AJ80" s="43" t="n">
        <f aca="false">-$E74*AJ54</f>
        <v>0</v>
      </c>
      <c r="AK80" s="43" t="n">
        <f aca="false">-$E74*AK54</f>
        <v>0</v>
      </c>
      <c r="AL80" s="43" t="n">
        <f aca="false">-$E74*AL54</f>
        <v>0</v>
      </c>
      <c r="AM80" s="43" t="n">
        <f aca="false">-$E74*AM54</f>
        <v>0</v>
      </c>
      <c r="AN80" s="43" t="n">
        <f aca="false">-$E74*AN54</f>
        <v>0</v>
      </c>
      <c r="AO80" s="43" t="n">
        <f aca="false">-$E74*AO54</f>
        <v>0</v>
      </c>
      <c r="AP80" s="43" t="n">
        <f aca="false">-$E74*AP54</f>
        <v>0</v>
      </c>
      <c r="AQ80" s="43" t="n">
        <f aca="false">-$E74*AQ54</f>
        <v>0</v>
      </c>
      <c r="AR80" s="43" t="n">
        <f aca="false">-$E74*AR54</f>
        <v>0</v>
      </c>
      <c r="AS80" s="43" t="n">
        <f aca="false">-$E74*AS54</f>
        <v>0</v>
      </c>
      <c r="AT80" s="43" t="n">
        <f aca="false">-$E74*AT54</f>
        <v>0</v>
      </c>
      <c r="AU80" s="43" t="n">
        <f aca="false">-$E74*AU54</f>
        <v>0</v>
      </c>
      <c r="AV80" s="43" t="n">
        <f aca="false">-$E74*AV54</f>
        <v>0</v>
      </c>
      <c r="AW80" s="43" t="n">
        <f aca="false">-$E74*AW54</f>
        <v>0</v>
      </c>
      <c r="AX80" s="43" t="n">
        <f aca="false">-$E74*AX54</f>
        <v>0</v>
      </c>
      <c r="AY80" s="43" t="n">
        <f aca="false">-$E74*AY54</f>
        <v>0</v>
      </c>
      <c r="AZ80" s="43" t="n">
        <f aca="false">-$E74*AZ54</f>
        <v>0</v>
      </c>
      <c r="BA80" s="43" t="n">
        <f aca="false">-$E74*BA54</f>
        <v>0</v>
      </c>
      <c r="BB80" s="43" t="n">
        <f aca="false">-$E74*BB54</f>
        <v>0</v>
      </c>
      <c r="BC80" s="43" t="n">
        <f aca="false">-$E74*BC54</f>
        <v>0</v>
      </c>
      <c r="BD80" s="43" t="n">
        <f aca="false">-$E74*BD54</f>
        <v>0</v>
      </c>
      <c r="BE80" s="43" t="n">
        <f aca="false">-$E74*BE54</f>
        <v>0</v>
      </c>
      <c r="BF80" s="43" t="n">
        <f aca="false">-$E74*BF54</f>
        <v>0</v>
      </c>
      <c r="BG80" s="43" t="n">
        <f aca="false">-$E74*BG54</f>
        <v>0</v>
      </c>
      <c r="BH80" s="43" t="n">
        <f aca="false">-$E74*BH54</f>
        <v>0</v>
      </c>
      <c r="BI80" s="43" t="n">
        <f aca="false">-$E74*BI54</f>
        <v>0</v>
      </c>
      <c r="BJ80" s="43" t="n">
        <f aca="false">-$E74*BJ54</f>
        <v>0</v>
      </c>
      <c r="BK80" s="43" t="n">
        <f aca="false">-$E74*BK54</f>
        <v>0</v>
      </c>
      <c r="BL80" s="43" t="n">
        <f aca="false">-$E74*BL54</f>
        <v>0</v>
      </c>
      <c r="BM80" s="43" t="n">
        <f aca="false">-$E74*BM54</f>
        <v>0</v>
      </c>
      <c r="BN80" s="43" t="n">
        <f aca="false">-$E74*BN54</f>
        <v>0</v>
      </c>
      <c r="BO80" s="43" t="n">
        <f aca="false">-$E74*BO54</f>
        <v>0</v>
      </c>
      <c r="BP80" s="43" t="n">
        <f aca="false">-$E74*BP54</f>
        <v>0</v>
      </c>
      <c r="BQ80" s="43" t="n">
        <f aca="false">-$E74*BQ54</f>
        <v>0</v>
      </c>
      <c r="BR80" s="43" t="n">
        <f aca="false">-$E74*BR54</f>
        <v>0</v>
      </c>
      <c r="BS80" s="43" t="n">
        <f aca="false">-$E74*BS54</f>
        <v>0</v>
      </c>
      <c r="BT80" s="43" t="n">
        <f aca="false">-$E74*BT54</f>
        <v>0</v>
      </c>
      <c r="BU80" s="43" t="n">
        <f aca="false">-$E74*BU54</f>
        <v>0</v>
      </c>
      <c r="BV80" s="43" t="n">
        <f aca="false">-$E74*BV54</f>
        <v>0</v>
      </c>
      <c r="BW80" s="43" t="n">
        <f aca="false">-$E74*BW54</f>
        <v>0</v>
      </c>
      <c r="BX80" s="43" t="n">
        <f aca="false">-$E74*BX54</f>
        <v>0</v>
      </c>
      <c r="BY80" s="43" t="n">
        <f aca="false">-$E74*BY54</f>
        <v>0</v>
      </c>
      <c r="BZ80" s="43" t="n">
        <f aca="false">-$E74*BZ54</f>
        <v>0</v>
      </c>
      <c r="CA80" s="43" t="n">
        <f aca="false">-$E74*CA54</f>
        <v>0</v>
      </c>
      <c r="CB80" s="43" t="n">
        <f aca="false">-$E74*CB54</f>
        <v>0</v>
      </c>
      <c r="CC80" s="43" t="n">
        <f aca="false">-$E74*CC54</f>
        <v>0</v>
      </c>
      <c r="CD80" s="43" t="n">
        <f aca="false">-$E74*CD54</f>
        <v>0</v>
      </c>
      <c r="CE80" s="43" t="n">
        <f aca="false">-$E74*CE54</f>
        <v>0</v>
      </c>
      <c r="CF80" s="43" t="n">
        <f aca="false">-$E74*CF54</f>
        <v>0</v>
      </c>
      <c r="CG80" s="43" t="n">
        <f aca="false">-$E74*CG54</f>
        <v>0</v>
      </c>
      <c r="CH80" s="43" t="n">
        <f aca="false">-$E74*CH54</f>
        <v>0</v>
      </c>
      <c r="CI80" s="43" t="n">
        <f aca="false">-$E74*CI54</f>
        <v>0</v>
      </c>
      <c r="CJ80" s="43" t="n">
        <f aca="false">-$E74*CJ54</f>
        <v>0</v>
      </c>
      <c r="CK80" s="43" t="n">
        <f aca="false">-$E74*CK54</f>
        <v>0</v>
      </c>
      <c r="CL80" s="43" t="n">
        <f aca="false">-$E74*CL54</f>
        <v>0</v>
      </c>
      <c r="CM80" s="43" t="n">
        <f aca="false">-$E74*CM54</f>
        <v>0</v>
      </c>
      <c r="CN80" s="43" t="n">
        <f aca="false">-$E74*CN54</f>
        <v>0</v>
      </c>
      <c r="CO80" s="43" t="n">
        <f aca="false">-$E74*CO54</f>
        <v>0</v>
      </c>
      <c r="CP80" s="43" t="n">
        <f aca="false">-$E74*CP54</f>
        <v>0</v>
      </c>
      <c r="CQ80" s="43" t="n">
        <f aca="false">-$E74*CQ54</f>
        <v>0</v>
      </c>
      <c r="CR80" s="43" t="n">
        <f aca="false">-$E74*CR54</f>
        <v>0</v>
      </c>
      <c r="CS80" s="43" t="n">
        <f aca="false">-$E74*CS54</f>
        <v>0</v>
      </c>
      <c r="CT80" s="43" t="n">
        <f aca="false">-$E74*CT54</f>
        <v>0</v>
      </c>
      <c r="CU80" s="43" t="n">
        <f aca="false">-$E74*CU54</f>
        <v>0</v>
      </c>
      <c r="CV80" s="43" t="n">
        <f aca="false">-$E74*CV54</f>
        <v>0</v>
      </c>
      <c r="CW80" s="43" t="n">
        <f aca="false">-$E74*CW54</f>
        <v>0</v>
      </c>
      <c r="CX80" s="43" t="n">
        <f aca="false">-$E74*CX54</f>
        <v>0</v>
      </c>
      <c r="CY80" s="43" t="n">
        <f aca="false">-$E74*CY54</f>
        <v>0</v>
      </c>
      <c r="CZ80" s="43" t="n">
        <f aca="false">-$E74*CZ54</f>
        <v>0</v>
      </c>
      <c r="DA80" s="43" t="n">
        <f aca="false">-$E74*DA54</f>
        <v>0</v>
      </c>
      <c r="DB80" s="43" t="n">
        <f aca="false">-$E74*DB54</f>
        <v>0</v>
      </c>
      <c r="DC80" s="43" t="n">
        <f aca="false">-$E74*DC54</f>
        <v>0</v>
      </c>
      <c r="DD80" s="43" t="n">
        <f aca="false">-$E74*DD54</f>
        <v>0</v>
      </c>
      <c r="DE80" s="43" t="n">
        <f aca="false">-$E74*DE54</f>
        <v>0</v>
      </c>
      <c r="DF80" s="43" t="n">
        <f aca="false">-$E74*DF54</f>
        <v>0</v>
      </c>
      <c r="DG80" s="43" t="n">
        <f aca="false">-$E74*DG54</f>
        <v>0</v>
      </c>
      <c r="DH80" s="43" t="n">
        <f aca="false">-$E74*DH54</f>
        <v>0</v>
      </c>
      <c r="DI80" s="43" t="n">
        <f aca="false">-$E74*DI54</f>
        <v>0</v>
      </c>
      <c r="DJ80" s="43" t="n">
        <f aca="false">-$E74*DJ54</f>
        <v>0</v>
      </c>
      <c r="DK80" s="43" t="n">
        <f aca="false">-$E74*DK54</f>
        <v>0</v>
      </c>
      <c r="DL80" s="43" t="n">
        <f aca="false">-$E74*DL54</f>
        <v>0</v>
      </c>
      <c r="DM80" s="43" t="n">
        <f aca="false">-$E74*DM54</f>
        <v>0</v>
      </c>
      <c r="DN80" s="43" t="n">
        <f aca="false">-$E74*DN54</f>
        <v>0</v>
      </c>
      <c r="DO80" s="43" t="n">
        <f aca="false">-$E74*DO54</f>
        <v>0</v>
      </c>
      <c r="DP80" s="43" t="n">
        <f aca="false">-$E74*DP54</f>
        <v>0</v>
      </c>
      <c r="DQ80" s="43" t="n">
        <f aca="false">-$E74*DQ54</f>
        <v>0</v>
      </c>
      <c r="DR80" s="43" t="n">
        <f aca="false">-$E74*DR54</f>
        <v>0</v>
      </c>
      <c r="DS80" s="43" t="n">
        <f aca="false">-$E74*DS54</f>
        <v>0</v>
      </c>
      <c r="DT80" s="43" t="n">
        <f aca="false">-$E74*DT54</f>
        <v>0</v>
      </c>
      <c r="DU80" s="43" t="n">
        <f aca="false">-$E74*DU54</f>
        <v>0</v>
      </c>
      <c r="DV80" s="43" t="n">
        <f aca="false">-$E74*DV54</f>
        <v>0</v>
      </c>
      <c r="DW80" s="43" t="n">
        <f aca="false">-$E74*DW54</f>
        <v>0</v>
      </c>
      <c r="DX80" s="43" t="n">
        <f aca="false">-$E74*DX54</f>
        <v>0</v>
      </c>
      <c r="DY80" s="43" t="n">
        <f aca="false">-$E74*DY54</f>
        <v>0</v>
      </c>
      <c r="DZ80" s="43" t="n">
        <f aca="false">-$E74*DZ54</f>
        <v>0</v>
      </c>
      <c r="EA80" s="43" t="n">
        <f aca="false">-$E74*EA54</f>
        <v>0</v>
      </c>
      <c r="EB80" s="43" t="n">
        <f aca="false">-$E74*EB54</f>
        <v>0</v>
      </c>
      <c r="EC80" s="43" t="n">
        <f aca="false">-$E74*EC54</f>
        <v>0</v>
      </c>
      <c r="ED80" s="43" t="n">
        <f aca="false">-$E74*ED54</f>
        <v>0</v>
      </c>
      <c r="EE80" s="43" t="n">
        <f aca="false">-$E74*EE54</f>
        <v>0</v>
      </c>
      <c r="EF80" s="43" t="n">
        <f aca="false">-$E74*EF54</f>
        <v>0</v>
      </c>
      <c r="EG80" s="43" t="n">
        <f aca="false">-$E74*EG54</f>
        <v>0</v>
      </c>
      <c r="EH80" s="43" t="n">
        <f aca="false">-$E74*EH54</f>
        <v>0</v>
      </c>
      <c r="EI80" s="43" t="n">
        <f aca="false">-$E74*EI54</f>
        <v>0</v>
      </c>
      <c r="EJ80" s="43" t="n">
        <f aca="false">-$E74*EJ54</f>
        <v>0</v>
      </c>
      <c r="EK80" s="43" t="n">
        <f aca="false">-$E74*EK54</f>
        <v>0</v>
      </c>
      <c r="EL80" s="43" t="n">
        <f aca="false">-$E74*EL54</f>
        <v>0</v>
      </c>
      <c r="EM80" s="43" t="n">
        <f aca="false">-$E74*EM54</f>
        <v>0</v>
      </c>
      <c r="EN80" s="43" t="n">
        <f aca="false">-$E74*EN54</f>
        <v>0</v>
      </c>
      <c r="EO80" s="43" t="n">
        <f aca="false">-$E74*EO54</f>
        <v>0</v>
      </c>
    </row>
    <row r="81" customFormat="false" ht="15" hidden="false" customHeight="false" outlineLevel="0" collapsed="false">
      <c r="C81" s="0" t="s">
        <v>387</v>
      </c>
      <c r="D81" s="11" t="s">
        <v>33</v>
      </c>
      <c r="I81" s="43" t="n">
        <f aca="false">SUM(J81:EO81)</f>
        <v>2206.75439862905</v>
      </c>
      <c r="J81" s="43" t="n">
        <f aca="false">J79*$F21*(J$4&lt;=In_COD)</f>
        <v>0</v>
      </c>
      <c r="K81" s="43" t="n">
        <f aca="false">K79*$F21*(K$4&lt;=In_COD)</f>
        <v>0</v>
      </c>
      <c r="L81" s="43" t="n">
        <f aca="false">L79*$F21*(L$4&lt;=In_COD)</f>
        <v>0</v>
      </c>
      <c r="M81" s="43" t="n">
        <f aca="false">M79*$F21*(M$4&lt;=In_COD)</f>
        <v>0</v>
      </c>
      <c r="N81" s="43" t="n">
        <f aca="false">N79*$F21*(N$4&lt;=In_COD)</f>
        <v>0</v>
      </c>
      <c r="O81" s="43" t="n">
        <f aca="false">O79*$F21*(O$4&lt;=In_COD)</f>
        <v>0</v>
      </c>
      <c r="P81" s="43" t="n">
        <f aca="false">P79*$F21*(P$4&lt;=In_COD)</f>
        <v>0</v>
      </c>
      <c r="Q81" s="43" t="n">
        <f aca="false">Q79*$F21*(Q$4&lt;=In_COD)</f>
        <v>0</v>
      </c>
      <c r="R81" s="43" t="n">
        <f aca="false">R79*$F21*(R$4&lt;=In_COD)</f>
        <v>0</v>
      </c>
      <c r="S81" s="43" t="n">
        <f aca="false">S79*$F21*(S$4&lt;=In_COD)</f>
        <v>62.0042979452055</v>
      </c>
      <c r="T81" s="43" t="n">
        <f aca="false">T79*$F21*(T$4&lt;=In_COD)</f>
        <v>194.790432662671</v>
      </c>
      <c r="U81" s="43" t="n">
        <f aca="false">U79*$F21*(U$4&lt;=In_COD)</f>
        <v>258.555651255886</v>
      </c>
      <c r="V81" s="43" t="n">
        <f aca="false">V79*$F21*(V$4&lt;=In_COD)</f>
        <v>323.79189484179</v>
      </c>
      <c r="W81" s="43" t="n">
        <f aca="false">W79*$F21*(W$4&lt;=In_COD)</f>
        <v>389.843591472518</v>
      </c>
      <c r="X81" s="43" t="n">
        <f aca="false">X79*$F21*(X$4&lt;=In_COD)</f>
        <v>455.373014790582</v>
      </c>
      <c r="Y81" s="43" t="n">
        <f aca="false">Y79*$F21*(Y$4&lt;=In_COD)</f>
        <v>522.395515660396</v>
      </c>
      <c r="Z81" s="43" t="n">
        <f aca="false">Z79*$F21*(Z$4&lt;=In_COD)</f>
        <v>0</v>
      </c>
      <c r="AA81" s="43" t="n">
        <f aca="false">AA79*$F21*(AA$4&lt;=In_COD)</f>
        <v>0</v>
      </c>
      <c r="AB81" s="43" t="n">
        <f aca="false">AB79*$F21*(AB$4&lt;=In_COD)</f>
        <v>0</v>
      </c>
      <c r="AC81" s="43" t="n">
        <f aca="false">AC79*$F21*(AC$4&lt;=In_COD)</f>
        <v>0</v>
      </c>
      <c r="AD81" s="43" t="n">
        <f aca="false">AD79*$F21*(AD$4&lt;=In_COD)</f>
        <v>0</v>
      </c>
      <c r="AE81" s="43" t="n">
        <f aca="false">AE79*$F21*(AE$4&lt;=In_COD)</f>
        <v>0</v>
      </c>
      <c r="AF81" s="43" t="n">
        <f aca="false">AF79*$F21*(AF$4&lt;=In_COD)</f>
        <v>0</v>
      </c>
      <c r="AG81" s="43" t="n">
        <f aca="false">AG79*$F21*(AG$4&lt;=In_COD)</f>
        <v>0</v>
      </c>
      <c r="AH81" s="43" t="n">
        <f aca="false">AH79*$F21*(AH$4&lt;=In_COD)</f>
        <v>0</v>
      </c>
      <c r="AI81" s="43" t="n">
        <f aca="false">AI79*$F21*(AI$4&lt;=In_COD)</f>
        <v>0</v>
      </c>
      <c r="AJ81" s="43" t="n">
        <f aca="false">AJ79*$F21*(AJ$4&lt;=In_COD)</f>
        <v>0</v>
      </c>
      <c r="AK81" s="43" t="n">
        <f aca="false">AK79*$F21*(AK$4&lt;=In_COD)</f>
        <v>0</v>
      </c>
      <c r="AL81" s="43" t="n">
        <f aca="false">AL79*$F21*(AL$4&lt;=In_COD)</f>
        <v>0</v>
      </c>
      <c r="AM81" s="43" t="n">
        <f aca="false">AM79*$F21*(AM$4&lt;=In_COD)</f>
        <v>0</v>
      </c>
      <c r="AN81" s="43" t="n">
        <f aca="false">AN79*$F21*(AN$4&lt;=In_COD)</f>
        <v>0</v>
      </c>
      <c r="AO81" s="43" t="n">
        <f aca="false">AO79*$F21*(AO$4&lt;=In_COD)</f>
        <v>0</v>
      </c>
      <c r="AP81" s="43" t="n">
        <f aca="false">AP79*$F21*(AP$4&lt;=In_COD)</f>
        <v>0</v>
      </c>
      <c r="AQ81" s="43" t="n">
        <f aca="false">AQ79*$F21*(AQ$4&lt;=In_COD)</f>
        <v>0</v>
      </c>
      <c r="AR81" s="43" t="n">
        <f aca="false">AR79*$F21*(AR$4&lt;=In_COD)</f>
        <v>0</v>
      </c>
      <c r="AS81" s="43" t="n">
        <f aca="false">AS79*$F21*(AS$4&lt;=In_COD)</f>
        <v>0</v>
      </c>
      <c r="AT81" s="43" t="n">
        <f aca="false">AT79*$F21*(AT$4&lt;=In_COD)</f>
        <v>0</v>
      </c>
      <c r="AU81" s="43" t="n">
        <f aca="false">AU79*$F21*(AU$4&lt;=In_COD)</f>
        <v>0</v>
      </c>
      <c r="AV81" s="43" t="n">
        <f aca="false">AV79*$F21*(AV$4&lt;=In_COD)</f>
        <v>0</v>
      </c>
      <c r="AW81" s="43" t="n">
        <f aca="false">AW79*$F21*(AW$4&lt;=In_COD)</f>
        <v>0</v>
      </c>
      <c r="AX81" s="43" t="n">
        <f aca="false">AX79*$F21*(AX$4&lt;=In_COD)</f>
        <v>0</v>
      </c>
      <c r="AY81" s="43" t="n">
        <f aca="false">AY79*$F21*(AY$4&lt;=In_COD)</f>
        <v>0</v>
      </c>
      <c r="AZ81" s="43" t="n">
        <f aca="false">AZ79*$F21*(AZ$4&lt;=In_COD)</f>
        <v>0</v>
      </c>
      <c r="BA81" s="43" t="n">
        <f aca="false">BA79*$F21*(BA$4&lt;=In_COD)</f>
        <v>0</v>
      </c>
      <c r="BB81" s="43" t="n">
        <f aca="false">BB79*$F21*(BB$4&lt;=In_COD)</f>
        <v>0</v>
      </c>
      <c r="BC81" s="43" t="n">
        <f aca="false">BC79*$F21*(BC$4&lt;=In_COD)</f>
        <v>0</v>
      </c>
      <c r="BD81" s="43" t="n">
        <f aca="false">BD79*$F21*(BD$4&lt;=In_COD)</f>
        <v>0</v>
      </c>
      <c r="BE81" s="43" t="n">
        <f aca="false">BE79*$F21*(BE$4&lt;=In_COD)</f>
        <v>0</v>
      </c>
      <c r="BF81" s="43" t="n">
        <f aca="false">BF79*$F21*(BF$4&lt;=In_COD)</f>
        <v>0</v>
      </c>
      <c r="BG81" s="43" t="n">
        <f aca="false">BG79*$F21*(BG$4&lt;=In_COD)</f>
        <v>0</v>
      </c>
      <c r="BH81" s="43" t="n">
        <f aca="false">BH79*$F21*(BH$4&lt;=In_COD)</f>
        <v>0</v>
      </c>
      <c r="BI81" s="43" t="n">
        <f aca="false">BI79*$F21*(BI$4&lt;=In_COD)</f>
        <v>0</v>
      </c>
      <c r="BJ81" s="43" t="n">
        <f aca="false">BJ79*$F21*(BJ$4&lt;=In_COD)</f>
        <v>0</v>
      </c>
      <c r="BK81" s="43" t="n">
        <f aca="false">BK79*$F21*(BK$4&lt;=In_COD)</f>
        <v>0</v>
      </c>
      <c r="BL81" s="43" t="n">
        <f aca="false">BL79*$F21*(BL$4&lt;=In_COD)</f>
        <v>0</v>
      </c>
      <c r="BM81" s="43" t="n">
        <f aca="false">BM79*$F21*(BM$4&lt;=In_COD)</f>
        <v>0</v>
      </c>
      <c r="BN81" s="43" t="n">
        <f aca="false">BN79*$F21*(BN$4&lt;=In_COD)</f>
        <v>0</v>
      </c>
      <c r="BO81" s="43" t="n">
        <f aca="false">BO79*$F21*(BO$4&lt;=In_COD)</f>
        <v>0</v>
      </c>
      <c r="BP81" s="43" t="n">
        <f aca="false">BP79*$F21*(BP$4&lt;=In_COD)</f>
        <v>0</v>
      </c>
      <c r="BQ81" s="43" t="n">
        <f aca="false">BQ79*$F21*(BQ$4&lt;=In_COD)</f>
        <v>0</v>
      </c>
      <c r="BR81" s="43" t="n">
        <f aca="false">BR79*$F21*(BR$4&lt;=In_COD)</f>
        <v>0</v>
      </c>
      <c r="BS81" s="43" t="n">
        <f aca="false">BS79*$F21*(BS$4&lt;=In_COD)</f>
        <v>0</v>
      </c>
      <c r="BT81" s="43" t="n">
        <f aca="false">BT79*$F21*(BT$4&lt;=In_COD)</f>
        <v>0</v>
      </c>
      <c r="BU81" s="43" t="n">
        <f aca="false">BU79*$F21*(BU$4&lt;=In_COD)</f>
        <v>0</v>
      </c>
      <c r="BV81" s="43" t="n">
        <f aca="false">BV79*$F21*(BV$4&lt;=In_COD)</f>
        <v>0</v>
      </c>
      <c r="BW81" s="43" t="n">
        <f aca="false">BW79*$F21*(BW$4&lt;=In_COD)</f>
        <v>0</v>
      </c>
      <c r="BX81" s="43" t="n">
        <f aca="false">BX79*$F21*(BX$4&lt;=In_COD)</f>
        <v>0</v>
      </c>
      <c r="BY81" s="43" t="n">
        <f aca="false">BY79*$F21*(BY$4&lt;=In_COD)</f>
        <v>0</v>
      </c>
      <c r="BZ81" s="43" t="n">
        <f aca="false">BZ79*$F21*(BZ$4&lt;=In_COD)</f>
        <v>0</v>
      </c>
      <c r="CA81" s="43" t="n">
        <f aca="false">CA79*$F21*(CA$4&lt;=In_COD)</f>
        <v>0</v>
      </c>
      <c r="CB81" s="43" t="n">
        <f aca="false">CB79*$F21*(CB$4&lt;=In_COD)</f>
        <v>0</v>
      </c>
      <c r="CC81" s="43" t="n">
        <f aca="false">CC79*$F21*(CC$4&lt;=In_COD)</f>
        <v>0</v>
      </c>
      <c r="CD81" s="43" t="n">
        <f aca="false">CD79*$F21*(CD$4&lt;=In_COD)</f>
        <v>0</v>
      </c>
      <c r="CE81" s="43" t="n">
        <f aca="false">CE79*$F21*(CE$4&lt;=In_COD)</f>
        <v>0</v>
      </c>
      <c r="CF81" s="43" t="n">
        <f aca="false">CF79*$F21*(CF$4&lt;=In_COD)</f>
        <v>0</v>
      </c>
      <c r="CG81" s="43" t="n">
        <f aca="false">CG79*$F21*(CG$4&lt;=In_COD)</f>
        <v>0</v>
      </c>
      <c r="CH81" s="43" t="n">
        <f aca="false">CH79*$F21*(CH$4&lt;=In_COD)</f>
        <v>0</v>
      </c>
      <c r="CI81" s="43" t="n">
        <f aca="false">CI79*$F21*(CI$4&lt;=In_COD)</f>
        <v>0</v>
      </c>
      <c r="CJ81" s="43" t="n">
        <f aca="false">CJ79*$F21*(CJ$4&lt;=In_COD)</f>
        <v>0</v>
      </c>
      <c r="CK81" s="43" t="n">
        <f aca="false">CK79*$F21*(CK$4&lt;=In_COD)</f>
        <v>0</v>
      </c>
      <c r="CL81" s="43" t="n">
        <f aca="false">CL79*$F21*(CL$4&lt;=In_COD)</f>
        <v>0</v>
      </c>
      <c r="CM81" s="43" t="n">
        <f aca="false">CM79*$F21*(CM$4&lt;=In_COD)</f>
        <v>0</v>
      </c>
      <c r="CN81" s="43" t="n">
        <f aca="false">CN79*$F21*(CN$4&lt;=In_COD)</f>
        <v>0</v>
      </c>
      <c r="CO81" s="43" t="n">
        <f aca="false">CO79*$F21*(CO$4&lt;=In_COD)</f>
        <v>0</v>
      </c>
      <c r="CP81" s="43" t="n">
        <f aca="false">CP79*$F21*(CP$4&lt;=In_COD)</f>
        <v>0</v>
      </c>
      <c r="CQ81" s="43" t="n">
        <f aca="false">CQ79*$F21*(CQ$4&lt;=In_COD)</f>
        <v>0</v>
      </c>
      <c r="CR81" s="43" t="n">
        <f aca="false">CR79*$F21*(CR$4&lt;=In_COD)</f>
        <v>0</v>
      </c>
      <c r="CS81" s="43" t="n">
        <f aca="false">CS79*$F21*(CS$4&lt;=In_COD)</f>
        <v>0</v>
      </c>
      <c r="CT81" s="43" t="n">
        <f aca="false">CT79*$F21*(CT$4&lt;=In_COD)</f>
        <v>0</v>
      </c>
      <c r="CU81" s="43" t="n">
        <f aca="false">CU79*$F21*(CU$4&lt;=In_COD)</f>
        <v>0</v>
      </c>
      <c r="CV81" s="43" t="n">
        <f aca="false">CV79*$F21*(CV$4&lt;=In_COD)</f>
        <v>0</v>
      </c>
      <c r="CW81" s="43" t="n">
        <f aca="false">CW79*$F21*(CW$4&lt;=In_COD)</f>
        <v>0</v>
      </c>
      <c r="CX81" s="43" t="n">
        <f aca="false">CX79*$F21*(CX$4&lt;=In_COD)</f>
        <v>0</v>
      </c>
      <c r="CY81" s="43" t="n">
        <f aca="false">CY79*$F21*(CY$4&lt;=In_COD)</f>
        <v>0</v>
      </c>
      <c r="CZ81" s="43" t="n">
        <f aca="false">CZ79*$F21*(CZ$4&lt;=In_COD)</f>
        <v>0</v>
      </c>
      <c r="DA81" s="43" t="n">
        <f aca="false">DA79*$F21*(DA$4&lt;=In_COD)</f>
        <v>0</v>
      </c>
      <c r="DB81" s="43" t="n">
        <f aca="false">DB79*$F21*(DB$4&lt;=In_COD)</f>
        <v>0</v>
      </c>
      <c r="DC81" s="43" t="n">
        <f aca="false">DC79*$F21*(DC$4&lt;=In_COD)</f>
        <v>0</v>
      </c>
      <c r="DD81" s="43" t="n">
        <f aca="false">DD79*$F21*(DD$4&lt;=In_COD)</f>
        <v>0</v>
      </c>
      <c r="DE81" s="43" t="n">
        <f aca="false">DE79*$F21*(DE$4&lt;=In_COD)</f>
        <v>0</v>
      </c>
      <c r="DF81" s="43" t="n">
        <f aca="false">DF79*$F21*(DF$4&lt;=In_COD)</f>
        <v>0</v>
      </c>
      <c r="DG81" s="43" t="n">
        <f aca="false">DG79*$F21*(DG$4&lt;=In_COD)</f>
        <v>0</v>
      </c>
      <c r="DH81" s="43" t="n">
        <f aca="false">DH79*$F21*(DH$4&lt;=In_COD)</f>
        <v>0</v>
      </c>
      <c r="DI81" s="43" t="n">
        <f aca="false">DI79*$F21*(DI$4&lt;=In_COD)</f>
        <v>0</v>
      </c>
      <c r="DJ81" s="43" t="n">
        <f aca="false">DJ79*$F21*(DJ$4&lt;=In_COD)</f>
        <v>0</v>
      </c>
      <c r="DK81" s="43" t="n">
        <f aca="false">DK79*$F21*(DK$4&lt;=In_COD)</f>
        <v>0</v>
      </c>
      <c r="DL81" s="43" t="n">
        <f aca="false">DL79*$F21*(DL$4&lt;=In_COD)</f>
        <v>0</v>
      </c>
      <c r="DM81" s="43" t="n">
        <f aca="false">DM79*$F21*(DM$4&lt;=In_COD)</f>
        <v>0</v>
      </c>
      <c r="DN81" s="43" t="n">
        <f aca="false">DN79*$F21*(DN$4&lt;=In_COD)</f>
        <v>0</v>
      </c>
      <c r="DO81" s="43" t="n">
        <f aca="false">DO79*$F21*(DO$4&lt;=In_COD)</f>
        <v>0</v>
      </c>
      <c r="DP81" s="43" t="n">
        <f aca="false">DP79*$F21*(DP$4&lt;=In_COD)</f>
        <v>0</v>
      </c>
      <c r="DQ81" s="43" t="n">
        <f aca="false">DQ79*$F21*(DQ$4&lt;=In_COD)</f>
        <v>0</v>
      </c>
      <c r="DR81" s="43" t="n">
        <f aca="false">DR79*$F21*(DR$4&lt;=In_COD)</f>
        <v>0</v>
      </c>
      <c r="DS81" s="43" t="n">
        <f aca="false">DS79*$F21*(DS$4&lt;=In_COD)</f>
        <v>0</v>
      </c>
      <c r="DT81" s="43" t="n">
        <f aca="false">DT79*$F21*(DT$4&lt;=In_COD)</f>
        <v>0</v>
      </c>
      <c r="DU81" s="43" t="n">
        <f aca="false">DU79*$F21*(DU$4&lt;=In_COD)</f>
        <v>0</v>
      </c>
      <c r="DV81" s="43" t="n">
        <f aca="false">DV79*$F21*(DV$4&lt;=In_COD)</f>
        <v>0</v>
      </c>
      <c r="DW81" s="43" t="n">
        <f aca="false">DW79*$F21*(DW$4&lt;=In_COD)</f>
        <v>0</v>
      </c>
      <c r="DX81" s="43" t="n">
        <f aca="false">DX79*$F21*(DX$4&lt;=In_COD)</f>
        <v>0</v>
      </c>
      <c r="DY81" s="43" t="n">
        <f aca="false">DY79*$F21*(DY$4&lt;=In_COD)</f>
        <v>0</v>
      </c>
      <c r="DZ81" s="43" t="n">
        <f aca="false">DZ79*$F21*(DZ$4&lt;=In_COD)</f>
        <v>0</v>
      </c>
      <c r="EA81" s="43" t="n">
        <f aca="false">EA79*$F21*(EA$4&lt;=In_COD)</f>
        <v>0</v>
      </c>
      <c r="EB81" s="43" t="n">
        <f aca="false">EB79*$F21*(EB$4&lt;=In_COD)</f>
        <v>0</v>
      </c>
      <c r="EC81" s="43" t="n">
        <f aca="false">EC79*$F21*(EC$4&lt;=In_COD)</f>
        <v>0</v>
      </c>
      <c r="ED81" s="43" t="n">
        <f aca="false">ED79*$F21*(ED$4&lt;=In_COD)</f>
        <v>0</v>
      </c>
      <c r="EE81" s="43" t="n">
        <f aca="false">EE79*$F21*(EE$4&lt;=In_COD)</f>
        <v>0</v>
      </c>
      <c r="EF81" s="43" t="n">
        <f aca="false">EF79*$F21*(EF$4&lt;=In_COD)</f>
        <v>0</v>
      </c>
      <c r="EG81" s="43" t="n">
        <f aca="false">EG79*$F21*(EG$4&lt;=In_COD)</f>
        <v>0</v>
      </c>
      <c r="EH81" s="43" t="n">
        <f aca="false">EH79*$F21*(EH$4&lt;=In_COD)</f>
        <v>0</v>
      </c>
      <c r="EI81" s="43" t="n">
        <f aca="false">EI79*$F21*(EI$4&lt;=In_COD)</f>
        <v>0</v>
      </c>
      <c r="EJ81" s="43" t="n">
        <f aca="false">EJ79*$F21*(EJ$4&lt;=In_COD)</f>
        <v>0</v>
      </c>
      <c r="EK81" s="43" t="n">
        <f aca="false">EK79*$F21*(EK$4&lt;=In_COD)</f>
        <v>0</v>
      </c>
      <c r="EL81" s="43" t="n">
        <f aca="false">EL79*$F21*(EL$4&lt;=In_COD)</f>
        <v>0</v>
      </c>
      <c r="EM81" s="43" t="n">
        <f aca="false">EM79*$F21*(EM$4&lt;=In_COD)</f>
        <v>0</v>
      </c>
      <c r="EN81" s="43" t="n">
        <f aca="false">EN79*$F21*(EN$4&lt;=In_COD)</f>
        <v>0</v>
      </c>
      <c r="EO81" s="43" t="n">
        <f aca="false">EO79*$F21*(EO$4&lt;=In_COD)</f>
        <v>0</v>
      </c>
    </row>
    <row r="82" customFormat="false" ht="15" hidden="false" customHeight="false" outlineLevel="0" collapsed="false">
      <c r="C82" s="0" t="s">
        <v>388</v>
      </c>
      <c r="D82" s="11" t="s">
        <v>33</v>
      </c>
      <c r="I82" s="43" t="n">
        <f aca="false">SUM(J82:EO82)</f>
        <v>-48499.3806041081</v>
      </c>
      <c r="J82" s="43" t="n">
        <f aca="false">J78-J77</f>
        <v>0</v>
      </c>
      <c r="K82" s="43" t="n">
        <f aca="false">K78-K77</f>
        <v>0</v>
      </c>
      <c r="L82" s="43" t="n">
        <f aca="false">L78-L77</f>
        <v>0</v>
      </c>
      <c r="M82" s="43" t="n">
        <f aca="false">M78-M77</f>
        <v>0</v>
      </c>
      <c r="N82" s="43" t="n">
        <f aca="false">N78-N77</f>
        <v>0</v>
      </c>
      <c r="O82" s="43" t="n">
        <f aca="false">O78-O77</f>
        <v>0</v>
      </c>
      <c r="P82" s="43" t="n">
        <f aca="false">P78-P77</f>
        <v>0</v>
      </c>
      <c r="Q82" s="43" t="n">
        <f aca="false">Q78-Q77</f>
        <v>0</v>
      </c>
      <c r="R82" s="43" t="n">
        <f aca="false">R78-R77</f>
        <v>0</v>
      </c>
      <c r="S82" s="43" t="n">
        <f aca="false">S78-S77</f>
        <v>0</v>
      </c>
      <c r="T82" s="43" t="n">
        <f aca="false">T78-T77</f>
        <v>0</v>
      </c>
      <c r="U82" s="43" t="n">
        <f aca="false">U78-U77</f>
        <v>0</v>
      </c>
      <c r="V82" s="43" t="n">
        <f aca="false">V78-V77</f>
        <v>0</v>
      </c>
      <c r="W82" s="43" t="n">
        <f aca="false">W78-W77</f>
        <v>0</v>
      </c>
      <c r="X82" s="43" t="n">
        <f aca="false">X78-X77</f>
        <v>0</v>
      </c>
      <c r="Y82" s="43" t="n">
        <f aca="false">Y78-Y77</f>
        <v>0</v>
      </c>
      <c r="Z82" s="43" t="n">
        <f aca="false">Z78-Z77</f>
        <v>-417.330279433497</v>
      </c>
      <c r="AA82" s="43" t="n">
        <f aca="false">AA78-AA77</f>
        <v>-406.840493155019</v>
      </c>
      <c r="AB82" s="43" t="n">
        <f aca="false">AB78-AB77</f>
        <v>-422.856150937126</v>
      </c>
      <c r="AC82" s="43" t="n">
        <f aca="false">AC78-AC77</f>
        <v>-439.067437401031</v>
      </c>
      <c r="AD82" s="43" t="n">
        <f aca="false">AD78-AD77</f>
        <v>-440.863560723573</v>
      </c>
      <c r="AE82" s="43" t="n">
        <f aca="false">AE78-AE77</f>
        <v>-441.611772107057</v>
      </c>
      <c r="AF82" s="43" t="n">
        <f aca="false">AF78-AF77</f>
        <v>-447.005988817914</v>
      </c>
      <c r="AG82" s="43" t="n">
        <f aca="false">AG78-AG77</f>
        <v>-455.122836674689</v>
      </c>
      <c r="AH82" s="43" t="n">
        <f aca="false">AH78-AH77</f>
        <v>-452.795829958249</v>
      </c>
      <c r="AI82" s="43" t="n">
        <f aca="false">AI78-AI77</f>
        <v>-442.617099636174</v>
      </c>
      <c r="AJ82" s="43" t="n">
        <f aca="false">AJ78-AJ77</f>
        <v>-468.319121879338</v>
      </c>
      <c r="AK82" s="43" t="n">
        <f aca="false">AK78-AK77</f>
        <v>-484.838049166302</v>
      </c>
      <c r="AL82" s="43" t="n">
        <f aca="false">AL78-AL77</f>
        <v>-487.180294605045</v>
      </c>
      <c r="AM82" s="43" t="n">
        <f aca="false">AM78-AM77</f>
        <v>-477.077793121406</v>
      </c>
      <c r="AN82" s="43" t="n">
        <f aca="false">AN78-AN77</f>
        <v>-493.729074535504</v>
      </c>
      <c r="AO82" s="43" t="n">
        <f aca="false">AO78-AO77</f>
        <v>-510.579000376221</v>
      </c>
      <c r="AP82" s="43" t="n">
        <f aca="false">AP78-AP77</f>
        <v>-513.206830497842</v>
      </c>
      <c r="AQ82" s="43" t="n">
        <f aca="false">AQ78-AQ77</f>
        <v>-503.290609249957</v>
      </c>
      <c r="AR82" s="43" t="n">
        <f aca="false">AR78-AR77</f>
        <v>-520.281467425688</v>
      </c>
      <c r="AS82" s="43" t="n">
        <f aca="false">AS78-AS77</f>
        <v>-537.475021069483</v>
      </c>
      <c r="AT82" s="43" t="n">
        <f aca="false">AT78-AT77</f>
        <v>-540.402146257785</v>
      </c>
      <c r="AU82" s="43" t="n">
        <f aca="false">AU78-AU77</f>
        <v>-541.697604033297</v>
      </c>
      <c r="AV82" s="43" t="n">
        <f aca="false">AV78-AV77</f>
        <v>-548.159882057288</v>
      </c>
      <c r="AW82" s="43" t="n">
        <f aca="false">AW78-AW77</f>
        <v>-565.711847186195</v>
      </c>
      <c r="AX82" s="43" t="n">
        <f aca="false">AX78-AX77</f>
        <v>-568.954194801894</v>
      </c>
      <c r="AY82" s="43" t="n">
        <f aca="false">AY78-AY77</f>
        <v>-559.451174806144</v>
      </c>
      <c r="AZ82" s="43" t="n">
        <f aca="false">AZ78-AZ77</f>
        <v>-577.162600482983</v>
      </c>
      <c r="BA82" s="43" t="n">
        <f aca="false">BA78-BA77</f>
        <v>-595.085317766196</v>
      </c>
      <c r="BB82" s="43" t="n">
        <f aca="false">BB78-BB77</f>
        <v>-598.656380848108</v>
      </c>
      <c r="BC82" s="43" t="n">
        <f aca="false">BC78-BC77</f>
        <v>-589.380028842209</v>
      </c>
      <c r="BD82" s="43" t="n">
        <f aca="false">BD78-BD77</f>
        <v>-607.472145706498</v>
      </c>
      <c r="BE82" s="43" t="n">
        <f aca="false">BE78-BE77</f>
        <v>-625.780095700469</v>
      </c>
      <c r="BF82" s="43" t="n">
        <f aca="false">BF78-BF77</f>
        <v>-629.695571555697</v>
      </c>
      <c r="BG82" s="43" t="n">
        <f aca="false">BG78-BG77</f>
        <v>-620.660652616334</v>
      </c>
      <c r="BH82" s="43" t="n">
        <f aca="false">BH78-BH77</f>
        <v>-639.148438830935</v>
      </c>
      <c r="BI82" s="43" t="n">
        <f aca="false">BI78-BI77</f>
        <v>-657.856778383187</v>
      </c>
      <c r="BJ82" s="43" t="n">
        <f aca="false">BJ78-BJ77</f>
        <v>-662.133088573673</v>
      </c>
      <c r="BK82" s="43" t="n">
        <f aca="false">BK78-BK77</f>
        <v>-664.45990172942</v>
      </c>
      <c r="BL82" s="43" t="n">
        <f aca="false">BL78-BL77</f>
        <v>-672.386694443293</v>
      </c>
      <c r="BM82" s="43" t="n">
        <f aca="false">BM78-BM77</f>
        <v>-691.512869680316</v>
      </c>
      <c r="BN82" s="43" t="n">
        <f aca="false">BN78-BN77</f>
        <v>-696.16879332214</v>
      </c>
      <c r="BO82" s="43" t="n">
        <f aca="false">BO78-BO77</f>
        <v>-687.665550237148</v>
      </c>
      <c r="BP82" s="43" t="n">
        <f aca="false">BP78-BP77</f>
        <v>-706.994083104289</v>
      </c>
      <c r="BQ82" s="43" t="n">
        <f aca="false">BQ78-BQ77</f>
        <v>-726.553199145979</v>
      </c>
      <c r="BR82" s="43" t="n">
        <f aca="false">BR78-BR77</f>
        <v>-731.605188481619</v>
      </c>
      <c r="BS82" s="43" t="n">
        <f aca="false">BS78-BS77</f>
        <v>-723.392183415878</v>
      </c>
      <c r="BT82" s="43" t="n">
        <f aca="false">BT78-BT77</f>
        <v>-743.165739433078</v>
      </c>
      <c r="BU82" s="43" t="n">
        <f aca="false">BU78-BU77</f>
        <v>-763.175187607737</v>
      </c>
      <c r="BV82" s="43" t="n">
        <f aca="false">BV78-BV77</f>
        <v>-768.642051545201</v>
      </c>
      <c r="BW82" s="43" t="n">
        <f aca="false">BW78-BW77</f>
        <v>-760.737126650478</v>
      </c>
      <c r="BX82" s="43" t="n">
        <f aca="false">BX78-BX77</f>
        <v>-780.973699071526</v>
      </c>
      <c r="BY82" s="43" t="n">
        <f aca="false">BY78-BY77</f>
        <v>-801.451687286671</v>
      </c>
      <c r="BZ82" s="43" t="n">
        <f aca="false">BZ78-BZ77</f>
        <v>-807.353105389013</v>
      </c>
      <c r="CA82" s="43" t="n">
        <f aca="false">CA78-CA77</f>
        <v>-810.952335126542</v>
      </c>
      <c r="CB82" s="43" t="n">
        <f aca="false">CB78-CB77</f>
        <v>-820.626735409615</v>
      </c>
      <c r="CC82" s="43" t="n">
        <f aca="false">CC78-CC77</f>
        <v>-841.593918263893</v>
      </c>
      <c r="CD82" s="43" t="n">
        <f aca="false">CD78-CD77</f>
        <v>-847.952091487443</v>
      </c>
      <c r="CE82" s="43" t="n">
        <f aca="false">CE78-CE77</f>
        <v>-840.721972316406</v>
      </c>
      <c r="CF82" s="43" t="n">
        <f aca="false">CF78-CF77</f>
        <v>-861.943629924963</v>
      </c>
      <c r="CG82" s="43" t="n">
        <f aca="false">CG78-CG77</f>
        <v>-883.418455076768</v>
      </c>
      <c r="CH82" s="43" t="n">
        <f aca="false">CH78-CH77</f>
        <v>-890.253397832356</v>
      </c>
      <c r="CI82" s="43" t="n">
        <f aca="false">CI78-CI77</f>
        <v>-883.390304259463</v>
      </c>
      <c r="CJ82" s="43" t="n">
        <f aca="false">CJ78-CJ77</f>
        <v>-905.134278501196</v>
      </c>
      <c r="CK82" s="43" t="n">
        <f aca="false">CK78-CK77</f>
        <v>-927.137651355457</v>
      </c>
      <c r="CL82" s="43" t="n">
        <f aca="false">CL78-CL77</f>
        <v>-934.471913082464</v>
      </c>
      <c r="CM82" s="43" t="n">
        <f aca="false">CM78-CM77</f>
        <v>-927.99739480283</v>
      </c>
      <c r="CN82" s="43" t="n">
        <f aca="false">CN78-CN77</f>
        <v>-950.285319110523</v>
      </c>
      <c r="CO82" s="43" t="n">
        <f aca="false">CO78-CO77</f>
        <v>-972.839131179914</v>
      </c>
      <c r="CP82" s="43" t="n">
        <f aca="false">CP78-CP77</f>
        <v>-980.69630842116</v>
      </c>
      <c r="CQ82" s="43" t="n">
        <f aca="false">CQ78-CQ77</f>
        <v>-985.860426275373</v>
      </c>
      <c r="CR82" s="43" t="n">
        <f aca="false">CR78-CR77</f>
        <v>-997.621423776582</v>
      </c>
      <c r="CS82" s="43" t="n">
        <f aca="false">CS78-CS77</f>
        <v>-1020.75019814157</v>
      </c>
      <c r="CT82" s="43" t="n">
        <f aca="false">CT78-CT77</f>
        <v>2.64464006249909E-012</v>
      </c>
      <c r="CU82" s="43" t="n">
        <f aca="false">CU78-CU77</f>
        <v>2.67769806328033E-012</v>
      </c>
      <c r="CV82" s="43" t="n">
        <f aca="false">CV78-CV77</f>
        <v>2.71116928907134E-012</v>
      </c>
      <c r="CW82" s="43" t="n">
        <f aca="false">CW78-CW77</f>
        <v>2.74505890518473E-012</v>
      </c>
      <c r="CX82" s="43" t="n">
        <f aca="false">CX78-CX77</f>
        <v>2.77937214149954E-012</v>
      </c>
      <c r="CY82" s="43" t="n">
        <f aca="false">CY78-CY77</f>
        <v>2.81411429326828E-012</v>
      </c>
      <c r="CZ82" s="43" t="n">
        <f aca="false">CZ78-CZ77</f>
        <v>2.84929072193414E-012</v>
      </c>
      <c r="DA82" s="43" t="n">
        <f aca="false">DA78-DA77</f>
        <v>2.88490685595831E-012</v>
      </c>
      <c r="DB82" s="43" t="n">
        <f aca="false">DB78-DB77</f>
        <v>2.92096819165779E-012</v>
      </c>
      <c r="DC82" s="43" t="n">
        <f aca="false">DC78-DC77</f>
        <v>2.95748029405351E-012</v>
      </c>
      <c r="DD82" s="43" t="n">
        <f aca="false">DD78-DD77</f>
        <v>2.99444879772918E-012</v>
      </c>
      <c r="DE82" s="43" t="n">
        <f aca="false">DE78-DE77</f>
        <v>3.0318794077008E-012</v>
      </c>
      <c r="DF82" s="43" t="n">
        <f aca="false">DF78-DF77</f>
        <v>3.06977790029706E-012</v>
      </c>
      <c r="DG82" s="43" t="n">
        <f aca="false">DG78-DG77</f>
        <v>3.10815012405077E-012</v>
      </c>
      <c r="DH82" s="43" t="n">
        <f aca="false">DH78-DH77</f>
        <v>3.1470020006014E-012</v>
      </c>
      <c r="DI82" s="43" t="n">
        <f aca="false">DI78-DI77</f>
        <v>3.18633952560892E-012</v>
      </c>
      <c r="DJ82" s="43" t="n">
        <f aca="false">DJ78-DJ77</f>
        <v>3.22616876967903E-012</v>
      </c>
      <c r="DK82" s="43" t="n">
        <f aca="false">DK78-DK77</f>
        <v>3.26649587930002E-012</v>
      </c>
      <c r="DL82" s="43" t="n">
        <f aca="false">DL78-DL77</f>
        <v>3.30732707779127E-012</v>
      </c>
      <c r="DM82" s="43" t="n">
        <f aca="false">DM78-DM77</f>
        <v>3.34866866626366E-012</v>
      </c>
      <c r="DN82" s="43" t="n">
        <f aca="false">DN78-DN77</f>
        <v>3.39052702459196E-012</v>
      </c>
      <c r="DO82" s="43" t="n">
        <f aca="false">DO78-DO77</f>
        <v>3.43290861239936E-012</v>
      </c>
      <c r="DP82" s="43" t="n">
        <f aca="false">DP78-DP77</f>
        <v>3.47581997005435E-012</v>
      </c>
      <c r="DQ82" s="43" t="n">
        <f aca="false">DQ78-DQ77</f>
        <v>3.51926771968003E-012</v>
      </c>
      <c r="DR82" s="43" t="n">
        <f aca="false">DR78-DR77</f>
        <v>3.56325856617603E-012</v>
      </c>
      <c r="DS82" s="43" t="n">
        <f aca="false">DS78-DS77</f>
        <v>3.60779929825323E-012</v>
      </c>
      <c r="DT82" s="43" t="n">
        <f aca="false">DT78-DT77</f>
        <v>3.65289678948139E-012</v>
      </c>
      <c r="DU82" s="43" t="n">
        <f aca="false">DU78-DU77</f>
        <v>3.69855799934991E-012</v>
      </c>
      <c r="DV82" s="43" t="n">
        <f aca="false">DV78-DV77</f>
        <v>3.74478997434179E-012</v>
      </c>
      <c r="DW82" s="43" t="n">
        <f aca="false">DW78-DW77</f>
        <v>3.79159984902106E-012</v>
      </c>
      <c r="DX82" s="43" t="n">
        <f aca="false">DX78-DX77</f>
        <v>3.83899484713382E-012</v>
      </c>
      <c r="DY82" s="43" t="n">
        <f aca="false">DY78-DY77</f>
        <v>3.88698228272299E-012</v>
      </c>
      <c r="DZ82" s="43" t="n">
        <f aca="false">DZ78-DZ77</f>
        <v>3.93556956125703E-012</v>
      </c>
      <c r="EA82" s="43" t="n">
        <f aca="false">EA78-EA77</f>
        <v>3.98476418077274E-012</v>
      </c>
      <c r="EB82" s="43" t="n">
        <f aca="false">EB78-EB77</f>
        <v>4.0345737330324E-012</v>
      </c>
      <c r="EC82" s="43" t="n">
        <f aca="false">EC78-EC77</f>
        <v>4.08500590469531E-012</v>
      </c>
      <c r="ED82" s="43" t="n">
        <f aca="false">ED78-ED77</f>
        <v>4.136068478504E-012</v>
      </c>
      <c r="EE82" s="43" t="n">
        <f aca="false">EE78-EE77</f>
        <v>4.1877693344853E-012</v>
      </c>
      <c r="EF82" s="43" t="n">
        <f aca="false">EF78-EF77</f>
        <v>4.24011645116637E-012</v>
      </c>
      <c r="EG82" s="43" t="n">
        <f aca="false">EG78-EG77</f>
        <v>4.29311790680595E-012</v>
      </c>
      <c r="EH82" s="43" t="n">
        <f aca="false">EH78-EH77</f>
        <v>4.34678188064102E-012</v>
      </c>
      <c r="EI82" s="43" t="n">
        <f aca="false">EI78-EI77</f>
        <v>4.40111665414903E-012</v>
      </c>
      <c r="EJ82" s="43" t="n">
        <f aca="false">EJ78-EJ77</f>
        <v>4.4561306123259E-012</v>
      </c>
      <c r="EK82" s="43" t="n">
        <f aca="false">EK78-EK77</f>
        <v>4.51183224497997E-012</v>
      </c>
      <c r="EL82" s="43" t="n">
        <f aca="false">EL78-EL77</f>
        <v>4.56823014804222E-012</v>
      </c>
      <c r="EM82" s="43" t="n">
        <f aca="false">EM78-EM77</f>
        <v>4.62533302489275E-012</v>
      </c>
      <c r="EN82" s="43" t="n">
        <f aca="false">EN78-EN77</f>
        <v>4.68314968770391E-012</v>
      </c>
      <c r="EO82" s="43" t="n">
        <f aca="false">EO78-EO77</f>
        <v>4.7416890588002E-012</v>
      </c>
    </row>
    <row r="83" customFormat="false" ht="15" hidden="false" customHeight="false" outlineLevel="0" collapsed="false">
      <c r="C83" s="21" t="s">
        <v>389</v>
      </c>
      <c r="D83" s="11" t="s">
        <v>33</v>
      </c>
      <c r="E83" s="54" t="n">
        <f aca="false">SUMIF($J$4:$EO$4,In_COD,$J83:$EO83)</f>
        <v>48499.3806041085</v>
      </c>
      <c r="I83" s="56"/>
      <c r="J83" s="54" t="n">
        <f aca="false">SUM(J79:J82)</f>
        <v>0</v>
      </c>
      <c r="K83" s="54" t="n">
        <f aca="false">SUM(K79:K82)</f>
        <v>0</v>
      </c>
      <c r="L83" s="54" t="n">
        <f aca="false">SUM(L79:L82)</f>
        <v>0</v>
      </c>
      <c r="M83" s="54" t="n">
        <f aca="false">SUM(M79:M82)</f>
        <v>0</v>
      </c>
      <c r="N83" s="54" t="n">
        <f aca="false">SUM(N79:N82)</f>
        <v>0</v>
      </c>
      <c r="O83" s="54" t="n">
        <f aca="false">SUM(O79:O82)</f>
        <v>0</v>
      </c>
      <c r="P83" s="54" t="n">
        <f aca="false">SUM(P79:P82)</f>
        <v>0</v>
      </c>
      <c r="Q83" s="54" t="n">
        <f aca="false">SUM(Q79:Q82)</f>
        <v>0</v>
      </c>
      <c r="R83" s="54" t="n">
        <f aca="false">SUM(R79:R82)</f>
        <v>4960.34383561644</v>
      </c>
      <c r="S83" s="54" t="n">
        <f aca="false">SUM(S79:S82)</f>
        <v>15583.2346130137</v>
      </c>
      <c r="T83" s="54" t="n">
        <f aca="false">SUM(T79:T82)</f>
        <v>20684.4521004709</v>
      </c>
      <c r="U83" s="54" t="n">
        <f aca="false">SUM(U79:U82)</f>
        <v>25903.3515873432</v>
      </c>
      <c r="V83" s="54" t="n">
        <f aca="false">SUM(V79:V82)</f>
        <v>31187.4873178014</v>
      </c>
      <c r="W83" s="54" t="n">
        <f aca="false">SUM(W79:W82)</f>
        <v>36429.8411832466</v>
      </c>
      <c r="X83" s="54" t="n">
        <f aca="false">SUM(X79:X82)</f>
        <v>41791.6412528317</v>
      </c>
      <c r="Y83" s="54" t="n">
        <f aca="false">SUM(Y79:Y82)</f>
        <v>48499.3806041085</v>
      </c>
      <c r="Z83" s="54" t="n">
        <f aca="false">SUM(Z79:Z82)</f>
        <v>48082.050324675</v>
      </c>
      <c r="AA83" s="54" t="n">
        <f aca="false">SUM(AA79:AA82)</f>
        <v>47675.20983152</v>
      </c>
      <c r="AB83" s="54" t="n">
        <f aca="false">SUM(AB79:AB82)</f>
        <v>47252.3536805829</v>
      </c>
      <c r="AC83" s="54" t="n">
        <f aca="false">SUM(AC79:AC82)</f>
        <v>46813.2862431818</v>
      </c>
      <c r="AD83" s="54" t="n">
        <f aca="false">SUM(AD79:AD82)</f>
        <v>46372.4226824583</v>
      </c>
      <c r="AE83" s="54" t="n">
        <f aca="false">SUM(AE79:AE82)</f>
        <v>45930.8109103512</v>
      </c>
      <c r="AF83" s="54" t="n">
        <f aca="false">SUM(AF79:AF82)</f>
        <v>45483.8049215333</v>
      </c>
      <c r="AG83" s="54" t="n">
        <f aca="false">SUM(AG79:AG82)</f>
        <v>45028.6820848586</v>
      </c>
      <c r="AH83" s="54" t="n">
        <f aca="false">SUM(AH79:AH82)</f>
        <v>44575.8862549004</v>
      </c>
      <c r="AI83" s="54" t="n">
        <f aca="false">SUM(AI79:AI82)</f>
        <v>44133.2691552642</v>
      </c>
      <c r="AJ83" s="54" t="n">
        <f aca="false">SUM(AJ79:AJ82)</f>
        <v>43664.9500333848</v>
      </c>
      <c r="AK83" s="54" t="n">
        <f aca="false">SUM(AK79:AK82)</f>
        <v>43180.1119842185</v>
      </c>
      <c r="AL83" s="54" t="n">
        <f aca="false">SUM(AL79:AL82)</f>
        <v>42692.9316896135</v>
      </c>
      <c r="AM83" s="54" t="n">
        <f aca="false">SUM(AM79:AM82)</f>
        <v>42215.8538964921</v>
      </c>
      <c r="AN83" s="54" t="n">
        <f aca="false">SUM(AN79:AN82)</f>
        <v>41722.1248219566</v>
      </c>
      <c r="AO83" s="54" t="n">
        <f aca="false">SUM(AO79:AO82)</f>
        <v>41211.5458215804</v>
      </c>
      <c r="AP83" s="54" t="n">
        <f aca="false">SUM(AP79:AP82)</f>
        <v>40698.3389910825</v>
      </c>
      <c r="AQ83" s="54" t="n">
        <f aca="false">SUM(AQ79:AQ82)</f>
        <v>40195.0483818326</v>
      </c>
      <c r="AR83" s="54" t="n">
        <f aca="false">SUM(AR79:AR82)</f>
        <v>39674.7669144069</v>
      </c>
      <c r="AS83" s="54" t="n">
        <f aca="false">SUM(AS79:AS82)</f>
        <v>39137.2918933374</v>
      </c>
      <c r="AT83" s="54" t="n">
        <f aca="false">SUM(AT79:AT82)</f>
        <v>38596.8897470796</v>
      </c>
      <c r="AU83" s="54" t="n">
        <f aca="false">SUM(AU79:AU82)</f>
        <v>38055.1921430463</v>
      </c>
      <c r="AV83" s="54" t="n">
        <f aca="false">SUM(AV79:AV82)</f>
        <v>37507.032260989</v>
      </c>
      <c r="AW83" s="54" t="n">
        <f aca="false">SUM(AW79:AW82)</f>
        <v>36941.3204138028</v>
      </c>
      <c r="AX83" s="54" t="n">
        <f aca="false">SUM(AX79:AX82)</f>
        <v>36372.3662190009</v>
      </c>
      <c r="AY83" s="54" t="n">
        <f aca="false">SUM(AY79:AY82)</f>
        <v>35812.9150441948</v>
      </c>
      <c r="AZ83" s="54" t="n">
        <f aca="false">SUM(AZ79:AZ82)</f>
        <v>35235.7524437118</v>
      </c>
      <c r="BA83" s="54" t="n">
        <f aca="false">SUM(BA79:BA82)</f>
        <v>34640.6671259456</v>
      </c>
      <c r="BB83" s="54" t="n">
        <f aca="false">SUM(BB79:BB82)</f>
        <v>34042.0107450975</v>
      </c>
      <c r="BC83" s="54" t="n">
        <f aca="false">SUM(BC79:BC82)</f>
        <v>33452.6307162553</v>
      </c>
      <c r="BD83" s="54" t="n">
        <f aca="false">SUM(BD79:BD82)</f>
        <v>32845.1585705488</v>
      </c>
      <c r="BE83" s="54" t="n">
        <f aca="false">SUM(BE79:BE82)</f>
        <v>32219.3784748483</v>
      </c>
      <c r="BF83" s="54" t="n">
        <f aca="false">SUM(BF79:BF82)</f>
        <v>31589.6829032926</v>
      </c>
      <c r="BG83" s="54" t="n">
        <f aca="false">SUM(BG79:BG82)</f>
        <v>30969.0222506763</v>
      </c>
      <c r="BH83" s="54" t="n">
        <f aca="false">SUM(BH79:BH82)</f>
        <v>30329.8738118454</v>
      </c>
      <c r="BI83" s="54" t="n">
        <f aca="false">SUM(BI79:BI82)</f>
        <v>29672.0170334622</v>
      </c>
      <c r="BJ83" s="54" t="n">
        <f aca="false">SUM(BJ79:BJ82)</f>
        <v>29009.8839448885</v>
      </c>
      <c r="BK83" s="54" t="n">
        <f aca="false">SUM(BK79:BK82)</f>
        <v>28345.4240431591</v>
      </c>
      <c r="BL83" s="54" t="n">
        <f aca="false">SUM(BL79:BL82)</f>
        <v>27673.0373487158</v>
      </c>
      <c r="BM83" s="54" t="n">
        <f aca="false">SUM(BM79:BM82)</f>
        <v>26981.5244790355</v>
      </c>
      <c r="BN83" s="54" t="n">
        <f aca="false">SUM(BN79:BN82)</f>
        <v>26285.3556857133</v>
      </c>
      <c r="BO83" s="54" t="n">
        <f aca="false">SUM(BO79:BO82)</f>
        <v>25597.6901354762</v>
      </c>
      <c r="BP83" s="54" t="n">
        <f aca="false">SUM(BP79:BP82)</f>
        <v>24890.6960523719</v>
      </c>
      <c r="BQ83" s="54" t="n">
        <f aca="false">SUM(BQ79:BQ82)</f>
        <v>24164.1428532259</v>
      </c>
      <c r="BR83" s="54" t="n">
        <f aca="false">SUM(BR79:BR82)</f>
        <v>23432.5376647443</v>
      </c>
      <c r="BS83" s="54" t="n">
        <f aca="false">SUM(BS79:BS82)</f>
        <v>22709.1454813284</v>
      </c>
      <c r="BT83" s="54" t="n">
        <f aca="false">SUM(BT79:BT82)</f>
        <v>21965.9797418953</v>
      </c>
      <c r="BU83" s="54" t="n">
        <f aca="false">SUM(BU79:BU82)</f>
        <v>21202.8045542876</v>
      </c>
      <c r="BV83" s="54" t="n">
        <f aca="false">SUM(BV79:BV82)</f>
        <v>20434.1625027424</v>
      </c>
      <c r="BW83" s="54" t="n">
        <f aca="false">SUM(BW79:BW82)</f>
        <v>19673.4253760919</v>
      </c>
      <c r="BX83" s="54" t="n">
        <f aca="false">SUM(BX79:BX82)</f>
        <v>18892.4516770204</v>
      </c>
      <c r="BY83" s="54" t="n">
        <f aca="false">SUM(BY79:BY82)</f>
        <v>18090.9999897337</v>
      </c>
      <c r="BZ83" s="54" t="n">
        <f aca="false">SUM(BZ79:BZ82)</f>
        <v>17283.6468843447</v>
      </c>
      <c r="CA83" s="54" t="n">
        <f aca="false">SUM(CA79:CA82)</f>
        <v>16472.6945492182</v>
      </c>
      <c r="CB83" s="54" t="n">
        <f aca="false">SUM(CB79:CB82)</f>
        <v>15652.0678138086</v>
      </c>
      <c r="CC83" s="54" t="n">
        <f aca="false">SUM(CC79:CC82)</f>
        <v>14810.4738955447</v>
      </c>
      <c r="CD83" s="54" t="n">
        <f aca="false">SUM(CD79:CD82)</f>
        <v>13962.5218040572</v>
      </c>
      <c r="CE83" s="54" t="n">
        <f aca="false">SUM(CE79:CE82)</f>
        <v>13121.7998317408</v>
      </c>
      <c r="CF83" s="54" t="n">
        <f aca="false">SUM(CF79:CF82)</f>
        <v>12259.8562018159</v>
      </c>
      <c r="CG83" s="54" t="n">
        <f aca="false">SUM(CG79:CG82)</f>
        <v>11376.4377467391</v>
      </c>
      <c r="CH83" s="54" t="n">
        <f aca="false">SUM(CH79:CH82)</f>
        <v>10486.1843489067</v>
      </c>
      <c r="CI83" s="54" t="n">
        <f aca="false">SUM(CI79:CI82)</f>
        <v>9602.79404464728</v>
      </c>
      <c r="CJ83" s="54" t="n">
        <f aca="false">SUM(CJ79:CJ82)</f>
        <v>8697.65976614608</v>
      </c>
      <c r="CK83" s="54" t="n">
        <f aca="false">SUM(CK79:CK82)</f>
        <v>7770.52211479062</v>
      </c>
      <c r="CL83" s="54" t="n">
        <f aca="false">SUM(CL79:CL82)</f>
        <v>6836.05020170816</v>
      </c>
      <c r="CM83" s="54" t="n">
        <f aca="false">SUM(CM79:CM82)</f>
        <v>5908.05280690533</v>
      </c>
      <c r="CN83" s="54" t="n">
        <f aca="false">SUM(CN79:CN82)</f>
        <v>4957.76748779481</v>
      </c>
      <c r="CO83" s="54" t="n">
        <f aca="false">SUM(CO79:CO82)</f>
        <v>3984.92835661489</v>
      </c>
      <c r="CP83" s="54" t="n">
        <f aca="false">SUM(CP79:CP82)</f>
        <v>3004.23204819373</v>
      </c>
      <c r="CQ83" s="54" t="n">
        <f aca="false">SUM(CQ79:CQ82)</f>
        <v>2018.37162191836</v>
      </c>
      <c r="CR83" s="54" t="n">
        <f aca="false">SUM(CR79:CR82)</f>
        <v>1020.75019814178</v>
      </c>
      <c r="CS83" s="54" t="n">
        <f aca="false">SUM(CS79:CS82)</f>
        <v>2.11571204999927E-010</v>
      </c>
      <c r="CT83" s="54" t="n">
        <f aca="false">SUM(CT79:CT82)</f>
        <v>2.14215845062427E-010</v>
      </c>
      <c r="CU83" s="54" t="n">
        <f aca="false">SUM(CU79:CU82)</f>
        <v>2.16893543125707E-010</v>
      </c>
      <c r="CV83" s="54" t="n">
        <f aca="false">SUM(CV79:CV82)</f>
        <v>2.19604712414778E-010</v>
      </c>
      <c r="CW83" s="54" t="n">
        <f aca="false">SUM(CW79:CW82)</f>
        <v>2.22349771319963E-010</v>
      </c>
      <c r="CX83" s="54" t="n">
        <f aca="false">SUM(CX79:CX82)</f>
        <v>2.25129143461462E-010</v>
      </c>
      <c r="CY83" s="54" t="n">
        <f aca="false">SUM(CY79:CY82)</f>
        <v>2.27943257754731E-010</v>
      </c>
      <c r="CZ83" s="54" t="n">
        <f aca="false">SUM(CZ79:CZ82)</f>
        <v>2.30792548476665E-010</v>
      </c>
      <c r="DA83" s="54" t="n">
        <f aca="false">SUM(DA79:DA82)</f>
        <v>2.33677455332623E-010</v>
      </c>
      <c r="DB83" s="54" t="n">
        <f aca="false">SUM(DB79:DB82)</f>
        <v>2.36598423524281E-010</v>
      </c>
      <c r="DC83" s="54" t="n">
        <f aca="false">SUM(DC79:DC82)</f>
        <v>2.39555903818334E-010</v>
      </c>
      <c r="DD83" s="54" t="n">
        <f aca="false">SUM(DD79:DD82)</f>
        <v>2.42550352616064E-010</v>
      </c>
      <c r="DE83" s="54" t="n">
        <f aca="false">SUM(DE79:DE82)</f>
        <v>2.45582232023764E-010</v>
      </c>
      <c r="DF83" s="54" t="n">
        <f aca="false">SUM(DF79:DF82)</f>
        <v>2.48652009924062E-010</v>
      </c>
      <c r="DG83" s="54" t="n">
        <f aca="false">SUM(DG79:DG82)</f>
        <v>2.51760160048112E-010</v>
      </c>
      <c r="DH83" s="54" t="n">
        <f aca="false">SUM(DH79:DH82)</f>
        <v>2.54907162048714E-010</v>
      </c>
      <c r="DI83" s="54" t="n">
        <f aca="false">SUM(DI79:DI82)</f>
        <v>2.58093501574323E-010</v>
      </c>
      <c r="DJ83" s="54" t="n">
        <f aca="false">SUM(DJ79:DJ82)</f>
        <v>2.61319670344002E-010</v>
      </c>
      <c r="DK83" s="54" t="n">
        <f aca="false">SUM(DK79:DK82)</f>
        <v>2.64586166223302E-010</v>
      </c>
      <c r="DL83" s="54" t="n">
        <f aca="false">SUM(DL79:DL82)</f>
        <v>2.67893493301093E-010</v>
      </c>
      <c r="DM83" s="54" t="n">
        <f aca="false">SUM(DM79:DM82)</f>
        <v>2.71242161967357E-010</v>
      </c>
      <c r="DN83" s="54" t="n">
        <f aca="false">SUM(DN79:DN82)</f>
        <v>2.74632688991949E-010</v>
      </c>
      <c r="DO83" s="54" t="n">
        <f aca="false">SUM(DO79:DO82)</f>
        <v>2.78065597604348E-010</v>
      </c>
      <c r="DP83" s="54" t="n">
        <f aca="false">SUM(DP79:DP82)</f>
        <v>2.81541417574402E-010</v>
      </c>
      <c r="DQ83" s="54" t="n">
        <f aca="false">SUM(DQ79:DQ82)</f>
        <v>2.85060685294082E-010</v>
      </c>
      <c r="DR83" s="54" t="n">
        <f aca="false">SUM(DR79:DR82)</f>
        <v>2.88623943860258E-010</v>
      </c>
      <c r="DS83" s="54" t="n">
        <f aca="false">SUM(DS79:DS82)</f>
        <v>2.92231743158512E-010</v>
      </c>
      <c r="DT83" s="54" t="n">
        <f aca="false">SUM(DT79:DT82)</f>
        <v>2.95884639947993E-010</v>
      </c>
      <c r="DU83" s="54" t="n">
        <f aca="false">SUM(DU79:DU82)</f>
        <v>2.99583197947343E-010</v>
      </c>
      <c r="DV83" s="54" t="n">
        <f aca="false">SUM(DV79:DV82)</f>
        <v>3.03327987921685E-010</v>
      </c>
      <c r="DW83" s="54" t="n">
        <f aca="false">SUM(DW79:DW82)</f>
        <v>3.07119587770706E-010</v>
      </c>
      <c r="DX83" s="54" t="n">
        <f aca="false">SUM(DX79:DX82)</f>
        <v>3.10958582617839E-010</v>
      </c>
      <c r="DY83" s="54" t="n">
        <f aca="false">SUM(DY79:DY82)</f>
        <v>3.14845564900562E-010</v>
      </c>
      <c r="DZ83" s="54" t="n">
        <f aca="false">SUM(DZ79:DZ82)</f>
        <v>3.1878113446182E-010</v>
      </c>
      <c r="EA83" s="54" t="n">
        <f aca="false">SUM(EA79:EA82)</f>
        <v>3.22765898642592E-010</v>
      </c>
      <c r="EB83" s="54" t="n">
        <f aca="false">SUM(EB79:EB82)</f>
        <v>3.26800472375625E-010</v>
      </c>
      <c r="EC83" s="54" t="n">
        <f aca="false">SUM(EC79:EC82)</f>
        <v>3.3088547828032E-010</v>
      </c>
      <c r="ED83" s="54" t="n">
        <f aca="false">SUM(ED79:ED82)</f>
        <v>3.35021546758824E-010</v>
      </c>
      <c r="EE83" s="54" t="n">
        <f aca="false">SUM(EE79:EE82)</f>
        <v>3.39209316093309E-010</v>
      </c>
      <c r="EF83" s="54" t="n">
        <f aca="false">SUM(EF79:EF82)</f>
        <v>3.43449432544476E-010</v>
      </c>
      <c r="EG83" s="54" t="n">
        <f aca="false">SUM(EG79:EG82)</f>
        <v>3.47742550451282E-010</v>
      </c>
      <c r="EH83" s="54" t="n">
        <f aca="false">SUM(EH79:EH82)</f>
        <v>3.52089332331923E-010</v>
      </c>
      <c r="EI83" s="54" t="n">
        <f aca="false">SUM(EI79:EI82)</f>
        <v>3.56490448986072E-010</v>
      </c>
      <c r="EJ83" s="54" t="n">
        <f aca="false">SUM(EJ79:EJ82)</f>
        <v>3.60946579598397E-010</v>
      </c>
      <c r="EK83" s="54" t="n">
        <f aca="false">SUM(EK79:EK82)</f>
        <v>3.65458411843377E-010</v>
      </c>
      <c r="EL83" s="54" t="n">
        <f aca="false">SUM(EL79:EL82)</f>
        <v>3.7002664199142E-010</v>
      </c>
      <c r="EM83" s="54" t="n">
        <f aca="false">SUM(EM79:EM82)</f>
        <v>3.74651975016312E-010</v>
      </c>
      <c r="EN83" s="54" t="n">
        <f aca="false">SUM(EN79:EN82)</f>
        <v>3.79335124704016E-010</v>
      </c>
      <c r="EO83" s="54" t="n">
        <f aca="false">SUM(EO79:EO82)</f>
        <v>3.84076813762816E-010</v>
      </c>
    </row>
    <row r="84" customFormat="false" ht="15" hidden="false" customHeight="false" outlineLevel="0" collapsed="false">
      <c r="C84" s="0" t="s">
        <v>390</v>
      </c>
      <c r="D84" s="11" t="s">
        <v>33</v>
      </c>
      <c r="I84" s="43" t="n">
        <f aca="false">SUM(J84:EO84)</f>
        <v>-848.739160571899</v>
      </c>
      <c r="J84" s="43" t="n">
        <f aca="false">-In_Upfront_Fee*$E83*(J79=0)*(J80&gt;0)</f>
        <v>-0</v>
      </c>
      <c r="K84" s="43" t="n">
        <f aca="false">-In_Upfront_Fee*$E83*(K79=0)*(K80&gt;0)</f>
        <v>-0</v>
      </c>
      <c r="L84" s="43" t="n">
        <f aca="false">-In_Upfront_Fee*$E83*(L79=0)*(L80&gt;0)</f>
        <v>-0</v>
      </c>
      <c r="M84" s="43" t="n">
        <f aca="false">-In_Upfront_Fee*$E83*(M79=0)*(M80&gt;0)</f>
        <v>-0</v>
      </c>
      <c r="N84" s="43" t="n">
        <f aca="false">-In_Upfront_Fee*$E83*(N79=0)*(N80&gt;0)</f>
        <v>-0</v>
      </c>
      <c r="O84" s="43" t="n">
        <f aca="false">-In_Upfront_Fee*$E83*(O79=0)*(O80&gt;0)</f>
        <v>-0</v>
      </c>
      <c r="P84" s="43" t="n">
        <f aca="false">-In_Upfront_Fee*$E83*(P79=0)*(P80&gt;0)</f>
        <v>-0</v>
      </c>
      <c r="Q84" s="43" t="n">
        <f aca="false">-In_Upfront_Fee*$E83*(Q79=0)*(Q80&gt;0)</f>
        <v>-0</v>
      </c>
      <c r="R84" s="43" t="n">
        <f aca="false">-In_Upfront_Fee*$E83*(R79=0)*(R80&gt;0)</f>
        <v>-848.739160571899</v>
      </c>
      <c r="S84" s="43" t="n">
        <f aca="false">-In_Upfront_Fee*$E83*(S79=0)*(S80&gt;0)</f>
        <v>-0</v>
      </c>
      <c r="T84" s="43" t="n">
        <f aca="false">-In_Upfront_Fee*$E83*(T79=0)*(T80&gt;0)</f>
        <v>-0</v>
      </c>
      <c r="U84" s="43" t="n">
        <f aca="false">-In_Upfront_Fee*$E83*(U79=0)*(U80&gt;0)</f>
        <v>-0</v>
      </c>
      <c r="V84" s="43" t="n">
        <f aca="false">-In_Upfront_Fee*$E83*(V79=0)*(V80&gt;0)</f>
        <v>-0</v>
      </c>
      <c r="W84" s="43" t="n">
        <f aca="false">-In_Upfront_Fee*$E83*(W79=0)*(W80&gt;0)</f>
        <v>-0</v>
      </c>
      <c r="X84" s="43" t="n">
        <f aca="false">-In_Upfront_Fee*$E83*(X79=0)*(X80&gt;0)</f>
        <v>-0</v>
      </c>
      <c r="Y84" s="43" t="n">
        <f aca="false">-In_Upfront_Fee*$E83*(Y79=0)*(Y80&gt;0)</f>
        <v>-0</v>
      </c>
      <c r="Z84" s="43" t="n">
        <f aca="false">-In_Upfront_Fee*$E83*(Z79=0)*(Z80&gt;0)</f>
        <v>-0</v>
      </c>
      <c r="AA84" s="43" t="n">
        <f aca="false">-In_Upfront_Fee*$E83*(AA79=0)*(AA80&gt;0)</f>
        <v>-0</v>
      </c>
      <c r="AB84" s="43" t="n">
        <f aca="false">-In_Upfront_Fee*$E83*(AB79=0)*(AB80&gt;0)</f>
        <v>-0</v>
      </c>
      <c r="AC84" s="43" t="n">
        <f aca="false">-In_Upfront_Fee*$E83*(AC79=0)*(AC80&gt;0)</f>
        <v>-0</v>
      </c>
      <c r="AD84" s="43" t="n">
        <f aca="false">-In_Upfront_Fee*$E83*(AD79=0)*(AD80&gt;0)</f>
        <v>-0</v>
      </c>
      <c r="AE84" s="43" t="n">
        <f aca="false">-In_Upfront_Fee*$E83*(AE79=0)*(AE80&gt;0)</f>
        <v>-0</v>
      </c>
      <c r="AF84" s="43" t="n">
        <f aca="false">-In_Upfront_Fee*$E83*(AF79=0)*(AF80&gt;0)</f>
        <v>-0</v>
      </c>
      <c r="AG84" s="43" t="n">
        <f aca="false">-In_Upfront_Fee*$E83*(AG79=0)*(AG80&gt;0)</f>
        <v>-0</v>
      </c>
      <c r="AH84" s="43" t="n">
        <f aca="false">-In_Upfront_Fee*$E83*(AH79=0)*(AH80&gt;0)</f>
        <v>-0</v>
      </c>
      <c r="AI84" s="43" t="n">
        <f aca="false">-In_Upfront_Fee*$E83*(AI79=0)*(AI80&gt;0)</f>
        <v>-0</v>
      </c>
      <c r="AJ84" s="43" t="n">
        <f aca="false">-In_Upfront_Fee*$E83*(AJ79=0)*(AJ80&gt;0)</f>
        <v>-0</v>
      </c>
      <c r="AK84" s="43" t="n">
        <f aca="false">-In_Upfront_Fee*$E83*(AK79=0)*(AK80&gt;0)</f>
        <v>-0</v>
      </c>
      <c r="AL84" s="43" t="n">
        <f aca="false">-In_Upfront_Fee*$E83*(AL79=0)*(AL80&gt;0)</f>
        <v>-0</v>
      </c>
      <c r="AM84" s="43" t="n">
        <f aca="false">-In_Upfront_Fee*$E83*(AM79=0)*(AM80&gt;0)</f>
        <v>-0</v>
      </c>
      <c r="AN84" s="43" t="n">
        <f aca="false">-In_Upfront_Fee*$E83*(AN79=0)*(AN80&gt;0)</f>
        <v>-0</v>
      </c>
      <c r="AO84" s="43" t="n">
        <f aca="false">-In_Upfront_Fee*$E83*(AO79=0)*(AO80&gt;0)</f>
        <v>-0</v>
      </c>
      <c r="AP84" s="43" t="n">
        <f aca="false">-In_Upfront_Fee*$E83*(AP79=0)*(AP80&gt;0)</f>
        <v>-0</v>
      </c>
      <c r="AQ84" s="43" t="n">
        <f aca="false">-In_Upfront_Fee*$E83*(AQ79=0)*(AQ80&gt;0)</f>
        <v>-0</v>
      </c>
      <c r="AR84" s="43" t="n">
        <f aca="false">-In_Upfront_Fee*$E83*(AR79=0)*(AR80&gt;0)</f>
        <v>-0</v>
      </c>
      <c r="AS84" s="43" t="n">
        <f aca="false">-In_Upfront_Fee*$E83*(AS79=0)*(AS80&gt;0)</f>
        <v>-0</v>
      </c>
      <c r="AT84" s="43" t="n">
        <f aca="false">-In_Upfront_Fee*$E83*(AT79=0)*(AT80&gt;0)</f>
        <v>-0</v>
      </c>
      <c r="AU84" s="43" t="n">
        <f aca="false">-In_Upfront_Fee*$E83*(AU79=0)*(AU80&gt;0)</f>
        <v>-0</v>
      </c>
      <c r="AV84" s="43" t="n">
        <f aca="false">-In_Upfront_Fee*$E83*(AV79=0)*(AV80&gt;0)</f>
        <v>-0</v>
      </c>
      <c r="AW84" s="43" t="n">
        <f aca="false">-In_Upfront_Fee*$E83*(AW79=0)*(AW80&gt;0)</f>
        <v>-0</v>
      </c>
      <c r="AX84" s="43" t="n">
        <f aca="false">-In_Upfront_Fee*$E83*(AX79=0)*(AX80&gt;0)</f>
        <v>-0</v>
      </c>
      <c r="AY84" s="43" t="n">
        <f aca="false">-In_Upfront_Fee*$E83*(AY79=0)*(AY80&gt;0)</f>
        <v>-0</v>
      </c>
      <c r="AZ84" s="43" t="n">
        <f aca="false">-In_Upfront_Fee*$E83*(AZ79=0)*(AZ80&gt;0)</f>
        <v>-0</v>
      </c>
      <c r="BA84" s="43" t="n">
        <f aca="false">-In_Upfront_Fee*$E83*(BA79=0)*(BA80&gt;0)</f>
        <v>-0</v>
      </c>
      <c r="BB84" s="43" t="n">
        <f aca="false">-In_Upfront_Fee*$E83*(BB79=0)*(BB80&gt;0)</f>
        <v>-0</v>
      </c>
      <c r="BC84" s="43" t="n">
        <f aca="false">-In_Upfront_Fee*$E83*(BC79=0)*(BC80&gt;0)</f>
        <v>-0</v>
      </c>
      <c r="BD84" s="43" t="n">
        <f aca="false">-In_Upfront_Fee*$E83*(BD79=0)*(BD80&gt;0)</f>
        <v>-0</v>
      </c>
      <c r="BE84" s="43" t="n">
        <f aca="false">-In_Upfront_Fee*$E83*(BE79=0)*(BE80&gt;0)</f>
        <v>-0</v>
      </c>
      <c r="BF84" s="43" t="n">
        <f aca="false">-In_Upfront_Fee*$E83*(BF79=0)*(BF80&gt;0)</f>
        <v>-0</v>
      </c>
      <c r="BG84" s="43" t="n">
        <f aca="false">-In_Upfront_Fee*$E83*(BG79=0)*(BG80&gt;0)</f>
        <v>-0</v>
      </c>
      <c r="BH84" s="43" t="n">
        <f aca="false">-In_Upfront_Fee*$E83*(BH79=0)*(BH80&gt;0)</f>
        <v>-0</v>
      </c>
      <c r="BI84" s="43" t="n">
        <f aca="false">-In_Upfront_Fee*$E83*(BI79=0)*(BI80&gt;0)</f>
        <v>-0</v>
      </c>
      <c r="BJ84" s="43" t="n">
        <f aca="false">-In_Upfront_Fee*$E83*(BJ79=0)*(BJ80&gt;0)</f>
        <v>-0</v>
      </c>
      <c r="BK84" s="43" t="n">
        <f aca="false">-In_Upfront_Fee*$E83*(BK79=0)*(BK80&gt;0)</f>
        <v>-0</v>
      </c>
      <c r="BL84" s="43" t="n">
        <f aca="false">-In_Upfront_Fee*$E83*(BL79=0)*(BL80&gt;0)</f>
        <v>-0</v>
      </c>
      <c r="BM84" s="43" t="n">
        <f aca="false">-In_Upfront_Fee*$E83*(BM79=0)*(BM80&gt;0)</f>
        <v>-0</v>
      </c>
      <c r="BN84" s="43" t="n">
        <f aca="false">-In_Upfront_Fee*$E83*(BN79=0)*(BN80&gt;0)</f>
        <v>-0</v>
      </c>
      <c r="BO84" s="43" t="n">
        <f aca="false">-In_Upfront_Fee*$E83*(BO79=0)*(BO80&gt;0)</f>
        <v>-0</v>
      </c>
      <c r="BP84" s="43" t="n">
        <f aca="false">-In_Upfront_Fee*$E83*(BP79=0)*(BP80&gt;0)</f>
        <v>-0</v>
      </c>
      <c r="BQ84" s="43" t="n">
        <f aca="false">-In_Upfront_Fee*$E83*(BQ79=0)*(BQ80&gt;0)</f>
        <v>-0</v>
      </c>
      <c r="BR84" s="43" t="n">
        <f aca="false">-In_Upfront_Fee*$E83*(BR79=0)*(BR80&gt;0)</f>
        <v>-0</v>
      </c>
      <c r="BS84" s="43" t="n">
        <f aca="false">-In_Upfront_Fee*$E83*(BS79=0)*(BS80&gt;0)</f>
        <v>-0</v>
      </c>
      <c r="BT84" s="43" t="n">
        <f aca="false">-In_Upfront_Fee*$E83*(BT79=0)*(BT80&gt;0)</f>
        <v>-0</v>
      </c>
      <c r="BU84" s="43" t="n">
        <f aca="false">-In_Upfront_Fee*$E83*(BU79=0)*(BU80&gt;0)</f>
        <v>-0</v>
      </c>
      <c r="BV84" s="43" t="n">
        <f aca="false">-In_Upfront_Fee*$E83*(BV79=0)*(BV80&gt;0)</f>
        <v>-0</v>
      </c>
      <c r="BW84" s="43" t="n">
        <f aca="false">-In_Upfront_Fee*$E83*(BW79=0)*(BW80&gt;0)</f>
        <v>-0</v>
      </c>
      <c r="BX84" s="43" t="n">
        <f aca="false">-In_Upfront_Fee*$E83*(BX79=0)*(BX80&gt;0)</f>
        <v>-0</v>
      </c>
      <c r="BY84" s="43" t="n">
        <f aca="false">-In_Upfront_Fee*$E83*(BY79=0)*(BY80&gt;0)</f>
        <v>-0</v>
      </c>
      <c r="BZ84" s="43" t="n">
        <f aca="false">-In_Upfront_Fee*$E83*(BZ79=0)*(BZ80&gt;0)</f>
        <v>-0</v>
      </c>
      <c r="CA84" s="43" t="n">
        <f aca="false">-In_Upfront_Fee*$E83*(CA79=0)*(CA80&gt;0)</f>
        <v>-0</v>
      </c>
      <c r="CB84" s="43" t="n">
        <f aca="false">-In_Upfront_Fee*$E83*(CB79=0)*(CB80&gt;0)</f>
        <v>-0</v>
      </c>
      <c r="CC84" s="43" t="n">
        <f aca="false">-In_Upfront_Fee*$E83*(CC79=0)*(CC80&gt;0)</f>
        <v>-0</v>
      </c>
      <c r="CD84" s="43" t="n">
        <f aca="false">-In_Upfront_Fee*$E83*(CD79=0)*(CD80&gt;0)</f>
        <v>-0</v>
      </c>
      <c r="CE84" s="43" t="n">
        <f aca="false">-In_Upfront_Fee*$E83*(CE79=0)*(CE80&gt;0)</f>
        <v>-0</v>
      </c>
      <c r="CF84" s="43" t="n">
        <f aca="false">-In_Upfront_Fee*$E83*(CF79=0)*(CF80&gt;0)</f>
        <v>-0</v>
      </c>
      <c r="CG84" s="43" t="n">
        <f aca="false">-In_Upfront_Fee*$E83*(CG79=0)*(CG80&gt;0)</f>
        <v>-0</v>
      </c>
      <c r="CH84" s="43" t="n">
        <f aca="false">-In_Upfront_Fee*$E83*(CH79=0)*(CH80&gt;0)</f>
        <v>-0</v>
      </c>
      <c r="CI84" s="43" t="n">
        <f aca="false">-In_Upfront_Fee*$E83*(CI79=0)*(CI80&gt;0)</f>
        <v>-0</v>
      </c>
      <c r="CJ84" s="43" t="n">
        <f aca="false">-In_Upfront_Fee*$E83*(CJ79=0)*(CJ80&gt;0)</f>
        <v>-0</v>
      </c>
      <c r="CK84" s="43" t="n">
        <f aca="false">-In_Upfront_Fee*$E83*(CK79=0)*(CK80&gt;0)</f>
        <v>-0</v>
      </c>
      <c r="CL84" s="43" t="n">
        <f aca="false">-In_Upfront_Fee*$E83*(CL79=0)*(CL80&gt;0)</f>
        <v>-0</v>
      </c>
      <c r="CM84" s="43" t="n">
        <f aca="false">-In_Upfront_Fee*$E83*(CM79=0)*(CM80&gt;0)</f>
        <v>-0</v>
      </c>
      <c r="CN84" s="43" t="n">
        <f aca="false">-In_Upfront_Fee*$E83*(CN79=0)*(CN80&gt;0)</f>
        <v>-0</v>
      </c>
      <c r="CO84" s="43" t="n">
        <f aca="false">-In_Upfront_Fee*$E83*(CO79=0)*(CO80&gt;0)</f>
        <v>-0</v>
      </c>
      <c r="CP84" s="43" t="n">
        <f aca="false">-In_Upfront_Fee*$E83*(CP79=0)*(CP80&gt;0)</f>
        <v>-0</v>
      </c>
      <c r="CQ84" s="43" t="n">
        <f aca="false">-In_Upfront_Fee*$E83*(CQ79=0)*(CQ80&gt;0)</f>
        <v>-0</v>
      </c>
      <c r="CR84" s="43" t="n">
        <f aca="false">-In_Upfront_Fee*$E83*(CR79=0)*(CR80&gt;0)</f>
        <v>-0</v>
      </c>
      <c r="CS84" s="43" t="n">
        <f aca="false">-In_Upfront_Fee*$E83*(CS79=0)*(CS80&gt;0)</f>
        <v>-0</v>
      </c>
      <c r="CT84" s="43" t="n">
        <f aca="false">-In_Upfront_Fee*$E83*(CT79=0)*(CT80&gt;0)</f>
        <v>-0</v>
      </c>
      <c r="CU84" s="43" t="n">
        <f aca="false">-In_Upfront_Fee*$E83*(CU79=0)*(CU80&gt;0)</f>
        <v>-0</v>
      </c>
      <c r="CV84" s="43" t="n">
        <f aca="false">-In_Upfront_Fee*$E83*(CV79=0)*(CV80&gt;0)</f>
        <v>-0</v>
      </c>
      <c r="CW84" s="43" t="n">
        <f aca="false">-In_Upfront_Fee*$E83*(CW79=0)*(CW80&gt;0)</f>
        <v>-0</v>
      </c>
      <c r="CX84" s="43" t="n">
        <f aca="false">-In_Upfront_Fee*$E83*(CX79=0)*(CX80&gt;0)</f>
        <v>-0</v>
      </c>
      <c r="CY84" s="43" t="n">
        <f aca="false">-In_Upfront_Fee*$E83*(CY79=0)*(CY80&gt;0)</f>
        <v>-0</v>
      </c>
      <c r="CZ84" s="43" t="n">
        <f aca="false">-In_Upfront_Fee*$E83*(CZ79=0)*(CZ80&gt;0)</f>
        <v>-0</v>
      </c>
      <c r="DA84" s="43" t="n">
        <f aca="false">-In_Upfront_Fee*$E83*(DA79=0)*(DA80&gt;0)</f>
        <v>-0</v>
      </c>
      <c r="DB84" s="43" t="n">
        <f aca="false">-In_Upfront_Fee*$E83*(DB79=0)*(DB80&gt;0)</f>
        <v>-0</v>
      </c>
      <c r="DC84" s="43" t="n">
        <f aca="false">-In_Upfront_Fee*$E83*(DC79=0)*(DC80&gt;0)</f>
        <v>-0</v>
      </c>
      <c r="DD84" s="43" t="n">
        <f aca="false">-In_Upfront_Fee*$E83*(DD79=0)*(DD80&gt;0)</f>
        <v>-0</v>
      </c>
      <c r="DE84" s="43" t="n">
        <f aca="false">-In_Upfront_Fee*$E83*(DE79=0)*(DE80&gt;0)</f>
        <v>-0</v>
      </c>
      <c r="DF84" s="43" t="n">
        <f aca="false">-In_Upfront_Fee*$E83*(DF79=0)*(DF80&gt;0)</f>
        <v>-0</v>
      </c>
      <c r="DG84" s="43" t="n">
        <f aca="false">-In_Upfront_Fee*$E83*(DG79=0)*(DG80&gt;0)</f>
        <v>-0</v>
      </c>
      <c r="DH84" s="43" t="n">
        <f aca="false">-In_Upfront_Fee*$E83*(DH79=0)*(DH80&gt;0)</f>
        <v>-0</v>
      </c>
      <c r="DI84" s="43" t="n">
        <f aca="false">-In_Upfront_Fee*$E83*(DI79=0)*(DI80&gt;0)</f>
        <v>-0</v>
      </c>
      <c r="DJ84" s="43" t="n">
        <f aca="false">-In_Upfront_Fee*$E83*(DJ79=0)*(DJ80&gt;0)</f>
        <v>-0</v>
      </c>
      <c r="DK84" s="43" t="n">
        <f aca="false">-In_Upfront_Fee*$E83*(DK79=0)*(DK80&gt;0)</f>
        <v>-0</v>
      </c>
      <c r="DL84" s="43" t="n">
        <f aca="false">-In_Upfront_Fee*$E83*(DL79=0)*(DL80&gt;0)</f>
        <v>-0</v>
      </c>
      <c r="DM84" s="43" t="n">
        <f aca="false">-In_Upfront_Fee*$E83*(DM79=0)*(DM80&gt;0)</f>
        <v>-0</v>
      </c>
      <c r="DN84" s="43" t="n">
        <f aca="false">-In_Upfront_Fee*$E83*(DN79=0)*(DN80&gt;0)</f>
        <v>-0</v>
      </c>
      <c r="DO84" s="43" t="n">
        <f aca="false">-In_Upfront_Fee*$E83*(DO79=0)*(DO80&gt;0)</f>
        <v>-0</v>
      </c>
      <c r="DP84" s="43" t="n">
        <f aca="false">-In_Upfront_Fee*$E83*(DP79=0)*(DP80&gt;0)</f>
        <v>-0</v>
      </c>
      <c r="DQ84" s="43" t="n">
        <f aca="false">-In_Upfront_Fee*$E83*(DQ79=0)*(DQ80&gt;0)</f>
        <v>-0</v>
      </c>
      <c r="DR84" s="43" t="n">
        <f aca="false">-In_Upfront_Fee*$E83*(DR79=0)*(DR80&gt;0)</f>
        <v>-0</v>
      </c>
      <c r="DS84" s="43" t="n">
        <f aca="false">-In_Upfront_Fee*$E83*(DS79=0)*(DS80&gt;0)</f>
        <v>-0</v>
      </c>
      <c r="DT84" s="43" t="n">
        <f aca="false">-In_Upfront_Fee*$E83*(DT79=0)*(DT80&gt;0)</f>
        <v>-0</v>
      </c>
      <c r="DU84" s="43" t="n">
        <f aca="false">-In_Upfront_Fee*$E83*(DU79=0)*(DU80&gt;0)</f>
        <v>-0</v>
      </c>
      <c r="DV84" s="43" t="n">
        <f aca="false">-In_Upfront_Fee*$E83*(DV79=0)*(DV80&gt;0)</f>
        <v>-0</v>
      </c>
      <c r="DW84" s="43" t="n">
        <f aca="false">-In_Upfront_Fee*$E83*(DW79=0)*(DW80&gt;0)</f>
        <v>-0</v>
      </c>
      <c r="DX84" s="43" t="n">
        <f aca="false">-In_Upfront_Fee*$E83*(DX79=0)*(DX80&gt;0)</f>
        <v>-0</v>
      </c>
      <c r="DY84" s="43" t="n">
        <f aca="false">-In_Upfront_Fee*$E83*(DY79=0)*(DY80&gt;0)</f>
        <v>-0</v>
      </c>
      <c r="DZ84" s="43" t="n">
        <f aca="false">-In_Upfront_Fee*$E83*(DZ79=0)*(DZ80&gt;0)</f>
        <v>-0</v>
      </c>
      <c r="EA84" s="43" t="n">
        <f aca="false">-In_Upfront_Fee*$E83*(EA79=0)*(EA80&gt;0)</f>
        <v>-0</v>
      </c>
      <c r="EB84" s="43" t="n">
        <f aca="false">-In_Upfront_Fee*$E83*(EB79=0)*(EB80&gt;0)</f>
        <v>-0</v>
      </c>
      <c r="EC84" s="43" t="n">
        <f aca="false">-In_Upfront_Fee*$E83*(EC79=0)*(EC80&gt;0)</f>
        <v>-0</v>
      </c>
      <c r="ED84" s="43" t="n">
        <f aca="false">-In_Upfront_Fee*$E83*(ED79=0)*(ED80&gt;0)</f>
        <v>-0</v>
      </c>
      <c r="EE84" s="43" t="n">
        <f aca="false">-In_Upfront_Fee*$E83*(EE79=0)*(EE80&gt;0)</f>
        <v>-0</v>
      </c>
      <c r="EF84" s="43" t="n">
        <f aca="false">-In_Upfront_Fee*$E83*(EF79=0)*(EF80&gt;0)</f>
        <v>-0</v>
      </c>
      <c r="EG84" s="43" t="n">
        <f aca="false">-In_Upfront_Fee*$E83*(EG79=0)*(EG80&gt;0)</f>
        <v>-0</v>
      </c>
      <c r="EH84" s="43" t="n">
        <f aca="false">-In_Upfront_Fee*$E83*(EH79=0)*(EH80&gt;0)</f>
        <v>-0</v>
      </c>
      <c r="EI84" s="43" t="n">
        <f aca="false">-In_Upfront_Fee*$E83*(EI79=0)*(EI80&gt;0)</f>
        <v>-0</v>
      </c>
      <c r="EJ84" s="43" t="n">
        <f aca="false">-In_Upfront_Fee*$E83*(EJ79=0)*(EJ80&gt;0)</f>
        <v>-0</v>
      </c>
      <c r="EK84" s="43" t="n">
        <f aca="false">-In_Upfront_Fee*$E83*(EK79=0)*(EK80&gt;0)</f>
        <v>-0</v>
      </c>
      <c r="EL84" s="43" t="n">
        <f aca="false">-In_Upfront_Fee*$E83*(EL79=0)*(EL80&gt;0)</f>
        <v>-0</v>
      </c>
      <c r="EM84" s="43" t="n">
        <f aca="false">-In_Upfront_Fee*$E83*(EM79=0)*(EM80&gt;0)</f>
        <v>-0</v>
      </c>
      <c r="EN84" s="43" t="n">
        <f aca="false">-In_Upfront_Fee*$E83*(EN79=0)*(EN80&gt;0)</f>
        <v>-0</v>
      </c>
      <c r="EO84" s="43" t="n">
        <f aca="false">-In_Upfront_Fee*$E83*(EO79=0)*(EO80&gt;0)</f>
        <v>-0</v>
      </c>
    </row>
    <row r="85" customFormat="false" ht="15" hidden="false" customHeight="false" outlineLevel="0" collapsed="false">
      <c r="C85" s="0" t="s">
        <v>391</v>
      </c>
      <c r="D85" s="11" t="s">
        <v>33</v>
      </c>
      <c r="I85" s="43" t="n">
        <f aca="false">SUM(J85:EO85)</f>
        <v>-446.18337793466</v>
      </c>
      <c r="J85" s="43" t="n">
        <f aca="false">-In_Commitment_Fee*($I80-SUM($J80:J80)+J80)*J$6*(J12&gt;0)</f>
        <v>-0</v>
      </c>
      <c r="K85" s="43" t="n">
        <f aca="false">-In_Commitment_Fee*($I80-SUM($J80:K80)+K80)*K$6*(K12&gt;0)</f>
        <v>-0</v>
      </c>
      <c r="L85" s="43" t="n">
        <f aca="false">-In_Commitment_Fee*($I80-SUM($J80:L80)+L80)*L$6*(L12&gt;0)</f>
        <v>-0</v>
      </c>
      <c r="M85" s="43" t="n">
        <f aca="false">-In_Commitment_Fee*($I80-SUM($J80:M80)+M80)*M$6*(M12&gt;0)</f>
        <v>-0</v>
      </c>
      <c r="N85" s="43" t="n">
        <f aca="false">-In_Commitment_Fee*($I80-SUM($J80:N80)+N80)*N$6*(N12&gt;0)</f>
        <v>-0</v>
      </c>
      <c r="O85" s="43" t="n">
        <f aca="false">-In_Commitment_Fee*($I80-SUM($J80:O80)+O80)*O$6*(O12&gt;0)</f>
        <v>-0</v>
      </c>
      <c r="P85" s="43" t="n">
        <f aca="false">-In_Commitment_Fee*($I80-SUM($J80:P80)+P80)*P$6*(P12&gt;0)</f>
        <v>-0</v>
      </c>
      <c r="Q85" s="43" t="n">
        <f aca="false">-In_Commitment_Fee*($I80-SUM($J80:Q80)+Q80)*Q$6*(Q12&gt;0)</f>
        <v>-0</v>
      </c>
      <c r="R85" s="43" t="n">
        <f aca="false">-In_Commitment_Fee*($I80-SUM($J80:R80)+R80)*R$6*(R12&gt;0)</f>
        <v>-105.014505474348</v>
      </c>
      <c r="S85" s="43" t="n">
        <f aca="false">-In_Commitment_Fee*($I80-SUM($J80:S80)+S80)*S$6*(S12&gt;0)</f>
        <v>-91.7236951221617</v>
      </c>
      <c r="T85" s="43" t="n">
        <f aca="false">-In_Commitment_Fee*($I80-SUM($J80:T80)+T80)*T$6*(T12&gt;0)</f>
        <v>-69.045954066429</v>
      </c>
      <c r="U85" s="43" t="n">
        <f aca="false">-In_Commitment_Fee*($I80-SUM($J80:U80)+U80)*U$6*(U12&gt;0)</f>
        <v>-58.6745046462751</v>
      </c>
      <c r="V85" s="43" t="n">
        <f aca="false">-In_Commitment_Fee*($I80-SUM($J80:V80)+V80)*V$6*(V12&gt;0)</f>
        <v>-47.421998630137</v>
      </c>
      <c r="W85" s="43" t="n">
        <f aca="false">-In_Commitment_Fee*($I80-SUM($J80:W80)+W80)*W$6*(W12&gt;0)</f>
        <v>-35.3831992963033</v>
      </c>
      <c r="X85" s="43" t="n">
        <f aca="false">-In_Commitment_Fee*($I80-SUM($J80:X80)+X80)*X$6*(X12&gt;0)</f>
        <v>-24.8881105732783</v>
      </c>
      <c r="Y85" s="43" t="n">
        <f aca="false">-In_Commitment_Fee*($I80-SUM($J80:Y80)+Y80)*Y$6*(Y12&gt;0)</f>
        <v>-14.0314101257272</v>
      </c>
      <c r="Z85" s="43" t="n">
        <f aca="false">-In_Commitment_Fee*($I80-SUM($J80:Z80)+Z80)*Z$6*(Z12&gt;0)</f>
        <v>-0</v>
      </c>
      <c r="AA85" s="43" t="n">
        <f aca="false">-In_Commitment_Fee*($I80-SUM($J80:AA80)+AA80)*AA$6*(AA12&gt;0)</f>
        <v>-0</v>
      </c>
      <c r="AB85" s="43" t="n">
        <f aca="false">-In_Commitment_Fee*($I80-SUM($J80:AB80)+AB80)*AB$6*(AB12&gt;0)</f>
        <v>-0</v>
      </c>
      <c r="AC85" s="43" t="n">
        <f aca="false">-In_Commitment_Fee*($I80-SUM($J80:AC80)+AC80)*AC$6*(AC12&gt;0)</f>
        <v>-0</v>
      </c>
      <c r="AD85" s="43" t="n">
        <f aca="false">-In_Commitment_Fee*($I80-SUM($J80:AD80)+AD80)*AD$6*(AD12&gt;0)</f>
        <v>-0</v>
      </c>
      <c r="AE85" s="43" t="n">
        <f aca="false">-In_Commitment_Fee*($I80-SUM($J80:AE80)+AE80)*AE$6*(AE12&gt;0)</f>
        <v>-0</v>
      </c>
      <c r="AF85" s="43" t="n">
        <f aca="false">-In_Commitment_Fee*($I80-SUM($J80:AF80)+AF80)*AF$6*(AF12&gt;0)</f>
        <v>-0</v>
      </c>
      <c r="AG85" s="43" t="n">
        <f aca="false">-In_Commitment_Fee*($I80-SUM($J80:AG80)+AG80)*AG$6*(AG12&gt;0)</f>
        <v>-0</v>
      </c>
      <c r="AH85" s="43" t="n">
        <f aca="false">-In_Commitment_Fee*($I80-SUM($J80:AH80)+AH80)*AH$6*(AH12&gt;0)</f>
        <v>-0</v>
      </c>
      <c r="AI85" s="43" t="n">
        <f aca="false">-In_Commitment_Fee*($I80-SUM($J80:AI80)+AI80)*AI$6*(AI12&gt;0)</f>
        <v>-0</v>
      </c>
      <c r="AJ85" s="43" t="n">
        <f aca="false">-In_Commitment_Fee*($I80-SUM($J80:AJ80)+AJ80)*AJ$6*(AJ12&gt;0)</f>
        <v>-0</v>
      </c>
      <c r="AK85" s="43" t="n">
        <f aca="false">-In_Commitment_Fee*($I80-SUM($J80:AK80)+AK80)*AK$6*(AK12&gt;0)</f>
        <v>-0</v>
      </c>
      <c r="AL85" s="43" t="n">
        <f aca="false">-In_Commitment_Fee*($I80-SUM($J80:AL80)+AL80)*AL$6*(AL12&gt;0)</f>
        <v>-0</v>
      </c>
      <c r="AM85" s="43" t="n">
        <f aca="false">-In_Commitment_Fee*($I80-SUM($J80:AM80)+AM80)*AM$6*(AM12&gt;0)</f>
        <v>-0</v>
      </c>
      <c r="AN85" s="43" t="n">
        <f aca="false">-In_Commitment_Fee*($I80-SUM($J80:AN80)+AN80)*AN$6*(AN12&gt;0)</f>
        <v>-0</v>
      </c>
      <c r="AO85" s="43" t="n">
        <f aca="false">-In_Commitment_Fee*($I80-SUM($J80:AO80)+AO80)*AO$6*(AO12&gt;0)</f>
        <v>-0</v>
      </c>
      <c r="AP85" s="43" t="n">
        <f aca="false">-In_Commitment_Fee*($I80-SUM($J80:AP80)+AP80)*AP$6*(AP12&gt;0)</f>
        <v>-0</v>
      </c>
      <c r="AQ85" s="43" t="n">
        <f aca="false">-In_Commitment_Fee*($I80-SUM($J80:AQ80)+AQ80)*AQ$6*(AQ12&gt;0)</f>
        <v>-0</v>
      </c>
      <c r="AR85" s="43" t="n">
        <f aca="false">-In_Commitment_Fee*($I80-SUM($J80:AR80)+AR80)*AR$6*(AR12&gt;0)</f>
        <v>-0</v>
      </c>
      <c r="AS85" s="43" t="n">
        <f aca="false">-In_Commitment_Fee*($I80-SUM($J80:AS80)+AS80)*AS$6*(AS12&gt;0)</f>
        <v>-0</v>
      </c>
      <c r="AT85" s="43" t="n">
        <f aca="false">-In_Commitment_Fee*($I80-SUM($J80:AT80)+AT80)*AT$6*(AT12&gt;0)</f>
        <v>-0</v>
      </c>
      <c r="AU85" s="43" t="n">
        <f aca="false">-In_Commitment_Fee*($I80-SUM($J80:AU80)+AU80)*AU$6*(AU12&gt;0)</f>
        <v>-0</v>
      </c>
      <c r="AV85" s="43" t="n">
        <f aca="false">-In_Commitment_Fee*($I80-SUM($J80:AV80)+AV80)*AV$6*(AV12&gt;0)</f>
        <v>-0</v>
      </c>
      <c r="AW85" s="43" t="n">
        <f aca="false">-In_Commitment_Fee*($I80-SUM($J80:AW80)+AW80)*AW$6*(AW12&gt;0)</f>
        <v>-0</v>
      </c>
      <c r="AX85" s="43" t="n">
        <f aca="false">-In_Commitment_Fee*($I80-SUM($J80:AX80)+AX80)*AX$6*(AX12&gt;0)</f>
        <v>-0</v>
      </c>
      <c r="AY85" s="43" t="n">
        <f aca="false">-In_Commitment_Fee*($I80-SUM($J80:AY80)+AY80)*AY$6*(AY12&gt;0)</f>
        <v>-0</v>
      </c>
      <c r="AZ85" s="43" t="n">
        <f aca="false">-In_Commitment_Fee*($I80-SUM($J80:AZ80)+AZ80)*AZ$6*(AZ12&gt;0)</f>
        <v>-0</v>
      </c>
      <c r="BA85" s="43" t="n">
        <f aca="false">-In_Commitment_Fee*($I80-SUM($J80:BA80)+BA80)*BA$6*(BA12&gt;0)</f>
        <v>-0</v>
      </c>
      <c r="BB85" s="43" t="n">
        <f aca="false">-In_Commitment_Fee*($I80-SUM($J80:BB80)+BB80)*BB$6*(BB12&gt;0)</f>
        <v>-0</v>
      </c>
      <c r="BC85" s="43" t="n">
        <f aca="false">-In_Commitment_Fee*($I80-SUM($J80:BC80)+BC80)*BC$6*(BC12&gt;0)</f>
        <v>-0</v>
      </c>
      <c r="BD85" s="43" t="n">
        <f aca="false">-In_Commitment_Fee*($I80-SUM($J80:BD80)+BD80)*BD$6*(BD12&gt;0)</f>
        <v>-0</v>
      </c>
      <c r="BE85" s="43" t="n">
        <f aca="false">-In_Commitment_Fee*($I80-SUM($J80:BE80)+BE80)*BE$6*(BE12&gt;0)</f>
        <v>-0</v>
      </c>
      <c r="BF85" s="43" t="n">
        <f aca="false">-In_Commitment_Fee*($I80-SUM($J80:BF80)+BF80)*BF$6*(BF12&gt;0)</f>
        <v>-0</v>
      </c>
      <c r="BG85" s="43" t="n">
        <f aca="false">-In_Commitment_Fee*($I80-SUM($J80:BG80)+BG80)*BG$6*(BG12&gt;0)</f>
        <v>-0</v>
      </c>
      <c r="BH85" s="43" t="n">
        <f aca="false">-In_Commitment_Fee*($I80-SUM($J80:BH80)+BH80)*BH$6*(BH12&gt;0)</f>
        <v>-0</v>
      </c>
      <c r="BI85" s="43" t="n">
        <f aca="false">-In_Commitment_Fee*($I80-SUM($J80:BI80)+BI80)*BI$6*(BI12&gt;0)</f>
        <v>-0</v>
      </c>
      <c r="BJ85" s="43" t="n">
        <f aca="false">-In_Commitment_Fee*($I80-SUM($J80:BJ80)+BJ80)*BJ$6*(BJ12&gt;0)</f>
        <v>-0</v>
      </c>
      <c r="BK85" s="43" t="n">
        <f aca="false">-In_Commitment_Fee*($I80-SUM($J80:BK80)+BK80)*BK$6*(BK12&gt;0)</f>
        <v>-0</v>
      </c>
      <c r="BL85" s="43" t="n">
        <f aca="false">-In_Commitment_Fee*($I80-SUM($J80:BL80)+BL80)*BL$6*(BL12&gt;0)</f>
        <v>-0</v>
      </c>
      <c r="BM85" s="43" t="n">
        <f aca="false">-In_Commitment_Fee*($I80-SUM($J80:BM80)+BM80)*BM$6*(BM12&gt;0)</f>
        <v>-0</v>
      </c>
      <c r="BN85" s="43" t="n">
        <f aca="false">-In_Commitment_Fee*($I80-SUM($J80:BN80)+BN80)*BN$6*(BN12&gt;0)</f>
        <v>-0</v>
      </c>
      <c r="BO85" s="43" t="n">
        <f aca="false">-In_Commitment_Fee*($I80-SUM($J80:BO80)+BO80)*BO$6*(BO12&gt;0)</f>
        <v>-0</v>
      </c>
      <c r="BP85" s="43" t="n">
        <f aca="false">-In_Commitment_Fee*($I80-SUM($J80:BP80)+BP80)*BP$6*(BP12&gt;0)</f>
        <v>-0</v>
      </c>
      <c r="BQ85" s="43" t="n">
        <f aca="false">-In_Commitment_Fee*($I80-SUM($J80:BQ80)+BQ80)*BQ$6*(BQ12&gt;0)</f>
        <v>-0</v>
      </c>
      <c r="BR85" s="43" t="n">
        <f aca="false">-In_Commitment_Fee*($I80-SUM($J80:BR80)+BR80)*BR$6*(BR12&gt;0)</f>
        <v>-0</v>
      </c>
      <c r="BS85" s="43" t="n">
        <f aca="false">-In_Commitment_Fee*($I80-SUM($J80:BS80)+BS80)*BS$6*(BS12&gt;0)</f>
        <v>-0</v>
      </c>
      <c r="BT85" s="43" t="n">
        <f aca="false">-In_Commitment_Fee*($I80-SUM($J80:BT80)+BT80)*BT$6*(BT12&gt;0)</f>
        <v>-0</v>
      </c>
      <c r="BU85" s="43" t="n">
        <f aca="false">-In_Commitment_Fee*($I80-SUM($J80:BU80)+BU80)*BU$6*(BU12&gt;0)</f>
        <v>-0</v>
      </c>
      <c r="BV85" s="43" t="n">
        <f aca="false">-In_Commitment_Fee*($I80-SUM($J80:BV80)+BV80)*BV$6*(BV12&gt;0)</f>
        <v>-0</v>
      </c>
      <c r="BW85" s="43" t="n">
        <f aca="false">-In_Commitment_Fee*($I80-SUM($J80:BW80)+BW80)*BW$6*(BW12&gt;0)</f>
        <v>-0</v>
      </c>
      <c r="BX85" s="43" t="n">
        <f aca="false">-In_Commitment_Fee*($I80-SUM($J80:BX80)+BX80)*BX$6*(BX12&gt;0)</f>
        <v>-0</v>
      </c>
      <c r="BY85" s="43" t="n">
        <f aca="false">-In_Commitment_Fee*($I80-SUM($J80:BY80)+BY80)*BY$6*(BY12&gt;0)</f>
        <v>-0</v>
      </c>
      <c r="BZ85" s="43" t="n">
        <f aca="false">-In_Commitment_Fee*($I80-SUM($J80:BZ80)+BZ80)*BZ$6*(BZ12&gt;0)</f>
        <v>-0</v>
      </c>
      <c r="CA85" s="43" t="n">
        <f aca="false">-In_Commitment_Fee*($I80-SUM($J80:CA80)+CA80)*CA$6*(CA12&gt;0)</f>
        <v>-0</v>
      </c>
      <c r="CB85" s="43" t="n">
        <f aca="false">-In_Commitment_Fee*($I80-SUM($J80:CB80)+CB80)*CB$6*(CB12&gt;0)</f>
        <v>-0</v>
      </c>
      <c r="CC85" s="43" t="n">
        <f aca="false">-In_Commitment_Fee*($I80-SUM($J80:CC80)+CC80)*CC$6*(CC12&gt;0)</f>
        <v>-0</v>
      </c>
      <c r="CD85" s="43" t="n">
        <f aca="false">-In_Commitment_Fee*($I80-SUM($J80:CD80)+CD80)*CD$6*(CD12&gt;0)</f>
        <v>-0</v>
      </c>
      <c r="CE85" s="43" t="n">
        <f aca="false">-In_Commitment_Fee*($I80-SUM($J80:CE80)+CE80)*CE$6*(CE12&gt;0)</f>
        <v>-0</v>
      </c>
      <c r="CF85" s="43" t="n">
        <f aca="false">-In_Commitment_Fee*($I80-SUM($J80:CF80)+CF80)*CF$6*(CF12&gt;0)</f>
        <v>-0</v>
      </c>
      <c r="CG85" s="43" t="n">
        <f aca="false">-In_Commitment_Fee*($I80-SUM($J80:CG80)+CG80)*CG$6*(CG12&gt;0)</f>
        <v>-0</v>
      </c>
      <c r="CH85" s="43" t="n">
        <f aca="false">-In_Commitment_Fee*($I80-SUM($J80:CH80)+CH80)*CH$6*(CH12&gt;0)</f>
        <v>-0</v>
      </c>
      <c r="CI85" s="43" t="n">
        <f aca="false">-In_Commitment_Fee*($I80-SUM($J80:CI80)+CI80)*CI$6*(CI12&gt;0)</f>
        <v>-0</v>
      </c>
      <c r="CJ85" s="43" t="n">
        <f aca="false">-In_Commitment_Fee*($I80-SUM($J80:CJ80)+CJ80)*CJ$6*(CJ12&gt;0)</f>
        <v>-0</v>
      </c>
      <c r="CK85" s="43" t="n">
        <f aca="false">-In_Commitment_Fee*($I80-SUM($J80:CK80)+CK80)*CK$6*(CK12&gt;0)</f>
        <v>-0</v>
      </c>
      <c r="CL85" s="43" t="n">
        <f aca="false">-In_Commitment_Fee*($I80-SUM($J80:CL80)+CL80)*CL$6*(CL12&gt;0)</f>
        <v>-0</v>
      </c>
      <c r="CM85" s="43" t="n">
        <f aca="false">-In_Commitment_Fee*($I80-SUM($J80:CM80)+CM80)*CM$6*(CM12&gt;0)</f>
        <v>-0</v>
      </c>
      <c r="CN85" s="43" t="n">
        <f aca="false">-In_Commitment_Fee*($I80-SUM($J80:CN80)+CN80)*CN$6*(CN12&gt;0)</f>
        <v>-0</v>
      </c>
      <c r="CO85" s="43" t="n">
        <f aca="false">-In_Commitment_Fee*($I80-SUM($J80:CO80)+CO80)*CO$6*(CO12&gt;0)</f>
        <v>-0</v>
      </c>
      <c r="CP85" s="43" t="n">
        <f aca="false">-In_Commitment_Fee*($I80-SUM($J80:CP80)+CP80)*CP$6*(CP12&gt;0)</f>
        <v>-0</v>
      </c>
      <c r="CQ85" s="43" t="n">
        <f aca="false">-In_Commitment_Fee*($I80-SUM($J80:CQ80)+CQ80)*CQ$6*(CQ12&gt;0)</f>
        <v>-0</v>
      </c>
      <c r="CR85" s="43" t="n">
        <f aca="false">-In_Commitment_Fee*($I80-SUM($J80:CR80)+CR80)*CR$6*(CR12&gt;0)</f>
        <v>-0</v>
      </c>
      <c r="CS85" s="43" t="n">
        <f aca="false">-In_Commitment_Fee*($I80-SUM($J80:CS80)+CS80)*CS$6*(CS12&gt;0)</f>
        <v>-0</v>
      </c>
      <c r="CT85" s="43" t="n">
        <f aca="false">-In_Commitment_Fee*($I80-SUM($J80:CT80)+CT80)*CT$6*(CT12&gt;0)</f>
        <v>-0</v>
      </c>
      <c r="CU85" s="43" t="n">
        <f aca="false">-In_Commitment_Fee*($I80-SUM($J80:CU80)+CU80)*CU$6*(CU12&gt;0)</f>
        <v>-0</v>
      </c>
      <c r="CV85" s="43" t="n">
        <f aca="false">-In_Commitment_Fee*($I80-SUM($J80:CV80)+CV80)*CV$6*(CV12&gt;0)</f>
        <v>-0</v>
      </c>
      <c r="CW85" s="43" t="n">
        <f aca="false">-In_Commitment_Fee*($I80-SUM($J80:CW80)+CW80)*CW$6*(CW12&gt;0)</f>
        <v>-0</v>
      </c>
      <c r="CX85" s="43" t="n">
        <f aca="false">-In_Commitment_Fee*($I80-SUM($J80:CX80)+CX80)*CX$6*(CX12&gt;0)</f>
        <v>-0</v>
      </c>
      <c r="CY85" s="43" t="n">
        <f aca="false">-In_Commitment_Fee*($I80-SUM($J80:CY80)+CY80)*CY$6*(CY12&gt;0)</f>
        <v>-0</v>
      </c>
      <c r="CZ85" s="43" t="n">
        <f aca="false">-In_Commitment_Fee*($I80-SUM($J80:CZ80)+CZ80)*CZ$6*(CZ12&gt;0)</f>
        <v>-0</v>
      </c>
      <c r="DA85" s="43" t="n">
        <f aca="false">-In_Commitment_Fee*($I80-SUM($J80:DA80)+DA80)*DA$6*(DA12&gt;0)</f>
        <v>-0</v>
      </c>
      <c r="DB85" s="43" t="n">
        <f aca="false">-In_Commitment_Fee*($I80-SUM($J80:DB80)+DB80)*DB$6*(DB12&gt;0)</f>
        <v>-0</v>
      </c>
      <c r="DC85" s="43" t="n">
        <f aca="false">-In_Commitment_Fee*($I80-SUM($J80:DC80)+DC80)*DC$6*(DC12&gt;0)</f>
        <v>-0</v>
      </c>
      <c r="DD85" s="43" t="n">
        <f aca="false">-In_Commitment_Fee*($I80-SUM($J80:DD80)+DD80)*DD$6*(DD12&gt;0)</f>
        <v>-0</v>
      </c>
      <c r="DE85" s="43" t="n">
        <f aca="false">-In_Commitment_Fee*($I80-SUM($J80:DE80)+DE80)*DE$6*(DE12&gt;0)</f>
        <v>-0</v>
      </c>
      <c r="DF85" s="43" t="n">
        <f aca="false">-In_Commitment_Fee*($I80-SUM($J80:DF80)+DF80)*DF$6*(DF12&gt;0)</f>
        <v>-0</v>
      </c>
      <c r="DG85" s="43" t="n">
        <f aca="false">-In_Commitment_Fee*($I80-SUM($J80:DG80)+DG80)*DG$6*(DG12&gt;0)</f>
        <v>-0</v>
      </c>
      <c r="DH85" s="43" t="n">
        <f aca="false">-In_Commitment_Fee*($I80-SUM($J80:DH80)+DH80)*DH$6*(DH12&gt;0)</f>
        <v>-0</v>
      </c>
      <c r="DI85" s="43" t="n">
        <f aca="false">-In_Commitment_Fee*($I80-SUM($J80:DI80)+DI80)*DI$6*(DI12&gt;0)</f>
        <v>-0</v>
      </c>
      <c r="DJ85" s="43" t="n">
        <f aca="false">-In_Commitment_Fee*($I80-SUM($J80:DJ80)+DJ80)*DJ$6*(DJ12&gt;0)</f>
        <v>-0</v>
      </c>
      <c r="DK85" s="43" t="n">
        <f aca="false">-In_Commitment_Fee*($I80-SUM($J80:DK80)+DK80)*DK$6*(DK12&gt;0)</f>
        <v>-0</v>
      </c>
      <c r="DL85" s="43" t="n">
        <f aca="false">-In_Commitment_Fee*($I80-SUM($J80:DL80)+DL80)*DL$6*(DL12&gt;0)</f>
        <v>-0</v>
      </c>
      <c r="DM85" s="43" t="n">
        <f aca="false">-In_Commitment_Fee*($I80-SUM($J80:DM80)+DM80)*DM$6*(DM12&gt;0)</f>
        <v>-0</v>
      </c>
      <c r="DN85" s="43" t="n">
        <f aca="false">-In_Commitment_Fee*($I80-SUM($J80:DN80)+DN80)*DN$6*(DN12&gt;0)</f>
        <v>-0</v>
      </c>
      <c r="DO85" s="43" t="n">
        <f aca="false">-In_Commitment_Fee*($I80-SUM($J80:DO80)+DO80)*DO$6*(DO12&gt;0)</f>
        <v>-0</v>
      </c>
      <c r="DP85" s="43" t="n">
        <f aca="false">-In_Commitment_Fee*($I80-SUM($J80:DP80)+DP80)*DP$6*(DP12&gt;0)</f>
        <v>-0</v>
      </c>
      <c r="DQ85" s="43" t="n">
        <f aca="false">-In_Commitment_Fee*($I80-SUM($J80:DQ80)+DQ80)*DQ$6*(DQ12&gt;0)</f>
        <v>-0</v>
      </c>
      <c r="DR85" s="43" t="n">
        <f aca="false">-In_Commitment_Fee*($I80-SUM($J80:DR80)+DR80)*DR$6*(DR12&gt;0)</f>
        <v>-0</v>
      </c>
      <c r="DS85" s="43" t="n">
        <f aca="false">-In_Commitment_Fee*($I80-SUM($J80:DS80)+DS80)*DS$6*(DS12&gt;0)</f>
        <v>-0</v>
      </c>
      <c r="DT85" s="43" t="n">
        <f aca="false">-In_Commitment_Fee*($I80-SUM($J80:DT80)+DT80)*DT$6*(DT12&gt;0)</f>
        <v>-0</v>
      </c>
      <c r="DU85" s="43" t="n">
        <f aca="false">-In_Commitment_Fee*($I80-SUM($J80:DU80)+DU80)*DU$6*(DU12&gt;0)</f>
        <v>-0</v>
      </c>
      <c r="DV85" s="43" t="n">
        <f aca="false">-In_Commitment_Fee*($I80-SUM($J80:DV80)+DV80)*DV$6*(DV12&gt;0)</f>
        <v>-0</v>
      </c>
      <c r="DW85" s="43" t="n">
        <f aca="false">-In_Commitment_Fee*($I80-SUM($J80:DW80)+DW80)*DW$6*(DW12&gt;0)</f>
        <v>-0</v>
      </c>
      <c r="DX85" s="43" t="n">
        <f aca="false">-In_Commitment_Fee*($I80-SUM($J80:DX80)+DX80)*DX$6*(DX12&gt;0)</f>
        <v>-0</v>
      </c>
      <c r="DY85" s="43" t="n">
        <f aca="false">-In_Commitment_Fee*($I80-SUM($J80:DY80)+DY80)*DY$6*(DY12&gt;0)</f>
        <v>-0</v>
      </c>
      <c r="DZ85" s="43" t="n">
        <f aca="false">-In_Commitment_Fee*($I80-SUM($J80:DZ80)+DZ80)*DZ$6*(DZ12&gt;0)</f>
        <v>-0</v>
      </c>
      <c r="EA85" s="43" t="n">
        <f aca="false">-In_Commitment_Fee*($I80-SUM($J80:EA80)+EA80)*EA$6*(EA12&gt;0)</f>
        <v>-0</v>
      </c>
      <c r="EB85" s="43" t="n">
        <f aca="false">-In_Commitment_Fee*($I80-SUM($J80:EB80)+EB80)*EB$6*(EB12&gt;0)</f>
        <v>-0</v>
      </c>
      <c r="EC85" s="43" t="n">
        <f aca="false">-In_Commitment_Fee*($I80-SUM($J80:EC80)+EC80)*EC$6*(EC12&gt;0)</f>
        <v>-0</v>
      </c>
      <c r="ED85" s="43" t="n">
        <f aca="false">-In_Commitment_Fee*($I80-SUM($J80:ED80)+ED80)*ED$6*(ED12&gt;0)</f>
        <v>-0</v>
      </c>
      <c r="EE85" s="43" t="n">
        <f aca="false">-In_Commitment_Fee*($I80-SUM($J80:EE80)+EE80)*EE$6*(EE12&gt;0)</f>
        <v>-0</v>
      </c>
      <c r="EF85" s="43" t="n">
        <f aca="false">-In_Commitment_Fee*($I80-SUM($J80:EF80)+EF80)*EF$6*(EF12&gt;0)</f>
        <v>-0</v>
      </c>
      <c r="EG85" s="43" t="n">
        <f aca="false">-In_Commitment_Fee*($I80-SUM($J80:EG80)+EG80)*EG$6*(EG12&gt;0)</f>
        <v>-0</v>
      </c>
      <c r="EH85" s="43" t="n">
        <f aca="false">-In_Commitment_Fee*($I80-SUM($J80:EH80)+EH80)*EH$6*(EH12&gt;0)</f>
        <v>-0</v>
      </c>
      <c r="EI85" s="43" t="n">
        <f aca="false">-In_Commitment_Fee*($I80-SUM($J80:EI80)+EI80)*EI$6*(EI12&gt;0)</f>
        <v>-0</v>
      </c>
      <c r="EJ85" s="43" t="n">
        <f aca="false">-In_Commitment_Fee*($I80-SUM($J80:EJ80)+EJ80)*EJ$6*(EJ12&gt;0)</f>
        <v>-0</v>
      </c>
      <c r="EK85" s="43" t="n">
        <f aca="false">-In_Commitment_Fee*($I80-SUM($J80:EK80)+EK80)*EK$6*(EK12&gt;0)</f>
        <v>-0</v>
      </c>
      <c r="EL85" s="43" t="n">
        <f aca="false">-In_Commitment_Fee*($I80-SUM($J80:EL80)+EL80)*EL$6*(EL12&gt;0)</f>
        <v>-0</v>
      </c>
      <c r="EM85" s="43" t="n">
        <f aca="false">-In_Commitment_Fee*($I80-SUM($J80:EM80)+EM80)*EM$6*(EM12&gt;0)</f>
        <v>-0</v>
      </c>
      <c r="EN85" s="43" t="n">
        <f aca="false">-In_Commitment_Fee*($I80-SUM($J80:EN80)+EN80)*EN$6*(EN12&gt;0)</f>
        <v>-0</v>
      </c>
      <c r="EO85" s="43" t="n">
        <f aca="false">-In_Commitment_Fee*($I80-SUM($J80:EO80)+EO80)*EO$6*(EO12&gt;0)</f>
        <v>-0</v>
      </c>
    </row>
    <row r="86" customFormat="false" ht="15" hidden="false" customHeight="false" outlineLevel="0" collapsed="false">
      <c r="C86" s="0" t="s">
        <v>392</v>
      </c>
      <c r="D86" s="11" t="s">
        <v>33</v>
      </c>
      <c r="E86" s="43" t="n">
        <f aca="false">-SUMIFS($J78:$EO78,$J$4:$EO$4,"&gt;"&amp;In_COD,$J$4:$EO$4,"&lt;="&amp;EDATE(In_COD,In_DSRA_Months))</f>
        <v>1023.57253698485</v>
      </c>
      <c r="I86" s="43" t="n">
        <f aca="false">SUM(J86:EO86)</f>
        <v>0</v>
      </c>
      <c r="J86" s="43" t="n">
        <f aca="false">$E86*(J18-J14)</f>
        <v>0</v>
      </c>
      <c r="K86" s="43" t="n">
        <f aca="false">$E86*(K18-K14)</f>
        <v>0</v>
      </c>
      <c r="L86" s="43" t="n">
        <f aca="false">$E86*(L18-L14)</f>
        <v>0</v>
      </c>
      <c r="M86" s="43" t="n">
        <f aca="false">$E86*(M18-M14)</f>
        <v>0</v>
      </c>
      <c r="N86" s="43" t="n">
        <f aca="false">$E86*(N18-N14)</f>
        <v>0</v>
      </c>
      <c r="O86" s="43" t="n">
        <f aca="false">$E86*(O18-O14)</f>
        <v>0</v>
      </c>
      <c r="P86" s="43" t="n">
        <f aca="false">$E86*(P18-P14)</f>
        <v>0</v>
      </c>
      <c r="Q86" s="43" t="n">
        <f aca="false">$E86*(Q18-Q14)</f>
        <v>0</v>
      </c>
      <c r="R86" s="43" t="n">
        <f aca="false">$E86*(R18-R14)</f>
        <v>0</v>
      </c>
      <c r="S86" s="43" t="n">
        <f aca="false">$E86*(S18-S14)</f>
        <v>0</v>
      </c>
      <c r="T86" s="43" t="n">
        <f aca="false">$E86*(T18-T14)</f>
        <v>0</v>
      </c>
      <c r="U86" s="43" t="n">
        <f aca="false">$E86*(U18-U14)</f>
        <v>0</v>
      </c>
      <c r="V86" s="43" t="n">
        <f aca="false">$E86*(V18-V14)</f>
        <v>0</v>
      </c>
      <c r="W86" s="43" t="n">
        <f aca="false">$E86*(W18-W14)</f>
        <v>0</v>
      </c>
      <c r="X86" s="43" t="n">
        <f aca="false">$E86*(X18-X14)</f>
        <v>0</v>
      </c>
      <c r="Y86" s="43" t="n">
        <f aca="false">$E86*(Y18-Y14)</f>
        <v>-1023.57253698485</v>
      </c>
      <c r="Z86" s="43" t="n">
        <f aca="false">$E86*(Z18-Z14)</f>
        <v>0</v>
      </c>
      <c r="AA86" s="43" t="n">
        <f aca="false">$E86*(AA18-AA14)</f>
        <v>0</v>
      </c>
      <c r="AB86" s="43" t="n">
        <f aca="false">$E86*(AB18-AB14)</f>
        <v>0</v>
      </c>
      <c r="AC86" s="43" t="n">
        <f aca="false">$E86*(AC18-AC14)</f>
        <v>0</v>
      </c>
      <c r="AD86" s="43" t="n">
        <f aca="false">$E86*(AD18-AD14)</f>
        <v>0</v>
      </c>
      <c r="AE86" s="43" t="n">
        <f aca="false">$E86*(AE18-AE14)</f>
        <v>0</v>
      </c>
      <c r="AF86" s="43" t="n">
        <f aca="false">$E86*(AF18-AF14)</f>
        <v>0</v>
      </c>
      <c r="AG86" s="43" t="n">
        <f aca="false">$E86*(AG18-AG14)</f>
        <v>0</v>
      </c>
      <c r="AH86" s="43" t="n">
        <f aca="false">$E86*(AH18-AH14)</f>
        <v>0</v>
      </c>
      <c r="AI86" s="43" t="n">
        <f aca="false">$E86*(AI18-AI14)</f>
        <v>0</v>
      </c>
      <c r="AJ86" s="43" t="n">
        <f aca="false">$E86*(AJ18-AJ14)</f>
        <v>0</v>
      </c>
      <c r="AK86" s="43" t="n">
        <f aca="false">$E86*(AK18-AK14)</f>
        <v>0</v>
      </c>
      <c r="AL86" s="43" t="n">
        <f aca="false">$E86*(AL18-AL14)</f>
        <v>0</v>
      </c>
      <c r="AM86" s="43" t="n">
        <f aca="false">$E86*(AM18-AM14)</f>
        <v>0</v>
      </c>
      <c r="AN86" s="43" t="n">
        <f aca="false">$E86*(AN18-AN14)</f>
        <v>0</v>
      </c>
      <c r="AO86" s="43" t="n">
        <f aca="false">$E86*(AO18-AO14)</f>
        <v>0</v>
      </c>
      <c r="AP86" s="43" t="n">
        <f aca="false">$E86*(AP18-AP14)</f>
        <v>0</v>
      </c>
      <c r="AQ86" s="43" t="n">
        <f aca="false">$E86*(AQ18-AQ14)</f>
        <v>0</v>
      </c>
      <c r="AR86" s="43" t="n">
        <f aca="false">$E86*(AR18-AR14)</f>
        <v>0</v>
      </c>
      <c r="AS86" s="43" t="n">
        <f aca="false">$E86*(AS18-AS14)</f>
        <v>0</v>
      </c>
      <c r="AT86" s="43" t="n">
        <f aca="false">$E86*(AT18-AT14)</f>
        <v>0</v>
      </c>
      <c r="AU86" s="43" t="n">
        <f aca="false">$E86*(AU18-AU14)</f>
        <v>0</v>
      </c>
      <c r="AV86" s="43" t="n">
        <f aca="false">$E86*(AV18-AV14)</f>
        <v>0</v>
      </c>
      <c r="AW86" s="43" t="n">
        <f aca="false">$E86*(AW18-AW14)</f>
        <v>0</v>
      </c>
      <c r="AX86" s="43" t="n">
        <f aca="false">$E86*(AX18-AX14)</f>
        <v>0</v>
      </c>
      <c r="AY86" s="43" t="n">
        <f aca="false">$E86*(AY18-AY14)</f>
        <v>0</v>
      </c>
      <c r="AZ86" s="43" t="n">
        <f aca="false">$E86*(AZ18-AZ14)</f>
        <v>0</v>
      </c>
      <c r="BA86" s="43" t="n">
        <f aca="false">$E86*(BA18-BA14)</f>
        <v>0</v>
      </c>
      <c r="BB86" s="43" t="n">
        <f aca="false">$E86*(BB18-BB14)</f>
        <v>0</v>
      </c>
      <c r="BC86" s="43" t="n">
        <f aca="false">$E86*(BC18-BC14)</f>
        <v>0</v>
      </c>
      <c r="BD86" s="43" t="n">
        <f aca="false">$E86*(BD18-BD14)</f>
        <v>0</v>
      </c>
      <c r="BE86" s="43" t="n">
        <f aca="false">$E86*(BE18-BE14)</f>
        <v>0</v>
      </c>
      <c r="BF86" s="43" t="n">
        <f aca="false">$E86*(BF18-BF14)</f>
        <v>0</v>
      </c>
      <c r="BG86" s="43" t="n">
        <f aca="false">$E86*(BG18-BG14)</f>
        <v>0</v>
      </c>
      <c r="BH86" s="43" t="n">
        <f aca="false">$E86*(BH18-BH14)</f>
        <v>0</v>
      </c>
      <c r="BI86" s="43" t="n">
        <f aca="false">$E86*(BI18-BI14)</f>
        <v>0</v>
      </c>
      <c r="BJ86" s="43" t="n">
        <f aca="false">$E86*(BJ18-BJ14)</f>
        <v>0</v>
      </c>
      <c r="BK86" s="43" t="n">
        <f aca="false">$E86*(BK18-BK14)</f>
        <v>0</v>
      </c>
      <c r="BL86" s="43" t="n">
        <f aca="false">$E86*(BL18-BL14)</f>
        <v>0</v>
      </c>
      <c r="BM86" s="43" t="n">
        <f aca="false">$E86*(BM18-BM14)</f>
        <v>0</v>
      </c>
      <c r="BN86" s="43" t="n">
        <f aca="false">$E86*(BN18-BN14)</f>
        <v>0</v>
      </c>
      <c r="BO86" s="43" t="n">
        <f aca="false">$E86*(BO18-BO14)</f>
        <v>0</v>
      </c>
      <c r="BP86" s="43" t="n">
        <f aca="false">$E86*(BP18-BP14)</f>
        <v>0</v>
      </c>
      <c r="BQ86" s="43" t="n">
        <f aca="false">$E86*(BQ18-BQ14)</f>
        <v>0</v>
      </c>
      <c r="BR86" s="43" t="n">
        <f aca="false">$E86*(BR18-BR14)</f>
        <v>0</v>
      </c>
      <c r="BS86" s="43" t="n">
        <f aca="false">$E86*(BS18-BS14)</f>
        <v>0</v>
      </c>
      <c r="BT86" s="43" t="n">
        <f aca="false">$E86*(BT18-BT14)</f>
        <v>0</v>
      </c>
      <c r="BU86" s="43" t="n">
        <f aca="false">$E86*(BU18-BU14)</f>
        <v>0</v>
      </c>
      <c r="BV86" s="43" t="n">
        <f aca="false">$E86*(BV18-BV14)</f>
        <v>0</v>
      </c>
      <c r="BW86" s="43" t="n">
        <f aca="false">$E86*(BW18-BW14)</f>
        <v>0</v>
      </c>
      <c r="BX86" s="43" t="n">
        <f aca="false">$E86*(BX18-BX14)</f>
        <v>0</v>
      </c>
      <c r="BY86" s="43" t="n">
        <f aca="false">$E86*(BY18-BY14)</f>
        <v>0</v>
      </c>
      <c r="BZ86" s="43" t="n">
        <f aca="false">$E86*(BZ18-BZ14)</f>
        <v>0</v>
      </c>
      <c r="CA86" s="43" t="n">
        <f aca="false">$E86*(CA18-CA14)</f>
        <v>0</v>
      </c>
      <c r="CB86" s="43" t="n">
        <f aca="false">$E86*(CB18-CB14)</f>
        <v>0</v>
      </c>
      <c r="CC86" s="43" t="n">
        <f aca="false">$E86*(CC18-CC14)</f>
        <v>0</v>
      </c>
      <c r="CD86" s="43" t="n">
        <f aca="false">$E86*(CD18-CD14)</f>
        <v>0</v>
      </c>
      <c r="CE86" s="43" t="n">
        <f aca="false">$E86*(CE18-CE14)</f>
        <v>0</v>
      </c>
      <c r="CF86" s="43" t="n">
        <f aca="false">$E86*(CF18-CF14)</f>
        <v>0</v>
      </c>
      <c r="CG86" s="43" t="n">
        <f aca="false">$E86*(CG18-CG14)</f>
        <v>0</v>
      </c>
      <c r="CH86" s="43" t="n">
        <f aca="false">$E86*(CH18-CH14)</f>
        <v>0</v>
      </c>
      <c r="CI86" s="43" t="n">
        <f aca="false">$E86*(CI18-CI14)</f>
        <v>0</v>
      </c>
      <c r="CJ86" s="43" t="n">
        <f aca="false">$E86*(CJ18-CJ14)</f>
        <v>0</v>
      </c>
      <c r="CK86" s="43" t="n">
        <f aca="false">$E86*(CK18-CK14)</f>
        <v>0</v>
      </c>
      <c r="CL86" s="43" t="n">
        <f aca="false">$E86*(CL18-CL14)</f>
        <v>0</v>
      </c>
      <c r="CM86" s="43" t="n">
        <f aca="false">$E86*(CM18-CM14)</f>
        <v>0</v>
      </c>
      <c r="CN86" s="43" t="n">
        <f aca="false">$E86*(CN18-CN14)</f>
        <v>0</v>
      </c>
      <c r="CO86" s="43" t="n">
        <f aca="false">$E86*(CO18-CO14)</f>
        <v>0</v>
      </c>
      <c r="CP86" s="43" t="n">
        <f aca="false">$E86*(CP18-CP14)</f>
        <v>0</v>
      </c>
      <c r="CQ86" s="43" t="n">
        <f aca="false">$E86*(CQ18-CQ14)</f>
        <v>0</v>
      </c>
      <c r="CR86" s="43" t="n">
        <f aca="false">$E86*(CR18-CR14)</f>
        <v>0</v>
      </c>
      <c r="CS86" s="43" t="n">
        <f aca="false">$E86*(CS18-CS14)</f>
        <v>1023.57253698485</v>
      </c>
      <c r="CT86" s="43" t="n">
        <f aca="false">$E86*(CT18-CT14)</f>
        <v>0</v>
      </c>
      <c r="CU86" s="43" t="n">
        <f aca="false">$E86*(CU18-CU14)</f>
        <v>0</v>
      </c>
      <c r="CV86" s="43" t="n">
        <f aca="false">$E86*(CV18-CV14)</f>
        <v>0</v>
      </c>
      <c r="CW86" s="43" t="n">
        <f aca="false">$E86*(CW18-CW14)</f>
        <v>0</v>
      </c>
      <c r="CX86" s="43" t="n">
        <f aca="false">$E86*(CX18-CX14)</f>
        <v>0</v>
      </c>
      <c r="CY86" s="43" t="n">
        <f aca="false">$E86*(CY18-CY14)</f>
        <v>0</v>
      </c>
      <c r="CZ86" s="43" t="n">
        <f aca="false">$E86*(CZ18-CZ14)</f>
        <v>0</v>
      </c>
      <c r="DA86" s="43" t="n">
        <f aca="false">$E86*(DA18-DA14)</f>
        <v>0</v>
      </c>
      <c r="DB86" s="43" t="n">
        <f aca="false">$E86*(DB18-DB14)</f>
        <v>0</v>
      </c>
      <c r="DC86" s="43" t="n">
        <f aca="false">$E86*(DC18-DC14)</f>
        <v>0</v>
      </c>
      <c r="DD86" s="43" t="n">
        <f aca="false">$E86*(DD18-DD14)</f>
        <v>0</v>
      </c>
      <c r="DE86" s="43" t="n">
        <f aca="false">$E86*(DE18-DE14)</f>
        <v>0</v>
      </c>
      <c r="DF86" s="43" t="n">
        <f aca="false">$E86*(DF18-DF14)</f>
        <v>0</v>
      </c>
      <c r="DG86" s="43" t="n">
        <f aca="false">$E86*(DG18-DG14)</f>
        <v>0</v>
      </c>
      <c r="DH86" s="43" t="n">
        <f aca="false">$E86*(DH18-DH14)</f>
        <v>0</v>
      </c>
      <c r="DI86" s="43" t="n">
        <f aca="false">$E86*(DI18-DI14)</f>
        <v>0</v>
      </c>
      <c r="DJ86" s="43" t="n">
        <f aca="false">$E86*(DJ18-DJ14)</f>
        <v>0</v>
      </c>
      <c r="DK86" s="43" t="n">
        <f aca="false">$E86*(DK18-DK14)</f>
        <v>0</v>
      </c>
      <c r="DL86" s="43" t="n">
        <f aca="false">$E86*(DL18-DL14)</f>
        <v>0</v>
      </c>
      <c r="DM86" s="43" t="n">
        <f aca="false">$E86*(DM18-DM14)</f>
        <v>0</v>
      </c>
      <c r="DN86" s="43" t="n">
        <f aca="false">$E86*(DN18-DN14)</f>
        <v>0</v>
      </c>
      <c r="DO86" s="43" t="n">
        <f aca="false">$E86*(DO18-DO14)</f>
        <v>0</v>
      </c>
      <c r="DP86" s="43" t="n">
        <f aca="false">$E86*(DP18-DP14)</f>
        <v>0</v>
      </c>
      <c r="DQ86" s="43" t="n">
        <f aca="false">$E86*(DQ18-DQ14)</f>
        <v>0</v>
      </c>
      <c r="DR86" s="43" t="n">
        <f aca="false">$E86*(DR18-DR14)</f>
        <v>0</v>
      </c>
      <c r="DS86" s="43" t="n">
        <f aca="false">$E86*(DS18-DS14)</f>
        <v>0</v>
      </c>
      <c r="DT86" s="43" t="n">
        <f aca="false">$E86*(DT18-DT14)</f>
        <v>0</v>
      </c>
      <c r="DU86" s="43" t="n">
        <f aca="false">$E86*(DU18-DU14)</f>
        <v>0</v>
      </c>
      <c r="DV86" s="43" t="n">
        <f aca="false">$E86*(DV18-DV14)</f>
        <v>0</v>
      </c>
      <c r="DW86" s="43" t="n">
        <f aca="false">$E86*(DW18-DW14)</f>
        <v>0</v>
      </c>
      <c r="DX86" s="43" t="n">
        <f aca="false">$E86*(DX18-DX14)</f>
        <v>0</v>
      </c>
      <c r="DY86" s="43" t="n">
        <f aca="false">$E86*(DY18-DY14)</f>
        <v>0</v>
      </c>
      <c r="DZ86" s="43" t="n">
        <f aca="false">$E86*(DZ18-DZ14)</f>
        <v>0</v>
      </c>
      <c r="EA86" s="43" t="n">
        <f aca="false">$E86*(EA18-EA14)</f>
        <v>0</v>
      </c>
      <c r="EB86" s="43" t="n">
        <f aca="false">$E86*(EB18-EB14)</f>
        <v>0</v>
      </c>
      <c r="EC86" s="43" t="n">
        <f aca="false">$E86*(EC18-EC14)</f>
        <v>0</v>
      </c>
      <c r="ED86" s="43" t="n">
        <f aca="false">$E86*(ED18-ED14)</f>
        <v>0</v>
      </c>
      <c r="EE86" s="43" t="n">
        <f aca="false">$E86*(EE18-EE14)</f>
        <v>0</v>
      </c>
      <c r="EF86" s="43" t="n">
        <f aca="false">$E86*(EF18-EF14)</f>
        <v>0</v>
      </c>
      <c r="EG86" s="43" t="n">
        <f aca="false">$E86*(EG18-EG14)</f>
        <v>0</v>
      </c>
      <c r="EH86" s="43" t="n">
        <f aca="false">$E86*(EH18-EH14)</f>
        <v>0</v>
      </c>
      <c r="EI86" s="43" t="n">
        <f aca="false">$E86*(EI18-EI14)</f>
        <v>0</v>
      </c>
      <c r="EJ86" s="43" t="n">
        <f aca="false">$E86*(EJ18-EJ14)</f>
        <v>0</v>
      </c>
      <c r="EK86" s="43" t="n">
        <f aca="false">$E86*(EK18-EK14)</f>
        <v>0</v>
      </c>
      <c r="EL86" s="43" t="n">
        <f aca="false">$E86*(EL18-EL14)</f>
        <v>0</v>
      </c>
      <c r="EM86" s="43" t="n">
        <f aca="false">$E86*(EM18-EM14)</f>
        <v>0</v>
      </c>
      <c r="EN86" s="43" t="n">
        <f aca="false">$E86*(EN18-EN14)</f>
        <v>0</v>
      </c>
      <c r="EO86" s="43" t="n">
        <f aca="false">$E86*(EO18-EO14)</f>
        <v>0</v>
      </c>
    </row>
    <row r="87" customFormat="false" ht="15" hidden="false" customHeight="false" outlineLevel="0" collapsed="false">
      <c r="C87" s="0" t="s">
        <v>393</v>
      </c>
      <c r="D87" s="11" t="s">
        <v>13</v>
      </c>
      <c r="E87" s="50" t="n">
        <f aca="false">MIN($J87:$EO87)</f>
        <v>1.97257010190255</v>
      </c>
      <c r="J87" s="50" t="str">
        <f aca="false">IF(J78&lt;0,J71/-J78,"")</f>
        <v/>
      </c>
      <c r="K87" s="50" t="str">
        <f aca="false">IF(K78&lt;0,K71/-K78,"")</f>
        <v/>
      </c>
      <c r="L87" s="50" t="str">
        <f aca="false">IF(L78&lt;0,L71/-L78,"")</f>
        <v/>
      </c>
      <c r="M87" s="50" t="str">
        <f aca="false">IF(M78&lt;0,M71/-M78,"")</f>
        <v/>
      </c>
      <c r="N87" s="50" t="str">
        <f aca="false">IF(N78&lt;0,N71/-N78,"")</f>
        <v/>
      </c>
      <c r="O87" s="50" t="str">
        <f aca="false">IF(O78&lt;0,O71/-O78,"")</f>
        <v/>
      </c>
      <c r="P87" s="50" t="str">
        <f aca="false">IF(P78&lt;0,P71/-P78,"")</f>
        <v/>
      </c>
      <c r="Q87" s="50" t="str">
        <f aca="false">IF(Q78&lt;0,Q71/-Q78,"")</f>
        <v/>
      </c>
      <c r="R87" s="50" t="str">
        <f aca="false">IF(R78&lt;0,R71/-R78,"")</f>
        <v/>
      </c>
      <c r="S87" s="50" t="str">
        <f aca="false">IF(S78&lt;0,S71/-S78,"")</f>
        <v/>
      </c>
      <c r="T87" s="50" t="str">
        <f aca="false">IF(T78&lt;0,T71/-T78,"")</f>
        <v/>
      </c>
      <c r="U87" s="50" t="str">
        <f aca="false">IF(U78&lt;0,U71/-U78,"")</f>
        <v/>
      </c>
      <c r="V87" s="50" t="str">
        <f aca="false">IF(V78&lt;0,V71/-V78,"")</f>
        <v/>
      </c>
      <c r="W87" s="50" t="str">
        <f aca="false">IF(W78&lt;0,W71/-W78,"")</f>
        <v/>
      </c>
      <c r="X87" s="50" t="str">
        <f aca="false">IF(X78&lt;0,X71/-X78,"")</f>
        <v/>
      </c>
      <c r="Y87" s="50" t="str">
        <f aca="false">IF(Y78&lt;0,Y71/-Y78,"")</f>
        <v/>
      </c>
      <c r="Z87" s="50" t="n">
        <f aca="false">IF(Z78&lt;0,Z71/-Z78,"")</f>
        <v>1.97257010190255</v>
      </c>
      <c r="AA87" s="50" t="n">
        <f aca="false">IF(AA78&lt;0,AA71/-AA78,"")</f>
        <v>1.97257010190255</v>
      </c>
      <c r="AB87" s="50" t="n">
        <f aca="false">IF(AB78&lt;0,AB71/-AB78,"")</f>
        <v>1.97257010190255</v>
      </c>
      <c r="AC87" s="50" t="n">
        <f aca="false">IF(AC78&lt;0,AC71/-AC78,"")</f>
        <v>1.97257010190255</v>
      </c>
      <c r="AD87" s="50" t="n">
        <f aca="false">IF(AD78&lt;0,AD71/-AD78,"")</f>
        <v>1.97257010190255</v>
      </c>
      <c r="AE87" s="50" t="n">
        <f aca="false">IF(AE78&lt;0,AE71/-AE78,"")</f>
        <v>1.97257010190255</v>
      </c>
      <c r="AF87" s="50" t="n">
        <f aca="false">IF(AF78&lt;0,AF71/-AF78,"")</f>
        <v>1.97257010190255</v>
      </c>
      <c r="AG87" s="50" t="n">
        <f aca="false">IF(AG78&lt;0,AG71/-AG78,"")</f>
        <v>1.97257010190255</v>
      </c>
      <c r="AH87" s="50" t="n">
        <f aca="false">IF(AH78&lt;0,AH71/-AH78,"")</f>
        <v>1.97257010190255</v>
      </c>
      <c r="AI87" s="50" t="n">
        <f aca="false">IF(AI78&lt;0,AI71/-AI78,"")</f>
        <v>1.97257010190255</v>
      </c>
      <c r="AJ87" s="50" t="n">
        <f aca="false">IF(AJ78&lt;0,AJ71/-AJ78,"")</f>
        <v>1.97257010190255</v>
      </c>
      <c r="AK87" s="50" t="n">
        <f aca="false">IF(AK78&lt;0,AK71/-AK78,"")</f>
        <v>1.97257010190255</v>
      </c>
      <c r="AL87" s="50" t="n">
        <f aca="false">IF(AL78&lt;0,AL71/-AL78,"")</f>
        <v>1.97257010190255</v>
      </c>
      <c r="AM87" s="50" t="n">
        <f aca="false">IF(AM78&lt;0,AM71/-AM78,"")</f>
        <v>1.97257010190255</v>
      </c>
      <c r="AN87" s="50" t="n">
        <f aca="false">IF(AN78&lt;0,AN71/-AN78,"")</f>
        <v>1.97257010190255</v>
      </c>
      <c r="AO87" s="50" t="n">
        <f aca="false">IF(AO78&lt;0,AO71/-AO78,"")</f>
        <v>1.97257010190255</v>
      </c>
      <c r="AP87" s="50" t="n">
        <f aca="false">IF(AP78&lt;0,AP71/-AP78,"")</f>
        <v>1.97257010190255</v>
      </c>
      <c r="AQ87" s="50" t="n">
        <f aca="false">IF(AQ78&lt;0,AQ71/-AQ78,"")</f>
        <v>1.97257010190255</v>
      </c>
      <c r="AR87" s="50" t="n">
        <f aca="false">IF(AR78&lt;0,AR71/-AR78,"")</f>
        <v>1.97257010190255</v>
      </c>
      <c r="AS87" s="50" t="n">
        <f aca="false">IF(AS78&lt;0,AS71/-AS78,"")</f>
        <v>1.97257010190255</v>
      </c>
      <c r="AT87" s="50" t="n">
        <f aca="false">IF(AT78&lt;0,AT71/-AT78,"")</f>
        <v>1.97257010190255</v>
      </c>
      <c r="AU87" s="50" t="n">
        <f aca="false">IF(AU78&lt;0,AU71/-AU78,"")</f>
        <v>1.97257010190255</v>
      </c>
      <c r="AV87" s="50" t="n">
        <f aca="false">IF(AV78&lt;0,AV71/-AV78,"")</f>
        <v>1.97257010190255</v>
      </c>
      <c r="AW87" s="50" t="n">
        <f aca="false">IF(AW78&lt;0,AW71/-AW78,"")</f>
        <v>1.97257010190255</v>
      </c>
      <c r="AX87" s="50" t="n">
        <f aca="false">IF(AX78&lt;0,AX71/-AX78,"")</f>
        <v>1.97257010190255</v>
      </c>
      <c r="AY87" s="50" t="n">
        <f aca="false">IF(AY78&lt;0,AY71/-AY78,"")</f>
        <v>1.97257010190255</v>
      </c>
      <c r="AZ87" s="50" t="n">
        <f aca="false">IF(AZ78&lt;0,AZ71/-AZ78,"")</f>
        <v>1.97257010190255</v>
      </c>
      <c r="BA87" s="50" t="n">
        <f aca="false">IF(BA78&lt;0,BA71/-BA78,"")</f>
        <v>1.97257010190255</v>
      </c>
      <c r="BB87" s="50" t="n">
        <f aca="false">IF(BB78&lt;0,BB71/-BB78,"")</f>
        <v>1.97257010190255</v>
      </c>
      <c r="BC87" s="50" t="n">
        <f aca="false">IF(BC78&lt;0,BC71/-BC78,"")</f>
        <v>1.97257010190255</v>
      </c>
      <c r="BD87" s="50" t="n">
        <f aca="false">IF(BD78&lt;0,BD71/-BD78,"")</f>
        <v>1.97257010190255</v>
      </c>
      <c r="BE87" s="50" t="n">
        <f aca="false">IF(BE78&lt;0,BE71/-BE78,"")</f>
        <v>1.97257010190255</v>
      </c>
      <c r="BF87" s="50" t="n">
        <f aca="false">IF(BF78&lt;0,BF71/-BF78,"")</f>
        <v>1.97257010190255</v>
      </c>
      <c r="BG87" s="50" t="n">
        <f aca="false">IF(BG78&lt;0,BG71/-BG78,"")</f>
        <v>1.97257010190255</v>
      </c>
      <c r="BH87" s="50" t="n">
        <f aca="false">IF(BH78&lt;0,BH71/-BH78,"")</f>
        <v>1.97257010190255</v>
      </c>
      <c r="BI87" s="50" t="n">
        <f aca="false">IF(BI78&lt;0,BI71/-BI78,"")</f>
        <v>1.97257010190255</v>
      </c>
      <c r="BJ87" s="50" t="n">
        <f aca="false">IF(BJ78&lt;0,BJ71/-BJ78,"")</f>
        <v>1.97257010190255</v>
      </c>
      <c r="BK87" s="50" t="n">
        <f aca="false">IF(BK78&lt;0,BK71/-BK78,"")</f>
        <v>1.97257010190255</v>
      </c>
      <c r="BL87" s="50" t="n">
        <f aca="false">IF(BL78&lt;0,BL71/-BL78,"")</f>
        <v>1.97257010190255</v>
      </c>
      <c r="BM87" s="50" t="n">
        <f aca="false">IF(BM78&lt;0,BM71/-BM78,"")</f>
        <v>1.97257010190255</v>
      </c>
      <c r="BN87" s="50" t="n">
        <f aca="false">IF(BN78&lt;0,BN71/-BN78,"")</f>
        <v>1.97257010190255</v>
      </c>
      <c r="BO87" s="50" t="n">
        <f aca="false">IF(BO78&lt;0,BO71/-BO78,"")</f>
        <v>1.97257010190255</v>
      </c>
      <c r="BP87" s="50" t="n">
        <f aca="false">IF(BP78&lt;0,BP71/-BP78,"")</f>
        <v>1.97257010190255</v>
      </c>
      <c r="BQ87" s="50" t="n">
        <f aca="false">IF(BQ78&lt;0,BQ71/-BQ78,"")</f>
        <v>1.97257010190255</v>
      </c>
      <c r="BR87" s="50" t="n">
        <f aca="false">IF(BR78&lt;0,BR71/-BR78,"")</f>
        <v>1.97257010190255</v>
      </c>
      <c r="BS87" s="50" t="n">
        <f aca="false">IF(BS78&lt;0,BS71/-BS78,"")</f>
        <v>1.97257010190255</v>
      </c>
      <c r="BT87" s="50" t="n">
        <f aca="false">IF(BT78&lt;0,BT71/-BT78,"")</f>
        <v>1.97257010190255</v>
      </c>
      <c r="BU87" s="50" t="n">
        <f aca="false">IF(BU78&lt;0,BU71/-BU78,"")</f>
        <v>1.97257010190255</v>
      </c>
      <c r="BV87" s="50" t="n">
        <f aca="false">IF(BV78&lt;0,BV71/-BV78,"")</f>
        <v>1.97257010190255</v>
      </c>
      <c r="BW87" s="50" t="n">
        <f aca="false">IF(BW78&lt;0,BW71/-BW78,"")</f>
        <v>1.97257010190255</v>
      </c>
      <c r="BX87" s="50" t="n">
        <f aca="false">IF(BX78&lt;0,BX71/-BX78,"")</f>
        <v>1.97257010190255</v>
      </c>
      <c r="BY87" s="50" t="n">
        <f aca="false">IF(BY78&lt;0,BY71/-BY78,"")</f>
        <v>1.97257010190255</v>
      </c>
      <c r="BZ87" s="50" t="n">
        <f aca="false">IF(BZ78&lt;0,BZ71/-BZ78,"")</f>
        <v>1.97257010190255</v>
      </c>
      <c r="CA87" s="50" t="n">
        <f aca="false">IF(CA78&lt;0,CA71/-CA78,"")</f>
        <v>1.97257010190255</v>
      </c>
      <c r="CB87" s="50" t="n">
        <f aca="false">IF(CB78&lt;0,CB71/-CB78,"")</f>
        <v>1.97257010190255</v>
      </c>
      <c r="CC87" s="50" t="n">
        <f aca="false">IF(CC78&lt;0,CC71/-CC78,"")</f>
        <v>1.97257010190255</v>
      </c>
      <c r="CD87" s="50" t="n">
        <f aca="false">IF(CD78&lt;0,CD71/-CD78,"")</f>
        <v>1.97257010190255</v>
      </c>
      <c r="CE87" s="50" t="n">
        <f aca="false">IF(CE78&lt;0,CE71/-CE78,"")</f>
        <v>1.97257010190255</v>
      </c>
      <c r="CF87" s="50" t="n">
        <f aca="false">IF(CF78&lt;0,CF71/-CF78,"")</f>
        <v>1.97257010190255</v>
      </c>
      <c r="CG87" s="50" t="n">
        <f aca="false">IF(CG78&lt;0,CG71/-CG78,"")</f>
        <v>1.97257010190255</v>
      </c>
      <c r="CH87" s="50" t="n">
        <f aca="false">IF(CH78&lt;0,CH71/-CH78,"")</f>
        <v>1.97257010190255</v>
      </c>
      <c r="CI87" s="50" t="n">
        <f aca="false">IF(CI78&lt;0,CI71/-CI78,"")</f>
        <v>1.97257010190255</v>
      </c>
      <c r="CJ87" s="50" t="n">
        <f aca="false">IF(CJ78&lt;0,CJ71/-CJ78,"")</f>
        <v>1.97257010190255</v>
      </c>
      <c r="CK87" s="50" t="n">
        <f aca="false">IF(CK78&lt;0,CK71/-CK78,"")</f>
        <v>1.97257010190255</v>
      </c>
      <c r="CL87" s="50" t="n">
        <f aca="false">IF(CL78&lt;0,CL71/-CL78,"")</f>
        <v>1.97257010190255</v>
      </c>
      <c r="CM87" s="50" t="n">
        <f aca="false">IF(CM78&lt;0,CM71/-CM78,"")</f>
        <v>1.97257010190255</v>
      </c>
      <c r="CN87" s="50" t="n">
        <f aca="false">IF(CN78&lt;0,CN71/-CN78,"")</f>
        <v>1.97257010190255</v>
      </c>
      <c r="CO87" s="50" t="n">
        <f aca="false">IF(CO78&lt;0,CO71/-CO78,"")</f>
        <v>1.97257010190255</v>
      </c>
      <c r="CP87" s="50" t="n">
        <f aca="false">IF(CP78&lt;0,CP71/-CP78,"")</f>
        <v>1.97257010190255</v>
      </c>
      <c r="CQ87" s="50" t="n">
        <f aca="false">IF(CQ78&lt;0,CQ71/-CQ78,"")</f>
        <v>1.97257010190255</v>
      </c>
      <c r="CR87" s="50" t="n">
        <f aca="false">IF(CR78&lt;0,CR71/-CR78,"")</f>
        <v>1.97257010190255</v>
      </c>
      <c r="CS87" s="50" t="n">
        <f aca="false">IF(CS78&lt;0,CS71/-CS78,"")</f>
        <v>1.97257010190255</v>
      </c>
      <c r="CT87" s="50" t="str">
        <f aca="false">IF(CT78&lt;0,CT71/-CT78,"")</f>
        <v/>
      </c>
      <c r="CU87" s="50" t="str">
        <f aca="false">IF(CU78&lt;0,CU71/-CU78,"")</f>
        <v/>
      </c>
      <c r="CV87" s="50" t="str">
        <f aca="false">IF(CV78&lt;0,CV71/-CV78,"")</f>
        <v/>
      </c>
      <c r="CW87" s="50" t="str">
        <f aca="false">IF(CW78&lt;0,CW71/-CW78,"")</f>
        <v/>
      </c>
      <c r="CX87" s="50" t="str">
        <f aca="false">IF(CX78&lt;0,CX71/-CX78,"")</f>
        <v/>
      </c>
      <c r="CY87" s="50" t="str">
        <f aca="false">IF(CY78&lt;0,CY71/-CY78,"")</f>
        <v/>
      </c>
      <c r="CZ87" s="50" t="str">
        <f aca="false">IF(CZ78&lt;0,CZ71/-CZ78,"")</f>
        <v/>
      </c>
      <c r="DA87" s="50" t="str">
        <f aca="false">IF(DA78&lt;0,DA71/-DA78,"")</f>
        <v/>
      </c>
      <c r="DB87" s="50" t="str">
        <f aca="false">IF(DB78&lt;0,DB71/-DB78,"")</f>
        <v/>
      </c>
      <c r="DC87" s="50" t="str">
        <f aca="false">IF(DC78&lt;0,DC71/-DC78,"")</f>
        <v/>
      </c>
      <c r="DD87" s="50" t="str">
        <f aca="false">IF(DD78&lt;0,DD71/-DD78,"")</f>
        <v/>
      </c>
      <c r="DE87" s="50" t="str">
        <f aca="false">IF(DE78&lt;0,DE71/-DE78,"")</f>
        <v/>
      </c>
      <c r="DF87" s="50" t="str">
        <f aca="false">IF(DF78&lt;0,DF71/-DF78,"")</f>
        <v/>
      </c>
      <c r="DG87" s="50" t="str">
        <f aca="false">IF(DG78&lt;0,DG71/-DG78,"")</f>
        <v/>
      </c>
      <c r="DH87" s="50" t="str">
        <f aca="false">IF(DH78&lt;0,DH71/-DH78,"")</f>
        <v/>
      </c>
      <c r="DI87" s="50" t="str">
        <f aca="false">IF(DI78&lt;0,DI71/-DI78,"")</f>
        <v/>
      </c>
      <c r="DJ87" s="50" t="str">
        <f aca="false">IF(DJ78&lt;0,DJ71/-DJ78,"")</f>
        <v/>
      </c>
      <c r="DK87" s="50" t="str">
        <f aca="false">IF(DK78&lt;0,DK71/-DK78,"")</f>
        <v/>
      </c>
      <c r="DL87" s="50" t="str">
        <f aca="false">IF(DL78&lt;0,DL71/-DL78,"")</f>
        <v/>
      </c>
      <c r="DM87" s="50" t="str">
        <f aca="false">IF(DM78&lt;0,DM71/-DM78,"")</f>
        <v/>
      </c>
      <c r="DN87" s="50" t="str">
        <f aca="false">IF(DN78&lt;0,DN71/-DN78,"")</f>
        <v/>
      </c>
      <c r="DO87" s="50" t="str">
        <f aca="false">IF(DO78&lt;0,DO71/-DO78,"")</f>
        <v/>
      </c>
      <c r="DP87" s="50" t="str">
        <f aca="false">IF(DP78&lt;0,DP71/-DP78,"")</f>
        <v/>
      </c>
      <c r="DQ87" s="50" t="str">
        <f aca="false">IF(DQ78&lt;0,DQ71/-DQ78,"")</f>
        <v/>
      </c>
      <c r="DR87" s="50" t="str">
        <f aca="false">IF(DR78&lt;0,DR71/-DR78,"")</f>
        <v/>
      </c>
      <c r="DS87" s="50" t="str">
        <f aca="false">IF(DS78&lt;0,DS71/-DS78,"")</f>
        <v/>
      </c>
      <c r="DT87" s="50" t="str">
        <f aca="false">IF(DT78&lt;0,DT71/-DT78,"")</f>
        <v/>
      </c>
      <c r="DU87" s="50" t="str">
        <f aca="false">IF(DU78&lt;0,DU71/-DU78,"")</f>
        <v/>
      </c>
      <c r="DV87" s="50" t="str">
        <f aca="false">IF(DV78&lt;0,DV71/-DV78,"")</f>
        <v/>
      </c>
      <c r="DW87" s="50" t="str">
        <f aca="false">IF(DW78&lt;0,DW71/-DW78,"")</f>
        <v/>
      </c>
      <c r="DX87" s="50" t="str">
        <f aca="false">IF(DX78&lt;0,DX71/-DX78,"")</f>
        <v/>
      </c>
      <c r="DY87" s="50" t="str">
        <f aca="false">IF(DY78&lt;0,DY71/-DY78,"")</f>
        <v/>
      </c>
      <c r="DZ87" s="50" t="str">
        <f aca="false">IF(DZ78&lt;0,DZ71/-DZ78,"")</f>
        <v/>
      </c>
      <c r="EA87" s="50" t="str">
        <f aca="false">IF(EA78&lt;0,EA71/-EA78,"")</f>
        <v/>
      </c>
      <c r="EB87" s="50" t="str">
        <f aca="false">IF(EB78&lt;0,EB71/-EB78,"")</f>
        <v/>
      </c>
      <c r="EC87" s="50" t="str">
        <f aca="false">IF(EC78&lt;0,EC71/-EC78,"")</f>
        <v/>
      </c>
      <c r="ED87" s="50" t="str">
        <f aca="false">IF(ED78&lt;0,ED71/-ED78,"")</f>
        <v/>
      </c>
      <c r="EE87" s="50" t="str">
        <f aca="false">IF(EE78&lt;0,EE71/-EE78,"")</f>
        <v/>
      </c>
      <c r="EF87" s="50" t="str">
        <f aca="false">IF(EF78&lt;0,EF71/-EF78,"")</f>
        <v/>
      </c>
      <c r="EG87" s="50" t="str">
        <f aca="false">IF(EG78&lt;0,EG71/-EG78,"")</f>
        <v/>
      </c>
      <c r="EH87" s="50" t="str">
        <f aca="false">IF(EH78&lt;0,EH71/-EH78,"")</f>
        <v/>
      </c>
      <c r="EI87" s="50" t="str">
        <f aca="false">IF(EI78&lt;0,EI71/-EI78,"")</f>
        <v/>
      </c>
      <c r="EJ87" s="50" t="str">
        <f aca="false">IF(EJ78&lt;0,EJ71/-EJ78,"")</f>
        <v/>
      </c>
      <c r="EK87" s="50" t="str">
        <f aca="false">IF(EK78&lt;0,EK71/-EK78,"")</f>
        <v/>
      </c>
      <c r="EL87" s="50" t="str">
        <f aca="false">IF(EL78&lt;0,EL71/-EL78,"")</f>
        <v/>
      </c>
      <c r="EM87" s="50" t="str">
        <f aca="false">IF(EM78&lt;0,EM71/-EM78,"")</f>
        <v/>
      </c>
      <c r="EN87" s="50" t="str">
        <f aca="false">IF(EN78&lt;0,EN71/-EN78,"")</f>
        <v/>
      </c>
      <c r="EO87" s="50" t="str">
        <f aca="false">IF(EO78&lt;0,EO71/-EO78,"")</f>
        <v/>
      </c>
    </row>
    <row r="89" customFormat="false" ht="15" hidden="false" customHeight="false" outlineLevel="0" collapsed="false">
      <c r="A89" s="9" t="s">
        <v>13</v>
      </c>
      <c r="B89" s="9"/>
      <c r="C89" s="9" t="s">
        <v>394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</row>
    <row r="90" customFormat="false" ht="15" hidden="false" customHeight="false" outlineLevel="0" collapsed="false">
      <c r="C90" s="0" t="s">
        <v>395</v>
      </c>
      <c r="D90" s="11" t="s">
        <v>33</v>
      </c>
      <c r="E90" s="43" t="n">
        <f aca="false">$I81-($I52+$I45+$I53+$I42+$I35+$I36+$I37)</f>
        <v>74105.5159054784</v>
      </c>
      <c r="I90" s="43" t="n">
        <f aca="false">SUM(J90:EO90)</f>
        <v>-74105.5159054784</v>
      </c>
      <c r="J90" s="43" t="n">
        <f aca="false">-$E90*J19</f>
        <v>-0</v>
      </c>
      <c r="K90" s="43" t="n">
        <f aca="false">-$E90*K19</f>
        <v>-0</v>
      </c>
      <c r="L90" s="43" t="n">
        <f aca="false">-$E90*L19</f>
        <v>-0</v>
      </c>
      <c r="M90" s="43" t="n">
        <f aca="false">-$E90*M19</f>
        <v>-0</v>
      </c>
      <c r="N90" s="43" t="n">
        <f aca="false">-$E90*N19</f>
        <v>-0</v>
      </c>
      <c r="O90" s="43" t="n">
        <f aca="false">-$E90*O19</f>
        <v>-0</v>
      </c>
      <c r="P90" s="43" t="n">
        <f aca="false">-$E90*P19</f>
        <v>-0</v>
      </c>
      <c r="Q90" s="43" t="n">
        <f aca="false">-$E90*Q19</f>
        <v>-0</v>
      </c>
      <c r="R90" s="43" t="n">
        <f aca="false">-$E90*R19</f>
        <v>-0</v>
      </c>
      <c r="S90" s="43" t="n">
        <f aca="false">-$E90*S19</f>
        <v>-0</v>
      </c>
      <c r="T90" s="43" t="n">
        <f aca="false">-$E90*T19</f>
        <v>-0</v>
      </c>
      <c r="U90" s="43" t="n">
        <f aca="false">-$E90*U19</f>
        <v>-0</v>
      </c>
      <c r="V90" s="43" t="n">
        <f aca="false">-$E90*V19</f>
        <v>-0</v>
      </c>
      <c r="W90" s="43" t="n">
        <f aca="false">-$E90*W19</f>
        <v>-0</v>
      </c>
      <c r="X90" s="43" t="n">
        <f aca="false">-$E90*X19</f>
        <v>-0</v>
      </c>
      <c r="Y90" s="43" t="n">
        <f aca="false">-$E90*Y19</f>
        <v>-0</v>
      </c>
      <c r="Z90" s="43" t="n">
        <f aca="false">-$E90*Z19</f>
        <v>-933.293287242164</v>
      </c>
      <c r="AA90" s="43" t="n">
        <f aca="false">-$E90*AA19</f>
        <v>-913.0043027369</v>
      </c>
      <c r="AB90" s="43" t="n">
        <f aca="false">-$E90*AB19</f>
        <v>-923.148794989532</v>
      </c>
      <c r="AC90" s="43" t="n">
        <f aca="false">-$E90*AC19</f>
        <v>-933.293287242164</v>
      </c>
      <c r="AD90" s="43" t="n">
        <f aca="false">-$E90*AD19</f>
        <v>-933.293287242164</v>
      </c>
      <c r="AE90" s="43" t="n">
        <f aca="false">-$E90*AE19</f>
        <v>-923.148794989532</v>
      </c>
      <c r="AF90" s="43" t="n">
        <f aca="false">-$E90*AF19</f>
        <v>-923.148794989532</v>
      </c>
      <c r="AG90" s="43" t="n">
        <f aca="false">-$E90*AG19</f>
        <v>-933.293287242164</v>
      </c>
      <c r="AH90" s="43" t="n">
        <f aca="false">-$E90*AH19</f>
        <v>-933.293287242164</v>
      </c>
      <c r="AI90" s="43" t="n">
        <f aca="false">-$E90*AI19</f>
        <v>-913.0043027369</v>
      </c>
      <c r="AJ90" s="43" t="n">
        <f aca="false">-$E90*AJ19</f>
        <v>-923.148794989532</v>
      </c>
      <c r="AK90" s="43" t="n">
        <f aca="false">-$E90*AK19</f>
        <v>-933.293287242164</v>
      </c>
      <c r="AL90" s="43" t="n">
        <f aca="false">-$E90*AL19</f>
        <v>-933.293287242164</v>
      </c>
      <c r="AM90" s="43" t="n">
        <f aca="false">-$E90*AM19</f>
        <v>-913.0043027369</v>
      </c>
      <c r="AN90" s="43" t="n">
        <f aca="false">-$E90*AN19</f>
        <v>-923.148794989532</v>
      </c>
      <c r="AO90" s="43" t="n">
        <f aca="false">-$E90*AO19</f>
        <v>-933.293287242164</v>
      </c>
      <c r="AP90" s="43" t="n">
        <f aca="false">-$E90*AP19</f>
        <v>-933.293287242164</v>
      </c>
      <c r="AQ90" s="43" t="n">
        <f aca="false">-$E90*AQ19</f>
        <v>-913.0043027369</v>
      </c>
      <c r="AR90" s="43" t="n">
        <f aca="false">-$E90*AR19</f>
        <v>-923.148794989532</v>
      </c>
      <c r="AS90" s="43" t="n">
        <f aca="false">-$E90*AS19</f>
        <v>-933.293287242164</v>
      </c>
      <c r="AT90" s="43" t="n">
        <f aca="false">-$E90*AT19</f>
        <v>-933.293287242164</v>
      </c>
      <c r="AU90" s="43" t="n">
        <f aca="false">-$E90*AU19</f>
        <v>-923.148794989532</v>
      </c>
      <c r="AV90" s="43" t="n">
        <f aca="false">-$E90*AV19</f>
        <v>-923.148794989532</v>
      </c>
      <c r="AW90" s="43" t="n">
        <f aca="false">-$E90*AW19</f>
        <v>-933.293287242164</v>
      </c>
      <c r="AX90" s="43" t="n">
        <f aca="false">-$E90*AX19</f>
        <v>-933.293287242164</v>
      </c>
      <c r="AY90" s="43" t="n">
        <f aca="false">-$E90*AY19</f>
        <v>-913.0043027369</v>
      </c>
      <c r="AZ90" s="43" t="n">
        <f aca="false">-$E90*AZ19</f>
        <v>-923.148794989532</v>
      </c>
      <c r="BA90" s="43" t="n">
        <f aca="false">-$E90*BA19</f>
        <v>-933.293287242164</v>
      </c>
      <c r="BB90" s="43" t="n">
        <f aca="false">-$E90*BB19</f>
        <v>-933.293287242164</v>
      </c>
      <c r="BC90" s="43" t="n">
        <f aca="false">-$E90*BC19</f>
        <v>-913.0043027369</v>
      </c>
      <c r="BD90" s="43" t="n">
        <f aca="false">-$E90*BD19</f>
        <v>-923.148794989532</v>
      </c>
      <c r="BE90" s="43" t="n">
        <f aca="false">-$E90*BE19</f>
        <v>-933.293287242164</v>
      </c>
      <c r="BF90" s="43" t="n">
        <f aca="false">-$E90*BF19</f>
        <v>-933.293287242164</v>
      </c>
      <c r="BG90" s="43" t="n">
        <f aca="false">-$E90*BG19</f>
        <v>-913.0043027369</v>
      </c>
      <c r="BH90" s="43" t="n">
        <f aca="false">-$E90*BH19</f>
        <v>-923.148794989532</v>
      </c>
      <c r="BI90" s="43" t="n">
        <f aca="false">-$E90*BI19</f>
        <v>-933.293287242164</v>
      </c>
      <c r="BJ90" s="43" t="n">
        <f aca="false">-$E90*BJ19</f>
        <v>-933.293287242164</v>
      </c>
      <c r="BK90" s="43" t="n">
        <f aca="false">-$E90*BK19</f>
        <v>-923.148794989532</v>
      </c>
      <c r="BL90" s="43" t="n">
        <f aca="false">-$E90*BL19</f>
        <v>-923.148794989532</v>
      </c>
      <c r="BM90" s="43" t="n">
        <f aca="false">-$E90*BM19</f>
        <v>-933.293287242164</v>
      </c>
      <c r="BN90" s="43" t="n">
        <f aca="false">-$E90*BN19</f>
        <v>-933.293287242164</v>
      </c>
      <c r="BO90" s="43" t="n">
        <f aca="false">-$E90*BO19</f>
        <v>-913.0043027369</v>
      </c>
      <c r="BP90" s="43" t="n">
        <f aca="false">-$E90*BP19</f>
        <v>-923.148794989532</v>
      </c>
      <c r="BQ90" s="43" t="n">
        <f aca="false">-$E90*BQ19</f>
        <v>-933.293287242164</v>
      </c>
      <c r="BR90" s="43" t="n">
        <f aca="false">-$E90*BR19</f>
        <v>-933.293287242164</v>
      </c>
      <c r="BS90" s="43" t="n">
        <f aca="false">-$E90*BS19</f>
        <v>-913.0043027369</v>
      </c>
      <c r="BT90" s="43" t="n">
        <f aca="false">-$E90*BT19</f>
        <v>-923.148794989532</v>
      </c>
      <c r="BU90" s="43" t="n">
        <f aca="false">-$E90*BU19</f>
        <v>-933.293287242164</v>
      </c>
      <c r="BV90" s="43" t="n">
        <f aca="false">-$E90*BV19</f>
        <v>-933.293287242164</v>
      </c>
      <c r="BW90" s="43" t="n">
        <f aca="false">-$E90*BW19</f>
        <v>-913.0043027369</v>
      </c>
      <c r="BX90" s="43" t="n">
        <f aca="false">-$E90*BX19</f>
        <v>-923.148794989532</v>
      </c>
      <c r="BY90" s="43" t="n">
        <f aca="false">-$E90*BY19</f>
        <v>-933.293287242164</v>
      </c>
      <c r="BZ90" s="43" t="n">
        <f aca="false">-$E90*BZ19</f>
        <v>-933.293287242164</v>
      </c>
      <c r="CA90" s="43" t="n">
        <f aca="false">-$E90*CA19</f>
        <v>-923.148794989532</v>
      </c>
      <c r="CB90" s="43" t="n">
        <f aca="false">-$E90*CB19</f>
        <v>-923.148794989532</v>
      </c>
      <c r="CC90" s="43" t="n">
        <f aca="false">-$E90*CC19</f>
        <v>-933.293287242164</v>
      </c>
      <c r="CD90" s="43" t="n">
        <f aca="false">-$E90*CD19</f>
        <v>-933.293287242164</v>
      </c>
      <c r="CE90" s="43" t="n">
        <f aca="false">-$E90*CE19</f>
        <v>-913.0043027369</v>
      </c>
      <c r="CF90" s="43" t="n">
        <f aca="false">-$E90*CF19</f>
        <v>-923.148794989532</v>
      </c>
      <c r="CG90" s="43" t="n">
        <f aca="false">-$E90*CG19</f>
        <v>-933.293287242164</v>
      </c>
      <c r="CH90" s="43" t="n">
        <f aca="false">-$E90*CH19</f>
        <v>-933.293287242164</v>
      </c>
      <c r="CI90" s="43" t="n">
        <f aca="false">-$E90*CI19</f>
        <v>-913.0043027369</v>
      </c>
      <c r="CJ90" s="43" t="n">
        <f aca="false">-$E90*CJ19</f>
        <v>-923.148794989532</v>
      </c>
      <c r="CK90" s="43" t="n">
        <f aca="false">-$E90*CK19</f>
        <v>-933.293287242164</v>
      </c>
      <c r="CL90" s="43" t="n">
        <f aca="false">-$E90*CL19</f>
        <v>-933.293287242164</v>
      </c>
      <c r="CM90" s="43" t="n">
        <f aca="false">-$E90*CM19</f>
        <v>-913.0043027369</v>
      </c>
      <c r="CN90" s="43" t="n">
        <f aca="false">-$E90*CN19</f>
        <v>-923.148794989532</v>
      </c>
      <c r="CO90" s="43" t="n">
        <f aca="false">-$E90*CO19</f>
        <v>-933.293287242164</v>
      </c>
      <c r="CP90" s="43" t="n">
        <f aca="false">-$E90*CP19</f>
        <v>-933.293287242164</v>
      </c>
      <c r="CQ90" s="43" t="n">
        <f aca="false">-$E90*CQ19</f>
        <v>-923.148794989532</v>
      </c>
      <c r="CR90" s="43" t="n">
        <f aca="false">-$E90*CR19</f>
        <v>-923.148794989532</v>
      </c>
      <c r="CS90" s="43" t="n">
        <f aca="false">-$E90*CS19</f>
        <v>-933.293287242164</v>
      </c>
      <c r="CT90" s="43" t="n">
        <f aca="false">-$E90*CT19</f>
        <v>-933.293287242164</v>
      </c>
      <c r="CU90" s="43" t="n">
        <f aca="false">-$E90*CU19</f>
        <v>-913.0043027369</v>
      </c>
      <c r="CV90" s="43" t="n">
        <f aca="false">-$E90*CV19</f>
        <v>-923.148794989532</v>
      </c>
      <c r="CW90" s="43" t="n">
        <f aca="false">-$E90*CW19</f>
        <v>-933.293287242164</v>
      </c>
      <c r="CX90" s="43" t="n">
        <f aca="false">-$E90*CX19</f>
        <v>-933.293287242164</v>
      </c>
      <c r="CY90" s="43" t="n">
        <f aca="false">-$E90*CY19</f>
        <v>-913.0043027369</v>
      </c>
      <c r="CZ90" s="43" t="n">
        <f aca="false">-$E90*CZ19</f>
        <v>-923.148794989532</v>
      </c>
      <c r="DA90" s="43" t="n">
        <f aca="false">-$E90*DA19</f>
        <v>-933.293287242164</v>
      </c>
      <c r="DB90" s="43" t="n">
        <f aca="false">-$E90*DB19</f>
        <v>-0</v>
      </c>
      <c r="DC90" s="43" t="n">
        <f aca="false">-$E90*DC19</f>
        <v>-0</v>
      </c>
      <c r="DD90" s="43" t="n">
        <f aca="false">-$E90*DD19</f>
        <v>-0</v>
      </c>
      <c r="DE90" s="43" t="n">
        <f aca="false">-$E90*DE19</f>
        <v>-0</v>
      </c>
      <c r="DF90" s="43" t="n">
        <f aca="false">-$E90*DF19</f>
        <v>-0</v>
      </c>
      <c r="DG90" s="43" t="n">
        <f aca="false">-$E90*DG19</f>
        <v>-0</v>
      </c>
      <c r="DH90" s="43" t="n">
        <f aca="false">-$E90*DH19</f>
        <v>-0</v>
      </c>
      <c r="DI90" s="43" t="n">
        <f aca="false">-$E90*DI19</f>
        <v>-0</v>
      </c>
      <c r="DJ90" s="43" t="n">
        <f aca="false">-$E90*DJ19</f>
        <v>-0</v>
      </c>
      <c r="DK90" s="43" t="n">
        <f aca="false">-$E90*DK19</f>
        <v>-0</v>
      </c>
      <c r="DL90" s="43" t="n">
        <f aca="false">-$E90*DL19</f>
        <v>-0</v>
      </c>
      <c r="DM90" s="43" t="n">
        <f aca="false">-$E90*DM19</f>
        <v>-0</v>
      </c>
      <c r="DN90" s="43" t="n">
        <f aca="false">-$E90*DN19</f>
        <v>-0</v>
      </c>
      <c r="DO90" s="43" t="n">
        <f aca="false">-$E90*DO19</f>
        <v>-0</v>
      </c>
      <c r="DP90" s="43" t="n">
        <f aca="false">-$E90*DP19</f>
        <v>-0</v>
      </c>
      <c r="DQ90" s="43" t="n">
        <f aca="false">-$E90*DQ19</f>
        <v>-0</v>
      </c>
      <c r="DR90" s="43" t="n">
        <f aca="false">-$E90*DR19</f>
        <v>-0</v>
      </c>
      <c r="DS90" s="43" t="n">
        <f aca="false">-$E90*DS19</f>
        <v>-0</v>
      </c>
      <c r="DT90" s="43" t="n">
        <f aca="false">-$E90*DT19</f>
        <v>-0</v>
      </c>
      <c r="DU90" s="43" t="n">
        <f aca="false">-$E90*DU19</f>
        <v>-0</v>
      </c>
      <c r="DV90" s="43" t="n">
        <f aca="false">-$E90*DV19</f>
        <v>-0</v>
      </c>
      <c r="DW90" s="43" t="n">
        <f aca="false">-$E90*DW19</f>
        <v>-0</v>
      </c>
      <c r="DX90" s="43" t="n">
        <f aca="false">-$E90*DX19</f>
        <v>-0</v>
      </c>
      <c r="DY90" s="43" t="n">
        <f aca="false">-$E90*DY19</f>
        <v>-0</v>
      </c>
      <c r="DZ90" s="43" t="n">
        <f aca="false">-$E90*DZ19</f>
        <v>-0</v>
      </c>
      <c r="EA90" s="43" t="n">
        <f aca="false">-$E90*EA19</f>
        <v>-0</v>
      </c>
      <c r="EB90" s="43" t="n">
        <f aca="false">-$E90*EB19</f>
        <v>-0</v>
      </c>
      <c r="EC90" s="43" t="n">
        <f aca="false">-$E90*EC19</f>
        <v>-0</v>
      </c>
      <c r="ED90" s="43" t="n">
        <f aca="false">-$E90*ED19</f>
        <v>-0</v>
      </c>
      <c r="EE90" s="43" t="n">
        <f aca="false">-$E90*EE19</f>
        <v>-0</v>
      </c>
      <c r="EF90" s="43" t="n">
        <f aca="false">-$E90*EF19</f>
        <v>-0</v>
      </c>
      <c r="EG90" s="43" t="n">
        <f aca="false">-$E90*EG19</f>
        <v>-0</v>
      </c>
      <c r="EH90" s="43" t="n">
        <f aca="false">-$E90*EH19</f>
        <v>-0</v>
      </c>
      <c r="EI90" s="43" t="n">
        <f aca="false">-$E90*EI19</f>
        <v>-0</v>
      </c>
      <c r="EJ90" s="43" t="n">
        <f aca="false">-$E90*EJ19</f>
        <v>-0</v>
      </c>
      <c r="EK90" s="43" t="n">
        <f aca="false">-$E90*EK19</f>
        <v>-0</v>
      </c>
      <c r="EL90" s="43" t="n">
        <f aca="false">-$E90*EL19</f>
        <v>-0</v>
      </c>
      <c r="EM90" s="43" t="n">
        <f aca="false">-$E90*EM19</f>
        <v>-0</v>
      </c>
      <c r="EN90" s="43" t="n">
        <f aca="false">-$E90*EN19</f>
        <v>-0</v>
      </c>
      <c r="EO90" s="43" t="n">
        <f aca="false">-$E90*EO19</f>
        <v>-0</v>
      </c>
    </row>
    <row r="91" customFormat="false" ht="15" hidden="false" customHeight="false" outlineLevel="0" collapsed="false">
      <c r="C91" s="0" t="s">
        <v>396</v>
      </c>
      <c r="D91" s="11" t="s">
        <v>33</v>
      </c>
      <c r="I91" s="43" t="n">
        <f aca="false">SUM(J91:EO91)</f>
        <v>151758.874973583</v>
      </c>
      <c r="J91" s="43" t="n">
        <f aca="false">J67+J90+J77+J84+J85+J39+J46</f>
        <v>-11.0990429724151</v>
      </c>
      <c r="K91" s="43" t="n">
        <f aca="false">K67+K90+K77+K84+K85+K39+K46</f>
        <v>-12.342278100957</v>
      </c>
      <c r="L91" s="43" t="n">
        <f aca="false">L67+L90+L77+L84+L85+L39+L46</f>
        <v>-20.7990242071683</v>
      </c>
      <c r="M91" s="43" t="n">
        <f aca="false">M67+M90+M77+M84+M85+M39+M46</f>
        <v>-21.0275849127416</v>
      </c>
      <c r="N91" s="43" t="n">
        <f aca="false">N67+N90+N77+N84+N85+N39+N46</f>
        <v>-21.0275849127416</v>
      </c>
      <c r="O91" s="43" t="n">
        <f aca="false">O67+O90+O77+O84+O85+O39+O46</f>
        <v>-20.7990242071683</v>
      </c>
      <c r="P91" s="43" t="n">
        <f aca="false">P67+P90+P77+P84+P85+P39+P46</f>
        <v>-20.7990242071683</v>
      </c>
      <c r="Q91" s="43" t="n">
        <f aca="false">Q67+Q90+Q77+Q84+Q85+Q39+Q46</f>
        <v>-21.0275849127416</v>
      </c>
      <c r="R91" s="43" t="n">
        <f aca="false">R67+R90+R77+R84+R85+R39+R46</f>
        <v>-1012.5669786325</v>
      </c>
      <c r="S91" s="43" t="n">
        <f aca="false">S67+S90+S77+S84+S85+S39+S46</f>
        <v>-150.18256490508</v>
      </c>
      <c r="T91" s="43" t="n">
        <f aca="false">T67+T90+T77+T84+T85+T39+T46</f>
        <v>-128.154366846935</v>
      </c>
      <c r="U91" s="43" t="n">
        <f aca="false">U67+U90+U77+U84+U85+U39+U46</f>
        <v>-118.432460424369</v>
      </c>
      <c r="V91" s="43" t="n">
        <f aca="false">V67+V90+V77+V84+V85+V39+V46</f>
        <v>-107.179954408231</v>
      </c>
      <c r="W91" s="43" t="n">
        <f aca="false">W67+W90+W77+W84+W85+W39+W46</f>
        <v>-94.7892792362545</v>
      </c>
      <c r="X91" s="43" t="n">
        <f aca="false">X67+X90+X77+X84+X85+X39+X46</f>
        <v>-84.9542580681179</v>
      </c>
      <c r="Y91" s="43" t="n">
        <f aca="false">Y67+Y90+Y77+Y84+Y85+Y39+Y46</f>
        <v>-74.7576251754551</v>
      </c>
      <c r="Z91" s="43" t="n">
        <f aca="false">Z67+Z90+Z77+Z84+Z85+Z39+Z46</f>
        <v>502.128836430724</v>
      </c>
      <c r="AA91" s="43" t="n">
        <f aca="false">AA67+AA90+AA77+AA84+AA85+AA39+AA46</f>
        <v>496.394395396218</v>
      </c>
      <c r="AB91" s="43" t="n">
        <f aca="false">AB67+AB90+AB77+AB84+AB85+AB39+AB46</f>
        <v>513.67345738793</v>
      </c>
      <c r="AC91" s="43" t="n">
        <f aca="false">AC67+AC90+AC77+AC84+AC85+AC39+AC46</f>
        <v>531.152715101918</v>
      </c>
      <c r="AD91" s="43" t="n">
        <f aca="false">AD67+AD90+AD77+AD84+AD85+AD39+AD46</f>
        <v>529.273323359707</v>
      </c>
      <c r="AE91" s="43" t="n">
        <f aca="false">AE67+AE90+AE77+AE84+AE85+AE39+AE46</f>
        <v>535.829090564288</v>
      </c>
      <c r="AF91" s="43" t="n">
        <f aca="false">AF67+AF90+AF77+AF84+AF85+AF39+AF46</f>
        <v>541.349237715626</v>
      </c>
      <c r="AG91" s="43" t="n">
        <f aca="false">AG67+AG90+AG77+AG84+AG85+AG39+AG46</f>
        <v>559.194882620851</v>
      </c>
      <c r="AH91" s="43" t="n">
        <f aca="false">AH67+AH90+AH77+AH84+AH85+AH39+AH46</f>
        <v>557.469893678344</v>
      </c>
      <c r="AI91" s="43" t="n">
        <f aca="false">AI67+AI90+AI77+AI84+AI85+AI39+AI46</f>
        <v>551.652343475681</v>
      </c>
      <c r="AJ91" s="43" t="n">
        <f aca="false">AJ67+AJ90+AJ77+AJ84+AJ85+AJ39+AJ46</f>
        <v>590.304647224546</v>
      </c>
      <c r="AK91" s="43" t="n">
        <f aca="false">AK67+AK90+AK77+AK84+AK85+AK39+AK46</f>
        <v>608.707762749855</v>
      </c>
      <c r="AL91" s="43" t="n">
        <f aca="false">AL67+AL90+AL77+AL84+AL85+AL39+AL46</f>
        <v>607.307769274849</v>
      </c>
      <c r="AM91" s="43" t="n">
        <f aca="false">AM67+AM90+AM77+AM84+AM85+AM39+AM46</f>
        <v>601.196098686512</v>
      </c>
      <c r="AN91" s="43" t="n">
        <f aca="false">AN67+AN90+AN77+AN84+AN85+AN39+AN46</f>
        <v>619.769101598381</v>
      </c>
      <c r="AO91" s="43" t="n">
        <f aca="false">AO67+AO90+AO77+AO84+AO85+AO39+AO46</f>
        <v>638.550245527928</v>
      </c>
      <c r="AP91" s="43" t="n">
        <f aca="false">AP67+AP90+AP77+AP84+AP85+AP39+AP46</f>
        <v>637.425416682307</v>
      </c>
      <c r="AQ91" s="43" t="n">
        <f aca="false">AQ67+AQ90+AQ77+AQ84+AQ85+AQ39+AQ46</f>
        <v>631.369837237161</v>
      </c>
      <c r="AR91" s="43" t="n">
        <f aca="false">AR67+AR90+AR77+AR84+AR85+AR39+AR46</f>
        <v>650.328737348626</v>
      </c>
      <c r="AS91" s="43" t="n">
        <f aca="false">AS67+AS90+AS77+AS84+AS85+AS39+AS46</f>
        <v>669.500023187289</v>
      </c>
      <c r="AT91" s="43" t="n">
        <f aca="false">AT67+AT90+AT77+AT84+AT85+AT39+AT46</f>
        <v>668.664647287109</v>
      </c>
      <c r="AU91" s="43" t="n">
        <f aca="false">AU67+AU90+AU77+AU84+AU85+AU39+AU46</f>
        <v>675.401060911521</v>
      </c>
      <c r="AV91" s="43" t="n">
        <f aca="false">AV67+AV90+AV77+AV84+AV85+AV39+AV46</f>
        <v>682.172280961937</v>
      </c>
      <c r="AW91" s="43" t="n">
        <f aca="false">AW67+AW90+AW77+AW84+AW85+AW39+AW46</f>
        <v>701.748039737654</v>
      </c>
      <c r="AX91" s="43" t="n">
        <f aca="false">AX67+AX90+AX77+AX84+AX85+AX39+AX46</f>
        <v>701.21872941446</v>
      </c>
      <c r="AY91" s="43" t="n">
        <f aca="false">AY67+AY90+AY77+AY84+AY85+AY39+AY46</f>
        <v>695.314073803109</v>
      </c>
      <c r="AZ91" s="43" t="n">
        <f aca="false">AZ67+AZ90+AZ77+AZ84+AZ85+AZ39+AZ46</f>
        <v>715.084642949748</v>
      </c>
      <c r="BA91" s="43" t="n">
        <f aca="false">BA67+BA90+BA77+BA84+BA85+BA39+BA46</f>
        <v>735.076604917347</v>
      </c>
      <c r="BB91" s="43" t="n">
        <f aca="false">BB67+BB90+BB77+BB84+BB85+BB39+BB46</f>
        <v>734.867423505956</v>
      </c>
      <c r="BC91" s="43" t="n">
        <f aca="false">BC67+BC90+BC77+BC84+BC85+BC39+BC46</f>
        <v>729.057301162146</v>
      </c>
      <c r="BD91" s="43" t="n">
        <f aca="false">BD67+BD90+BD77+BD84+BD85+BD39+BD46</f>
        <v>749.253245250183</v>
      </c>
      <c r="BE91" s="43" t="n">
        <f aca="false">BE67+BE90+BE77+BE84+BE85+BE39+BE46</f>
        <v>769.675340799024</v>
      </c>
      <c r="BF91" s="43" t="n">
        <f aca="false">BF67+BF90+BF77+BF84+BF85+BF39+BF46</f>
        <v>769.802662737151</v>
      </c>
      <c r="BG91" s="43" t="n">
        <f aca="false">BG67+BG90+BG77+BG84+BG85+BG39+BG46</f>
        <v>764.101217632667</v>
      </c>
      <c r="BH91" s="43" t="n">
        <f aca="false">BH67+BH90+BH77+BH84+BH85+BH39+BH46</f>
        <v>784.736945278414</v>
      </c>
      <c r="BI91" s="43" t="n">
        <f aca="false">BI67+BI90+BI77+BI84+BI85+BI39+BI46</f>
        <v>805.603770251843</v>
      </c>
      <c r="BJ91" s="43" t="n">
        <f aca="false">BJ67+BJ90+BJ77+BJ84+BJ85+BJ39+BJ46</f>
        <v>806.084730365405</v>
      </c>
      <c r="BK91" s="43" t="n">
        <f aca="false">BK67+BK90+BK77+BK84+BK85+BK39+BK46</f>
        <v>813.430509209942</v>
      </c>
      <c r="BL91" s="43" t="n">
        <f aca="false">BL67+BL90+BL77+BL84+BL85+BL39+BL46</f>
        <v>821.73625798156</v>
      </c>
      <c r="BM91" s="43" t="n">
        <f aca="false">BM67+BM90+BM77+BM84+BM85+BM39+BM46</f>
        <v>843.064762634859</v>
      </c>
      <c r="BN91" s="43" t="n">
        <f aca="false">BN67+BN90+BN77+BN84+BN85+BN39+BN46</f>
        <v>843.91896757546</v>
      </c>
      <c r="BO91" s="43" t="n">
        <f aca="false">BO67+BO90+BO77+BO84+BO85+BO39+BO46</f>
        <v>838.481967024152</v>
      </c>
      <c r="BP91" s="43" t="n">
        <f aca="false">BP67+BP90+BP77+BP84+BP85+BP39+BP46</f>
        <v>860.044996547624</v>
      </c>
      <c r="BQ91" s="43" t="n">
        <f aca="false">BQ67+BQ90+BQ77+BQ84+BQ85+BQ39+BQ46</f>
        <v>881.849632731933</v>
      </c>
      <c r="BR91" s="43" t="n">
        <f aca="false">BR67+BR90+BR77+BR84+BR85+BR39+BR46</f>
        <v>883.094252657172</v>
      </c>
      <c r="BS91" s="43" t="n">
        <f aca="false">BS67+BS90+BS77+BS84+BS85+BS39+BS46</f>
        <v>877.81297749989</v>
      </c>
      <c r="BT91" s="43" t="n">
        <f aca="false">BT67+BT90+BT77+BT84+BT85+BT39+BT46</f>
        <v>899.863376440469</v>
      </c>
      <c r="BU91" s="43" t="n">
        <f aca="false">BU67+BU90+BU77+BU84+BU85+BU39+BU46</f>
        <v>922.160944831262</v>
      </c>
      <c r="BV91" s="43" t="n">
        <f aca="false">BV67+BV90+BV77+BV84+BV85+BV39+BV46</f>
        <v>923.815620907563</v>
      </c>
      <c r="BW91" s="43" t="n">
        <f aca="false">BW67+BW90+BW77+BW84+BW85+BW39+BW46</f>
        <v>918.707365435215</v>
      </c>
      <c r="BX91" s="43" t="n">
        <f aca="false">BX67+BX90+BX77+BX84+BX85+BX39+BX46</f>
        <v>941.262517259675</v>
      </c>
      <c r="BY91" s="43" t="n">
        <f aca="false">BY67+BY90+BY77+BY84+BY85+BY39+BY46</f>
        <v>964.070626239396</v>
      </c>
      <c r="BZ91" s="43" t="n">
        <f aca="false">BZ67+BZ90+BZ77+BZ84+BZ85+BZ39+BZ46</f>
        <v>966.155913649085</v>
      </c>
      <c r="CA91" s="43" t="n">
        <f aca="false">CA67+CA90+CA77+CA84+CA85+CA39+CA46</f>
        <v>974.31979449854</v>
      </c>
      <c r="CB91" s="43" t="n">
        <f aca="false">CB67+CB90+CB77+CB84+CB85+CB39+CB46</f>
        <v>984.456698687621</v>
      </c>
      <c r="CC91" s="43" t="n">
        <f aca="false">CC67+CC90+CC77+CC84+CC85+CC39+CC46</f>
        <v>1007.79547112808</v>
      </c>
      <c r="CD91" s="43" t="n">
        <f aca="false">CD67+CD90+CD77+CD84+CD85+CD39+CD46</f>
        <v>1010.33456878511</v>
      </c>
      <c r="CE91" s="43" t="n">
        <f aca="false">CE67+CE90+CE77+CE84+CE85+CE39+CE46</f>
        <v>1005.62952147186</v>
      </c>
      <c r="CF91" s="43" t="n">
        <f aca="false">CF67+CF90+CF77+CF84+CF85+CF39+CF46</f>
        <v>1029.25144661496</v>
      </c>
      <c r="CG91" s="43" t="n">
        <f aca="false">CG67+CG90+CG77+CG84+CG85+CG39+CG46</f>
        <v>1053.13864247816</v>
      </c>
      <c r="CH91" s="43" t="n">
        <f aca="false">CH67+CH90+CH77+CH84+CH85+CH39+CH46</f>
        <v>1056.15246007917</v>
      </c>
      <c r="CI91" s="43" t="n">
        <f aca="false">CI67+CI90+CI77+CI84+CI85+CI39+CI46</f>
        <v>1051.67787584148</v>
      </c>
      <c r="CJ91" s="43" t="n">
        <f aca="false">CJ67+CJ90+CJ77+CJ84+CJ85+CJ39+CJ46</f>
        <v>1075.8619788692</v>
      </c>
      <c r="CK91" s="43" t="n">
        <f aca="false">CK67+CK90+CK77+CK84+CK85+CK39+CK46</f>
        <v>1100.31788157494</v>
      </c>
      <c r="CL91" s="43" t="n">
        <f aca="false">CL67+CL90+CL77+CL84+CL85+CL39+CL46</f>
        <v>1103.82998696121</v>
      </c>
      <c r="CM91" s="43" t="n">
        <f aca="false">CM67+CM90+CM77+CM84+CM85+CM39+CM46</f>
        <v>1099.60696528648</v>
      </c>
      <c r="CN91" s="43" t="n">
        <f aca="false">CN67+CN90+CN77+CN84+CN85+CN39+CN46</f>
        <v>1124.37423930827</v>
      </c>
      <c r="CO91" s="43" t="n">
        <f aca="false">CO67+CO90+CO77+CO84+CO85+CO39+CO46</f>
        <v>1149.4201123839</v>
      </c>
      <c r="CP91" s="43" t="n">
        <f aca="false">CP67+CP90+CP77+CP84+CP85+CP39+CP46</f>
        <v>1153.4551725483</v>
      </c>
      <c r="CQ91" s="43" t="n">
        <f aca="false">CQ67+CQ90+CQ77+CQ84+CQ85+CQ39+CQ46</f>
        <v>1162.69542296241</v>
      </c>
      <c r="CR91" s="43" t="n">
        <f aca="false">CR67+CR90+CR77+CR84+CR85+CR39+CR46</f>
        <v>1175.01867829086</v>
      </c>
      <c r="CS91" s="43" t="n">
        <f aca="false">CS67+CS90+CS77+CS84+CS85+CS39+CS46</f>
        <v>1200.67848810526</v>
      </c>
      <c r="CT91" s="43" t="n">
        <f aca="false">CT67+CT90+CT77+CT84+CT85+CT39+CT46</f>
        <v>1205.26401531548</v>
      </c>
      <c r="CU91" s="43" t="n">
        <f aca="false">CU67+CU90+CU77+CU84+CU85+CU39+CU46</f>
        <v>1188.74899785188</v>
      </c>
      <c r="CV91" s="43" t="n">
        <f aca="false">CV67+CV90+CV77+CV84+CV85+CV39+CV46</f>
        <v>1201.95732005023</v>
      </c>
      <c r="CW91" s="43" t="n">
        <f aca="false">CW67+CW90+CW77+CW84+CW85+CW39+CW46</f>
        <v>1215.16564224858</v>
      </c>
      <c r="CX91" s="43" t="n">
        <f aca="false">CX67+CX90+CX77+CX84+CX85+CX39+CX46</f>
        <v>1206.94326723183</v>
      </c>
      <c r="CY91" s="43" t="n">
        <f aca="false">CY67+CY90+CY77+CY84+CY85+CY39+CY46</f>
        <v>1190.11823869327</v>
      </c>
      <c r="CZ91" s="43" t="n">
        <f aca="false">CZ67+CZ90+CZ77+CZ84+CZ85+CZ39+CZ46</f>
        <v>1203.34177467875</v>
      </c>
      <c r="DA91" s="43" t="n">
        <f aca="false">DA67+DA90+DA77+DA84+DA85+DA39+DA46</f>
        <v>1216.56531066423</v>
      </c>
      <c r="DB91" s="43" t="n">
        <f aca="false">DB67+DB90+DB77+DB84+DB85+DB39+DB46</f>
        <v>2141.58759892869</v>
      </c>
      <c r="DC91" s="43" t="n">
        <f aca="false">DC67+DC90+DC77+DC84+DC85+DC39+DC46</f>
        <v>2104.16054299608</v>
      </c>
      <c r="DD91" s="43" t="n">
        <f aca="false">DD67+DD90+DD77+DD84+DD85+DD39+DD46</f>
        <v>2127.54010458493</v>
      </c>
      <c r="DE91" s="43" t="n">
        <f aca="false">DE67+DE90+DE77+DE84+DE85+DE39+DE46</f>
        <v>2150.91966617377</v>
      </c>
      <c r="DF91" s="43" t="n">
        <f aca="false">DF67+DF90+DF77+DF84+DF85+DF39+DF46</f>
        <v>2142.59994841167</v>
      </c>
      <c r="DG91" s="43" t="n">
        <f aca="false">DG67+DG90+DG77+DG84+DG85+DG39+DG46</f>
        <v>2128.24407169563</v>
      </c>
      <c r="DH91" s="43" t="n">
        <f aca="false">DH67+DH90+DH77+DH84+DH85+DH39+DH46</f>
        <v>2128.24407169563</v>
      </c>
      <c r="DI91" s="43" t="n">
        <f aca="false">DI67+DI90+DI77+DI84+DI85+DI39+DI46</f>
        <v>2151.63136918679</v>
      </c>
      <c r="DJ91" s="43" t="n">
        <f aca="false">DJ67+DJ90+DJ77+DJ84+DJ85+DJ39+DJ46</f>
        <v>2143.26284234655</v>
      </c>
      <c r="DK91" s="43" t="n">
        <f aca="false">DK67+DK90+DK77+DK84+DK85+DK39+DK46</f>
        <v>2105.20043006033</v>
      </c>
      <c r="DL91" s="43" t="n">
        <f aca="false">DL67+DL90+DL77+DL84+DL85+DL39+DL46</f>
        <v>2128.59154594989</v>
      </c>
      <c r="DM91" s="43" t="n">
        <f aca="false">DM67+DM90+DM77+DM84+DM85+DM39+DM46</f>
        <v>2151.98266183945</v>
      </c>
      <c r="DN91" s="43" t="n">
        <f aca="false">DN67+DN90+DN77+DN84+DN85+DN39+DN46</f>
        <v>2143.56524030294</v>
      </c>
      <c r="DO91" s="43" t="n">
        <f aca="false">DO67+DO90+DO77+DO84+DO85+DO39+DO46</f>
        <v>2105.18042484885</v>
      </c>
      <c r="DP91" s="43" t="n">
        <f aca="false">DP67+DP90+DP77+DP84+DP85+DP39+DP46</f>
        <v>2128.57131845828</v>
      </c>
      <c r="DQ91" s="43" t="n">
        <f aca="false">DQ67+DQ90+DQ77+DQ84+DQ85+DQ39+DQ46</f>
        <v>2151.96221206772</v>
      </c>
      <c r="DR91" s="43" t="n">
        <f aca="false">DR67+DR90+DR77+DR84+DR85+DR39+DR46</f>
        <v>2143.49581504175</v>
      </c>
      <c r="DS91" s="43" t="n">
        <f aca="false">DS67+DS90+DS77+DS84+DS85+DS39+DS46</f>
        <v>2104.78538516113</v>
      </c>
      <c r="DT91" s="43" t="n">
        <f aca="false">DT67+DT90+DT77+DT84+DT85+DT39+DT46</f>
        <v>2128.1718894407</v>
      </c>
      <c r="DU91" s="43" t="n">
        <f aca="false">DU67+DU90+DU77+DU84+DU85+DU39+DU46</f>
        <v>2151.55839372026</v>
      </c>
      <c r="DV91" s="43" t="n">
        <f aca="false">DV67+DV90+DV77+DV84+DV85+DV39+DV46</f>
        <v>2143.04294538959</v>
      </c>
      <c r="DW91" s="43" t="n">
        <f aca="false">DW67+DW90+DW77+DW84+DW85+DW39+DW46</f>
        <v>2127.38146100117</v>
      </c>
      <c r="DX91" s="43" t="n">
        <f aca="false">DX67+DX90+DX77+DX84+DX85+DX39+DX46</f>
        <v>2127.38146100117</v>
      </c>
      <c r="DY91" s="43" t="n">
        <f aca="false">DY67+DY90+DY77+DY84+DY85+DY39+DY46</f>
        <v>2150.75927925393</v>
      </c>
      <c r="DZ91" s="43" t="n">
        <f aca="false">DZ67+DZ90+DZ77+DZ84+DZ85+DZ39+DZ46</f>
        <v>2142.19470893792</v>
      </c>
      <c r="EA91" s="43" t="n">
        <f aca="false">EA67+EA90+EA77+EA84+EA85+EA39+EA46</f>
        <v>2102.82322720067</v>
      </c>
      <c r="EB91" s="43" t="n">
        <f aca="false">EB67+EB90+EB77+EB84+EB85+EB39+EB46</f>
        <v>2126.18792972513</v>
      </c>
      <c r="EC91" s="43" t="n">
        <f aca="false">EC67+EC90+EC77+EC84+EC85+EC39+EC46</f>
        <v>2149.55263224958</v>
      </c>
      <c r="ED91" s="43" t="n">
        <f aca="false">ED67+ED90+ED77+ED84+ED85+ED39+ED46</f>
        <v>2140.93887456262</v>
      </c>
      <c r="EE91" s="43" t="n">
        <f aca="false">EE67+EE90+EE77+EE84+EE85+EE39+EE46</f>
        <v>2101.23185844514</v>
      </c>
      <c r="EF91" s="43" t="n">
        <f aca="false">EF67+EF90+EF77+EF84+EF85+EF39+EF46</f>
        <v>2124.57887909453</v>
      </c>
      <c r="EG91" s="43" t="n">
        <f aca="false">EG67+EG90+EG77+EG84+EG85+EG39+EG46</f>
        <v>2147.92589974392</v>
      </c>
      <c r="EH91" s="43" t="n">
        <f aca="false">EH67+EH90+EH77+EH84+EH85+EH39+EH46</f>
        <v>2139.26289475973</v>
      </c>
      <c r="EI91" s="43" t="n">
        <f aca="false">EI67+EI90+EI77+EI84+EI85+EI39+EI46</f>
        <v>2099.2169390604</v>
      </c>
      <c r="EJ91" s="43" t="n">
        <f aca="false">EJ67+EJ90+EJ77+EJ84+EJ85+EJ39+EJ46</f>
        <v>2122.54157171663</v>
      </c>
      <c r="EK91" s="43" t="n">
        <f aca="false">EK67+EK90+EK77+EK84+EK85+EK39+EK46</f>
        <v>2145.86620437285</v>
      </c>
      <c r="EL91" s="43" t="n">
        <f aca="false">EL67+EL90+EL77+EL84+EL85+EL39+EL46</f>
        <v>2137.15389779265</v>
      </c>
      <c r="EM91" s="43" t="n">
        <f aca="false">EM67+EM90+EM77+EM84+EM85+EM39+EM46</f>
        <v>2120.06294136157</v>
      </c>
      <c r="EN91" s="43" t="n">
        <f aca="false">EN67+EN90+EN77+EN84+EN85+EN39+EN46</f>
        <v>2120.06294136157</v>
      </c>
      <c r="EO91" s="43" t="n">
        <f aca="false">EO67+EO90+EO77+EO84+EO85+EO39+EO46</f>
        <v>2143.36033632159</v>
      </c>
    </row>
    <row r="92" customFormat="false" ht="15" hidden="false" customHeight="false" outlineLevel="0" collapsed="false">
      <c r="C92" s="0" t="s">
        <v>397</v>
      </c>
      <c r="D92" s="11" t="s">
        <v>33</v>
      </c>
      <c r="J92" s="19" t="n">
        <f aca="false">I96</f>
        <v>0</v>
      </c>
      <c r="K92" s="19" t="n">
        <f aca="false">J96</f>
        <v>11.0990429724151</v>
      </c>
      <c r="L92" s="19" t="n">
        <f aca="false">K96</f>
        <v>23.4413210733721</v>
      </c>
      <c r="M92" s="19" t="n">
        <f aca="false">L96</f>
        <v>44.2403452805404</v>
      </c>
      <c r="N92" s="19" t="n">
        <f aca="false">M96</f>
        <v>65.267930193282</v>
      </c>
      <c r="O92" s="19" t="n">
        <f aca="false">N96</f>
        <v>86.2955151060236</v>
      </c>
      <c r="P92" s="19" t="n">
        <f aca="false">O96</f>
        <v>107.094539313192</v>
      </c>
      <c r="Q92" s="19" t="n">
        <f aca="false">P96</f>
        <v>127.89356352036</v>
      </c>
      <c r="R92" s="19" t="n">
        <f aca="false">Q96</f>
        <v>148.921148433102</v>
      </c>
      <c r="S92" s="19" t="n">
        <f aca="false">R96</f>
        <v>1161.4881270656</v>
      </c>
      <c r="T92" s="19" t="n">
        <f aca="false">S96</f>
        <v>1311.67069197068</v>
      </c>
      <c r="U92" s="19" t="n">
        <f aca="false">T96</f>
        <v>1439.82505881762</v>
      </c>
      <c r="V92" s="19" t="n">
        <f aca="false">U96</f>
        <v>1558.25751924199</v>
      </c>
      <c r="W92" s="19" t="n">
        <f aca="false">V96</f>
        <v>1665.43747365022</v>
      </c>
      <c r="X92" s="19" t="n">
        <f aca="false">W96</f>
        <v>1760.22675288648</v>
      </c>
      <c r="Y92" s="19" t="n">
        <f aca="false">X96</f>
        <v>1845.18101095459</v>
      </c>
      <c r="Z92" s="19" t="n">
        <f aca="false">Y96</f>
        <v>1919.93863613005</v>
      </c>
      <c r="AA92" s="19" t="n">
        <f aca="false">Z96</f>
        <v>1668.87421791469</v>
      </c>
      <c r="AB92" s="19" t="n">
        <f aca="false">AA96</f>
        <v>1420.67702021658</v>
      </c>
      <c r="AC92" s="19" t="n">
        <f aca="false">AB96</f>
        <v>1163.84029152261</v>
      </c>
      <c r="AD92" s="19" t="n">
        <f aca="false">AC96</f>
        <v>898.263933971653</v>
      </c>
      <c r="AE92" s="19" t="n">
        <f aca="false">AD96</f>
        <v>633.627272291799</v>
      </c>
      <c r="AF92" s="19" t="n">
        <f aca="false">AE96</f>
        <v>365.712727009655</v>
      </c>
      <c r="AG92" s="19" t="n">
        <f aca="false">AF96</f>
        <v>95.0381081518421</v>
      </c>
      <c r="AH92" s="19" t="n">
        <f aca="false">AG96</f>
        <v>0</v>
      </c>
      <c r="AI92" s="19" t="n">
        <f aca="false">AH96</f>
        <v>0</v>
      </c>
      <c r="AJ92" s="19" t="n">
        <f aca="false">AI96</f>
        <v>0</v>
      </c>
      <c r="AK92" s="19" t="n">
        <f aca="false">AJ96</f>
        <v>0</v>
      </c>
      <c r="AL92" s="19" t="n">
        <f aca="false">AK96</f>
        <v>0</v>
      </c>
      <c r="AM92" s="19" t="n">
        <f aca="false">AL96</f>
        <v>0</v>
      </c>
      <c r="AN92" s="19" t="n">
        <f aca="false">AM96</f>
        <v>0</v>
      </c>
      <c r="AO92" s="19" t="n">
        <f aca="false">AN96</f>
        <v>0</v>
      </c>
      <c r="AP92" s="19" t="n">
        <f aca="false">AO96</f>
        <v>0</v>
      </c>
      <c r="AQ92" s="19" t="n">
        <f aca="false">AP96</f>
        <v>0</v>
      </c>
      <c r="AR92" s="19" t="n">
        <f aca="false">AQ96</f>
        <v>0</v>
      </c>
      <c r="AS92" s="19" t="n">
        <f aca="false">AR96</f>
        <v>0</v>
      </c>
      <c r="AT92" s="19" t="n">
        <f aca="false">AS96</f>
        <v>0</v>
      </c>
      <c r="AU92" s="19" t="n">
        <f aca="false">AT96</f>
        <v>0</v>
      </c>
      <c r="AV92" s="19" t="n">
        <f aca="false">AU96</f>
        <v>0</v>
      </c>
      <c r="AW92" s="19" t="n">
        <f aca="false">AV96</f>
        <v>0</v>
      </c>
      <c r="AX92" s="19" t="n">
        <f aca="false">AW96</f>
        <v>0</v>
      </c>
      <c r="AY92" s="19" t="n">
        <f aca="false">AX96</f>
        <v>0</v>
      </c>
      <c r="AZ92" s="19" t="n">
        <f aca="false">AY96</f>
        <v>0</v>
      </c>
      <c r="BA92" s="19" t="n">
        <f aca="false">AZ96</f>
        <v>0</v>
      </c>
      <c r="BB92" s="19" t="n">
        <f aca="false">BA96</f>
        <v>0</v>
      </c>
      <c r="BC92" s="19" t="n">
        <f aca="false">BB96</f>
        <v>0</v>
      </c>
      <c r="BD92" s="19" t="n">
        <f aca="false">BC96</f>
        <v>0</v>
      </c>
      <c r="BE92" s="19" t="n">
        <f aca="false">BD96</f>
        <v>0</v>
      </c>
      <c r="BF92" s="19" t="n">
        <f aca="false">BE96</f>
        <v>0</v>
      </c>
      <c r="BG92" s="19" t="n">
        <f aca="false">BF96</f>
        <v>0</v>
      </c>
      <c r="BH92" s="19" t="n">
        <f aca="false">BG96</f>
        <v>0</v>
      </c>
      <c r="BI92" s="19" t="n">
        <f aca="false">BH96</f>
        <v>0</v>
      </c>
      <c r="BJ92" s="19" t="n">
        <f aca="false">BI96</f>
        <v>0</v>
      </c>
      <c r="BK92" s="19" t="n">
        <f aca="false">BJ96</f>
        <v>0</v>
      </c>
      <c r="BL92" s="19" t="n">
        <f aca="false">BK96</f>
        <v>0</v>
      </c>
      <c r="BM92" s="19" t="n">
        <f aca="false">BL96</f>
        <v>0</v>
      </c>
      <c r="BN92" s="19" t="n">
        <f aca="false">BM96</f>
        <v>0</v>
      </c>
      <c r="BO92" s="19" t="n">
        <f aca="false">BN96</f>
        <v>0</v>
      </c>
      <c r="BP92" s="19" t="n">
        <f aca="false">BO96</f>
        <v>0</v>
      </c>
      <c r="BQ92" s="19" t="n">
        <f aca="false">BP96</f>
        <v>0</v>
      </c>
      <c r="BR92" s="19" t="n">
        <f aca="false">BQ96</f>
        <v>0</v>
      </c>
      <c r="BS92" s="19" t="n">
        <f aca="false">BR96</f>
        <v>0</v>
      </c>
      <c r="BT92" s="19" t="n">
        <f aca="false">BS96</f>
        <v>0</v>
      </c>
      <c r="BU92" s="19" t="n">
        <f aca="false">BT96</f>
        <v>0</v>
      </c>
      <c r="BV92" s="19" t="n">
        <f aca="false">BU96</f>
        <v>0</v>
      </c>
      <c r="BW92" s="19" t="n">
        <f aca="false">BV96</f>
        <v>0</v>
      </c>
      <c r="BX92" s="19" t="n">
        <f aca="false">BW96</f>
        <v>0</v>
      </c>
      <c r="BY92" s="19" t="n">
        <f aca="false">BX96</f>
        <v>0</v>
      </c>
      <c r="BZ92" s="19" t="n">
        <f aca="false">BY96</f>
        <v>0</v>
      </c>
      <c r="CA92" s="19" t="n">
        <f aca="false">BZ96</f>
        <v>0</v>
      </c>
      <c r="CB92" s="19" t="n">
        <f aca="false">CA96</f>
        <v>0</v>
      </c>
      <c r="CC92" s="19" t="n">
        <f aca="false">CB96</f>
        <v>0</v>
      </c>
      <c r="CD92" s="19" t="n">
        <f aca="false">CC96</f>
        <v>0</v>
      </c>
      <c r="CE92" s="19" t="n">
        <f aca="false">CD96</f>
        <v>0</v>
      </c>
      <c r="CF92" s="19" t="n">
        <f aca="false">CE96</f>
        <v>0</v>
      </c>
      <c r="CG92" s="19" t="n">
        <f aca="false">CF96</f>
        <v>0</v>
      </c>
      <c r="CH92" s="19" t="n">
        <f aca="false">CG96</f>
        <v>0</v>
      </c>
      <c r="CI92" s="19" t="n">
        <f aca="false">CH96</f>
        <v>0</v>
      </c>
      <c r="CJ92" s="19" t="n">
        <f aca="false">CI96</f>
        <v>0</v>
      </c>
      <c r="CK92" s="19" t="n">
        <f aca="false">CJ96</f>
        <v>0</v>
      </c>
      <c r="CL92" s="19" t="n">
        <f aca="false">CK96</f>
        <v>0</v>
      </c>
      <c r="CM92" s="19" t="n">
        <f aca="false">CL96</f>
        <v>0</v>
      </c>
      <c r="CN92" s="19" t="n">
        <f aca="false">CM96</f>
        <v>0</v>
      </c>
      <c r="CO92" s="19" t="n">
        <f aca="false">CN96</f>
        <v>0</v>
      </c>
      <c r="CP92" s="19" t="n">
        <f aca="false">CO96</f>
        <v>0</v>
      </c>
      <c r="CQ92" s="19" t="n">
        <f aca="false">CP96</f>
        <v>0</v>
      </c>
      <c r="CR92" s="19" t="n">
        <f aca="false">CQ96</f>
        <v>0</v>
      </c>
      <c r="CS92" s="19" t="n">
        <f aca="false">CR96</f>
        <v>0</v>
      </c>
      <c r="CT92" s="19" t="n">
        <f aca="false">CS96</f>
        <v>0</v>
      </c>
      <c r="CU92" s="19" t="n">
        <f aca="false">CT96</f>
        <v>0</v>
      </c>
      <c r="CV92" s="19" t="n">
        <f aca="false">CU96</f>
        <v>0</v>
      </c>
      <c r="CW92" s="19" t="n">
        <f aca="false">CV96</f>
        <v>0</v>
      </c>
      <c r="CX92" s="19" t="n">
        <f aca="false">CW96</f>
        <v>0</v>
      </c>
      <c r="CY92" s="19" t="n">
        <f aca="false">CX96</f>
        <v>0</v>
      </c>
      <c r="CZ92" s="19" t="n">
        <f aca="false">CY96</f>
        <v>0</v>
      </c>
      <c r="DA92" s="19" t="n">
        <f aca="false">CZ96</f>
        <v>0</v>
      </c>
      <c r="DB92" s="19" t="n">
        <f aca="false">DA96</f>
        <v>0</v>
      </c>
      <c r="DC92" s="19" t="n">
        <f aca="false">DB96</f>
        <v>0</v>
      </c>
      <c r="DD92" s="19" t="n">
        <f aca="false">DC96</f>
        <v>0</v>
      </c>
      <c r="DE92" s="19" t="n">
        <f aca="false">DD96</f>
        <v>0</v>
      </c>
      <c r="DF92" s="19" t="n">
        <f aca="false">DE96</f>
        <v>0</v>
      </c>
      <c r="DG92" s="19" t="n">
        <f aca="false">DF96</f>
        <v>0</v>
      </c>
      <c r="DH92" s="19" t="n">
        <f aca="false">DG96</f>
        <v>0</v>
      </c>
      <c r="DI92" s="19" t="n">
        <f aca="false">DH96</f>
        <v>0</v>
      </c>
      <c r="DJ92" s="19" t="n">
        <f aca="false">DI96</f>
        <v>0</v>
      </c>
      <c r="DK92" s="19" t="n">
        <f aca="false">DJ96</f>
        <v>0</v>
      </c>
      <c r="DL92" s="19" t="n">
        <f aca="false">DK96</f>
        <v>0</v>
      </c>
      <c r="DM92" s="19" t="n">
        <f aca="false">DL96</f>
        <v>0</v>
      </c>
      <c r="DN92" s="19" t="n">
        <f aca="false">DM96</f>
        <v>0</v>
      </c>
      <c r="DO92" s="19" t="n">
        <f aca="false">DN96</f>
        <v>0</v>
      </c>
      <c r="DP92" s="19" t="n">
        <f aca="false">DO96</f>
        <v>0</v>
      </c>
      <c r="DQ92" s="19" t="n">
        <f aca="false">DP96</f>
        <v>0</v>
      </c>
      <c r="DR92" s="19" t="n">
        <f aca="false">DQ96</f>
        <v>0</v>
      </c>
      <c r="DS92" s="19" t="n">
        <f aca="false">DR96</f>
        <v>0</v>
      </c>
      <c r="DT92" s="19" t="n">
        <f aca="false">DS96</f>
        <v>0</v>
      </c>
      <c r="DU92" s="19" t="n">
        <f aca="false">DT96</f>
        <v>0</v>
      </c>
      <c r="DV92" s="19" t="n">
        <f aca="false">DU96</f>
        <v>0</v>
      </c>
      <c r="DW92" s="19" t="n">
        <f aca="false">DV96</f>
        <v>0</v>
      </c>
      <c r="DX92" s="19" t="n">
        <f aca="false">DW96</f>
        <v>0</v>
      </c>
      <c r="DY92" s="19" t="n">
        <f aca="false">DX96</f>
        <v>0</v>
      </c>
      <c r="DZ92" s="19" t="n">
        <f aca="false">DY96</f>
        <v>0</v>
      </c>
      <c r="EA92" s="19" t="n">
        <f aca="false">DZ96</f>
        <v>0</v>
      </c>
      <c r="EB92" s="19" t="n">
        <f aca="false">EA96</f>
        <v>0</v>
      </c>
      <c r="EC92" s="19" t="n">
        <f aca="false">EB96</f>
        <v>0</v>
      </c>
      <c r="ED92" s="19" t="n">
        <f aca="false">EC96</f>
        <v>0</v>
      </c>
      <c r="EE92" s="19" t="n">
        <f aca="false">ED96</f>
        <v>0</v>
      </c>
      <c r="EF92" s="19" t="n">
        <f aca="false">EE96</f>
        <v>0</v>
      </c>
      <c r="EG92" s="19" t="n">
        <f aca="false">EF96</f>
        <v>0</v>
      </c>
      <c r="EH92" s="19" t="n">
        <f aca="false">EG96</f>
        <v>0</v>
      </c>
      <c r="EI92" s="19" t="n">
        <f aca="false">EH96</f>
        <v>0</v>
      </c>
      <c r="EJ92" s="19" t="n">
        <f aca="false">EI96</f>
        <v>0</v>
      </c>
      <c r="EK92" s="19" t="n">
        <f aca="false">EJ96</f>
        <v>0</v>
      </c>
      <c r="EL92" s="19" t="n">
        <f aca="false">EK96</f>
        <v>0</v>
      </c>
      <c r="EM92" s="19" t="n">
        <f aca="false">EL96</f>
        <v>0</v>
      </c>
      <c r="EN92" s="19" t="n">
        <f aca="false">EM96</f>
        <v>0</v>
      </c>
      <c r="EO92" s="19" t="n">
        <f aca="false">EN96</f>
        <v>0</v>
      </c>
    </row>
    <row r="93" customFormat="false" ht="15" hidden="false" customHeight="false" outlineLevel="0" collapsed="false">
      <c r="C93" s="0" t="s">
        <v>398</v>
      </c>
      <c r="D93" s="11" t="s">
        <v>33</v>
      </c>
      <c r="I93" s="43" t="n">
        <f aca="false">SUM(J93:EO93)</f>
        <v>1919.93863613005</v>
      </c>
      <c r="J93" s="43" t="n">
        <f aca="false">MAX(0,-J91)</f>
        <v>11.0990429724151</v>
      </c>
      <c r="K93" s="43" t="n">
        <f aca="false">MAX(0,-K91)</f>
        <v>12.342278100957</v>
      </c>
      <c r="L93" s="43" t="n">
        <f aca="false">MAX(0,-L91)</f>
        <v>20.7990242071683</v>
      </c>
      <c r="M93" s="43" t="n">
        <f aca="false">MAX(0,-M91)</f>
        <v>21.0275849127416</v>
      </c>
      <c r="N93" s="43" t="n">
        <f aca="false">MAX(0,-N91)</f>
        <v>21.0275849127416</v>
      </c>
      <c r="O93" s="43" t="n">
        <f aca="false">MAX(0,-O91)</f>
        <v>20.7990242071683</v>
      </c>
      <c r="P93" s="43" t="n">
        <f aca="false">MAX(0,-P91)</f>
        <v>20.7990242071683</v>
      </c>
      <c r="Q93" s="43" t="n">
        <f aca="false">MAX(0,-Q91)</f>
        <v>21.0275849127416</v>
      </c>
      <c r="R93" s="43" t="n">
        <f aca="false">MAX(0,-R91)</f>
        <v>1012.5669786325</v>
      </c>
      <c r="S93" s="43" t="n">
        <f aca="false">MAX(0,-S91)</f>
        <v>150.18256490508</v>
      </c>
      <c r="T93" s="43" t="n">
        <f aca="false">MAX(0,-T91)</f>
        <v>128.154366846935</v>
      </c>
      <c r="U93" s="43" t="n">
        <f aca="false">MAX(0,-U91)</f>
        <v>118.432460424369</v>
      </c>
      <c r="V93" s="43" t="n">
        <f aca="false">MAX(0,-V91)</f>
        <v>107.179954408231</v>
      </c>
      <c r="W93" s="43" t="n">
        <f aca="false">MAX(0,-W91)</f>
        <v>94.7892792362545</v>
      </c>
      <c r="X93" s="43" t="n">
        <f aca="false">MAX(0,-X91)</f>
        <v>84.9542580681179</v>
      </c>
      <c r="Y93" s="43" t="n">
        <f aca="false">MAX(0,-Y91)</f>
        <v>74.7576251754551</v>
      </c>
      <c r="Z93" s="43" t="n">
        <f aca="false">MAX(0,-Z91)</f>
        <v>0</v>
      </c>
      <c r="AA93" s="43" t="n">
        <f aca="false">MAX(0,-AA91)</f>
        <v>0</v>
      </c>
      <c r="AB93" s="43" t="n">
        <f aca="false">MAX(0,-AB91)</f>
        <v>0</v>
      </c>
      <c r="AC93" s="43" t="n">
        <f aca="false">MAX(0,-AC91)</f>
        <v>0</v>
      </c>
      <c r="AD93" s="43" t="n">
        <f aca="false">MAX(0,-AD91)</f>
        <v>0</v>
      </c>
      <c r="AE93" s="43" t="n">
        <f aca="false">MAX(0,-AE91)</f>
        <v>0</v>
      </c>
      <c r="AF93" s="43" t="n">
        <f aca="false">MAX(0,-AF91)</f>
        <v>0</v>
      </c>
      <c r="AG93" s="43" t="n">
        <f aca="false">MAX(0,-AG91)</f>
        <v>0</v>
      </c>
      <c r="AH93" s="43" t="n">
        <f aca="false">MAX(0,-AH91)</f>
        <v>0</v>
      </c>
      <c r="AI93" s="43" t="n">
        <f aca="false">MAX(0,-AI91)</f>
        <v>0</v>
      </c>
      <c r="AJ93" s="43" t="n">
        <f aca="false">MAX(0,-AJ91)</f>
        <v>0</v>
      </c>
      <c r="AK93" s="43" t="n">
        <f aca="false">MAX(0,-AK91)</f>
        <v>0</v>
      </c>
      <c r="AL93" s="43" t="n">
        <f aca="false">MAX(0,-AL91)</f>
        <v>0</v>
      </c>
      <c r="AM93" s="43" t="n">
        <f aca="false">MAX(0,-AM91)</f>
        <v>0</v>
      </c>
      <c r="AN93" s="43" t="n">
        <f aca="false">MAX(0,-AN91)</f>
        <v>0</v>
      </c>
      <c r="AO93" s="43" t="n">
        <f aca="false">MAX(0,-AO91)</f>
        <v>0</v>
      </c>
      <c r="AP93" s="43" t="n">
        <f aca="false">MAX(0,-AP91)</f>
        <v>0</v>
      </c>
      <c r="AQ93" s="43" t="n">
        <f aca="false">MAX(0,-AQ91)</f>
        <v>0</v>
      </c>
      <c r="AR93" s="43" t="n">
        <f aca="false">MAX(0,-AR91)</f>
        <v>0</v>
      </c>
      <c r="AS93" s="43" t="n">
        <f aca="false">MAX(0,-AS91)</f>
        <v>0</v>
      </c>
      <c r="AT93" s="43" t="n">
        <f aca="false">MAX(0,-AT91)</f>
        <v>0</v>
      </c>
      <c r="AU93" s="43" t="n">
        <f aca="false">MAX(0,-AU91)</f>
        <v>0</v>
      </c>
      <c r="AV93" s="43" t="n">
        <f aca="false">MAX(0,-AV91)</f>
        <v>0</v>
      </c>
      <c r="AW93" s="43" t="n">
        <f aca="false">MAX(0,-AW91)</f>
        <v>0</v>
      </c>
      <c r="AX93" s="43" t="n">
        <f aca="false">MAX(0,-AX91)</f>
        <v>0</v>
      </c>
      <c r="AY93" s="43" t="n">
        <f aca="false">MAX(0,-AY91)</f>
        <v>0</v>
      </c>
      <c r="AZ93" s="43" t="n">
        <f aca="false">MAX(0,-AZ91)</f>
        <v>0</v>
      </c>
      <c r="BA93" s="43" t="n">
        <f aca="false">MAX(0,-BA91)</f>
        <v>0</v>
      </c>
      <c r="BB93" s="43" t="n">
        <f aca="false">MAX(0,-BB91)</f>
        <v>0</v>
      </c>
      <c r="BC93" s="43" t="n">
        <f aca="false">MAX(0,-BC91)</f>
        <v>0</v>
      </c>
      <c r="BD93" s="43" t="n">
        <f aca="false">MAX(0,-BD91)</f>
        <v>0</v>
      </c>
      <c r="BE93" s="43" t="n">
        <f aca="false">MAX(0,-BE91)</f>
        <v>0</v>
      </c>
      <c r="BF93" s="43" t="n">
        <f aca="false">MAX(0,-BF91)</f>
        <v>0</v>
      </c>
      <c r="BG93" s="43" t="n">
        <f aca="false">MAX(0,-BG91)</f>
        <v>0</v>
      </c>
      <c r="BH93" s="43" t="n">
        <f aca="false">MAX(0,-BH91)</f>
        <v>0</v>
      </c>
      <c r="BI93" s="43" t="n">
        <f aca="false">MAX(0,-BI91)</f>
        <v>0</v>
      </c>
      <c r="BJ93" s="43" t="n">
        <f aca="false">MAX(0,-BJ91)</f>
        <v>0</v>
      </c>
      <c r="BK93" s="43" t="n">
        <f aca="false">MAX(0,-BK91)</f>
        <v>0</v>
      </c>
      <c r="BL93" s="43" t="n">
        <f aca="false">MAX(0,-BL91)</f>
        <v>0</v>
      </c>
      <c r="BM93" s="43" t="n">
        <f aca="false">MAX(0,-BM91)</f>
        <v>0</v>
      </c>
      <c r="BN93" s="43" t="n">
        <f aca="false">MAX(0,-BN91)</f>
        <v>0</v>
      </c>
      <c r="BO93" s="43" t="n">
        <f aca="false">MAX(0,-BO91)</f>
        <v>0</v>
      </c>
      <c r="BP93" s="43" t="n">
        <f aca="false">MAX(0,-BP91)</f>
        <v>0</v>
      </c>
      <c r="BQ93" s="43" t="n">
        <f aca="false">MAX(0,-BQ91)</f>
        <v>0</v>
      </c>
      <c r="BR93" s="43" t="n">
        <f aca="false">MAX(0,-BR91)</f>
        <v>0</v>
      </c>
      <c r="BS93" s="43" t="n">
        <f aca="false">MAX(0,-BS91)</f>
        <v>0</v>
      </c>
      <c r="BT93" s="43" t="n">
        <f aca="false">MAX(0,-BT91)</f>
        <v>0</v>
      </c>
      <c r="BU93" s="43" t="n">
        <f aca="false">MAX(0,-BU91)</f>
        <v>0</v>
      </c>
      <c r="BV93" s="43" t="n">
        <f aca="false">MAX(0,-BV91)</f>
        <v>0</v>
      </c>
      <c r="BW93" s="43" t="n">
        <f aca="false">MAX(0,-BW91)</f>
        <v>0</v>
      </c>
      <c r="BX93" s="43" t="n">
        <f aca="false">MAX(0,-BX91)</f>
        <v>0</v>
      </c>
      <c r="BY93" s="43" t="n">
        <f aca="false">MAX(0,-BY91)</f>
        <v>0</v>
      </c>
      <c r="BZ93" s="43" t="n">
        <f aca="false">MAX(0,-BZ91)</f>
        <v>0</v>
      </c>
      <c r="CA93" s="43" t="n">
        <f aca="false">MAX(0,-CA91)</f>
        <v>0</v>
      </c>
      <c r="CB93" s="43" t="n">
        <f aca="false">MAX(0,-CB91)</f>
        <v>0</v>
      </c>
      <c r="CC93" s="43" t="n">
        <f aca="false">MAX(0,-CC91)</f>
        <v>0</v>
      </c>
      <c r="CD93" s="43" t="n">
        <f aca="false">MAX(0,-CD91)</f>
        <v>0</v>
      </c>
      <c r="CE93" s="43" t="n">
        <f aca="false">MAX(0,-CE91)</f>
        <v>0</v>
      </c>
      <c r="CF93" s="43" t="n">
        <f aca="false">MAX(0,-CF91)</f>
        <v>0</v>
      </c>
      <c r="CG93" s="43" t="n">
        <f aca="false">MAX(0,-CG91)</f>
        <v>0</v>
      </c>
      <c r="CH93" s="43" t="n">
        <f aca="false">MAX(0,-CH91)</f>
        <v>0</v>
      </c>
      <c r="CI93" s="43" t="n">
        <f aca="false">MAX(0,-CI91)</f>
        <v>0</v>
      </c>
      <c r="CJ93" s="43" t="n">
        <f aca="false">MAX(0,-CJ91)</f>
        <v>0</v>
      </c>
      <c r="CK93" s="43" t="n">
        <f aca="false">MAX(0,-CK91)</f>
        <v>0</v>
      </c>
      <c r="CL93" s="43" t="n">
        <f aca="false">MAX(0,-CL91)</f>
        <v>0</v>
      </c>
      <c r="CM93" s="43" t="n">
        <f aca="false">MAX(0,-CM91)</f>
        <v>0</v>
      </c>
      <c r="CN93" s="43" t="n">
        <f aca="false">MAX(0,-CN91)</f>
        <v>0</v>
      </c>
      <c r="CO93" s="43" t="n">
        <f aca="false">MAX(0,-CO91)</f>
        <v>0</v>
      </c>
      <c r="CP93" s="43" t="n">
        <f aca="false">MAX(0,-CP91)</f>
        <v>0</v>
      </c>
      <c r="CQ93" s="43" t="n">
        <f aca="false">MAX(0,-CQ91)</f>
        <v>0</v>
      </c>
      <c r="CR93" s="43" t="n">
        <f aca="false">MAX(0,-CR91)</f>
        <v>0</v>
      </c>
      <c r="CS93" s="43" t="n">
        <f aca="false">MAX(0,-CS91)</f>
        <v>0</v>
      </c>
      <c r="CT93" s="43" t="n">
        <f aca="false">MAX(0,-CT91)</f>
        <v>0</v>
      </c>
      <c r="CU93" s="43" t="n">
        <f aca="false">MAX(0,-CU91)</f>
        <v>0</v>
      </c>
      <c r="CV93" s="43" t="n">
        <f aca="false">MAX(0,-CV91)</f>
        <v>0</v>
      </c>
      <c r="CW93" s="43" t="n">
        <f aca="false">MAX(0,-CW91)</f>
        <v>0</v>
      </c>
      <c r="CX93" s="43" t="n">
        <f aca="false">MAX(0,-CX91)</f>
        <v>0</v>
      </c>
      <c r="CY93" s="43" t="n">
        <f aca="false">MAX(0,-CY91)</f>
        <v>0</v>
      </c>
      <c r="CZ93" s="43" t="n">
        <f aca="false">MAX(0,-CZ91)</f>
        <v>0</v>
      </c>
      <c r="DA93" s="43" t="n">
        <f aca="false">MAX(0,-DA91)</f>
        <v>0</v>
      </c>
      <c r="DB93" s="43" t="n">
        <f aca="false">MAX(0,-DB91)</f>
        <v>0</v>
      </c>
      <c r="DC93" s="43" t="n">
        <f aca="false">MAX(0,-DC91)</f>
        <v>0</v>
      </c>
      <c r="DD93" s="43" t="n">
        <f aca="false">MAX(0,-DD91)</f>
        <v>0</v>
      </c>
      <c r="DE93" s="43" t="n">
        <f aca="false">MAX(0,-DE91)</f>
        <v>0</v>
      </c>
      <c r="DF93" s="43" t="n">
        <f aca="false">MAX(0,-DF91)</f>
        <v>0</v>
      </c>
      <c r="DG93" s="43" t="n">
        <f aca="false">MAX(0,-DG91)</f>
        <v>0</v>
      </c>
      <c r="DH93" s="43" t="n">
        <f aca="false">MAX(0,-DH91)</f>
        <v>0</v>
      </c>
      <c r="DI93" s="43" t="n">
        <f aca="false">MAX(0,-DI91)</f>
        <v>0</v>
      </c>
      <c r="DJ93" s="43" t="n">
        <f aca="false">MAX(0,-DJ91)</f>
        <v>0</v>
      </c>
      <c r="DK93" s="43" t="n">
        <f aca="false">MAX(0,-DK91)</f>
        <v>0</v>
      </c>
      <c r="DL93" s="43" t="n">
        <f aca="false">MAX(0,-DL91)</f>
        <v>0</v>
      </c>
      <c r="DM93" s="43" t="n">
        <f aca="false">MAX(0,-DM91)</f>
        <v>0</v>
      </c>
      <c r="DN93" s="43" t="n">
        <f aca="false">MAX(0,-DN91)</f>
        <v>0</v>
      </c>
      <c r="DO93" s="43" t="n">
        <f aca="false">MAX(0,-DO91)</f>
        <v>0</v>
      </c>
      <c r="DP93" s="43" t="n">
        <f aca="false">MAX(0,-DP91)</f>
        <v>0</v>
      </c>
      <c r="DQ93" s="43" t="n">
        <f aca="false">MAX(0,-DQ91)</f>
        <v>0</v>
      </c>
      <c r="DR93" s="43" t="n">
        <f aca="false">MAX(0,-DR91)</f>
        <v>0</v>
      </c>
      <c r="DS93" s="43" t="n">
        <f aca="false">MAX(0,-DS91)</f>
        <v>0</v>
      </c>
      <c r="DT93" s="43" t="n">
        <f aca="false">MAX(0,-DT91)</f>
        <v>0</v>
      </c>
      <c r="DU93" s="43" t="n">
        <f aca="false">MAX(0,-DU91)</f>
        <v>0</v>
      </c>
      <c r="DV93" s="43" t="n">
        <f aca="false">MAX(0,-DV91)</f>
        <v>0</v>
      </c>
      <c r="DW93" s="43" t="n">
        <f aca="false">MAX(0,-DW91)</f>
        <v>0</v>
      </c>
      <c r="DX93" s="43" t="n">
        <f aca="false">MAX(0,-DX91)</f>
        <v>0</v>
      </c>
      <c r="DY93" s="43" t="n">
        <f aca="false">MAX(0,-DY91)</f>
        <v>0</v>
      </c>
      <c r="DZ93" s="43" t="n">
        <f aca="false">MAX(0,-DZ91)</f>
        <v>0</v>
      </c>
      <c r="EA93" s="43" t="n">
        <f aca="false">MAX(0,-EA91)</f>
        <v>0</v>
      </c>
      <c r="EB93" s="43" t="n">
        <f aca="false">MAX(0,-EB91)</f>
        <v>0</v>
      </c>
      <c r="EC93" s="43" t="n">
        <f aca="false">MAX(0,-EC91)</f>
        <v>0</v>
      </c>
      <c r="ED93" s="43" t="n">
        <f aca="false">MAX(0,-ED91)</f>
        <v>0</v>
      </c>
      <c r="EE93" s="43" t="n">
        <f aca="false">MAX(0,-EE91)</f>
        <v>0</v>
      </c>
      <c r="EF93" s="43" t="n">
        <f aca="false">MAX(0,-EF91)</f>
        <v>0</v>
      </c>
      <c r="EG93" s="43" t="n">
        <f aca="false">MAX(0,-EG91)</f>
        <v>0</v>
      </c>
      <c r="EH93" s="43" t="n">
        <f aca="false">MAX(0,-EH91)</f>
        <v>0</v>
      </c>
      <c r="EI93" s="43" t="n">
        <f aca="false">MAX(0,-EI91)</f>
        <v>0</v>
      </c>
      <c r="EJ93" s="43" t="n">
        <f aca="false">MAX(0,-EJ91)</f>
        <v>0</v>
      </c>
      <c r="EK93" s="43" t="n">
        <f aca="false">MAX(0,-EK91)</f>
        <v>0</v>
      </c>
      <c r="EL93" s="43" t="n">
        <f aca="false">MAX(0,-EL91)</f>
        <v>0</v>
      </c>
      <c r="EM93" s="43" t="n">
        <f aca="false">MAX(0,-EM91)</f>
        <v>0</v>
      </c>
      <c r="EN93" s="43" t="n">
        <f aca="false">MAX(0,-EN91)</f>
        <v>0</v>
      </c>
      <c r="EO93" s="43" t="n">
        <f aca="false">MAX(0,-EO91)</f>
        <v>0</v>
      </c>
    </row>
    <row r="94" customFormat="false" ht="15" hidden="false" customHeight="false" outlineLevel="0" collapsed="false">
      <c r="C94" s="0" t="s">
        <v>399</v>
      </c>
      <c r="D94" s="11" t="s">
        <v>33</v>
      </c>
      <c r="I94" s="43" t="n">
        <f aca="false">SUM(J94:EO94)</f>
        <v>-1919.93863613005</v>
      </c>
      <c r="J94" s="43" t="n">
        <f aca="false">-MIN(J92,In_Loss_Cap*MAX(0,J91))</f>
        <v>-0</v>
      </c>
      <c r="K94" s="43" t="n">
        <f aca="false">-MIN(K92,In_Loss_Cap*MAX(0,K91))</f>
        <v>-0</v>
      </c>
      <c r="L94" s="43" t="n">
        <f aca="false">-MIN(L92,In_Loss_Cap*MAX(0,L91))</f>
        <v>-0</v>
      </c>
      <c r="M94" s="43" t="n">
        <f aca="false">-MIN(M92,In_Loss_Cap*MAX(0,M91))</f>
        <v>-0</v>
      </c>
      <c r="N94" s="43" t="n">
        <f aca="false">-MIN(N92,In_Loss_Cap*MAX(0,N91))</f>
        <v>-0</v>
      </c>
      <c r="O94" s="43" t="n">
        <f aca="false">-MIN(O92,In_Loss_Cap*MAX(0,O91))</f>
        <v>-0</v>
      </c>
      <c r="P94" s="43" t="n">
        <f aca="false">-MIN(P92,In_Loss_Cap*MAX(0,P91))</f>
        <v>-0</v>
      </c>
      <c r="Q94" s="43" t="n">
        <f aca="false">-MIN(Q92,In_Loss_Cap*MAX(0,Q91))</f>
        <v>-0</v>
      </c>
      <c r="R94" s="43" t="n">
        <f aca="false">-MIN(R92,In_Loss_Cap*MAX(0,R91))</f>
        <v>-0</v>
      </c>
      <c r="S94" s="43" t="n">
        <f aca="false">-MIN(S92,In_Loss_Cap*MAX(0,S91))</f>
        <v>-0</v>
      </c>
      <c r="T94" s="43" t="n">
        <f aca="false">-MIN(T92,In_Loss_Cap*MAX(0,T91))</f>
        <v>-0</v>
      </c>
      <c r="U94" s="43" t="n">
        <f aca="false">-MIN(U92,In_Loss_Cap*MAX(0,U91))</f>
        <v>-0</v>
      </c>
      <c r="V94" s="43" t="n">
        <f aca="false">-MIN(V92,In_Loss_Cap*MAX(0,V91))</f>
        <v>-0</v>
      </c>
      <c r="W94" s="43" t="n">
        <f aca="false">-MIN(W92,In_Loss_Cap*MAX(0,W91))</f>
        <v>-0</v>
      </c>
      <c r="X94" s="43" t="n">
        <f aca="false">-MIN(X92,In_Loss_Cap*MAX(0,X91))</f>
        <v>-0</v>
      </c>
      <c r="Y94" s="43" t="n">
        <f aca="false">-MIN(Y92,In_Loss_Cap*MAX(0,Y91))</f>
        <v>-0</v>
      </c>
      <c r="Z94" s="43" t="n">
        <f aca="false">-MIN(Z92,In_Loss_Cap*MAX(0,Z91))</f>
        <v>-251.064418215362</v>
      </c>
      <c r="AA94" s="43" t="n">
        <f aca="false">-MIN(AA92,In_Loss_Cap*MAX(0,AA91))</f>
        <v>-248.197197698109</v>
      </c>
      <c r="AB94" s="43" t="n">
        <f aca="false">-MIN(AB92,In_Loss_Cap*MAX(0,AB91))</f>
        <v>-256.836728693965</v>
      </c>
      <c r="AC94" s="43" t="n">
        <f aca="false">-MIN(AC92,In_Loss_Cap*MAX(0,AC91))</f>
        <v>-265.576357550959</v>
      </c>
      <c r="AD94" s="43" t="n">
        <f aca="false">-MIN(AD92,In_Loss_Cap*MAX(0,AD91))</f>
        <v>-264.636661679854</v>
      </c>
      <c r="AE94" s="43" t="n">
        <f aca="false">-MIN(AE92,In_Loss_Cap*MAX(0,AE91))</f>
        <v>-267.914545282144</v>
      </c>
      <c r="AF94" s="43" t="n">
        <f aca="false">-MIN(AF92,In_Loss_Cap*MAX(0,AF91))</f>
        <v>-270.674618857813</v>
      </c>
      <c r="AG94" s="43" t="n">
        <f aca="false">-MIN(AG92,In_Loss_Cap*MAX(0,AG91))</f>
        <v>-95.0381081518421</v>
      </c>
      <c r="AH94" s="43" t="n">
        <f aca="false">-MIN(AH92,In_Loss_Cap*MAX(0,AH91))</f>
        <v>-0</v>
      </c>
      <c r="AI94" s="43" t="n">
        <f aca="false">-MIN(AI92,In_Loss_Cap*MAX(0,AI91))</f>
        <v>-0</v>
      </c>
      <c r="AJ94" s="43" t="n">
        <f aca="false">-MIN(AJ92,In_Loss_Cap*MAX(0,AJ91))</f>
        <v>-0</v>
      </c>
      <c r="AK94" s="43" t="n">
        <f aca="false">-MIN(AK92,In_Loss_Cap*MAX(0,AK91))</f>
        <v>-0</v>
      </c>
      <c r="AL94" s="43" t="n">
        <f aca="false">-MIN(AL92,In_Loss_Cap*MAX(0,AL91))</f>
        <v>-0</v>
      </c>
      <c r="AM94" s="43" t="n">
        <f aca="false">-MIN(AM92,In_Loss_Cap*MAX(0,AM91))</f>
        <v>-0</v>
      </c>
      <c r="AN94" s="43" t="n">
        <f aca="false">-MIN(AN92,In_Loss_Cap*MAX(0,AN91))</f>
        <v>-0</v>
      </c>
      <c r="AO94" s="43" t="n">
        <f aca="false">-MIN(AO92,In_Loss_Cap*MAX(0,AO91))</f>
        <v>-0</v>
      </c>
      <c r="AP94" s="43" t="n">
        <f aca="false">-MIN(AP92,In_Loss_Cap*MAX(0,AP91))</f>
        <v>-0</v>
      </c>
      <c r="AQ94" s="43" t="n">
        <f aca="false">-MIN(AQ92,In_Loss_Cap*MAX(0,AQ91))</f>
        <v>-0</v>
      </c>
      <c r="AR94" s="43" t="n">
        <f aca="false">-MIN(AR92,In_Loss_Cap*MAX(0,AR91))</f>
        <v>-0</v>
      </c>
      <c r="AS94" s="43" t="n">
        <f aca="false">-MIN(AS92,In_Loss_Cap*MAX(0,AS91))</f>
        <v>-0</v>
      </c>
      <c r="AT94" s="43" t="n">
        <f aca="false">-MIN(AT92,In_Loss_Cap*MAX(0,AT91))</f>
        <v>-0</v>
      </c>
      <c r="AU94" s="43" t="n">
        <f aca="false">-MIN(AU92,In_Loss_Cap*MAX(0,AU91))</f>
        <v>-0</v>
      </c>
      <c r="AV94" s="43" t="n">
        <f aca="false">-MIN(AV92,In_Loss_Cap*MAX(0,AV91))</f>
        <v>-0</v>
      </c>
      <c r="AW94" s="43" t="n">
        <f aca="false">-MIN(AW92,In_Loss_Cap*MAX(0,AW91))</f>
        <v>-0</v>
      </c>
      <c r="AX94" s="43" t="n">
        <f aca="false">-MIN(AX92,In_Loss_Cap*MAX(0,AX91))</f>
        <v>-0</v>
      </c>
      <c r="AY94" s="43" t="n">
        <f aca="false">-MIN(AY92,In_Loss_Cap*MAX(0,AY91))</f>
        <v>-0</v>
      </c>
      <c r="AZ94" s="43" t="n">
        <f aca="false">-MIN(AZ92,In_Loss_Cap*MAX(0,AZ91))</f>
        <v>-0</v>
      </c>
      <c r="BA94" s="43" t="n">
        <f aca="false">-MIN(BA92,In_Loss_Cap*MAX(0,BA91))</f>
        <v>-0</v>
      </c>
      <c r="BB94" s="43" t="n">
        <f aca="false">-MIN(BB92,In_Loss_Cap*MAX(0,BB91))</f>
        <v>-0</v>
      </c>
      <c r="BC94" s="43" t="n">
        <f aca="false">-MIN(BC92,In_Loss_Cap*MAX(0,BC91))</f>
        <v>-0</v>
      </c>
      <c r="BD94" s="43" t="n">
        <f aca="false">-MIN(BD92,In_Loss_Cap*MAX(0,BD91))</f>
        <v>-0</v>
      </c>
      <c r="BE94" s="43" t="n">
        <f aca="false">-MIN(BE92,In_Loss_Cap*MAX(0,BE91))</f>
        <v>-0</v>
      </c>
      <c r="BF94" s="43" t="n">
        <f aca="false">-MIN(BF92,In_Loss_Cap*MAX(0,BF91))</f>
        <v>-0</v>
      </c>
      <c r="BG94" s="43" t="n">
        <f aca="false">-MIN(BG92,In_Loss_Cap*MAX(0,BG91))</f>
        <v>-0</v>
      </c>
      <c r="BH94" s="43" t="n">
        <f aca="false">-MIN(BH92,In_Loss_Cap*MAX(0,BH91))</f>
        <v>-0</v>
      </c>
      <c r="BI94" s="43" t="n">
        <f aca="false">-MIN(BI92,In_Loss_Cap*MAX(0,BI91))</f>
        <v>-0</v>
      </c>
      <c r="BJ94" s="43" t="n">
        <f aca="false">-MIN(BJ92,In_Loss_Cap*MAX(0,BJ91))</f>
        <v>-0</v>
      </c>
      <c r="BK94" s="43" t="n">
        <f aca="false">-MIN(BK92,In_Loss_Cap*MAX(0,BK91))</f>
        <v>-0</v>
      </c>
      <c r="BL94" s="43" t="n">
        <f aca="false">-MIN(BL92,In_Loss_Cap*MAX(0,BL91))</f>
        <v>-0</v>
      </c>
      <c r="BM94" s="43" t="n">
        <f aca="false">-MIN(BM92,In_Loss_Cap*MAX(0,BM91))</f>
        <v>-0</v>
      </c>
      <c r="BN94" s="43" t="n">
        <f aca="false">-MIN(BN92,In_Loss_Cap*MAX(0,BN91))</f>
        <v>-0</v>
      </c>
      <c r="BO94" s="43" t="n">
        <f aca="false">-MIN(BO92,In_Loss_Cap*MAX(0,BO91))</f>
        <v>-0</v>
      </c>
      <c r="BP94" s="43" t="n">
        <f aca="false">-MIN(BP92,In_Loss_Cap*MAX(0,BP91))</f>
        <v>-0</v>
      </c>
      <c r="BQ94" s="43" t="n">
        <f aca="false">-MIN(BQ92,In_Loss_Cap*MAX(0,BQ91))</f>
        <v>-0</v>
      </c>
      <c r="BR94" s="43" t="n">
        <f aca="false">-MIN(BR92,In_Loss_Cap*MAX(0,BR91))</f>
        <v>-0</v>
      </c>
      <c r="BS94" s="43" t="n">
        <f aca="false">-MIN(BS92,In_Loss_Cap*MAX(0,BS91))</f>
        <v>-0</v>
      </c>
      <c r="BT94" s="43" t="n">
        <f aca="false">-MIN(BT92,In_Loss_Cap*MAX(0,BT91))</f>
        <v>-0</v>
      </c>
      <c r="BU94" s="43" t="n">
        <f aca="false">-MIN(BU92,In_Loss_Cap*MAX(0,BU91))</f>
        <v>-0</v>
      </c>
      <c r="BV94" s="43" t="n">
        <f aca="false">-MIN(BV92,In_Loss_Cap*MAX(0,BV91))</f>
        <v>-0</v>
      </c>
      <c r="BW94" s="43" t="n">
        <f aca="false">-MIN(BW92,In_Loss_Cap*MAX(0,BW91))</f>
        <v>-0</v>
      </c>
      <c r="BX94" s="43" t="n">
        <f aca="false">-MIN(BX92,In_Loss_Cap*MAX(0,BX91))</f>
        <v>-0</v>
      </c>
      <c r="BY94" s="43" t="n">
        <f aca="false">-MIN(BY92,In_Loss_Cap*MAX(0,BY91))</f>
        <v>-0</v>
      </c>
      <c r="BZ94" s="43" t="n">
        <f aca="false">-MIN(BZ92,In_Loss_Cap*MAX(0,BZ91))</f>
        <v>-0</v>
      </c>
      <c r="CA94" s="43" t="n">
        <f aca="false">-MIN(CA92,In_Loss_Cap*MAX(0,CA91))</f>
        <v>-0</v>
      </c>
      <c r="CB94" s="43" t="n">
        <f aca="false">-MIN(CB92,In_Loss_Cap*MAX(0,CB91))</f>
        <v>-0</v>
      </c>
      <c r="CC94" s="43" t="n">
        <f aca="false">-MIN(CC92,In_Loss_Cap*MAX(0,CC91))</f>
        <v>-0</v>
      </c>
      <c r="CD94" s="43" t="n">
        <f aca="false">-MIN(CD92,In_Loss_Cap*MAX(0,CD91))</f>
        <v>-0</v>
      </c>
      <c r="CE94" s="43" t="n">
        <f aca="false">-MIN(CE92,In_Loss_Cap*MAX(0,CE91))</f>
        <v>-0</v>
      </c>
      <c r="CF94" s="43" t="n">
        <f aca="false">-MIN(CF92,In_Loss_Cap*MAX(0,CF91))</f>
        <v>-0</v>
      </c>
      <c r="CG94" s="43" t="n">
        <f aca="false">-MIN(CG92,In_Loss_Cap*MAX(0,CG91))</f>
        <v>-0</v>
      </c>
      <c r="CH94" s="43" t="n">
        <f aca="false">-MIN(CH92,In_Loss_Cap*MAX(0,CH91))</f>
        <v>-0</v>
      </c>
      <c r="CI94" s="43" t="n">
        <f aca="false">-MIN(CI92,In_Loss_Cap*MAX(0,CI91))</f>
        <v>-0</v>
      </c>
      <c r="CJ94" s="43" t="n">
        <f aca="false">-MIN(CJ92,In_Loss_Cap*MAX(0,CJ91))</f>
        <v>-0</v>
      </c>
      <c r="CK94" s="43" t="n">
        <f aca="false">-MIN(CK92,In_Loss_Cap*MAX(0,CK91))</f>
        <v>-0</v>
      </c>
      <c r="CL94" s="43" t="n">
        <f aca="false">-MIN(CL92,In_Loss_Cap*MAX(0,CL91))</f>
        <v>-0</v>
      </c>
      <c r="CM94" s="43" t="n">
        <f aca="false">-MIN(CM92,In_Loss_Cap*MAX(0,CM91))</f>
        <v>-0</v>
      </c>
      <c r="CN94" s="43" t="n">
        <f aca="false">-MIN(CN92,In_Loss_Cap*MAX(0,CN91))</f>
        <v>-0</v>
      </c>
      <c r="CO94" s="43" t="n">
        <f aca="false">-MIN(CO92,In_Loss_Cap*MAX(0,CO91))</f>
        <v>-0</v>
      </c>
      <c r="CP94" s="43" t="n">
        <f aca="false">-MIN(CP92,In_Loss_Cap*MAX(0,CP91))</f>
        <v>-0</v>
      </c>
      <c r="CQ94" s="43" t="n">
        <f aca="false">-MIN(CQ92,In_Loss_Cap*MAX(0,CQ91))</f>
        <v>-0</v>
      </c>
      <c r="CR94" s="43" t="n">
        <f aca="false">-MIN(CR92,In_Loss_Cap*MAX(0,CR91))</f>
        <v>-0</v>
      </c>
      <c r="CS94" s="43" t="n">
        <f aca="false">-MIN(CS92,In_Loss_Cap*MAX(0,CS91))</f>
        <v>-0</v>
      </c>
      <c r="CT94" s="43" t="n">
        <f aca="false">-MIN(CT92,In_Loss_Cap*MAX(0,CT91))</f>
        <v>-0</v>
      </c>
      <c r="CU94" s="43" t="n">
        <f aca="false">-MIN(CU92,In_Loss_Cap*MAX(0,CU91))</f>
        <v>-0</v>
      </c>
      <c r="CV94" s="43" t="n">
        <f aca="false">-MIN(CV92,In_Loss_Cap*MAX(0,CV91))</f>
        <v>-0</v>
      </c>
      <c r="CW94" s="43" t="n">
        <f aca="false">-MIN(CW92,In_Loss_Cap*MAX(0,CW91))</f>
        <v>-0</v>
      </c>
      <c r="CX94" s="43" t="n">
        <f aca="false">-MIN(CX92,In_Loss_Cap*MAX(0,CX91))</f>
        <v>-0</v>
      </c>
      <c r="CY94" s="43" t="n">
        <f aca="false">-MIN(CY92,In_Loss_Cap*MAX(0,CY91))</f>
        <v>-0</v>
      </c>
      <c r="CZ94" s="43" t="n">
        <f aca="false">-MIN(CZ92,In_Loss_Cap*MAX(0,CZ91))</f>
        <v>-0</v>
      </c>
      <c r="DA94" s="43" t="n">
        <f aca="false">-MIN(DA92,In_Loss_Cap*MAX(0,DA91))</f>
        <v>-0</v>
      </c>
      <c r="DB94" s="43" t="n">
        <f aca="false">-MIN(DB92,In_Loss_Cap*MAX(0,DB91))</f>
        <v>-0</v>
      </c>
      <c r="DC94" s="43" t="n">
        <f aca="false">-MIN(DC92,In_Loss_Cap*MAX(0,DC91))</f>
        <v>-0</v>
      </c>
      <c r="DD94" s="43" t="n">
        <f aca="false">-MIN(DD92,In_Loss_Cap*MAX(0,DD91))</f>
        <v>-0</v>
      </c>
      <c r="DE94" s="43" t="n">
        <f aca="false">-MIN(DE92,In_Loss_Cap*MAX(0,DE91))</f>
        <v>-0</v>
      </c>
      <c r="DF94" s="43" t="n">
        <f aca="false">-MIN(DF92,In_Loss_Cap*MAX(0,DF91))</f>
        <v>-0</v>
      </c>
      <c r="DG94" s="43" t="n">
        <f aca="false">-MIN(DG92,In_Loss_Cap*MAX(0,DG91))</f>
        <v>-0</v>
      </c>
      <c r="DH94" s="43" t="n">
        <f aca="false">-MIN(DH92,In_Loss_Cap*MAX(0,DH91))</f>
        <v>-0</v>
      </c>
      <c r="DI94" s="43" t="n">
        <f aca="false">-MIN(DI92,In_Loss_Cap*MAX(0,DI91))</f>
        <v>-0</v>
      </c>
      <c r="DJ94" s="43" t="n">
        <f aca="false">-MIN(DJ92,In_Loss_Cap*MAX(0,DJ91))</f>
        <v>-0</v>
      </c>
      <c r="DK94" s="43" t="n">
        <f aca="false">-MIN(DK92,In_Loss_Cap*MAX(0,DK91))</f>
        <v>-0</v>
      </c>
      <c r="DL94" s="43" t="n">
        <f aca="false">-MIN(DL92,In_Loss_Cap*MAX(0,DL91))</f>
        <v>-0</v>
      </c>
      <c r="DM94" s="43" t="n">
        <f aca="false">-MIN(DM92,In_Loss_Cap*MAX(0,DM91))</f>
        <v>-0</v>
      </c>
      <c r="DN94" s="43" t="n">
        <f aca="false">-MIN(DN92,In_Loss_Cap*MAX(0,DN91))</f>
        <v>-0</v>
      </c>
      <c r="DO94" s="43" t="n">
        <f aca="false">-MIN(DO92,In_Loss_Cap*MAX(0,DO91))</f>
        <v>-0</v>
      </c>
      <c r="DP94" s="43" t="n">
        <f aca="false">-MIN(DP92,In_Loss_Cap*MAX(0,DP91))</f>
        <v>-0</v>
      </c>
      <c r="DQ94" s="43" t="n">
        <f aca="false">-MIN(DQ92,In_Loss_Cap*MAX(0,DQ91))</f>
        <v>-0</v>
      </c>
      <c r="DR94" s="43" t="n">
        <f aca="false">-MIN(DR92,In_Loss_Cap*MAX(0,DR91))</f>
        <v>-0</v>
      </c>
      <c r="DS94" s="43" t="n">
        <f aca="false">-MIN(DS92,In_Loss_Cap*MAX(0,DS91))</f>
        <v>-0</v>
      </c>
      <c r="DT94" s="43" t="n">
        <f aca="false">-MIN(DT92,In_Loss_Cap*MAX(0,DT91))</f>
        <v>-0</v>
      </c>
      <c r="DU94" s="43" t="n">
        <f aca="false">-MIN(DU92,In_Loss_Cap*MAX(0,DU91))</f>
        <v>-0</v>
      </c>
      <c r="DV94" s="43" t="n">
        <f aca="false">-MIN(DV92,In_Loss_Cap*MAX(0,DV91))</f>
        <v>-0</v>
      </c>
      <c r="DW94" s="43" t="n">
        <f aca="false">-MIN(DW92,In_Loss_Cap*MAX(0,DW91))</f>
        <v>-0</v>
      </c>
      <c r="DX94" s="43" t="n">
        <f aca="false">-MIN(DX92,In_Loss_Cap*MAX(0,DX91))</f>
        <v>-0</v>
      </c>
      <c r="DY94" s="43" t="n">
        <f aca="false">-MIN(DY92,In_Loss_Cap*MAX(0,DY91))</f>
        <v>-0</v>
      </c>
      <c r="DZ94" s="43" t="n">
        <f aca="false">-MIN(DZ92,In_Loss_Cap*MAX(0,DZ91))</f>
        <v>-0</v>
      </c>
      <c r="EA94" s="43" t="n">
        <f aca="false">-MIN(EA92,In_Loss_Cap*MAX(0,EA91))</f>
        <v>-0</v>
      </c>
      <c r="EB94" s="43" t="n">
        <f aca="false">-MIN(EB92,In_Loss_Cap*MAX(0,EB91))</f>
        <v>-0</v>
      </c>
      <c r="EC94" s="43" t="n">
        <f aca="false">-MIN(EC92,In_Loss_Cap*MAX(0,EC91))</f>
        <v>-0</v>
      </c>
      <c r="ED94" s="43" t="n">
        <f aca="false">-MIN(ED92,In_Loss_Cap*MAX(0,ED91))</f>
        <v>-0</v>
      </c>
      <c r="EE94" s="43" t="n">
        <f aca="false">-MIN(EE92,In_Loss_Cap*MAX(0,EE91))</f>
        <v>-0</v>
      </c>
      <c r="EF94" s="43" t="n">
        <f aca="false">-MIN(EF92,In_Loss_Cap*MAX(0,EF91))</f>
        <v>-0</v>
      </c>
      <c r="EG94" s="43" t="n">
        <f aca="false">-MIN(EG92,In_Loss_Cap*MAX(0,EG91))</f>
        <v>-0</v>
      </c>
      <c r="EH94" s="43" t="n">
        <f aca="false">-MIN(EH92,In_Loss_Cap*MAX(0,EH91))</f>
        <v>-0</v>
      </c>
      <c r="EI94" s="43" t="n">
        <f aca="false">-MIN(EI92,In_Loss_Cap*MAX(0,EI91))</f>
        <v>-0</v>
      </c>
      <c r="EJ94" s="43" t="n">
        <f aca="false">-MIN(EJ92,In_Loss_Cap*MAX(0,EJ91))</f>
        <v>-0</v>
      </c>
      <c r="EK94" s="43" t="n">
        <f aca="false">-MIN(EK92,In_Loss_Cap*MAX(0,EK91))</f>
        <v>-0</v>
      </c>
      <c r="EL94" s="43" t="n">
        <f aca="false">-MIN(EL92,In_Loss_Cap*MAX(0,EL91))</f>
        <v>-0</v>
      </c>
      <c r="EM94" s="43" t="n">
        <f aca="false">-MIN(EM92,In_Loss_Cap*MAX(0,EM91))</f>
        <v>-0</v>
      </c>
      <c r="EN94" s="43" t="n">
        <f aca="false">-MIN(EN92,In_Loss_Cap*MAX(0,EN91))</f>
        <v>-0</v>
      </c>
      <c r="EO94" s="43" t="n">
        <f aca="false">-MIN(EO92,In_Loss_Cap*MAX(0,EO91))</f>
        <v>-0</v>
      </c>
    </row>
    <row r="95" customFormat="false" ht="15" hidden="false" customHeight="false" outlineLevel="0" collapsed="false">
      <c r="C95" s="0" t="s">
        <v>400</v>
      </c>
      <c r="D95" s="11" t="s">
        <v>33</v>
      </c>
      <c r="E95" s="41" t="n">
        <f aca="false">EDATE(In_NTP,In_Loss_Years*Months_In_Year)</f>
        <v>48852</v>
      </c>
      <c r="I95" s="43" t="n">
        <f aca="false">SUM(J95:EO95)</f>
        <v>0</v>
      </c>
      <c r="J95" s="43" t="n">
        <f aca="false">-(J92+J93+J94)*N(AND(J$3&lt;=$E95,J$4&gt;=$E95))</f>
        <v>-0</v>
      </c>
      <c r="K95" s="43" t="n">
        <f aca="false">-(K92+K93+K94)*N(AND(K$3&lt;=$E95,K$4&gt;=$E95))</f>
        <v>-0</v>
      </c>
      <c r="L95" s="43" t="n">
        <f aca="false">-(L92+L93+L94)*N(AND(L$3&lt;=$E95,L$4&gt;=$E95))</f>
        <v>-0</v>
      </c>
      <c r="M95" s="43" t="n">
        <f aca="false">-(M92+M93+M94)*N(AND(M$3&lt;=$E95,M$4&gt;=$E95))</f>
        <v>-0</v>
      </c>
      <c r="N95" s="43" t="n">
        <f aca="false">-(N92+N93+N94)*N(AND(N$3&lt;=$E95,N$4&gt;=$E95))</f>
        <v>-0</v>
      </c>
      <c r="O95" s="43" t="n">
        <f aca="false">-(O92+O93+O94)*N(AND(O$3&lt;=$E95,O$4&gt;=$E95))</f>
        <v>-0</v>
      </c>
      <c r="P95" s="43" t="n">
        <f aca="false">-(P92+P93+P94)*N(AND(P$3&lt;=$E95,P$4&gt;=$E95))</f>
        <v>-0</v>
      </c>
      <c r="Q95" s="43" t="n">
        <f aca="false">-(Q92+Q93+Q94)*N(AND(Q$3&lt;=$E95,Q$4&gt;=$E95))</f>
        <v>-0</v>
      </c>
      <c r="R95" s="43" t="n">
        <f aca="false">-(R92+R93+R94)*N(AND(R$3&lt;=$E95,R$4&gt;=$E95))</f>
        <v>-0</v>
      </c>
      <c r="S95" s="43" t="n">
        <f aca="false">-(S92+S93+S94)*N(AND(S$3&lt;=$E95,S$4&gt;=$E95))</f>
        <v>-0</v>
      </c>
      <c r="T95" s="43" t="n">
        <f aca="false">-(T92+T93+T94)*N(AND(T$3&lt;=$E95,T$4&gt;=$E95))</f>
        <v>-0</v>
      </c>
      <c r="U95" s="43" t="n">
        <f aca="false">-(U92+U93+U94)*N(AND(U$3&lt;=$E95,U$4&gt;=$E95))</f>
        <v>-0</v>
      </c>
      <c r="V95" s="43" t="n">
        <f aca="false">-(V92+V93+V94)*N(AND(V$3&lt;=$E95,V$4&gt;=$E95))</f>
        <v>-0</v>
      </c>
      <c r="W95" s="43" t="n">
        <f aca="false">-(W92+W93+W94)*N(AND(W$3&lt;=$E95,W$4&gt;=$E95))</f>
        <v>-0</v>
      </c>
      <c r="X95" s="43" t="n">
        <f aca="false">-(X92+X93+X94)*N(AND(X$3&lt;=$E95,X$4&gt;=$E95))</f>
        <v>-0</v>
      </c>
      <c r="Y95" s="43" t="n">
        <f aca="false">-(Y92+Y93+Y94)*N(AND(Y$3&lt;=$E95,Y$4&gt;=$E95))</f>
        <v>-0</v>
      </c>
      <c r="Z95" s="43" t="n">
        <f aca="false">-(Z92+Z93+Z94)*N(AND(Z$3&lt;=$E95,Z$4&gt;=$E95))</f>
        <v>-0</v>
      </c>
      <c r="AA95" s="43" t="n">
        <f aca="false">-(AA92+AA93+AA94)*N(AND(AA$3&lt;=$E95,AA$4&gt;=$E95))</f>
        <v>-0</v>
      </c>
      <c r="AB95" s="43" t="n">
        <f aca="false">-(AB92+AB93+AB94)*N(AND(AB$3&lt;=$E95,AB$4&gt;=$E95))</f>
        <v>-0</v>
      </c>
      <c r="AC95" s="43" t="n">
        <f aca="false">-(AC92+AC93+AC94)*N(AND(AC$3&lt;=$E95,AC$4&gt;=$E95))</f>
        <v>-0</v>
      </c>
      <c r="AD95" s="43" t="n">
        <f aca="false">-(AD92+AD93+AD94)*N(AND(AD$3&lt;=$E95,AD$4&gt;=$E95))</f>
        <v>-0</v>
      </c>
      <c r="AE95" s="43" t="n">
        <f aca="false">-(AE92+AE93+AE94)*N(AND(AE$3&lt;=$E95,AE$4&gt;=$E95))</f>
        <v>-0</v>
      </c>
      <c r="AF95" s="43" t="n">
        <f aca="false">-(AF92+AF93+AF94)*N(AND(AF$3&lt;=$E95,AF$4&gt;=$E95))</f>
        <v>-0</v>
      </c>
      <c r="AG95" s="43" t="n">
        <f aca="false">-(AG92+AG93+AG94)*N(AND(AG$3&lt;=$E95,AG$4&gt;=$E95))</f>
        <v>-0</v>
      </c>
      <c r="AH95" s="43" t="n">
        <f aca="false">-(AH92+AH93+AH94)*N(AND(AH$3&lt;=$E95,AH$4&gt;=$E95))</f>
        <v>-0</v>
      </c>
      <c r="AI95" s="43" t="n">
        <f aca="false">-(AI92+AI93+AI94)*N(AND(AI$3&lt;=$E95,AI$4&gt;=$E95))</f>
        <v>-0</v>
      </c>
      <c r="AJ95" s="43" t="n">
        <f aca="false">-(AJ92+AJ93+AJ94)*N(AND(AJ$3&lt;=$E95,AJ$4&gt;=$E95))</f>
        <v>-0</v>
      </c>
      <c r="AK95" s="43" t="n">
        <f aca="false">-(AK92+AK93+AK94)*N(AND(AK$3&lt;=$E95,AK$4&gt;=$E95))</f>
        <v>-0</v>
      </c>
      <c r="AL95" s="43" t="n">
        <f aca="false">-(AL92+AL93+AL94)*N(AND(AL$3&lt;=$E95,AL$4&gt;=$E95))</f>
        <v>-0</v>
      </c>
      <c r="AM95" s="43" t="n">
        <f aca="false">-(AM92+AM93+AM94)*N(AND(AM$3&lt;=$E95,AM$4&gt;=$E95))</f>
        <v>-0</v>
      </c>
      <c r="AN95" s="43" t="n">
        <f aca="false">-(AN92+AN93+AN94)*N(AND(AN$3&lt;=$E95,AN$4&gt;=$E95))</f>
        <v>-0</v>
      </c>
      <c r="AO95" s="43" t="n">
        <f aca="false">-(AO92+AO93+AO94)*N(AND(AO$3&lt;=$E95,AO$4&gt;=$E95))</f>
        <v>-0</v>
      </c>
      <c r="AP95" s="43" t="n">
        <f aca="false">-(AP92+AP93+AP94)*N(AND(AP$3&lt;=$E95,AP$4&gt;=$E95))</f>
        <v>-0</v>
      </c>
      <c r="AQ95" s="43" t="n">
        <f aca="false">-(AQ92+AQ93+AQ94)*N(AND(AQ$3&lt;=$E95,AQ$4&gt;=$E95))</f>
        <v>-0</v>
      </c>
      <c r="AR95" s="43" t="n">
        <f aca="false">-(AR92+AR93+AR94)*N(AND(AR$3&lt;=$E95,AR$4&gt;=$E95))</f>
        <v>-0</v>
      </c>
      <c r="AS95" s="43" t="n">
        <f aca="false">-(AS92+AS93+AS94)*N(AND(AS$3&lt;=$E95,AS$4&gt;=$E95))</f>
        <v>-0</v>
      </c>
      <c r="AT95" s="43" t="n">
        <f aca="false">-(AT92+AT93+AT94)*N(AND(AT$3&lt;=$E95,AT$4&gt;=$E95))</f>
        <v>-0</v>
      </c>
      <c r="AU95" s="43" t="n">
        <f aca="false">-(AU92+AU93+AU94)*N(AND(AU$3&lt;=$E95,AU$4&gt;=$E95))</f>
        <v>-0</v>
      </c>
      <c r="AV95" s="43" t="n">
        <f aca="false">-(AV92+AV93+AV94)*N(AND(AV$3&lt;=$E95,AV$4&gt;=$E95))</f>
        <v>-0</v>
      </c>
      <c r="AW95" s="43" t="n">
        <f aca="false">-(AW92+AW93+AW94)*N(AND(AW$3&lt;=$E95,AW$4&gt;=$E95))</f>
        <v>-0</v>
      </c>
      <c r="AX95" s="43" t="n">
        <f aca="false">-(AX92+AX93+AX94)*N(AND(AX$3&lt;=$E95,AX$4&gt;=$E95))</f>
        <v>-0</v>
      </c>
      <c r="AY95" s="43" t="n">
        <f aca="false">-(AY92+AY93+AY94)*N(AND(AY$3&lt;=$E95,AY$4&gt;=$E95))</f>
        <v>-0</v>
      </c>
      <c r="AZ95" s="43" t="n">
        <f aca="false">-(AZ92+AZ93+AZ94)*N(AND(AZ$3&lt;=$E95,AZ$4&gt;=$E95))</f>
        <v>-0</v>
      </c>
      <c r="BA95" s="43" t="n">
        <f aca="false">-(BA92+BA93+BA94)*N(AND(BA$3&lt;=$E95,BA$4&gt;=$E95))</f>
        <v>-0</v>
      </c>
      <c r="BB95" s="43" t="n">
        <f aca="false">-(BB92+BB93+BB94)*N(AND(BB$3&lt;=$E95,BB$4&gt;=$E95))</f>
        <v>-0</v>
      </c>
      <c r="BC95" s="43" t="n">
        <f aca="false">-(BC92+BC93+BC94)*N(AND(BC$3&lt;=$E95,BC$4&gt;=$E95))</f>
        <v>-0</v>
      </c>
      <c r="BD95" s="43" t="n">
        <f aca="false">-(BD92+BD93+BD94)*N(AND(BD$3&lt;=$E95,BD$4&gt;=$E95))</f>
        <v>-0</v>
      </c>
      <c r="BE95" s="43" t="n">
        <f aca="false">-(BE92+BE93+BE94)*N(AND(BE$3&lt;=$E95,BE$4&gt;=$E95))</f>
        <v>-0</v>
      </c>
      <c r="BF95" s="43" t="n">
        <f aca="false">-(BF92+BF93+BF94)*N(AND(BF$3&lt;=$E95,BF$4&gt;=$E95))</f>
        <v>-0</v>
      </c>
      <c r="BG95" s="43" t="n">
        <f aca="false">-(BG92+BG93+BG94)*N(AND(BG$3&lt;=$E95,BG$4&gt;=$E95))</f>
        <v>-0</v>
      </c>
      <c r="BH95" s="43" t="n">
        <f aca="false">-(BH92+BH93+BH94)*N(AND(BH$3&lt;=$E95,BH$4&gt;=$E95))</f>
        <v>-0</v>
      </c>
      <c r="BI95" s="43" t="n">
        <f aca="false">-(BI92+BI93+BI94)*N(AND(BI$3&lt;=$E95,BI$4&gt;=$E95))</f>
        <v>-0</v>
      </c>
      <c r="BJ95" s="43" t="n">
        <f aca="false">-(BJ92+BJ93+BJ94)*N(AND(BJ$3&lt;=$E95,BJ$4&gt;=$E95))</f>
        <v>-0</v>
      </c>
      <c r="BK95" s="43" t="n">
        <f aca="false">-(BK92+BK93+BK94)*N(AND(BK$3&lt;=$E95,BK$4&gt;=$E95))</f>
        <v>-0</v>
      </c>
      <c r="BL95" s="43" t="n">
        <f aca="false">-(BL92+BL93+BL94)*N(AND(BL$3&lt;=$E95,BL$4&gt;=$E95))</f>
        <v>-0</v>
      </c>
      <c r="BM95" s="43" t="n">
        <f aca="false">-(BM92+BM93+BM94)*N(AND(BM$3&lt;=$E95,BM$4&gt;=$E95))</f>
        <v>-0</v>
      </c>
      <c r="BN95" s="43" t="n">
        <f aca="false">-(BN92+BN93+BN94)*N(AND(BN$3&lt;=$E95,BN$4&gt;=$E95))</f>
        <v>-0</v>
      </c>
      <c r="BO95" s="43" t="n">
        <f aca="false">-(BO92+BO93+BO94)*N(AND(BO$3&lt;=$E95,BO$4&gt;=$E95))</f>
        <v>-0</v>
      </c>
      <c r="BP95" s="43" t="n">
        <f aca="false">-(BP92+BP93+BP94)*N(AND(BP$3&lt;=$E95,BP$4&gt;=$E95))</f>
        <v>-0</v>
      </c>
      <c r="BQ95" s="43" t="n">
        <f aca="false">-(BQ92+BQ93+BQ94)*N(AND(BQ$3&lt;=$E95,BQ$4&gt;=$E95))</f>
        <v>-0</v>
      </c>
      <c r="BR95" s="43" t="n">
        <f aca="false">-(BR92+BR93+BR94)*N(AND(BR$3&lt;=$E95,BR$4&gt;=$E95))</f>
        <v>-0</v>
      </c>
      <c r="BS95" s="43" t="n">
        <f aca="false">-(BS92+BS93+BS94)*N(AND(BS$3&lt;=$E95,BS$4&gt;=$E95))</f>
        <v>-0</v>
      </c>
      <c r="BT95" s="43" t="n">
        <f aca="false">-(BT92+BT93+BT94)*N(AND(BT$3&lt;=$E95,BT$4&gt;=$E95))</f>
        <v>-0</v>
      </c>
      <c r="BU95" s="43" t="n">
        <f aca="false">-(BU92+BU93+BU94)*N(AND(BU$3&lt;=$E95,BU$4&gt;=$E95))</f>
        <v>-0</v>
      </c>
      <c r="BV95" s="43" t="n">
        <f aca="false">-(BV92+BV93+BV94)*N(AND(BV$3&lt;=$E95,BV$4&gt;=$E95))</f>
        <v>-0</v>
      </c>
      <c r="BW95" s="43" t="n">
        <f aca="false">-(BW92+BW93+BW94)*N(AND(BW$3&lt;=$E95,BW$4&gt;=$E95))</f>
        <v>-0</v>
      </c>
      <c r="BX95" s="43" t="n">
        <f aca="false">-(BX92+BX93+BX94)*N(AND(BX$3&lt;=$E95,BX$4&gt;=$E95))</f>
        <v>-0</v>
      </c>
      <c r="BY95" s="43" t="n">
        <f aca="false">-(BY92+BY93+BY94)*N(AND(BY$3&lt;=$E95,BY$4&gt;=$E95))</f>
        <v>-0</v>
      </c>
      <c r="BZ95" s="43" t="n">
        <f aca="false">-(BZ92+BZ93+BZ94)*N(AND(BZ$3&lt;=$E95,BZ$4&gt;=$E95))</f>
        <v>-0</v>
      </c>
      <c r="CA95" s="43" t="n">
        <f aca="false">-(CA92+CA93+CA94)*N(AND(CA$3&lt;=$E95,CA$4&gt;=$E95))</f>
        <v>-0</v>
      </c>
      <c r="CB95" s="43" t="n">
        <f aca="false">-(CB92+CB93+CB94)*N(AND(CB$3&lt;=$E95,CB$4&gt;=$E95))</f>
        <v>-0</v>
      </c>
      <c r="CC95" s="43" t="n">
        <f aca="false">-(CC92+CC93+CC94)*N(AND(CC$3&lt;=$E95,CC$4&gt;=$E95))</f>
        <v>-0</v>
      </c>
      <c r="CD95" s="43" t="n">
        <f aca="false">-(CD92+CD93+CD94)*N(AND(CD$3&lt;=$E95,CD$4&gt;=$E95))</f>
        <v>-0</v>
      </c>
      <c r="CE95" s="43" t="n">
        <f aca="false">-(CE92+CE93+CE94)*N(AND(CE$3&lt;=$E95,CE$4&gt;=$E95))</f>
        <v>-0</v>
      </c>
      <c r="CF95" s="43" t="n">
        <f aca="false">-(CF92+CF93+CF94)*N(AND(CF$3&lt;=$E95,CF$4&gt;=$E95))</f>
        <v>-0</v>
      </c>
      <c r="CG95" s="43" t="n">
        <f aca="false">-(CG92+CG93+CG94)*N(AND(CG$3&lt;=$E95,CG$4&gt;=$E95))</f>
        <v>-0</v>
      </c>
      <c r="CH95" s="43" t="n">
        <f aca="false">-(CH92+CH93+CH94)*N(AND(CH$3&lt;=$E95,CH$4&gt;=$E95))</f>
        <v>-0</v>
      </c>
      <c r="CI95" s="43" t="n">
        <f aca="false">-(CI92+CI93+CI94)*N(AND(CI$3&lt;=$E95,CI$4&gt;=$E95))</f>
        <v>-0</v>
      </c>
      <c r="CJ95" s="43" t="n">
        <f aca="false">-(CJ92+CJ93+CJ94)*N(AND(CJ$3&lt;=$E95,CJ$4&gt;=$E95))</f>
        <v>-0</v>
      </c>
      <c r="CK95" s="43" t="n">
        <f aca="false">-(CK92+CK93+CK94)*N(AND(CK$3&lt;=$E95,CK$4&gt;=$E95))</f>
        <v>-0</v>
      </c>
      <c r="CL95" s="43" t="n">
        <f aca="false">-(CL92+CL93+CL94)*N(AND(CL$3&lt;=$E95,CL$4&gt;=$E95))</f>
        <v>-0</v>
      </c>
      <c r="CM95" s="43" t="n">
        <f aca="false">-(CM92+CM93+CM94)*N(AND(CM$3&lt;=$E95,CM$4&gt;=$E95))</f>
        <v>-0</v>
      </c>
      <c r="CN95" s="43" t="n">
        <f aca="false">-(CN92+CN93+CN94)*N(AND(CN$3&lt;=$E95,CN$4&gt;=$E95))</f>
        <v>-0</v>
      </c>
      <c r="CO95" s="43" t="n">
        <f aca="false">-(CO92+CO93+CO94)*N(AND(CO$3&lt;=$E95,CO$4&gt;=$E95))</f>
        <v>-0</v>
      </c>
      <c r="CP95" s="43" t="n">
        <f aca="false">-(CP92+CP93+CP94)*N(AND(CP$3&lt;=$E95,CP$4&gt;=$E95))</f>
        <v>-0</v>
      </c>
      <c r="CQ95" s="43" t="n">
        <f aca="false">-(CQ92+CQ93+CQ94)*N(AND(CQ$3&lt;=$E95,CQ$4&gt;=$E95))</f>
        <v>-0</v>
      </c>
      <c r="CR95" s="43" t="n">
        <f aca="false">-(CR92+CR93+CR94)*N(AND(CR$3&lt;=$E95,CR$4&gt;=$E95))</f>
        <v>-0</v>
      </c>
      <c r="CS95" s="43" t="n">
        <f aca="false">-(CS92+CS93+CS94)*N(AND(CS$3&lt;=$E95,CS$4&gt;=$E95))</f>
        <v>-0</v>
      </c>
      <c r="CT95" s="43" t="n">
        <f aca="false">-(CT92+CT93+CT94)*N(AND(CT$3&lt;=$E95,CT$4&gt;=$E95))</f>
        <v>-0</v>
      </c>
      <c r="CU95" s="43" t="n">
        <f aca="false">-(CU92+CU93+CU94)*N(AND(CU$3&lt;=$E95,CU$4&gt;=$E95))</f>
        <v>-0</v>
      </c>
      <c r="CV95" s="43" t="n">
        <f aca="false">-(CV92+CV93+CV94)*N(AND(CV$3&lt;=$E95,CV$4&gt;=$E95))</f>
        <v>-0</v>
      </c>
      <c r="CW95" s="43" t="n">
        <f aca="false">-(CW92+CW93+CW94)*N(AND(CW$3&lt;=$E95,CW$4&gt;=$E95))</f>
        <v>-0</v>
      </c>
      <c r="CX95" s="43" t="n">
        <f aca="false">-(CX92+CX93+CX94)*N(AND(CX$3&lt;=$E95,CX$4&gt;=$E95))</f>
        <v>-0</v>
      </c>
      <c r="CY95" s="43" t="n">
        <f aca="false">-(CY92+CY93+CY94)*N(AND(CY$3&lt;=$E95,CY$4&gt;=$E95))</f>
        <v>-0</v>
      </c>
      <c r="CZ95" s="43" t="n">
        <f aca="false">-(CZ92+CZ93+CZ94)*N(AND(CZ$3&lt;=$E95,CZ$4&gt;=$E95))</f>
        <v>-0</v>
      </c>
      <c r="DA95" s="43" t="n">
        <f aca="false">-(DA92+DA93+DA94)*N(AND(DA$3&lt;=$E95,DA$4&gt;=$E95))</f>
        <v>-0</v>
      </c>
      <c r="DB95" s="43" t="n">
        <f aca="false">-(DB92+DB93+DB94)*N(AND(DB$3&lt;=$E95,DB$4&gt;=$E95))</f>
        <v>-0</v>
      </c>
      <c r="DC95" s="43" t="n">
        <f aca="false">-(DC92+DC93+DC94)*N(AND(DC$3&lt;=$E95,DC$4&gt;=$E95))</f>
        <v>-0</v>
      </c>
      <c r="DD95" s="43" t="n">
        <f aca="false">-(DD92+DD93+DD94)*N(AND(DD$3&lt;=$E95,DD$4&gt;=$E95))</f>
        <v>-0</v>
      </c>
      <c r="DE95" s="43" t="n">
        <f aca="false">-(DE92+DE93+DE94)*N(AND(DE$3&lt;=$E95,DE$4&gt;=$E95))</f>
        <v>-0</v>
      </c>
      <c r="DF95" s="43" t="n">
        <f aca="false">-(DF92+DF93+DF94)*N(AND(DF$3&lt;=$E95,DF$4&gt;=$E95))</f>
        <v>-0</v>
      </c>
      <c r="DG95" s="43" t="n">
        <f aca="false">-(DG92+DG93+DG94)*N(AND(DG$3&lt;=$E95,DG$4&gt;=$E95))</f>
        <v>-0</v>
      </c>
      <c r="DH95" s="43" t="n">
        <f aca="false">-(DH92+DH93+DH94)*N(AND(DH$3&lt;=$E95,DH$4&gt;=$E95))</f>
        <v>-0</v>
      </c>
      <c r="DI95" s="43" t="n">
        <f aca="false">-(DI92+DI93+DI94)*N(AND(DI$3&lt;=$E95,DI$4&gt;=$E95))</f>
        <v>-0</v>
      </c>
      <c r="DJ95" s="43" t="n">
        <f aca="false">-(DJ92+DJ93+DJ94)*N(AND(DJ$3&lt;=$E95,DJ$4&gt;=$E95))</f>
        <v>-0</v>
      </c>
      <c r="DK95" s="43" t="n">
        <f aca="false">-(DK92+DK93+DK94)*N(AND(DK$3&lt;=$E95,DK$4&gt;=$E95))</f>
        <v>-0</v>
      </c>
      <c r="DL95" s="43" t="n">
        <f aca="false">-(DL92+DL93+DL94)*N(AND(DL$3&lt;=$E95,DL$4&gt;=$E95))</f>
        <v>-0</v>
      </c>
      <c r="DM95" s="43" t="n">
        <f aca="false">-(DM92+DM93+DM94)*N(AND(DM$3&lt;=$E95,DM$4&gt;=$E95))</f>
        <v>-0</v>
      </c>
      <c r="DN95" s="43" t="n">
        <f aca="false">-(DN92+DN93+DN94)*N(AND(DN$3&lt;=$E95,DN$4&gt;=$E95))</f>
        <v>-0</v>
      </c>
      <c r="DO95" s="43" t="n">
        <f aca="false">-(DO92+DO93+DO94)*N(AND(DO$3&lt;=$E95,DO$4&gt;=$E95))</f>
        <v>-0</v>
      </c>
      <c r="DP95" s="43" t="n">
        <f aca="false">-(DP92+DP93+DP94)*N(AND(DP$3&lt;=$E95,DP$4&gt;=$E95))</f>
        <v>-0</v>
      </c>
      <c r="DQ95" s="43" t="n">
        <f aca="false">-(DQ92+DQ93+DQ94)*N(AND(DQ$3&lt;=$E95,DQ$4&gt;=$E95))</f>
        <v>-0</v>
      </c>
      <c r="DR95" s="43" t="n">
        <f aca="false">-(DR92+DR93+DR94)*N(AND(DR$3&lt;=$E95,DR$4&gt;=$E95))</f>
        <v>-0</v>
      </c>
      <c r="DS95" s="43" t="n">
        <f aca="false">-(DS92+DS93+DS94)*N(AND(DS$3&lt;=$E95,DS$4&gt;=$E95))</f>
        <v>-0</v>
      </c>
      <c r="DT95" s="43" t="n">
        <f aca="false">-(DT92+DT93+DT94)*N(AND(DT$3&lt;=$E95,DT$4&gt;=$E95))</f>
        <v>-0</v>
      </c>
      <c r="DU95" s="43" t="n">
        <f aca="false">-(DU92+DU93+DU94)*N(AND(DU$3&lt;=$E95,DU$4&gt;=$E95))</f>
        <v>-0</v>
      </c>
      <c r="DV95" s="43" t="n">
        <f aca="false">-(DV92+DV93+DV94)*N(AND(DV$3&lt;=$E95,DV$4&gt;=$E95))</f>
        <v>-0</v>
      </c>
      <c r="DW95" s="43" t="n">
        <f aca="false">-(DW92+DW93+DW94)*N(AND(DW$3&lt;=$E95,DW$4&gt;=$E95))</f>
        <v>-0</v>
      </c>
      <c r="DX95" s="43" t="n">
        <f aca="false">-(DX92+DX93+DX94)*N(AND(DX$3&lt;=$E95,DX$4&gt;=$E95))</f>
        <v>-0</v>
      </c>
      <c r="DY95" s="43" t="n">
        <f aca="false">-(DY92+DY93+DY94)*N(AND(DY$3&lt;=$E95,DY$4&gt;=$E95))</f>
        <v>-0</v>
      </c>
      <c r="DZ95" s="43" t="n">
        <f aca="false">-(DZ92+DZ93+DZ94)*N(AND(DZ$3&lt;=$E95,DZ$4&gt;=$E95))</f>
        <v>-0</v>
      </c>
      <c r="EA95" s="43" t="n">
        <f aca="false">-(EA92+EA93+EA94)*N(AND(EA$3&lt;=$E95,EA$4&gt;=$E95))</f>
        <v>-0</v>
      </c>
      <c r="EB95" s="43" t="n">
        <f aca="false">-(EB92+EB93+EB94)*N(AND(EB$3&lt;=$E95,EB$4&gt;=$E95))</f>
        <v>-0</v>
      </c>
      <c r="EC95" s="43" t="n">
        <f aca="false">-(EC92+EC93+EC94)*N(AND(EC$3&lt;=$E95,EC$4&gt;=$E95))</f>
        <v>-0</v>
      </c>
      <c r="ED95" s="43" t="n">
        <f aca="false">-(ED92+ED93+ED94)*N(AND(ED$3&lt;=$E95,ED$4&gt;=$E95))</f>
        <v>-0</v>
      </c>
      <c r="EE95" s="43" t="n">
        <f aca="false">-(EE92+EE93+EE94)*N(AND(EE$3&lt;=$E95,EE$4&gt;=$E95))</f>
        <v>-0</v>
      </c>
      <c r="EF95" s="43" t="n">
        <f aca="false">-(EF92+EF93+EF94)*N(AND(EF$3&lt;=$E95,EF$4&gt;=$E95))</f>
        <v>-0</v>
      </c>
      <c r="EG95" s="43" t="n">
        <f aca="false">-(EG92+EG93+EG94)*N(AND(EG$3&lt;=$E95,EG$4&gt;=$E95))</f>
        <v>-0</v>
      </c>
      <c r="EH95" s="43" t="n">
        <f aca="false">-(EH92+EH93+EH94)*N(AND(EH$3&lt;=$E95,EH$4&gt;=$E95))</f>
        <v>-0</v>
      </c>
      <c r="EI95" s="43" t="n">
        <f aca="false">-(EI92+EI93+EI94)*N(AND(EI$3&lt;=$E95,EI$4&gt;=$E95))</f>
        <v>-0</v>
      </c>
      <c r="EJ95" s="43" t="n">
        <f aca="false">-(EJ92+EJ93+EJ94)*N(AND(EJ$3&lt;=$E95,EJ$4&gt;=$E95))</f>
        <v>-0</v>
      </c>
      <c r="EK95" s="43" t="n">
        <f aca="false">-(EK92+EK93+EK94)*N(AND(EK$3&lt;=$E95,EK$4&gt;=$E95))</f>
        <v>-0</v>
      </c>
      <c r="EL95" s="43" t="n">
        <f aca="false">-(EL92+EL93+EL94)*N(AND(EL$3&lt;=$E95,EL$4&gt;=$E95))</f>
        <v>-0</v>
      </c>
      <c r="EM95" s="43" t="n">
        <f aca="false">-(EM92+EM93+EM94)*N(AND(EM$3&lt;=$E95,EM$4&gt;=$E95))</f>
        <v>-0</v>
      </c>
      <c r="EN95" s="43" t="n">
        <f aca="false">-(EN92+EN93+EN94)*N(AND(EN$3&lt;=$E95,EN$4&gt;=$E95))</f>
        <v>-0</v>
      </c>
      <c r="EO95" s="43" t="n">
        <f aca="false">-(EO92+EO93+EO94)*N(AND(EO$3&lt;=$E95,EO$4&gt;=$E95))</f>
        <v>-0</v>
      </c>
    </row>
    <row r="96" customFormat="false" ht="15" hidden="false" customHeight="false" outlineLevel="0" collapsed="false">
      <c r="C96" s="0" t="s">
        <v>401</v>
      </c>
      <c r="D96" s="11" t="s">
        <v>33</v>
      </c>
      <c r="I96" s="56"/>
      <c r="J96" s="43" t="n">
        <f aca="false">SUM(J92:J95)</f>
        <v>11.0990429724151</v>
      </c>
      <c r="K96" s="43" t="n">
        <f aca="false">SUM(K92:K95)</f>
        <v>23.4413210733721</v>
      </c>
      <c r="L96" s="43" t="n">
        <f aca="false">SUM(L92:L95)</f>
        <v>44.2403452805404</v>
      </c>
      <c r="M96" s="43" t="n">
        <f aca="false">SUM(M92:M95)</f>
        <v>65.267930193282</v>
      </c>
      <c r="N96" s="43" t="n">
        <f aca="false">SUM(N92:N95)</f>
        <v>86.2955151060236</v>
      </c>
      <c r="O96" s="43" t="n">
        <f aca="false">SUM(O92:O95)</f>
        <v>107.094539313192</v>
      </c>
      <c r="P96" s="43" t="n">
        <f aca="false">SUM(P92:P95)</f>
        <v>127.89356352036</v>
      </c>
      <c r="Q96" s="43" t="n">
        <f aca="false">SUM(Q92:Q95)</f>
        <v>148.921148433102</v>
      </c>
      <c r="R96" s="43" t="n">
        <f aca="false">SUM(R92:R95)</f>
        <v>1161.4881270656</v>
      </c>
      <c r="S96" s="43" t="n">
        <f aca="false">SUM(S92:S95)</f>
        <v>1311.67069197068</v>
      </c>
      <c r="T96" s="43" t="n">
        <f aca="false">SUM(T92:T95)</f>
        <v>1439.82505881762</v>
      </c>
      <c r="U96" s="43" t="n">
        <f aca="false">SUM(U92:U95)</f>
        <v>1558.25751924199</v>
      </c>
      <c r="V96" s="43" t="n">
        <f aca="false">SUM(V92:V95)</f>
        <v>1665.43747365022</v>
      </c>
      <c r="W96" s="43" t="n">
        <f aca="false">SUM(W92:W95)</f>
        <v>1760.22675288648</v>
      </c>
      <c r="X96" s="43" t="n">
        <f aca="false">SUM(X92:X95)</f>
        <v>1845.18101095459</v>
      </c>
      <c r="Y96" s="43" t="n">
        <f aca="false">SUM(Y92:Y95)</f>
        <v>1919.93863613005</v>
      </c>
      <c r="Z96" s="43" t="n">
        <f aca="false">SUM(Z92:Z95)</f>
        <v>1668.87421791469</v>
      </c>
      <c r="AA96" s="43" t="n">
        <f aca="false">SUM(AA92:AA95)</f>
        <v>1420.67702021658</v>
      </c>
      <c r="AB96" s="43" t="n">
        <f aca="false">SUM(AB92:AB95)</f>
        <v>1163.84029152261</v>
      </c>
      <c r="AC96" s="43" t="n">
        <f aca="false">SUM(AC92:AC95)</f>
        <v>898.263933971653</v>
      </c>
      <c r="AD96" s="43" t="n">
        <f aca="false">SUM(AD92:AD95)</f>
        <v>633.627272291799</v>
      </c>
      <c r="AE96" s="43" t="n">
        <f aca="false">SUM(AE92:AE95)</f>
        <v>365.712727009655</v>
      </c>
      <c r="AF96" s="43" t="n">
        <f aca="false">SUM(AF92:AF95)</f>
        <v>95.0381081518421</v>
      </c>
      <c r="AG96" s="43" t="n">
        <f aca="false">SUM(AG92:AG95)</f>
        <v>0</v>
      </c>
      <c r="AH96" s="43" t="n">
        <f aca="false">SUM(AH92:AH95)</f>
        <v>0</v>
      </c>
      <c r="AI96" s="43" t="n">
        <f aca="false">SUM(AI92:AI95)</f>
        <v>0</v>
      </c>
      <c r="AJ96" s="43" t="n">
        <f aca="false">SUM(AJ92:AJ95)</f>
        <v>0</v>
      </c>
      <c r="AK96" s="43" t="n">
        <f aca="false">SUM(AK92:AK95)</f>
        <v>0</v>
      </c>
      <c r="AL96" s="43" t="n">
        <f aca="false">SUM(AL92:AL95)</f>
        <v>0</v>
      </c>
      <c r="AM96" s="43" t="n">
        <f aca="false">SUM(AM92:AM95)</f>
        <v>0</v>
      </c>
      <c r="AN96" s="43" t="n">
        <f aca="false">SUM(AN92:AN95)</f>
        <v>0</v>
      </c>
      <c r="AO96" s="43" t="n">
        <f aca="false">SUM(AO92:AO95)</f>
        <v>0</v>
      </c>
      <c r="AP96" s="43" t="n">
        <f aca="false">SUM(AP92:AP95)</f>
        <v>0</v>
      </c>
      <c r="AQ96" s="43" t="n">
        <f aca="false">SUM(AQ92:AQ95)</f>
        <v>0</v>
      </c>
      <c r="AR96" s="43" t="n">
        <f aca="false">SUM(AR92:AR95)</f>
        <v>0</v>
      </c>
      <c r="AS96" s="43" t="n">
        <f aca="false">SUM(AS92:AS95)</f>
        <v>0</v>
      </c>
      <c r="AT96" s="43" t="n">
        <f aca="false">SUM(AT92:AT95)</f>
        <v>0</v>
      </c>
      <c r="AU96" s="43" t="n">
        <f aca="false">SUM(AU92:AU95)</f>
        <v>0</v>
      </c>
      <c r="AV96" s="43" t="n">
        <f aca="false">SUM(AV92:AV95)</f>
        <v>0</v>
      </c>
      <c r="AW96" s="43" t="n">
        <f aca="false">SUM(AW92:AW95)</f>
        <v>0</v>
      </c>
      <c r="AX96" s="43" t="n">
        <f aca="false">SUM(AX92:AX95)</f>
        <v>0</v>
      </c>
      <c r="AY96" s="43" t="n">
        <f aca="false">SUM(AY92:AY95)</f>
        <v>0</v>
      </c>
      <c r="AZ96" s="43" t="n">
        <f aca="false">SUM(AZ92:AZ95)</f>
        <v>0</v>
      </c>
      <c r="BA96" s="43" t="n">
        <f aca="false">SUM(BA92:BA95)</f>
        <v>0</v>
      </c>
      <c r="BB96" s="43" t="n">
        <f aca="false">SUM(BB92:BB95)</f>
        <v>0</v>
      </c>
      <c r="BC96" s="43" t="n">
        <f aca="false">SUM(BC92:BC95)</f>
        <v>0</v>
      </c>
      <c r="BD96" s="43" t="n">
        <f aca="false">SUM(BD92:BD95)</f>
        <v>0</v>
      </c>
      <c r="BE96" s="43" t="n">
        <f aca="false">SUM(BE92:BE95)</f>
        <v>0</v>
      </c>
      <c r="BF96" s="43" t="n">
        <f aca="false">SUM(BF92:BF95)</f>
        <v>0</v>
      </c>
      <c r="BG96" s="43" t="n">
        <f aca="false">SUM(BG92:BG95)</f>
        <v>0</v>
      </c>
      <c r="BH96" s="43" t="n">
        <f aca="false">SUM(BH92:BH95)</f>
        <v>0</v>
      </c>
      <c r="BI96" s="43" t="n">
        <f aca="false">SUM(BI92:BI95)</f>
        <v>0</v>
      </c>
      <c r="BJ96" s="43" t="n">
        <f aca="false">SUM(BJ92:BJ95)</f>
        <v>0</v>
      </c>
      <c r="BK96" s="43" t="n">
        <f aca="false">SUM(BK92:BK95)</f>
        <v>0</v>
      </c>
      <c r="BL96" s="43" t="n">
        <f aca="false">SUM(BL92:BL95)</f>
        <v>0</v>
      </c>
      <c r="BM96" s="43" t="n">
        <f aca="false">SUM(BM92:BM95)</f>
        <v>0</v>
      </c>
      <c r="BN96" s="43" t="n">
        <f aca="false">SUM(BN92:BN95)</f>
        <v>0</v>
      </c>
      <c r="BO96" s="43" t="n">
        <f aca="false">SUM(BO92:BO95)</f>
        <v>0</v>
      </c>
      <c r="BP96" s="43" t="n">
        <f aca="false">SUM(BP92:BP95)</f>
        <v>0</v>
      </c>
      <c r="BQ96" s="43" t="n">
        <f aca="false">SUM(BQ92:BQ95)</f>
        <v>0</v>
      </c>
      <c r="BR96" s="43" t="n">
        <f aca="false">SUM(BR92:BR95)</f>
        <v>0</v>
      </c>
      <c r="BS96" s="43" t="n">
        <f aca="false">SUM(BS92:BS95)</f>
        <v>0</v>
      </c>
      <c r="BT96" s="43" t="n">
        <f aca="false">SUM(BT92:BT95)</f>
        <v>0</v>
      </c>
      <c r="BU96" s="43" t="n">
        <f aca="false">SUM(BU92:BU95)</f>
        <v>0</v>
      </c>
      <c r="BV96" s="43" t="n">
        <f aca="false">SUM(BV92:BV95)</f>
        <v>0</v>
      </c>
      <c r="BW96" s="43" t="n">
        <f aca="false">SUM(BW92:BW95)</f>
        <v>0</v>
      </c>
      <c r="BX96" s="43" t="n">
        <f aca="false">SUM(BX92:BX95)</f>
        <v>0</v>
      </c>
      <c r="BY96" s="43" t="n">
        <f aca="false">SUM(BY92:BY95)</f>
        <v>0</v>
      </c>
      <c r="BZ96" s="43" t="n">
        <f aca="false">SUM(BZ92:BZ95)</f>
        <v>0</v>
      </c>
      <c r="CA96" s="43" t="n">
        <f aca="false">SUM(CA92:CA95)</f>
        <v>0</v>
      </c>
      <c r="CB96" s="43" t="n">
        <f aca="false">SUM(CB92:CB95)</f>
        <v>0</v>
      </c>
      <c r="CC96" s="43" t="n">
        <f aca="false">SUM(CC92:CC95)</f>
        <v>0</v>
      </c>
      <c r="CD96" s="43" t="n">
        <f aca="false">SUM(CD92:CD95)</f>
        <v>0</v>
      </c>
      <c r="CE96" s="43" t="n">
        <f aca="false">SUM(CE92:CE95)</f>
        <v>0</v>
      </c>
      <c r="CF96" s="43" t="n">
        <f aca="false">SUM(CF92:CF95)</f>
        <v>0</v>
      </c>
      <c r="CG96" s="43" t="n">
        <f aca="false">SUM(CG92:CG95)</f>
        <v>0</v>
      </c>
      <c r="CH96" s="43" t="n">
        <f aca="false">SUM(CH92:CH95)</f>
        <v>0</v>
      </c>
      <c r="CI96" s="43" t="n">
        <f aca="false">SUM(CI92:CI95)</f>
        <v>0</v>
      </c>
      <c r="CJ96" s="43" t="n">
        <f aca="false">SUM(CJ92:CJ95)</f>
        <v>0</v>
      </c>
      <c r="CK96" s="43" t="n">
        <f aca="false">SUM(CK92:CK95)</f>
        <v>0</v>
      </c>
      <c r="CL96" s="43" t="n">
        <f aca="false">SUM(CL92:CL95)</f>
        <v>0</v>
      </c>
      <c r="CM96" s="43" t="n">
        <f aca="false">SUM(CM92:CM95)</f>
        <v>0</v>
      </c>
      <c r="CN96" s="43" t="n">
        <f aca="false">SUM(CN92:CN95)</f>
        <v>0</v>
      </c>
      <c r="CO96" s="43" t="n">
        <f aca="false">SUM(CO92:CO95)</f>
        <v>0</v>
      </c>
      <c r="CP96" s="43" t="n">
        <f aca="false">SUM(CP92:CP95)</f>
        <v>0</v>
      </c>
      <c r="CQ96" s="43" t="n">
        <f aca="false">SUM(CQ92:CQ95)</f>
        <v>0</v>
      </c>
      <c r="CR96" s="43" t="n">
        <f aca="false">SUM(CR92:CR95)</f>
        <v>0</v>
      </c>
      <c r="CS96" s="43" t="n">
        <f aca="false">SUM(CS92:CS95)</f>
        <v>0</v>
      </c>
      <c r="CT96" s="43" t="n">
        <f aca="false">SUM(CT92:CT95)</f>
        <v>0</v>
      </c>
      <c r="CU96" s="43" t="n">
        <f aca="false">SUM(CU92:CU95)</f>
        <v>0</v>
      </c>
      <c r="CV96" s="43" t="n">
        <f aca="false">SUM(CV92:CV95)</f>
        <v>0</v>
      </c>
      <c r="CW96" s="43" t="n">
        <f aca="false">SUM(CW92:CW95)</f>
        <v>0</v>
      </c>
      <c r="CX96" s="43" t="n">
        <f aca="false">SUM(CX92:CX95)</f>
        <v>0</v>
      </c>
      <c r="CY96" s="43" t="n">
        <f aca="false">SUM(CY92:CY95)</f>
        <v>0</v>
      </c>
      <c r="CZ96" s="43" t="n">
        <f aca="false">SUM(CZ92:CZ95)</f>
        <v>0</v>
      </c>
      <c r="DA96" s="43" t="n">
        <f aca="false">SUM(DA92:DA95)</f>
        <v>0</v>
      </c>
      <c r="DB96" s="43" t="n">
        <f aca="false">SUM(DB92:DB95)</f>
        <v>0</v>
      </c>
      <c r="DC96" s="43" t="n">
        <f aca="false">SUM(DC92:DC95)</f>
        <v>0</v>
      </c>
      <c r="DD96" s="43" t="n">
        <f aca="false">SUM(DD92:DD95)</f>
        <v>0</v>
      </c>
      <c r="DE96" s="43" t="n">
        <f aca="false">SUM(DE92:DE95)</f>
        <v>0</v>
      </c>
      <c r="DF96" s="43" t="n">
        <f aca="false">SUM(DF92:DF95)</f>
        <v>0</v>
      </c>
      <c r="DG96" s="43" t="n">
        <f aca="false">SUM(DG92:DG95)</f>
        <v>0</v>
      </c>
      <c r="DH96" s="43" t="n">
        <f aca="false">SUM(DH92:DH95)</f>
        <v>0</v>
      </c>
      <c r="DI96" s="43" t="n">
        <f aca="false">SUM(DI92:DI95)</f>
        <v>0</v>
      </c>
      <c r="DJ96" s="43" t="n">
        <f aca="false">SUM(DJ92:DJ95)</f>
        <v>0</v>
      </c>
      <c r="DK96" s="43" t="n">
        <f aca="false">SUM(DK92:DK95)</f>
        <v>0</v>
      </c>
      <c r="DL96" s="43" t="n">
        <f aca="false">SUM(DL92:DL95)</f>
        <v>0</v>
      </c>
      <c r="DM96" s="43" t="n">
        <f aca="false">SUM(DM92:DM95)</f>
        <v>0</v>
      </c>
      <c r="DN96" s="43" t="n">
        <f aca="false">SUM(DN92:DN95)</f>
        <v>0</v>
      </c>
      <c r="DO96" s="43" t="n">
        <f aca="false">SUM(DO92:DO95)</f>
        <v>0</v>
      </c>
      <c r="DP96" s="43" t="n">
        <f aca="false">SUM(DP92:DP95)</f>
        <v>0</v>
      </c>
      <c r="DQ96" s="43" t="n">
        <f aca="false">SUM(DQ92:DQ95)</f>
        <v>0</v>
      </c>
      <c r="DR96" s="43" t="n">
        <f aca="false">SUM(DR92:DR95)</f>
        <v>0</v>
      </c>
      <c r="DS96" s="43" t="n">
        <f aca="false">SUM(DS92:DS95)</f>
        <v>0</v>
      </c>
      <c r="DT96" s="43" t="n">
        <f aca="false">SUM(DT92:DT95)</f>
        <v>0</v>
      </c>
      <c r="DU96" s="43" t="n">
        <f aca="false">SUM(DU92:DU95)</f>
        <v>0</v>
      </c>
      <c r="DV96" s="43" t="n">
        <f aca="false">SUM(DV92:DV95)</f>
        <v>0</v>
      </c>
      <c r="DW96" s="43" t="n">
        <f aca="false">SUM(DW92:DW95)</f>
        <v>0</v>
      </c>
      <c r="DX96" s="43" t="n">
        <f aca="false">SUM(DX92:DX95)</f>
        <v>0</v>
      </c>
      <c r="DY96" s="43" t="n">
        <f aca="false">SUM(DY92:DY95)</f>
        <v>0</v>
      </c>
      <c r="DZ96" s="43" t="n">
        <f aca="false">SUM(DZ92:DZ95)</f>
        <v>0</v>
      </c>
      <c r="EA96" s="43" t="n">
        <f aca="false">SUM(EA92:EA95)</f>
        <v>0</v>
      </c>
      <c r="EB96" s="43" t="n">
        <f aca="false">SUM(EB92:EB95)</f>
        <v>0</v>
      </c>
      <c r="EC96" s="43" t="n">
        <f aca="false">SUM(EC92:EC95)</f>
        <v>0</v>
      </c>
      <c r="ED96" s="43" t="n">
        <f aca="false">SUM(ED92:ED95)</f>
        <v>0</v>
      </c>
      <c r="EE96" s="43" t="n">
        <f aca="false">SUM(EE92:EE95)</f>
        <v>0</v>
      </c>
      <c r="EF96" s="43" t="n">
        <f aca="false">SUM(EF92:EF95)</f>
        <v>0</v>
      </c>
      <c r="EG96" s="43" t="n">
        <f aca="false">SUM(EG92:EG95)</f>
        <v>0</v>
      </c>
      <c r="EH96" s="43" t="n">
        <f aca="false">SUM(EH92:EH95)</f>
        <v>0</v>
      </c>
      <c r="EI96" s="43" t="n">
        <f aca="false">SUM(EI92:EI95)</f>
        <v>0</v>
      </c>
      <c r="EJ96" s="43" t="n">
        <f aca="false">SUM(EJ92:EJ95)</f>
        <v>0</v>
      </c>
      <c r="EK96" s="43" t="n">
        <f aca="false">SUM(EK92:EK95)</f>
        <v>0</v>
      </c>
      <c r="EL96" s="43" t="n">
        <f aca="false">SUM(EL92:EL95)</f>
        <v>0</v>
      </c>
      <c r="EM96" s="43" t="n">
        <f aca="false">SUM(EM92:EM95)</f>
        <v>0</v>
      </c>
      <c r="EN96" s="43" t="n">
        <f aca="false">SUM(EN92:EN95)</f>
        <v>0</v>
      </c>
      <c r="EO96" s="43" t="n">
        <f aca="false">SUM(EO92:EO95)</f>
        <v>0</v>
      </c>
    </row>
    <row r="97" customFormat="false" ht="15" hidden="false" customHeight="false" outlineLevel="0" collapsed="false">
      <c r="C97" s="0" t="s">
        <v>402</v>
      </c>
      <c r="D97" s="11" t="s">
        <v>33</v>
      </c>
      <c r="J97" s="43" t="n">
        <f aca="false">-In_CIT*(MAX(0,J91)+J94)</f>
        <v>-0</v>
      </c>
      <c r="K97" s="43" t="n">
        <f aca="false">-In_CIT*(MAX(0,K91)+K94)</f>
        <v>-0</v>
      </c>
      <c r="L97" s="43" t="n">
        <f aca="false">-In_CIT*(MAX(0,L91)+L94)</f>
        <v>-0</v>
      </c>
      <c r="M97" s="43" t="n">
        <f aca="false">-In_CIT*(MAX(0,M91)+M94)</f>
        <v>-0</v>
      </c>
      <c r="N97" s="43" t="n">
        <f aca="false">-In_CIT*(MAX(0,N91)+N94)</f>
        <v>-0</v>
      </c>
      <c r="O97" s="43" t="n">
        <f aca="false">-In_CIT*(MAX(0,O91)+O94)</f>
        <v>-0</v>
      </c>
      <c r="P97" s="43" t="n">
        <f aca="false">-In_CIT*(MAX(0,P91)+P94)</f>
        <v>-0</v>
      </c>
      <c r="Q97" s="43" t="n">
        <f aca="false">-In_CIT*(MAX(0,Q91)+Q94)</f>
        <v>-0</v>
      </c>
      <c r="R97" s="43" t="n">
        <f aca="false">-In_CIT*(MAX(0,R91)+R94)</f>
        <v>-0</v>
      </c>
      <c r="S97" s="43" t="n">
        <f aca="false">-In_CIT*(MAX(0,S91)+S94)</f>
        <v>-0</v>
      </c>
      <c r="T97" s="43" t="n">
        <f aca="false">-In_CIT*(MAX(0,T91)+T94)</f>
        <v>-0</v>
      </c>
      <c r="U97" s="43" t="n">
        <f aca="false">-In_CIT*(MAX(0,U91)+U94)</f>
        <v>-0</v>
      </c>
      <c r="V97" s="43" t="n">
        <f aca="false">-In_CIT*(MAX(0,V91)+V94)</f>
        <v>-0</v>
      </c>
      <c r="W97" s="43" t="n">
        <f aca="false">-In_CIT*(MAX(0,W91)+W94)</f>
        <v>-0</v>
      </c>
      <c r="X97" s="43" t="n">
        <f aca="false">-In_CIT*(MAX(0,X91)+X94)</f>
        <v>-0</v>
      </c>
      <c r="Y97" s="43" t="n">
        <f aca="false">-In_CIT*(MAX(0,Y91)+Y94)</f>
        <v>-0</v>
      </c>
      <c r="Z97" s="43" t="n">
        <f aca="false">-In_CIT*(MAX(0,Z91)+Z94)</f>
        <v>-22.5957976393826</v>
      </c>
      <c r="AA97" s="43" t="n">
        <f aca="false">-In_CIT*(MAX(0,AA91)+AA94)</f>
        <v>-22.3377477928298</v>
      </c>
      <c r="AB97" s="43" t="n">
        <f aca="false">-In_CIT*(MAX(0,AB91)+AB94)</f>
        <v>-23.1153055824569</v>
      </c>
      <c r="AC97" s="43" t="n">
        <f aca="false">-In_CIT*(MAX(0,AC91)+AC94)</f>
        <v>-23.9018721795863</v>
      </c>
      <c r="AD97" s="43" t="n">
        <f aca="false">-In_CIT*(MAX(0,AD91)+AD94)</f>
        <v>-23.8172995511868</v>
      </c>
      <c r="AE97" s="43" t="n">
        <f aca="false">-In_CIT*(MAX(0,AE91)+AE94)</f>
        <v>-24.112309075393</v>
      </c>
      <c r="AF97" s="43" t="n">
        <f aca="false">-In_CIT*(MAX(0,AF91)+AF94)</f>
        <v>-24.3607156972032</v>
      </c>
      <c r="AG97" s="43" t="n">
        <f aca="false">-In_CIT*(MAX(0,AG91)+AG94)</f>
        <v>-41.7741097022108</v>
      </c>
      <c r="AH97" s="43" t="n">
        <f aca="false">-In_CIT*(MAX(0,AH91)+AH94)</f>
        <v>-50.172290431051</v>
      </c>
      <c r="AI97" s="43" t="n">
        <f aca="false">-In_CIT*(MAX(0,AI91)+AI94)</f>
        <v>-49.6487109128113</v>
      </c>
      <c r="AJ97" s="43" t="n">
        <f aca="false">-In_CIT*(MAX(0,AJ91)+AJ94)</f>
        <v>-53.1274182502091</v>
      </c>
      <c r="AK97" s="43" t="n">
        <f aca="false">-In_CIT*(MAX(0,AK91)+AK94)</f>
        <v>-54.7836986474869</v>
      </c>
      <c r="AL97" s="43" t="n">
        <f aca="false">-In_CIT*(MAX(0,AL91)+AL94)</f>
        <v>-54.6576992347364</v>
      </c>
      <c r="AM97" s="43" t="n">
        <f aca="false">-In_CIT*(MAX(0,AM91)+AM94)</f>
        <v>-54.107648881786</v>
      </c>
      <c r="AN97" s="43" t="n">
        <f aca="false">-In_CIT*(MAX(0,AN91)+AN94)</f>
        <v>-55.7792191438543</v>
      </c>
      <c r="AO97" s="43" t="n">
        <f aca="false">-In_CIT*(MAX(0,AO91)+AO94)</f>
        <v>-57.4695220975135</v>
      </c>
      <c r="AP97" s="43" t="n">
        <f aca="false">-In_CIT*(MAX(0,AP91)+AP94)</f>
        <v>-57.3682875014076</v>
      </c>
      <c r="AQ97" s="43" t="n">
        <f aca="false">-In_CIT*(MAX(0,AQ91)+AQ94)</f>
        <v>-56.8232853513445</v>
      </c>
      <c r="AR97" s="43" t="n">
        <f aca="false">-In_CIT*(MAX(0,AR91)+AR94)</f>
        <v>-58.5295863613763</v>
      </c>
      <c r="AS97" s="43" t="n">
        <f aca="false">-In_CIT*(MAX(0,AS91)+AS94)</f>
        <v>-60.255002086856</v>
      </c>
      <c r="AT97" s="43" t="n">
        <f aca="false">-In_CIT*(MAX(0,AT91)+AT94)</f>
        <v>-60.1798182558398</v>
      </c>
      <c r="AU97" s="43" t="n">
        <f aca="false">-In_CIT*(MAX(0,AU91)+AU94)</f>
        <v>-60.7860954820369</v>
      </c>
      <c r="AV97" s="43" t="n">
        <f aca="false">-In_CIT*(MAX(0,AV91)+AV94)</f>
        <v>-61.3955052865744</v>
      </c>
      <c r="AW97" s="43" t="n">
        <f aca="false">-In_CIT*(MAX(0,AW91)+AW94)</f>
        <v>-63.1573235763888</v>
      </c>
      <c r="AX97" s="43" t="n">
        <f aca="false">-In_CIT*(MAX(0,AX91)+AX94)</f>
        <v>-63.1096856473014</v>
      </c>
      <c r="AY97" s="43" t="n">
        <f aca="false">-In_CIT*(MAX(0,AY91)+AY94)</f>
        <v>-62.5782666422798</v>
      </c>
      <c r="AZ97" s="43" t="n">
        <f aca="false">-In_CIT*(MAX(0,AZ91)+AZ94)</f>
        <v>-64.3576178654773</v>
      </c>
      <c r="BA97" s="43" t="n">
        <f aca="false">-In_CIT*(MAX(0,BA91)+BA94)</f>
        <v>-66.1568944425613</v>
      </c>
      <c r="BB97" s="43" t="n">
        <f aca="false">-In_CIT*(MAX(0,BB91)+BB94)</f>
        <v>-66.138068115536</v>
      </c>
      <c r="BC97" s="43" t="n">
        <f aca="false">-In_CIT*(MAX(0,BC91)+BC94)</f>
        <v>-65.6151571045931</v>
      </c>
      <c r="BD97" s="43" t="n">
        <f aca="false">-In_CIT*(MAX(0,BD91)+BD94)</f>
        <v>-67.4327920725165</v>
      </c>
      <c r="BE97" s="43" t="n">
        <f aca="false">-In_CIT*(MAX(0,BE91)+BE94)</f>
        <v>-69.2707806719121</v>
      </c>
      <c r="BF97" s="43" t="n">
        <f aca="false">-In_CIT*(MAX(0,BF91)+BF94)</f>
        <v>-69.2822396463436</v>
      </c>
      <c r="BG97" s="43" t="n">
        <f aca="false">-In_CIT*(MAX(0,BG91)+BG94)</f>
        <v>-68.76910958694</v>
      </c>
      <c r="BH97" s="43" t="n">
        <f aca="false">-In_CIT*(MAX(0,BH91)+BH94)</f>
        <v>-70.6263250750573</v>
      </c>
      <c r="BI97" s="43" t="n">
        <f aca="false">-In_CIT*(MAX(0,BI91)+BI94)</f>
        <v>-72.5043393226658</v>
      </c>
      <c r="BJ97" s="43" t="n">
        <f aca="false">-In_CIT*(MAX(0,BJ91)+BJ94)</f>
        <v>-72.5476257328865</v>
      </c>
      <c r="BK97" s="43" t="n">
        <f aca="false">-In_CIT*(MAX(0,BK91)+BK94)</f>
        <v>-73.2087458288948</v>
      </c>
      <c r="BL97" s="43" t="n">
        <f aca="false">-In_CIT*(MAX(0,BL91)+BL94)</f>
        <v>-73.9562632183404</v>
      </c>
      <c r="BM97" s="43" t="n">
        <f aca="false">-In_CIT*(MAX(0,BM91)+BM94)</f>
        <v>-75.8758286371373</v>
      </c>
      <c r="BN97" s="43" t="n">
        <f aca="false">-In_CIT*(MAX(0,BN91)+BN94)</f>
        <v>-75.9527070817914</v>
      </c>
      <c r="BO97" s="43" t="n">
        <f aca="false">-In_CIT*(MAX(0,BO91)+BO94)</f>
        <v>-75.4633770321737</v>
      </c>
      <c r="BP97" s="43" t="n">
        <f aca="false">-In_CIT*(MAX(0,BP91)+BP94)</f>
        <v>-77.4040496892862</v>
      </c>
      <c r="BQ97" s="43" t="n">
        <f aca="false">-In_CIT*(MAX(0,BQ91)+BQ94)</f>
        <v>-79.366466945874</v>
      </c>
      <c r="BR97" s="43" t="n">
        <f aca="false">-In_CIT*(MAX(0,BR91)+BR94)</f>
        <v>-79.4784827391455</v>
      </c>
      <c r="BS97" s="43" t="n">
        <f aca="false">-In_CIT*(MAX(0,BS91)+BS94)</f>
        <v>-79.0031679749901</v>
      </c>
      <c r="BT97" s="43" t="n">
        <f aca="false">-In_CIT*(MAX(0,BT91)+BT94)</f>
        <v>-80.9877038796422</v>
      </c>
      <c r="BU97" s="43" t="n">
        <f aca="false">-In_CIT*(MAX(0,BU91)+BU94)</f>
        <v>-82.9944850348136</v>
      </c>
      <c r="BV97" s="43" t="n">
        <f aca="false">-In_CIT*(MAX(0,BV91)+BV94)</f>
        <v>-83.1434058816807</v>
      </c>
      <c r="BW97" s="43" t="n">
        <f aca="false">-In_CIT*(MAX(0,BW91)+BW94)</f>
        <v>-82.6836628891694</v>
      </c>
      <c r="BX97" s="43" t="n">
        <f aca="false">-In_CIT*(MAX(0,BX91)+BX94)</f>
        <v>-84.7136265533707</v>
      </c>
      <c r="BY97" s="43" t="n">
        <f aca="false">-In_CIT*(MAX(0,BY91)+BY94)</f>
        <v>-86.7663563615457</v>
      </c>
      <c r="BZ97" s="43" t="n">
        <f aca="false">-In_CIT*(MAX(0,BZ91)+BZ94)</f>
        <v>-86.9540322284176</v>
      </c>
      <c r="CA97" s="43" t="n">
        <f aca="false">-In_CIT*(MAX(0,CA91)+CA94)</f>
        <v>-87.6887815048686</v>
      </c>
      <c r="CB97" s="43" t="n">
        <f aca="false">-In_CIT*(MAX(0,CB91)+CB94)</f>
        <v>-88.6011028818859</v>
      </c>
      <c r="CC97" s="43" t="n">
        <f aca="false">-In_CIT*(MAX(0,CC91)+CC94)</f>
        <v>-90.7015924015267</v>
      </c>
      <c r="CD97" s="43" t="n">
        <f aca="false">-In_CIT*(MAX(0,CD91)+CD94)</f>
        <v>-90.9301111906597</v>
      </c>
      <c r="CE97" s="43" t="n">
        <f aca="false">-In_CIT*(MAX(0,CE91)+CE94)</f>
        <v>-90.5066569324675</v>
      </c>
      <c r="CF97" s="43" t="n">
        <f aca="false">-In_CIT*(MAX(0,CF91)+CF94)</f>
        <v>-92.6326301953461</v>
      </c>
      <c r="CG97" s="43" t="n">
        <f aca="false">-In_CIT*(MAX(0,CG91)+CG94)</f>
        <v>-94.7824778230342</v>
      </c>
      <c r="CH97" s="43" t="n">
        <f aca="false">-In_CIT*(MAX(0,CH91)+CH94)</f>
        <v>-95.0537214071255</v>
      </c>
      <c r="CI97" s="43" t="n">
        <f aca="false">-In_CIT*(MAX(0,CI91)+CI94)</f>
        <v>-94.651008825733</v>
      </c>
      <c r="CJ97" s="43" t="n">
        <f aca="false">-In_CIT*(MAX(0,CJ91)+CJ94)</f>
        <v>-96.8275780982278</v>
      </c>
      <c r="CK97" s="43" t="n">
        <f aca="false">-In_CIT*(MAX(0,CK91)+CK94)</f>
        <v>-99.0286093417444</v>
      </c>
      <c r="CL97" s="43" t="n">
        <f aca="false">-In_CIT*(MAX(0,CL91)+CL94)</f>
        <v>-99.3446988265093</v>
      </c>
      <c r="CM97" s="43" t="n">
        <f aca="false">-In_CIT*(MAX(0,CM91)+CM94)</f>
        <v>-98.9646268757829</v>
      </c>
      <c r="CN97" s="43" t="n">
        <f aca="false">-In_CIT*(MAX(0,CN91)+CN94)</f>
        <v>-101.193681537744</v>
      </c>
      <c r="CO97" s="43" t="n">
        <f aca="false">-In_CIT*(MAX(0,CO91)+CO94)</f>
        <v>-103.447810114551</v>
      </c>
      <c r="CP97" s="43" t="n">
        <f aca="false">-In_CIT*(MAX(0,CP91)+CP94)</f>
        <v>-103.810965529347</v>
      </c>
      <c r="CQ97" s="43" t="n">
        <f aca="false">-In_CIT*(MAX(0,CQ91)+CQ94)</f>
        <v>-104.642588066617</v>
      </c>
      <c r="CR97" s="43" t="n">
        <f aca="false">-In_CIT*(MAX(0,CR91)+CR94)</f>
        <v>-105.751681046177</v>
      </c>
      <c r="CS97" s="43" t="n">
        <f aca="false">-In_CIT*(MAX(0,CS91)+CS94)</f>
        <v>-108.061063929473</v>
      </c>
      <c r="CT97" s="43" t="n">
        <f aca="false">-In_CIT*(MAX(0,CT91)+CT94)</f>
        <v>-108.473761378393</v>
      </c>
      <c r="CU97" s="43" t="n">
        <f aca="false">-In_CIT*(MAX(0,CU91)+CU94)</f>
        <v>-106.987409806669</v>
      </c>
      <c r="CV97" s="43" t="n">
        <f aca="false">-In_CIT*(MAX(0,CV91)+CV94)</f>
        <v>-108.176158804521</v>
      </c>
      <c r="CW97" s="43" t="n">
        <f aca="false">-In_CIT*(MAX(0,CW91)+CW94)</f>
        <v>-109.364907802373</v>
      </c>
      <c r="CX97" s="43" t="n">
        <f aca="false">-In_CIT*(MAX(0,CX91)+CX94)</f>
        <v>-108.624894050865</v>
      </c>
      <c r="CY97" s="43" t="n">
        <f aca="false">-In_CIT*(MAX(0,CY91)+CY94)</f>
        <v>-107.110641482394</v>
      </c>
      <c r="CZ97" s="43" t="n">
        <f aca="false">-In_CIT*(MAX(0,CZ91)+CZ94)</f>
        <v>-108.300759721087</v>
      </c>
      <c r="DA97" s="43" t="n">
        <f aca="false">-In_CIT*(MAX(0,DA91)+DA94)</f>
        <v>-109.490877959781</v>
      </c>
      <c r="DB97" s="43" t="n">
        <f aca="false">-In_CIT*(MAX(0,DB91)+DB94)</f>
        <v>-192.742883903582</v>
      </c>
      <c r="DC97" s="43" t="n">
        <f aca="false">-In_CIT*(MAX(0,DC91)+DC94)</f>
        <v>-189.374448869647</v>
      </c>
      <c r="DD97" s="43" t="n">
        <f aca="false">-In_CIT*(MAX(0,DD91)+DD94)</f>
        <v>-191.478609412643</v>
      </c>
      <c r="DE97" s="43" t="n">
        <f aca="false">-In_CIT*(MAX(0,DE91)+DE94)</f>
        <v>-193.582769955639</v>
      </c>
      <c r="DF97" s="43" t="n">
        <f aca="false">-In_CIT*(MAX(0,DF91)+DF94)</f>
        <v>-192.83399535705</v>
      </c>
      <c r="DG97" s="43" t="n">
        <f aca="false">-In_CIT*(MAX(0,DG91)+DG94)</f>
        <v>-191.541966452606</v>
      </c>
      <c r="DH97" s="43" t="n">
        <f aca="false">-In_CIT*(MAX(0,DH91)+DH94)</f>
        <v>-191.541966452606</v>
      </c>
      <c r="DI97" s="43" t="n">
        <f aca="false">-In_CIT*(MAX(0,DI91)+DI94)</f>
        <v>-193.646823226811</v>
      </c>
      <c r="DJ97" s="43" t="n">
        <f aca="false">-In_CIT*(MAX(0,DJ91)+DJ94)</f>
        <v>-192.89365581119</v>
      </c>
      <c r="DK97" s="43" t="n">
        <f aca="false">-In_CIT*(MAX(0,DK91)+DK94)</f>
        <v>-189.46803870543</v>
      </c>
      <c r="DL97" s="43" t="n">
        <f aca="false">-In_CIT*(MAX(0,DL91)+DL94)</f>
        <v>-191.57323913549</v>
      </c>
      <c r="DM97" s="43" t="n">
        <f aca="false">-In_CIT*(MAX(0,DM91)+DM94)</f>
        <v>-193.67843956555</v>
      </c>
      <c r="DN97" s="43" t="n">
        <f aca="false">-In_CIT*(MAX(0,DN91)+DN94)</f>
        <v>-192.920871627264</v>
      </c>
      <c r="DO97" s="43" t="n">
        <f aca="false">-In_CIT*(MAX(0,DO91)+DO94)</f>
        <v>-189.466238236397</v>
      </c>
      <c r="DP97" s="43" t="n">
        <f aca="false">-In_CIT*(MAX(0,DP91)+DP94)</f>
        <v>-191.571418661246</v>
      </c>
      <c r="DQ97" s="43" t="n">
        <f aca="false">-In_CIT*(MAX(0,DQ91)+DQ94)</f>
        <v>-193.676599086094</v>
      </c>
      <c r="DR97" s="43" t="n">
        <f aca="false">-In_CIT*(MAX(0,DR91)+DR94)</f>
        <v>-192.914623353757</v>
      </c>
      <c r="DS97" s="43" t="n">
        <f aca="false">-In_CIT*(MAX(0,DS91)+DS94)</f>
        <v>-189.430684664501</v>
      </c>
      <c r="DT97" s="43" t="n">
        <f aca="false">-In_CIT*(MAX(0,DT91)+DT94)</f>
        <v>-191.535470049663</v>
      </c>
      <c r="DU97" s="43" t="n">
        <f aca="false">-In_CIT*(MAX(0,DU91)+DU94)</f>
        <v>-193.640255434824</v>
      </c>
      <c r="DV97" s="43" t="n">
        <f aca="false">-In_CIT*(MAX(0,DV91)+DV94)</f>
        <v>-192.873865085063</v>
      </c>
      <c r="DW97" s="43" t="n">
        <f aca="false">-In_CIT*(MAX(0,DW91)+DW94)</f>
        <v>-191.464331490105</v>
      </c>
      <c r="DX97" s="43" t="n">
        <f aca="false">-In_CIT*(MAX(0,DX91)+DX94)</f>
        <v>-191.464331490105</v>
      </c>
      <c r="DY97" s="43" t="n">
        <f aca="false">-In_CIT*(MAX(0,DY91)+DY94)</f>
        <v>-193.568335132854</v>
      </c>
      <c r="DZ97" s="43" t="n">
        <f aca="false">-In_CIT*(MAX(0,DZ91)+DZ94)</f>
        <v>-192.797523804413</v>
      </c>
      <c r="EA97" s="43" t="n">
        <f aca="false">-In_CIT*(MAX(0,EA91)+EA94)</f>
        <v>-189.254090448061</v>
      </c>
      <c r="EB97" s="43" t="n">
        <f aca="false">-In_CIT*(MAX(0,EB91)+EB94)</f>
        <v>-191.356913675261</v>
      </c>
      <c r="EC97" s="43" t="n">
        <f aca="false">-In_CIT*(MAX(0,EC91)+EC94)</f>
        <v>-193.459736902462</v>
      </c>
      <c r="ED97" s="43" t="n">
        <f aca="false">-In_CIT*(MAX(0,ED91)+ED94)</f>
        <v>-192.684498710636</v>
      </c>
      <c r="EE97" s="43" t="n">
        <f aca="false">-In_CIT*(MAX(0,EE91)+EE94)</f>
        <v>-189.110867260063</v>
      </c>
      <c r="EF97" s="43" t="n">
        <f aca="false">-In_CIT*(MAX(0,EF91)+EF94)</f>
        <v>-191.212099118508</v>
      </c>
      <c r="EG97" s="43" t="n">
        <f aca="false">-In_CIT*(MAX(0,EG91)+EG94)</f>
        <v>-193.313330976953</v>
      </c>
      <c r="EH97" s="43" t="n">
        <f aca="false">-In_CIT*(MAX(0,EH91)+EH94)</f>
        <v>-192.533660528376</v>
      </c>
      <c r="EI97" s="43" t="n">
        <f aca="false">-In_CIT*(MAX(0,EI91)+EI94)</f>
        <v>-188.929524515436</v>
      </c>
      <c r="EJ97" s="43" t="n">
        <f aca="false">-In_CIT*(MAX(0,EJ91)+EJ94)</f>
        <v>-191.028741454496</v>
      </c>
      <c r="EK97" s="43" t="n">
        <f aca="false">-In_CIT*(MAX(0,EK91)+EK94)</f>
        <v>-193.127958393557</v>
      </c>
      <c r="EL97" s="43" t="n">
        <f aca="false">-In_CIT*(MAX(0,EL91)+EL94)</f>
        <v>-192.343850801339</v>
      </c>
      <c r="EM97" s="43" t="n">
        <f aca="false">-In_CIT*(MAX(0,EM91)+EM94)</f>
        <v>-190.805664722541</v>
      </c>
      <c r="EN97" s="43" t="n">
        <f aca="false">-In_CIT*(MAX(0,EN91)+EN94)</f>
        <v>-190.805664722541</v>
      </c>
      <c r="EO97" s="43" t="n">
        <f aca="false">-In_CIT*(MAX(0,EO91)+EO94)</f>
        <v>-192.902430268943</v>
      </c>
    </row>
    <row r="98" customFormat="false" ht="15" hidden="false" customHeight="false" outlineLevel="0" collapsed="false">
      <c r="C98" s="0" t="s">
        <v>403</v>
      </c>
      <c r="D98" s="11" t="s">
        <v>33</v>
      </c>
      <c r="I98" s="43" t="n">
        <f aca="false">SUM(J98:EO98)</f>
        <v>9.39945365985295E-009</v>
      </c>
      <c r="J98" s="43" t="n">
        <f aca="false">ABS(J97-J70)</f>
        <v>0</v>
      </c>
      <c r="K98" s="43" t="n">
        <f aca="false">ABS(K97-K70)</f>
        <v>0</v>
      </c>
      <c r="L98" s="43" t="n">
        <f aca="false">ABS(L97-L70)</f>
        <v>0</v>
      </c>
      <c r="M98" s="43" t="n">
        <f aca="false">ABS(M97-M70)</f>
        <v>0</v>
      </c>
      <c r="N98" s="43" t="n">
        <f aca="false">ABS(N97-N70)</f>
        <v>0</v>
      </c>
      <c r="O98" s="43" t="n">
        <f aca="false">ABS(O97-O70)</f>
        <v>0</v>
      </c>
      <c r="P98" s="43" t="n">
        <f aca="false">ABS(P97-P70)</f>
        <v>0</v>
      </c>
      <c r="Q98" s="43" t="n">
        <f aca="false">ABS(Q97-Q70)</f>
        <v>0</v>
      </c>
      <c r="R98" s="43" t="n">
        <f aca="false">ABS(R97-R70)</f>
        <v>0</v>
      </c>
      <c r="S98" s="43" t="n">
        <f aca="false">ABS(S97-S70)</f>
        <v>0</v>
      </c>
      <c r="T98" s="43" t="n">
        <f aca="false">ABS(T97-T70)</f>
        <v>0</v>
      </c>
      <c r="U98" s="43" t="n">
        <f aca="false">ABS(U97-U70)</f>
        <v>0</v>
      </c>
      <c r="V98" s="43" t="n">
        <f aca="false">ABS(V97-V70)</f>
        <v>0</v>
      </c>
      <c r="W98" s="43" t="n">
        <f aca="false">ABS(W97-W70)</f>
        <v>0</v>
      </c>
      <c r="X98" s="43" t="n">
        <f aca="false">ABS(X97-X70)</f>
        <v>0</v>
      </c>
      <c r="Y98" s="43" t="n">
        <f aca="false">ABS(Y97-Y70)</f>
        <v>0</v>
      </c>
      <c r="Z98" s="43" t="n">
        <f aca="false">ABS(Z97-Z70)</f>
        <v>0</v>
      </c>
      <c r="AA98" s="43" t="n">
        <f aca="false">ABS(AA97-AA70)</f>
        <v>2.22044604925031E-012</v>
      </c>
      <c r="AB98" s="43" t="n">
        <f aca="false">ABS(AB97-AB70)</f>
        <v>4.64339677819226E-012</v>
      </c>
      <c r="AC98" s="43" t="n">
        <f aca="false">ABS(AC97-AC70)</f>
        <v>7.34701188775944E-012</v>
      </c>
      <c r="AD98" s="43" t="n">
        <f aca="false">ABS(AD97-AD70)</f>
        <v>1.03135278095579E-011</v>
      </c>
      <c r="AE98" s="43" t="n">
        <f aca="false">ABS(AE97-AE70)</f>
        <v>1.35180755478359E-011</v>
      </c>
      <c r="AF98" s="43" t="n">
        <f aca="false">ABS(AF97-AF70)</f>
        <v>1.69499969615572E-011</v>
      </c>
      <c r="AG98" s="43" t="n">
        <f aca="false">ABS(AG97-AG70)</f>
        <v>9.62288027039904E-011</v>
      </c>
      <c r="AH98" s="43" t="n">
        <f aca="false">ABS(AH97-AH70)</f>
        <v>6.07940364716342E-011</v>
      </c>
      <c r="AI98" s="43" t="n">
        <f aca="false">ABS(AI97-AI70)</f>
        <v>7.13384906703141E-011</v>
      </c>
      <c r="AJ98" s="43" t="n">
        <f aca="false">ABS(AJ97-AJ70)</f>
        <v>8.22524270915892E-011</v>
      </c>
      <c r="AK98" s="43" t="n">
        <f aca="false">ABS(AK97-AK70)</f>
        <v>9.35713728722476E-011</v>
      </c>
      <c r="AL98" s="43" t="n">
        <f aca="false">ABS(AL97-AL70)</f>
        <v>1.0517453574721E-010</v>
      </c>
      <c r="AM98" s="43" t="n">
        <f aca="false">ABS(AM97-AM70)</f>
        <v>1.16955334306113E-010</v>
      </c>
      <c r="AN98" s="43" t="n">
        <f aca="false">ABS(AN97-AN70)</f>
        <v>1.28757449147088E-010</v>
      </c>
      <c r="AO98" s="43" t="n">
        <f aca="false">ABS(AO97-AO70)</f>
        <v>1.40587985697493E-010</v>
      </c>
      <c r="AP98" s="43" t="n">
        <f aca="false">ABS(AP97-AP70)</f>
        <v>1.52368784256396E-010</v>
      </c>
      <c r="AQ98" s="43" t="n">
        <f aca="false">ABS(AQ97-AQ70)</f>
        <v>1.63979052558716E-010</v>
      </c>
      <c r="AR98" s="43" t="n">
        <f aca="false">ABS(AR97-AR70)</f>
        <v>1.75262471202586E-010</v>
      </c>
      <c r="AS98" s="43" t="n">
        <f aca="false">ABS(AS97-AS70)</f>
        <v>1.86219040188007E-010</v>
      </c>
      <c r="AT98" s="43" t="n">
        <f aca="false">ABS(AT97-AT70)</f>
        <v>1.96820337805548E-010</v>
      </c>
      <c r="AU98" s="43" t="n">
        <f aca="false">ABS(AU97-AU70)</f>
        <v>2.06881622943911E-010</v>
      </c>
      <c r="AV98" s="43" t="n">
        <f aca="false">ABS(AV97-AV70)</f>
        <v>2.16360263038951E-010</v>
      </c>
      <c r="AW98" s="43" t="n">
        <f aca="false">ABS(AW97-AW70)</f>
        <v>2.25192309244449E-010</v>
      </c>
      <c r="AX98" s="43" t="n">
        <f aca="false">ABS(AX97-AX70)</f>
        <v>2.33356445278332E-010</v>
      </c>
      <c r="AY98" s="43" t="n">
        <f aca="false">ABS(AY97-AY70)</f>
        <v>2.40717668020807E-010</v>
      </c>
      <c r="AZ98" s="43" t="n">
        <f aca="false">ABS(AZ97-AZ70)</f>
        <v>2.47212028625654E-010</v>
      </c>
      <c r="BA98" s="43" t="n">
        <f aca="false">ABS(BA97-BA70)</f>
        <v>2.52825316238159E-010</v>
      </c>
      <c r="BB98" s="43" t="n">
        <f aca="false">ABS(BB97-BB70)</f>
        <v>2.57585952567752E-010</v>
      </c>
      <c r="BC98" s="43" t="n">
        <f aca="false">ABS(BC97-BC70)</f>
        <v>2.61366039921995E-010</v>
      </c>
      <c r="BD98" s="43" t="n">
        <f aca="false">ABS(BD97-BD70)</f>
        <v>2.64108734882029E-010</v>
      </c>
      <c r="BE98" s="43" t="n">
        <f aca="false">ABS(BE97-BE70)</f>
        <v>2.65856670011999E-010</v>
      </c>
      <c r="BF98" s="43" t="n">
        <f aca="false">ABS(BF97-BF70)</f>
        <v>2.66609845311905E-010</v>
      </c>
      <c r="BG98" s="43" t="n">
        <f aca="false">ABS(BG97-BG70)</f>
        <v>2.66311417362886E-010</v>
      </c>
      <c r="BH98" s="43" t="n">
        <f aca="false">ABS(BH97-BH70)</f>
        <v>2.64932964455511E-010</v>
      </c>
      <c r="BI98" s="43" t="n">
        <f aca="false">ABS(BI97-BI70)</f>
        <v>2.62545540863357E-010</v>
      </c>
      <c r="BJ98" s="43" t="n">
        <f aca="false">ABS(BJ97-BJ70)</f>
        <v>2.59191779150569E-010</v>
      </c>
      <c r="BK98" s="43" t="n">
        <f aca="false">ABS(BK97-BK70)</f>
        <v>2.54829046753002E-010</v>
      </c>
      <c r="BL98" s="43" t="n">
        <f aca="false">ABS(BL97-BL70)</f>
        <v>2.49499976234802E-010</v>
      </c>
      <c r="BM98" s="43" t="n">
        <f aca="false">ABS(BM97-BM70)</f>
        <v>2.43232989305398E-010</v>
      </c>
      <c r="BN98" s="43" t="n">
        <f aca="false">ABS(BN97-BN70)</f>
        <v>2.36170194511942E-010</v>
      </c>
      <c r="BO98" s="43" t="n">
        <f aca="false">ABS(BO97-BO70)</f>
        <v>2.28240537580859E-010</v>
      </c>
      <c r="BP98" s="43" t="n">
        <f aca="false">ABS(BP97-BP70)</f>
        <v>2.19486651076295E-010</v>
      </c>
      <c r="BQ98" s="43" t="n">
        <f aca="false">ABS(BQ97-BQ70)</f>
        <v>2.10107486964262E-010</v>
      </c>
      <c r="BR98" s="43" t="n">
        <f aca="false">ABS(BR97-BR70)</f>
        <v>2.0013146695419E-010</v>
      </c>
      <c r="BS98" s="43" t="n">
        <f aca="false">ABS(BS97-BS70)</f>
        <v>1.8961543446494E-010</v>
      </c>
      <c r="BT98" s="43" t="n">
        <f aca="false">ABS(BT97-BT70)</f>
        <v>1.78573600351228E-010</v>
      </c>
      <c r="BU98" s="43" t="n">
        <f aca="false">ABS(BU97-BU70)</f>
        <v>1.67162284014921E-010</v>
      </c>
      <c r="BV98" s="43" t="n">
        <f aca="false">ABS(BV97-BV70)</f>
        <v>1.55523594003171E-010</v>
      </c>
      <c r="BW98" s="43" t="n">
        <f aca="false">ABS(BW97-BW70)</f>
        <v>1.43657530315977E-010</v>
      </c>
      <c r="BX98" s="43" t="n">
        <f aca="false">ABS(BX97-BX70)</f>
        <v>1.31649358081631E-010</v>
      </c>
      <c r="BY98" s="43" t="n">
        <f aca="false">ABS(BY97-BY70)</f>
        <v>1.19641185847286E-010</v>
      </c>
      <c r="BZ98" s="43" t="n">
        <f aca="false">ABS(BZ97-BZ70)</f>
        <v>1.07746700450662E-010</v>
      </c>
      <c r="CA98" s="43" t="n">
        <f aca="false">ABS(CA97-CA70)</f>
        <v>9.60085344559047E-011</v>
      </c>
      <c r="CB98" s="43" t="n">
        <f aca="false">ABS(CB97-CB70)</f>
        <v>8.45119529913063E-011</v>
      </c>
      <c r="CC98" s="43" t="n">
        <f aca="false">ABS(CC97-CC70)</f>
        <v>7.3370642894588E-011</v>
      </c>
      <c r="CD98" s="43" t="n">
        <f aca="false">ABS(CD97-CD70)</f>
        <v>6.26698692940408E-011</v>
      </c>
      <c r="CE98" s="43" t="n">
        <f aca="false">ABS(CE97-CE70)</f>
        <v>5.2480686463241E-011</v>
      </c>
      <c r="CF98" s="43" t="n">
        <f aca="false">ABS(CF97-CF70)</f>
        <v>4.28315161116188E-011</v>
      </c>
      <c r="CG98" s="43" t="n">
        <f aca="false">ABS(CG97-CG70)</f>
        <v>3.38502559316112E-011</v>
      </c>
      <c r="CH98" s="43" t="n">
        <f aca="false">ABS(CH97-CH70)</f>
        <v>2.567901447037E-011</v>
      </c>
      <c r="CI98" s="43" t="n">
        <f aca="false">ABS(CI97-CI70)</f>
        <v>1.82609483090346E-011</v>
      </c>
      <c r="CJ98" s="43" t="n">
        <f aca="false">ABS(CJ97-CJ70)</f>
        <v>1.16244791570352E-011</v>
      </c>
      <c r="CK98" s="43" t="n">
        <f aca="false">ABS(CK97-CK70)</f>
        <v>5.94013727095444E-012</v>
      </c>
      <c r="CL98" s="43" t="n">
        <f aca="false">ABS(CL97-CL70)</f>
        <v>1.23634436022257E-012</v>
      </c>
      <c r="CM98" s="43" t="n">
        <f aca="false">ABS(CM97-CM70)</f>
        <v>2.50111042987555E-012</v>
      </c>
      <c r="CN98" s="43" t="n">
        <f aca="false">ABS(CN97-CN70)</f>
        <v>5.31485966348555E-012</v>
      </c>
      <c r="CO98" s="43" t="n">
        <f aca="false">ABS(CO97-CO70)</f>
        <v>7.0627947934554E-012</v>
      </c>
      <c r="CP98" s="43" t="n">
        <f aca="false">ABS(CP97-CP70)</f>
        <v>7.71649411035469E-012</v>
      </c>
      <c r="CQ98" s="43" t="n">
        <f aca="false">ABS(CQ97-CQ70)</f>
        <v>7.31859017832903E-012</v>
      </c>
      <c r="CR98" s="43" t="n">
        <f aca="false">ABS(CR97-CR70)</f>
        <v>5.94013727095444E-012</v>
      </c>
      <c r="CS98" s="43" t="n">
        <f aca="false">ABS(CS97-CS70)</f>
        <v>3.5100811146549E-012</v>
      </c>
      <c r="CT98" s="43" t="n">
        <f aca="false">ABS(CT97-CT70)</f>
        <v>0</v>
      </c>
      <c r="CU98" s="43" t="n">
        <f aca="false">ABS(CU97-CU70)</f>
        <v>0</v>
      </c>
      <c r="CV98" s="43" t="n">
        <f aca="false">ABS(CV97-CV70)</f>
        <v>0</v>
      </c>
      <c r="CW98" s="43" t="n">
        <f aca="false">ABS(CW97-CW70)</f>
        <v>0</v>
      </c>
      <c r="CX98" s="43" t="n">
        <f aca="false">ABS(CX97-CX70)</f>
        <v>0</v>
      </c>
      <c r="CY98" s="43" t="n">
        <f aca="false">ABS(CY97-CY70)</f>
        <v>0</v>
      </c>
      <c r="CZ98" s="43" t="n">
        <f aca="false">ABS(CZ97-CZ70)</f>
        <v>0</v>
      </c>
      <c r="DA98" s="43" t="n">
        <f aca="false">ABS(DA97-DA70)</f>
        <v>0</v>
      </c>
      <c r="DB98" s="43" t="n">
        <f aca="false">ABS(DB97-DB70)</f>
        <v>0</v>
      </c>
      <c r="DC98" s="43" t="n">
        <f aca="false">ABS(DC97-DC70)</f>
        <v>0</v>
      </c>
      <c r="DD98" s="43" t="n">
        <f aca="false">ABS(DD97-DD70)</f>
        <v>0</v>
      </c>
      <c r="DE98" s="43" t="n">
        <f aca="false">ABS(DE97-DE70)</f>
        <v>0</v>
      </c>
      <c r="DF98" s="43" t="n">
        <f aca="false">ABS(DF97-DF70)</f>
        <v>0</v>
      </c>
      <c r="DG98" s="43" t="n">
        <f aca="false">ABS(DG97-DG70)</f>
        <v>0</v>
      </c>
      <c r="DH98" s="43" t="n">
        <f aca="false">ABS(DH97-DH70)</f>
        <v>0</v>
      </c>
      <c r="DI98" s="43" t="n">
        <f aca="false">ABS(DI97-DI70)</f>
        <v>0</v>
      </c>
      <c r="DJ98" s="43" t="n">
        <f aca="false">ABS(DJ97-DJ70)</f>
        <v>0</v>
      </c>
      <c r="DK98" s="43" t="n">
        <f aca="false">ABS(DK97-DK70)</f>
        <v>0</v>
      </c>
      <c r="DL98" s="43" t="n">
        <f aca="false">ABS(DL97-DL70)</f>
        <v>0</v>
      </c>
      <c r="DM98" s="43" t="n">
        <f aca="false">ABS(DM97-DM70)</f>
        <v>0</v>
      </c>
      <c r="DN98" s="43" t="n">
        <f aca="false">ABS(DN97-DN70)</f>
        <v>0</v>
      </c>
      <c r="DO98" s="43" t="n">
        <f aca="false">ABS(DO97-DO70)</f>
        <v>0</v>
      </c>
      <c r="DP98" s="43" t="n">
        <f aca="false">ABS(DP97-DP70)</f>
        <v>0</v>
      </c>
      <c r="DQ98" s="43" t="n">
        <f aca="false">ABS(DQ97-DQ70)</f>
        <v>0</v>
      </c>
      <c r="DR98" s="43" t="n">
        <f aca="false">ABS(DR97-DR70)</f>
        <v>0</v>
      </c>
      <c r="DS98" s="43" t="n">
        <f aca="false">ABS(DS97-DS70)</f>
        <v>0</v>
      </c>
      <c r="DT98" s="43" t="n">
        <f aca="false">ABS(DT97-DT70)</f>
        <v>0</v>
      </c>
      <c r="DU98" s="43" t="n">
        <f aca="false">ABS(DU97-DU70)</f>
        <v>0</v>
      </c>
      <c r="DV98" s="43" t="n">
        <f aca="false">ABS(DV97-DV70)</f>
        <v>0</v>
      </c>
      <c r="DW98" s="43" t="n">
        <f aca="false">ABS(DW97-DW70)</f>
        <v>0</v>
      </c>
      <c r="DX98" s="43" t="n">
        <f aca="false">ABS(DX97-DX70)</f>
        <v>0</v>
      </c>
      <c r="DY98" s="43" t="n">
        <f aca="false">ABS(DY97-DY70)</f>
        <v>0</v>
      </c>
      <c r="DZ98" s="43" t="n">
        <f aca="false">ABS(DZ97-DZ70)</f>
        <v>0</v>
      </c>
      <c r="EA98" s="43" t="n">
        <f aca="false">ABS(EA97-EA70)</f>
        <v>0</v>
      </c>
      <c r="EB98" s="43" t="n">
        <f aca="false">ABS(EB97-EB70)</f>
        <v>0</v>
      </c>
      <c r="EC98" s="43" t="n">
        <f aca="false">ABS(EC97-EC70)</f>
        <v>0</v>
      </c>
      <c r="ED98" s="43" t="n">
        <f aca="false">ABS(ED97-ED70)</f>
        <v>0</v>
      </c>
      <c r="EE98" s="43" t="n">
        <f aca="false">ABS(EE97-EE70)</f>
        <v>0</v>
      </c>
      <c r="EF98" s="43" t="n">
        <f aca="false">ABS(EF97-EF70)</f>
        <v>0</v>
      </c>
      <c r="EG98" s="43" t="n">
        <f aca="false">ABS(EG97-EG70)</f>
        <v>0</v>
      </c>
      <c r="EH98" s="43" t="n">
        <f aca="false">ABS(EH97-EH70)</f>
        <v>0</v>
      </c>
      <c r="EI98" s="43" t="n">
        <f aca="false">ABS(EI97-EI70)</f>
        <v>0</v>
      </c>
      <c r="EJ98" s="43" t="n">
        <f aca="false">ABS(EJ97-EJ70)</f>
        <v>0</v>
      </c>
      <c r="EK98" s="43" t="n">
        <f aca="false">ABS(EK97-EK70)</f>
        <v>0</v>
      </c>
      <c r="EL98" s="43" t="n">
        <f aca="false">ABS(EL97-EL70)</f>
        <v>0</v>
      </c>
      <c r="EM98" s="43" t="n">
        <f aca="false">ABS(EM97-EM70)</f>
        <v>0</v>
      </c>
      <c r="EN98" s="43" t="n">
        <f aca="false">ABS(EN97-EN70)</f>
        <v>0</v>
      </c>
      <c r="EO98" s="43" t="n">
        <f aca="false">ABS(EO97-EO70)</f>
        <v>0</v>
      </c>
    </row>
    <row r="100" customFormat="false" ht="15" hidden="false" customHeight="false" outlineLevel="0" collapsed="false">
      <c r="A100" s="9" t="s">
        <v>13</v>
      </c>
      <c r="B100" s="9"/>
      <c r="C100" s="9" t="s">
        <v>404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</row>
    <row r="101" customFormat="false" ht="15" hidden="false" customHeight="false" outlineLevel="0" collapsed="false">
      <c r="C101" s="0" t="s">
        <v>72</v>
      </c>
      <c r="D101" s="11" t="s">
        <v>33</v>
      </c>
      <c r="E101" s="43" t="n">
        <f aca="false">-($I35+$I36+$I37)</f>
        <v>5150</v>
      </c>
    </row>
    <row r="102" customFormat="false" ht="15" hidden="false" customHeight="false" outlineLevel="0" collapsed="false">
      <c r="C102" s="0" t="s">
        <v>73</v>
      </c>
      <c r="D102" s="11" t="s">
        <v>33</v>
      </c>
      <c r="E102" s="43" t="n">
        <f aca="false">-($I39+$I42+$E46)</f>
        <v>932.208819665979</v>
      </c>
    </row>
    <row r="103" customFormat="false" ht="15" hidden="false" customHeight="false" outlineLevel="0" collapsed="false">
      <c r="C103" s="0" t="s">
        <v>74</v>
      </c>
      <c r="D103" s="11" t="s">
        <v>33</v>
      </c>
      <c r="E103" s="43" t="n">
        <f aca="false">-$I52</f>
        <v>56227.5</v>
      </c>
    </row>
    <row r="104" customFormat="false" ht="15" hidden="false" customHeight="false" outlineLevel="0" collapsed="false">
      <c r="C104" s="0" t="s">
        <v>75</v>
      </c>
      <c r="D104" s="11" t="s">
        <v>33</v>
      </c>
      <c r="E104" s="43" t="n">
        <f aca="false">-$I45</f>
        <v>8154.82315068493</v>
      </c>
    </row>
    <row r="105" customFormat="false" ht="15" hidden="false" customHeight="false" outlineLevel="0" collapsed="false">
      <c r="C105" s="0" t="s">
        <v>76</v>
      </c>
      <c r="D105" s="11" t="s">
        <v>33</v>
      </c>
      <c r="E105" s="43" t="n">
        <f aca="false">-$I53</f>
        <v>1750</v>
      </c>
    </row>
    <row r="106" customFormat="false" ht="15" hidden="false" customHeight="false" outlineLevel="0" collapsed="false">
      <c r="C106" s="0" t="s">
        <v>77</v>
      </c>
      <c r="D106" s="11" t="s">
        <v>33</v>
      </c>
      <c r="E106" s="43" t="n">
        <f aca="false">$I81-$I84-$I85</f>
        <v>3501.67693713561</v>
      </c>
    </row>
    <row r="107" customFormat="false" ht="15" hidden="false" customHeight="false" outlineLevel="0" collapsed="false">
      <c r="C107" s="0" t="s">
        <v>78</v>
      </c>
      <c r="D107" s="11" t="s">
        <v>33</v>
      </c>
      <c r="E107" s="43" t="n">
        <f aca="false">-SUMIF($J$4:$EO$4,"&lt;="&amp;In_COD,$J67:$EO67)</f>
        <v>309.245634121894</v>
      </c>
    </row>
    <row r="108" customFormat="false" ht="15" hidden="false" customHeight="false" outlineLevel="0" collapsed="false">
      <c r="C108" s="21" t="s">
        <v>79</v>
      </c>
      <c r="D108" s="11" t="s">
        <v>33</v>
      </c>
      <c r="E108" s="54" t="n">
        <f aca="false">SUM($E101:$E107)</f>
        <v>76025.4545416084</v>
      </c>
    </row>
    <row r="109" customFormat="false" ht="15" hidden="false" customHeight="false" outlineLevel="0" collapsed="false">
      <c r="C109" s="0" t="s">
        <v>405</v>
      </c>
      <c r="D109" s="11" t="s">
        <v>33</v>
      </c>
      <c r="E109" s="43" t="n">
        <f aca="false">$E108-$E83</f>
        <v>27526.0739374999</v>
      </c>
      <c r="F109" s="43" t="n">
        <f aca="false">$E109+$E86</f>
        <v>28549.6464744848</v>
      </c>
    </row>
    <row r="110" customFormat="false" ht="15" hidden="false" customHeight="false" outlineLevel="0" collapsed="false">
      <c r="C110" s="0" t="s">
        <v>83</v>
      </c>
      <c r="D110" s="11" t="s">
        <v>53</v>
      </c>
      <c r="E110" s="44" t="n">
        <f aca="false">$E83/$E108</f>
        <v>0.637936082020595</v>
      </c>
    </row>
    <row r="112" customFormat="false" ht="15" hidden="false" customHeight="false" outlineLevel="0" collapsed="false">
      <c r="A112" s="9" t="s">
        <v>13</v>
      </c>
      <c r="B112" s="9"/>
      <c r="C112" s="9" t="s">
        <v>99</v>
      </c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</row>
    <row r="113" customFormat="false" ht="15" hidden="false" customHeight="false" outlineLevel="0" collapsed="false">
      <c r="C113" s="0" t="s">
        <v>406</v>
      </c>
      <c r="D113" s="11" t="s">
        <v>33</v>
      </c>
      <c r="I113" s="43" t="n">
        <f aca="false">SUM(J113:EO113)</f>
        <v>-27526.0739374999</v>
      </c>
      <c r="J113" s="43" t="n">
        <f aca="false">(J47+J54+J80+J84+J85+J67)*(J$4&lt;=In_COD)</f>
        <v>-4661.09904297242</v>
      </c>
      <c r="K113" s="43" t="n">
        <f aca="false">(K47+K54+K80+K84+K85+K67)*(K$4&lt;=In_COD)</f>
        <v>-699.203169476608</v>
      </c>
      <c r="L113" s="43" t="n">
        <f aca="false">(L47+L54+L80+L84+L85+L67)*(L$4&lt;=In_COD)</f>
        <v>-92.0040320318945</v>
      </c>
      <c r="M113" s="43" t="n">
        <f aca="false">(M47+M54+M80+M84+M85+M67)*(M$4&lt;=In_COD)</f>
        <v>-93.0150653509263</v>
      </c>
      <c r="N113" s="43" t="n">
        <f aca="false">(N47+N54+N80+N84+N85+N67)*(N$4&lt;=In_COD)</f>
        <v>-93.0150653509263</v>
      </c>
      <c r="O113" s="43" t="n">
        <f aca="false">(O47+O54+O80+O84+O85+O67)*(O$4&lt;=In_COD)</f>
        <v>-92.0040320318945</v>
      </c>
      <c r="P113" s="43" t="n">
        <f aca="false">(P47+P54+P80+P84+P85+P67)*(P$4&lt;=In_COD)</f>
        <v>-92.0040320318945</v>
      </c>
      <c r="Q113" s="43" t="n">
        <f aca="false">(Q47+Q54+Q80+Q84+Q85+Q67)*(Q$4&lt;=In_COD)</f>
        <v>-93.0150653509263</v>
      </c>
      <c r="R113" s="43" t="n">
        <f aca="false">(R47+R54+R80+R84+R85+R67)*(R$4&lt;=In_COD)</f>
        <v>-3138.42862246812</v>
      </c>
      <c r="S113" s="43" t="n">
        <f aca="false">(S47+S54+S80+S84+S85+S67)*(S$4&lt;=In_COD)</f>
        <v>-4676.27677038453</v>
      </c>
      <c r="T113" s="43" t="n">
        <f aca="false">(T47+T54+T80+T84+T85+T67)*(T$4&lt;=In_COD)</f>
        <v>-2230.90881890173</v>
      </c>
      <c r="U113" s="43" t="n">
        <f aca="false">(U47+U54+U80+U84+U85+U67)*(U$4&lt;=In_COD)</f>
        <v>-2244.29410425999</v>
      </c>
      <c r="V113" s="43" t="n">
        <f aca="false">(V47+V54+V80+V84+V85+V67)*(V$4&lt;=In_COD)</f>
        <v>-2233.04159824385</v>
      </c>
      <c r="W113" s="43" t="n">
        <f aca="false">(W47+W54+W80+W84+W85+W67)*(W$4&lt;=In_COD)</f>
        <v>-2174.43653951023</v>
      </c>
      <c r="X113" s="43" t="n">
        <f aca="false">(X47+X54+X80+X84+X85+X67)*(X$4&lt;=In_COD)</f>
        <v>-2187.70871012291</v>
      </c>
      <c r="Y113" s="43" t="n">
        <f aca="false">(Y47+Y54+Y80+Y84+Y85+Y67)*(Y$4&lt;=In_COD)</f>
        <v>-2725.61926901107</v>
      </c>
      <c r="Z113" s="43" t="n">
        <f aca="false">(Z47+Z54+Z80+Z84+Z85+Z67)*(Z$4&lt;=In_COD)</f>
        <v>0</v>
      </c>
      <c r="AA113" s="43" t="n">
        <f aca="false">(AA47+AA54+AA80+AA84+AA85+AA67)*(AA$4&lt;=In_COD)</f>
        <v>0</v>
      </c>
      <c r="AB113" s="43" t="n">
        <f aca="false">(AB47+AB54+AB80+AB84+AB85+AB67)*(AB$4&lt;=In_COD)</f>
        <v>0</v>
      </c>
      <c r="AC113" s="43" t="n">
        <f aca="false">(AC47+AC54+AC80+AC84+AC85+AC67)*(AC$4&lt;=In_COD)</f>
        <v>0</v>
      </c>
      <c r="AD113" s="43" t="n">
        <f aca="false">(AD47+AD54+AD80+AD84+AD85+AD67)*(AD$4&lt;=In_COD)</f>
        <v>0</v>
      </c>
      <c r="AE113" s="43" t="n">
        <f aca="false">(AE47+AE54+AE80+AE84+AE85+AE67)*(AE$4&lt;=In_COD)</f>
        <v>0</v>
      </c>
      <c r="AF113" s="43" t="n">
        <f aca="false">(AF47+AF54+AF80+AF84+AF85+AF67)*(AF$4&lt;=In_COD)</f>
        <v>0</v>
      </c>
      <c r="AG113" s="43" t="n">
        <f aca="false">(AG47+AG54+AG80+AG84+AG85+AG67)*(AG$4&lt;=In_COD)</f>
        <v>0</v>
      </c>
      <c r="AH113" s="43" t="n">
        <f aca="false">(AH47+AH54+AH80+AH84+AH85+AH67)*(AH$4&lt;=In_COD)</f>
        <v>0</v>
      </c>
      <c r="AI113" s="43" t="n">
        <f aca="false">(AI47+AI54+AI80+AI84+AI85+AI67)*(AI$4&lt;=In_COD)</f>
        <v>0</v>
      </c>
      <c r="AJ113" s="43" t="n">
        <f aca="false">(AJ47+AJ54+AJ80+AJ84+AJ85+AJ67)*(AJ$4&lt;=In_COD)</f>
        <v>0</v>
      </c>
      <c r="AK113" s="43" t="n">
        <f aca="false">(AK47+AK54+AK80+AK84+AK85+AK67)*(AK$4&lt;=In_COD)</f>
        <v>0</v>
      </c>
      <c r="AL113" s="43" t="n">
        <f aca="false">(AL47+AL54+AL80+AL84+AL85+AL67)*(AL$4&lt;=In_COD)</f>
        <v>0</v>
      </c>
      <c r="AM113" s="43" t="n">
        <f aca="false">(AM47+AM54+AM80+AM84+AM85+AM67)*(AM$4&lt;=In_COD)</f>
        <v>0</v>
      </c>
      <c r="AN113" s="43" t="n">
        <f aca="false">(AN47+AN54+AN80+AN84+AN85+AN67)*(AN$4&lt;=In_COD)</f>
        <v>0</v>
      </c>
      <c r="AO113" s="43" t="n">
        <f aca="false">(AO47+AO54+AO80+AO84+AO85+AO67)*(AO$4&lt;=In_COD)</f>
        <v>0</v>
      </c>
      <c r="AP113" s="43" t="n">
        <f aca="false">(AP47+AP54+AP80+AP84+AP85+AP67)*(AP$4&lt;=In_COD)</f>
        <v>0</v>
      </c>
      <c r="AQ113" s="43" t="n">
        <f aca="false">(AQ47+AQ54+AQ80+AQ84+AQ85+AQ67)*(AQ$4&lt;=In_COD)</f>
        <v>0</v>
      </c>
      <c r="AR113" s="43" t="n">
        <f aca="false">(AR47+AR54+AR80+AR84+AR85+AR67)*(AR$4&lt;=In_COD)</f>
        <v>0</v>
      </c>
      <c r="AS113" s="43" t="n">
        <f aca="false">(AS47+AS54+AS80+AS84+AS85+AS67)*(AS$4&lt;=In_COD)</f>
        <v>0</v>
      </c>
      <c r="AT113" s="43" t="n">
        <f aca="false">(AT47+AT54+AT80+AT84+AT85+AT67)*(AT$4&lt;=In_COD)</f>
        <v>0</v>
      </c>
      <c r="AU113" s="43" t="n">
        <f aca="false">(AU47+AU54+AU80+AU84+AU85+AU67)*(AU$4&lt;=In_COD)</f>
        <v>0</v>
      </c>
      <c r="AV113" s="43" t="n">
        <f aca="false">(AV47+AV54+AV80+AV84+AV85+AV67)*(AV$4&lt;=In_COD)</f>
        <v>0</v>
      </c>
      <c r="AW113" s="43" t="n">
        <f aca="false">(AW47+AW54+AW80+AW84+AW85+AW67)*(AW$4&lt;=In_COD)</f>
        <v>0</v>
      </c>
      <c r="AX113" s="43" t="n">
        <f aca="false">(AX47+AX54+AX80+AX84+AX85+AX67)*(AX$4&lt;=In_COD)</f>
        <v>0</v>
      </c>
      <c r="AY113" s="43" t="n">
        <f aca="false">(AY47+AY54+AY80+AY84+AY85+AY67)*(AY$4&lt;=In_COD)</f>
        <v>0</v>
      </c>
      <c r="AZ113" s="43" t="n">
        <f aca="false">(AZ47+AZ54+AZ80+AZ84+AZ85+AZ67)*(AZ$4&lt;=In_COD)</f>
        <v>0</v>
      </c>
      <c r="BA113" s="43" t="n">
        <f aca="false">(BA47+BA54+BA80+BA84+BA85+BA67)*(BA$4&lt;=In_COD)</f>
        <v>0</v>
      </c>
      <c r="BB113" s="43" t="n">
        <f aca="false">(BB47+BB54+BB80+BB84+BB85+BB67)*(BB$4&lt;=In_COD)</f>
        <v>0</v>
      </c>
      <c r="BC113" s="43" t="n">
        <f aca="false">(BC47+BC54+BC80+BC84+BC85+BC67)*(BC$4&lt;=In_COD)</f>
        <v>0</v>
      </c>
      <c r="BD113" s="43" t="n">
        <f aca="false">(BD47+BD54+BD80+BD84+BD85+BD67)*(BD$4&lt;=In_COD)</f>
        <v>0</v>
      </c>
      <c r="BE113" s="43" t="n">
        <f aca="false">(BE47+BE54+BE80+BE84+BE85+BE67)*(BE$4&lt;=In_COD)</f>
        <v>0</v>
      </c>
      <c r="BF113" s="43" t="n">
        <f aca="false">(BF47+BF54+BF80+BF84+BF85+BF67)*(BF$4&lt;=In_COD)</f>
        <v>0</v>
      </c>
      <c r="BG113" s="43" t="n">
        <f aca="false">(BG47+BG54+BG80+BG84+BG85+BG67)*(BG$4&lt;=In_COD)</f>
        <v>0</v>
      </c>
      <c r="BH113" s="43" t="n">
        <f aca="false">(BH47+BH54+BH80+BH84+BH85+BH67)*(BH$4&lt;=In_COD)</f>
        <v>0</v>
      </c>
      <c r="BI113" s="43" t="n">
        <f aca="false">(BI47+BI54+BI80+BI84+BI85+BI67)*(BI$4&lt;=In_COD)</f>
        <v>0</v>
      </c>
      <c r="BJ113" s="43" t="n">
        <f aca="false">(BJ47+BJ54+BJ80+BJ84+BJ85+BJ67)*(BJ$4&lt;=In_COD)</f>
        <v>0</v>
      </c>
      <c r="BK113" s="43" t="n">
        <f aca="false">(BK47+BK54+BK80+BK84+BK85+BK67)*(BK$4&lt;=In_COD)</f>
        <v>0</v>
      </c>
      <c r="BL113" s="43" t="n">
        <f aca="false">(BL47+BL54+BL80+BL84+BL85+BL67)*(BL$4&lt;=In_COD)</f>
        <v>0</v>
      </c>
      <c r="BM113" s="43" t="n">
        <f aca="false">(BM47+BM54+BM80+BM84+BM85+BM67)*(BM$4&lt;=In_COD)</f>
        <v>0</v>
      </c>
      <c r="BN113" s="43" t="n">
        <f aca="false">(BN47+BN54+BN80+BN84+BN85+BN67)*(BN$4&lt;=In_COD)</f>
        <v>0</v>
      </c>
      <c r="BO113" s="43" t="n">
        <f aca="false">(BO47+BO54+BO80+BO84+BO85+BO67)*(BO$4&lt;=In_COD)</f>
        <v>0</v>
      </c>
      <c r="BP113" s="43" t="n">
        <f aca="false">(BP47+BP54+BP80+BP84+BP85+BP67)*(BP$4&lt;=In_COD)</f>
        <v>0</v>
      </c>
      <c r="BQ113" s="43" t="n">
        <f aca="false">(BQ47+BQ54+BQ80+BQ84+BQ85+BQ67)*(BQ$4&lt;=In_COD)</f>
        <v>0</v>
      </c>
      <c r="BR113" s="43" t="n">
        <f aca="false">(BR47+BR54+BR80+BR84+BR85+BR67)*(BR$4&lt;=In_COD)</f>
        <v>0</v>
      </c>
      <c r="BS113" s="43" t="n">
        <f aca="false">(BS47+BS54+BS80+BS84+BS85+BS67)*(BS$4&lt;=In_COD)</f>
        <v>0</v>
      </c>
      <c r="BT113" s="43" t="n">
        <f aca="false">(BT47+BT54+BT80+BT84+BT85+BT67)*(BT$4&lt;=In_COD)</f>
        <v>0</v>
      </c>
      <c r="BU113" s="43" t="n">
        <f aca="false">(BU47+BU54+BU80+BU84+BU85+BU67)*(BU$4&lt;=In_COD)</f>
        <v>0</v>
      </c>
      <c r="BV113" s="43" t="n">
        <f aca="false">(BV47+BV54+BV80+BV84+BV85+BV67)*(BV$4&lt;=In_COD)</f>
        <v>0</v>
      </c>
      <c r="BW113" s="43" t="n">
        <f aca="false">(BW47+BW54+BW80+BW84+BW85+BW67)*(BW$4&lt;=In_COD)</f>
        <v>0</v>
      </c>
      <c r="BX113" s="43" t="n">
        <f aca="false">(BX47+BX54+BX80+BX84+BX85+BX67)*(BX$4&lt;=In_COD)</f>
        <v>0</v>
      </c>
      <c r="BY113" s="43" t="n">
        <f aca="false">(BY47+BY54+BY80+BY84+BY85+BY67)*(BY$4&lt;=In_COD)</f>
        <v>0</v>
      </c>
      <c r="BZ113" s="43" t="n">
        <f aca="false">(BZ47+BZ54+BZ80+BZ84+BZ85+BZ67)*(BZ$4&lt;=In_COD)</f>
        <v>0</v>
      </c>
      <c r="CA113" s="43" t="n">
        <f aca="false">(CA47+CA54+CA80+CA84+CA85+CA67)*(CA$4&lt;=In_COD)</f>
        <v>0</v>
      </c>
      <c r="CB113" s="43" t="n">
        <f aca="false">(CB47+CB54+CB80+CB84+CB85+CB67)*(CB$4&lt;=In_COD)</f>
        <v>0</v>
      </c>
      <c r="CC113" s="43" t="n">
        <f aca="false">(CC47+CC54+CC80+CC84+CC85+CC67)*(CC$4&lt;=In_COD)</f>
        <v>0</v>
      </c>
      <c r="CD113" s="43" t="n">
        <f aca="false">(CD47+CD54+CD80+CD84+CD85+CD67)*(CD$4&lt;=In_COD)</f>
        <v>0</v>
      </c>
      <c r="CE113" s="43" t="n">
        <f aca="false">(CE47+CE54+CE80+CE84+CE85+CE67)*(CE$4&lt;=In_COD)</f>
        <v>0</v>
      </c>
      <c r="CF113" s="43" t="n">
        <f aca="false">(CF47+CF54+CF80+CF84+CF85+CF67)*(CF$4&lt;=In_COD)</f>
        <v>0</v>
      </c>
      <c r="CG113" s="43" t="n">
        <f aca="false">(CG47+CG54+CG80+CG84+CG85+CG67)*(CG$4&lt;=In_COD)</f>
        <v>0</v>
      </c>
      <c r="CH113" s="43" t="n">
        <f aca="false">(CH47+CH54+CH80+CH84+CH85+CH67)*(CH$4&lt;=In_COD)</f>
        <v>0</v>
      </c>
      <c r="CI113" s="43" t="n">
        <f aca="false">(CI47+CI54+CI80+CI84+CI85+CI67)*(CI$4&lt;=In_COD)</f>
        <v>0</v>
      </c>
      <c r="CJ113" s="43" t="n">
        <f aca="false">(CJ47+CJ54+CJ80+CJ84+CJ85+CJ67)*(CJ$4&lt;=In_COD)</f>
        <v>0</v>
      </c>
      <c r="CK113" s="43" t="n">
        <f aca="false">(CK47+CK54+CK80+CK84+CK85+CK67)*(CK$4&lt;=In_COD)</f>
        <v>0</v>
      </c>
      <c r="CL113" s="43" t="n">
        <f aca="false">(CL47+CL54+CL80+CL84+CL85+CL67)*(CL$4&lt;=In_COD)</f>
        <v>0</v>
      </c>
      <c r="CM113" s="43" t="n">
        <f aca="false">(CM47+CM54+CM80+CM84+CM85+CM67)*(CM$4&lt;=In_COD)</f>
        <v>0</v>
      </c>
      <c r="CN113" s="43" t="n">
        <f aca="false">(CN47+CN54+CN80+CN84+CN85+CN67)*(CN$4&lt;=In_COD)</f>
        <v>0</v>
      </c>
      <c r="CO113" s="43" t="n">
        <f aca="false">(CO47+CO54+CO80+CO84+CO85+CO67)*(CO$4&lt;=In_COD)</f>
        <v>0</v>
      </c>
      <c r="CP113" s="43" t="n">
        <f aca="false">(CP47+CP54+CP80+CP84+CP85+CP67)*(CP$4&lt;=In_COD)</f>
        <v>0</v>
      </c>
      <c r="CQ113" s="43" t="n">
        <f aca="false">(CQ47+CQ54+CQ80+CQ84+CQ85+CQ67)*(CQ$4&lt;=In_COD)</f>
        <v>0</v>
      </c>
      <c r="CR113" s="43" t="n">
        <f aca="false">(CR47+CR54+CR80+CR84+CR85+CR67)*(CR$4&lt;=In_COD)</f>
        <v>0</v>
      </c>
      <c r="CS113" s="43" t="n">
        <f aca="false">(CS47+CS54+CS80+CS84+CS85+CS67)*(CS$4&lt;=In_COD)</f>
        <v>0</v>
      </c>
      <c r="CT113" s="43" t="n">
        <f aca="false">(CT47+CT54+CT80+CT84+CT85+CT67)*(CT$4&lt;=In_COD)</f>
        <v>0</v>
      </c>
      <c r="CU113" s="43" t="n">
        <f aca="false">(CU47+CU54+CU80+CU84+CU85+CU67)*(CU$4&lt;=In_COD)</f>
        <v>0</v>
      </c>
      <c r="CV113" s="43" t="n">
        <f aca="false">(CV47+CV54+CV80+CV84+CV85+CV67)*(CV$4&lt;=In_COD)</f>
        <v>0</v>
      </c>
      <c r="CW113" s="43" t="n">
        <f aca="false">(CW47+CW54+CW80+CW84+CW85+CW67)*(CW$4&lt;=In_COD)</f>
        <v>0</v>
      </c>
      <c r="CX113" s="43" t="n">
        <f aca="false">(CX47+CX54+CX80+CX84+CX85+CX67)*(CX$4&lt;=In_COD)</f>
        <v>0</v>
      </c>
      <c r="CY113" s="43" t="n">
        <f aca="false">(CY47+CY54+CY80+CY84+CY85+CY67)*(CY$4&lt;=In_COD)</f>
        <v>0</v>
      </c>
      <c r="CZ113" s="43" t="n">
        <f aca="false">(CZ47+CZ54+CZ80+CZ84+CZ85+CZ67)*(CZ$4&lt;=In_COD)</f>
        <v>0</v>
      </c>
      <c r="DA113" s="43" t="n">
        <f aca="false">(DA47+DA54+DA80+DA84+DA85+DA67)*(DA$4&lt;=In_COD)</f>
        <v>0</v>
      </c>
      <c r="DB113" s="43" t="n">
        <f aca="false">(DB47+DB54+DB80+DB84+DB85+DB67)*(DB$4&lt;=In_COD)</f>
        <v>0</v>
      </c>
      <c r="DC113" s="43" t="n">
        <f aca="false">(DC47+DC54+DC80+DC84+DC85+DC67)*(DC$4&lt;=In_COD)</f>
        <v>0</v>
      </c>
      <c r="DD113" s="43" t="n">
        <f aca="false">(DD47+DD54+DD80+DD84+DD85+DD67)*(DD$4&lt;=In_COD)</f>
        <v>0</v>
      </c>
      <c r="DE113" s="43" t="n">
        <f aca="false">(DE47+DE54+DE80+DE84+DE85+DE67)*(DE$4&lt;=In_COD)</f>
        <v>0</v>
      </c>
      <c r="DF113" s="43" t="n">
        <f aca="false">(DF47+DF54+DF80+DF84+DF85+DF67)*(DF$4&lt;=In_COD)</f>
        <v>0</v>
      </c>
      <c r="DG113" s="43" t="n">
        <f aca="false">(DG47+DG54+DG80+DG84+DG85+DG67)*(DG$4&lt;=In_COD)</f>
        <v>0</v>
      </c>
      <c r="DH113" s="43" t="n">
        <f aca="false">(DH47+DH54+DH80+DH84+DH85+DH67)*(DH$4&lt;=In_COD)</f>
        <v>0</v>
      </c>
      <c r="DI113" s="43" t="n">
        <f aca="false">(DI47+DI54+DI80+DI84+DI85+DI67)*(DI$4&lt;=In_COD)</f>
        <v>0</v>
      </c>
      <c r="DJ113" s="43" t="n">
        <f aca="false">(DJ47+DJ54+DJ80+DJ84+DJ85+DJ67)*(DJ$4&lt;=In_COD)</f>
        <v>0</v>
      </c>
      <c r="DK113" s="43" t="n">
        <f aca="false">(DK47+DK54+DK80+DK84+DK85+DK67)*(DK$4&lt;=In_COD)</f>
        <v>0</v>
      </c>
      <c r="DL113" s="43" t="n">
        <f aca="false">(DL47+DL54+DL80+DL84+DL85+DL67)*(DL$4&lt;=In_COD)</f>
        <v>0</v>
      </c>
      <c r="DM113" s="43" t="n">
        <f aca="false">(DM47+DM54+DM80+DM84+DM85+DM67)*(DM$4&lt;=In_COD)</f>
        <v>0</v>
      </c>
      <c r="DN113" s="43" t="n">
        <f aca="false">(DN47+DN54+DN80+DN84+DN85+DN67)*(DN$4&lt;=In_COD)</f>
        <v>0</v>
      </c>
      <c r="DO113" s="43" t="n">
        <f aca="false">(DO47+DO54+DO80+DO84+DO85+DO67)*(DO$4&lt;=In_COD)</f>
        <v>0</v>
      </c>
      <c r="DP113" s="43" t="n">
        <f aca="false">(DP47+DP54+DP80+DP84+DP85+DP67)*(DP$4&lt;=In_COD)</f>
        <v>0</v>
      </c>
      <c r="DQ113" s="43" t="n">
        <f aca="false">(DQ47+DQ54+DQ80+DQ84+DQ85+DQ67)*(DQ$4&lt;=In_COD)</f>
        <v>0</v>
      </c>
      <c r="DR113" s="43" t="n">
        <f aca="false">(DR47+DR54+DR80+DR84+DR85+DR67)*(DR$4&lt;=In_COD)</f>
        <v>0</v>
      </c>
      <c r="DS113" s="43" t="n">
        <f aca="false">(DS47+DS54+DS80+DS84+DS85+DS67)*(DS$4&lt;=In_COD)</f>
        <v>0</v>
      </c>
      <c r="DT113" s="43" t="n">
        <f aca="false">(DT47+DT54+DT80+DT84+DT85+DT67)*(DT$4&lt;=In_COD)</f>
        <v>0</v>
      </c>
      <c r="DU113" s="43" t="n">
        <f aca="false">(DU47+DU54+DU80+DU84+DU85+DU67)*(DU$4&lt;=In_COD)</f>
        <v>0</v>
      </c>
      <c r="DV113" s="43" t="n">
        <f aca="false">(DV47+DV54+DV80+DV84+DV85+DV67)*(DV$4&lt;=In_COD)</f>
        <v>0</v>
      </c>
      <c r="DW113" s="43" t="n">
        <f aca="false">(DW47+DW54+DW80+DW84+DW85+DW67)*(DW$4&lt;=In_COD)</f>
        <v>0</v>
      </c>
      <c r="DX113" s="43" t="n">
        <f aca="false">(DX47+DX54+DX80+DX84+DX85+DX67)*(DX$4&lt;=In_COD)</f>
        <v>0</v>
      </c>
      <c r="DY113" s="43" t="n">
        <f aca="false">(DY47+DY54+DY80+DY84+DY85+DY67)*(DY$4&lt;=In_COD)</f>
        <v>0</v>
      </c>
      <c r="DZ113" s="43" t="n">
        <f aca="false">(DZ47+DZ54+DZ80+DZ84+DZ85+DZ67)*(DZ$4&lt;=In_COD)</f>
        <v>0</v>
      </c>
      <c r="EA113" s="43" t="n">
        <f aca="false">(EA47+EA54+EA80+EA84+EA85+EA67)*(EA$4&lt;=In_COD)</f>
        <v>0</v>
      </c>
      <c r="EB113" s="43" t="n">
        <f aca="false">(EB47+EB54+EB80+EB84+EB85+EB67)*(EB$4&lt;=In_COD)</f>
        <v>0</v>
      </c>
      <c r="EC113" s="43" t="n">
        <f aca="false">(EC47+EC54+EC80+EC84+EC85+EC67)*(EC$4&lt;=In_COD)</f>
        <v>0</v>
      </c>
      <c r="ED113" s="43" t="n">
        <f aca="false">(ED47+ED54+ED80+ED84+ED85+ED67)*(ED$4&lt;=In_COD)</f>
        <v>0</v>
      </c>
      <c r="EE113" s="43" t="n">
        <f aca="false">(EE47+EE54+EE80+EE84+EE85+EE67)*(EE$4&lt;=In_COD)</f>
        <v>0</v>
      </c>
      <c r="EF113" s="43" t="n">
        <f aca="false">(EF47+EF54+EF80+EF84+EF85+EF67)*(EF$4&lt;=In_COD)</f>
        <v>0</v>
      </c>
      <c r="EG113" s="43" t="n">
        <f aca="false">(EG47+EG54+EG80+EG84+EG85+EG67)*(EG$4&lt;=In_COD)</f>
        <v>0</v>
      </c>
      <c r="EH113" s="43" t="n">
        <f aca="false">(EH47+EH54+EH80+EH84+EH85+EH67)*(EH$4&lt;=In_COD)</f>
        <v>0</v>
      </c>
      <c r="EI113" s="43" t="n">
        <f aca="false">(EI47+EI54+EI80+EI84+EI85+EI67)*(EI$4&lt;=In_COD)</f>
        <v>0</v>
      </c>
      <c r="EJ113" s="43" t="n">
        <f aca="false">(EJ47+EJ54+EJ80+EJ84+EJ85+EJ67)*(EJ$4&lt;=In_COD)</f>
        <v>0</v>
      </c>
      <c r="EK113" s="43" t="n">
        <f aca="false">(EK47+EK54+EK80+EK84+EK85+EK67)*(EK$4&lt;=In_COD)</f>
        <v>0</v>
      </c>
      <c r="EL113" s="43" t="n">
        <f aca="false">(EL47+EL54+EL80+EL84+EL85+EL67)*(EL$4&lt;=In_COD)</f>
        <v>0</v>
      </c>
      <c r="EM113" s="43" t="n">
        <f aca="false">(EM47+EM54+EM80+EM84+EM85+EM67)*(EM$4&lt;=In_COD)</f>
        <v>0</v>
      </c>
      <c r="EN113" s="43" t="n">
        <f aca="false">(EN47+EN54+EN80+EN84+EN85+EN67)*(EN$4&lt;=In_COD)</f>
        <v>0</v>
      </c>
      <c r="EO113" s="43" t="n">
        <f aca="false">(EO47+EO54+EO80+EO84+EO85+EO67)*(EO$4&lt;=In_COD)</f>
        <v>0</v>
      </c>
    </row>
    <row r="114" customFormat="false" ht="15" hidden="false" customHeight="false" outlineLevel="0" collapsed="false">
      <c r="C114" s="0" t="s">
        <v>100</v>
      </c>
      <c r="D114" s="11" t="s">
        <v>33</v>
      </c>
      <c r="E114" s="43" t="n">
        <f aca="false">IF($E29=1,In_COD_Price,In_COD_Price_CN)*In_Wind_MW</f>
        <v>105000</v>
      </c>
    </row>
    <row r="115" customFormat="false" ht="15" hidden="false" customHeight="false" outlineLevel="0" collapsed="false">
      <c r="C115" s="0" t="s">
        <v>101</v>
      </c>
      <c r="D115" s="11" t="s">
        <v>33</v>
      </c>
      <c r="E115" s="43" t="n">
        <f aca="false">$E114-$E83-In_Sale_Costs</f>
        <v>56000.6193958915</v>
      </c>
    </row>
    <row r="116" customFormat="false" ht="15" hidden="false" customHeight="false" outlineLevel="0" collapsed="false">
      <c r="C116" s="0" t="s">
        <v>102</v>
      </c>
      <c r="D116" s="11" t="s">
        <v>33</v>
      </c>
      <c r="E116" s="43" t="n">
        <f aca="false">-In_CIT*In_Sale_Gain_Taxed*MAX(0,$E115+$I113)</f>
        <v>-0</v>
      </c>
    </row>
    <row r="117" customFormat="false" ht="15" hidden="false" customHeight="false" outlineLevel="0" collapsed="false">
      <c r="C117" s="21" t="s">
        <v>407</v>
      </c>
      <c r="D117" s="11" t="s">
        <v>33</v>
      </c>
      <c r="I117" s="54" t="n">
        <f aca="false">SUM(J117:EO117)</f>
        <v>28474.5454583916</v>
      </c>
      <c r="J117" s="54" t="n">
        <f aca="false">J113+($E115+$E116)*J14</f>
        <v>-4661.09904297242</v>
      </c>
      <c r="K117" s="54" t="n">
        <f aca="false">K113+($E115+$E116)*K14</f>
        <v>-699.203169476608</v>
      </c>
      <c r="L117" s="54" t="n">
        <f aca="false">L113+($E115+$E116)*L14</f>
        <v>-92.0040320318945</v>
      </c>
      <c r="M117" s="54" t="n">
        <f aca="false">M113+($E115+$E116)*M14</f>
        <v>-93.0150653509263</v>
      </c>
      <c r="N117" s="54" t="n">
        <f aca="false">N113+($E115+$E116)*N14</f>
        <v>-93.0150653509263</v>
      </c>
      <c r="O117" s="54" t="n">
        <f aca="false">O113+($E115+$E116)*O14</f>
        <v>-92.0040320318945</v>
      </c>
      <c r="P117" s="54" t="n">
        <f aca="false">P113+($E115+$E116)*P14</f>
        <v>-92.0040320318945</v>
      </c>
      <c r="Q117" s="54" t="n">
        <f aca="false">Q113+($E115+$E116)*Q14</f>
        <v>-93.0150653509263</v>
      </c>
      <c r="R117" s="54" t="n">
        <f aca="false">R113+($E115+$E116)*R14</f>
        <v>-3138.42862246812</v>
      </c>
      <c r="S117" s="54" t="n">
        <f aca="false">S113+($E115+$E116)*S14</f>
        <v>-4676.27677038453</v>
      </c>
      <c r="T117" s="54" t="n">
        <f aca="false">T113+($E115+$E116)*T14</f>
        <v>-2230.90881890173</v>
      </c>
      <c r="U117" s="54" t="n">
        <f aca="false">U113+($E115+$E116)*U14</f>
        <v>-2244.29410425999</v>
      </c>
      <c r="V117" s="54" t="n">
        <f aca="false">V113+($E115+$E116)*V14</f>
        <v>-2233.04159824385</v>
      </c>
      <c r="W117" s="54" t="n">
        <f aca="false">W113+($E115+$E116)*W14</f>
        <v>-2174.43653951023</v>
      </c>
      <c r="X117" s="54" t="n">
        <f aca="false">X113+($E115+$E116)*X14</f>
        <v>-2187.70871012291</v>
      </c>
      <c r="Y117" s="54" t="n">
        <f aca="false">Y113+($E115+$E116)*Y14</f>
        <v>53275.0001268804</v>
      </c>
      <c r="Z117" s="54" t="n">
        <f aca="false">Z113+($E115+$E116)*Z14</f>
        <v>0</v>
      </c>
      <c r="AA117" s="54" t="n">
        <f aca="false">AA113+($E115+$E116)*AA14</f>
        <v>0</v>
      </c>
      <c r="AB117" s="54" t="n">
        <f aca="false">AB113+($E115+$E116)*AB14</f>
        <v>0</v>
      </c>
      <c r="AC117" s="54" t="n">
        <f aca="false">AC113+($E115+$E116)*AC14</f>
        <v>0</v>
      </c>
      <c r="AD117" s="54" t="n">
        <f aca="false">AD113+($E115+$E116)*AD14</f>
        <v>0</v>
      </c>
      <c r="AE117" s="54" t="n">
        <f aca="false">AE113+($E115+$E116)*AE14</f>
        <v>0</v>
      </c>
      <c r="AF117" s="54" t="n">
        <f aca="false">AF113+($E115+$E116)*AF14</f>
        <v>0</v>
      </c>
      <c r="AG117" s="54" t="n">
        <f aca="false">AG113+($E115+$E116)*AG14</f>
        <v>0</v>
      </c>
      <c r="AH117" s="54" t="n">
        <f aca="false">AH113+($E115+$E116)*AH14</f>
        <v>0</v>
      </c>
      <c r="AI117" s="54" t="n">
        <f aca="false">AI113+($E115+$E116)*AI14</f>
        <v>0</v>
      </c>
      <c r="AJ117" s="54" t="n">
        <f aca="false">AJ113+($E115+$E116)*AJ14</f>
        <v>0</v>
      </c>
      <c r="AK117" s="54" t="n">
        <f aca="false">AK113+($E115+$E116)*AK14</f>
        <v>0</v>
      </c>
      <c r="AL117" s="54" t="n">
        <f aca="false">AL113+($E115+$E116)*AL14</f>
        <v>0</v>
      </c>
      <c r="AM117" s="54" t="n">
        <f aca="false">AM113+($E115+$E116)*AM14</f>
        <v>0</v>
      </c>
      <c r="AN117" s="54" t="n">
        <f aca="false">AN113+($E115+$E116)*AN14</f>
        <v>0</v>
      </c>
      <c r="AO117" s="54" t="n">
        <f aca="false">AO113+($E115+$E116)*AO14</f>
        <v>0</v>
      </c>
      <c r="AP117" s="54" t="n">
        <f aca="false">AP113+($E115+$E116)*AP14</f>
        <v>0</v>
      </c>
      <c r="AQ117" s="54" t="n">
        <f aca="false">AQ113+($E115+$E116)*AQ14</f>
        <v>0</v>
      </c>
      <c r="AR117" s="54" t="n">
        <f aca="false">AR113+($E115+$E116)*AR14</f>
        <v>0</v>
      </c>
      <c r="AS117" s="54" t="n">
        <f aca="false">AS113+($E115+$E116)*AS14</f>
        <v>0</v>
      </c>
      <c r="AT117" s="54" t="n">
        <f aca="false">AT113+($E115+$E116)*AT14</f>
        <v>0</v>
      </c>
      <c r="AU117" s="54" t="n">
        <f aca="false">AU113+($E115+$E116)*AU14</f>
        <v>0</v>
      </c>
      <c r="AV117" s="54" t="n">
        <f aca="false">AV113+($E115+$E116)*AV14</f>
        <v>0</v>
      </c>
      <c r="AW117" s="54" t="n">
        <f aca="false">AW113+($E115+$E116)*AW14</f>
        <v>0</v>
      </c>
      <c r="AX117" s="54" t="n">
        <f aca="false">AX113+($E115+$E116)*AX14</f>
        <v>0</v>
      </c>
      <c r="AY117" s="54" t="n">
        <f aca="false">AY113+($E115+$E116)*AY14</f>
        <v>0</v>
      </c>
      <c r="AZ117" s="54" t="n">
        <f aca="false">AZ113+($E115+$E116)*AZ14</f>
        <v>0</v>
      </c>
      <c r="BA117" s="54" t="n">
        <f aca="false">BA113+($E115+$E116)*BA14</f>
        <v>0</v>
      </c>
      <c r="BB117" s="54" t="n">
        <f aca="false">BB113+($E115+$E116)*BB14</f>
        <v>0</v>
      </c>
      <c r="BC117" s="54" t="n">
        <f aca="false">BC113+($E115+$E116)*BC14</f>
        <v>0</v>
      </c>
      <c r="BD117" s="54" t="n">
        <f aca="false">BD113+($E115+$E116)*BD14</f>
        <v>0</v>
      </c>
      <c r="BE117" s="54" t="n">
        <f aca="false">BE113+($E115+$E116)*BE14</f>
        <v>0</v>
      </c>
      <c r="BF117" s="54" t="n">
        <f aca="false">BF113+($E115+$E116)*BF14</f>
        <v>0</v>
      </c>
      <c r="BG117" s="54" t="n">
        <f aca="false">BG113+($E115+$E116)*BG14</f>
        <v>0</v>
      </c>
      <c r="BH117" s="54" t="n">
        <f aca="false">BH113+($E115+$E116)*BH14</f>
        <v>0</v>
      </c>
      <c r="BI117" s="54" t="n">
        <f aca="false">BI113+($E115+$E116)*BI14</f>
        <v>0</v>
      </c>
      <c r="BJ117" s="54" t="n">
        <f aca="false">BJ113+($E115+$E116)*BJ14</f>
        <v>0</v>
      </c>
      <c r="BK117" s="54" t="n">
        <f aca="false">BK113+($E115+$E116)*BK14</f>
        <v>0</v>
      </c>
      <c r="BL117" s="54" t="n">
        <f aca="false">BL113+($E115+$E116)*BL14</f>
        <v>0</v>
      </c>
      <c r="BM117" s="54" t="n">
        <f aca="false">BM113+($E115+$E116)*BM14</f>
        <v>0</v>
      </c>
      <c r="BN117" s="54" t="n">
        <f aca="false">BN113+($E115+$E116)*BN14</f>
        <v>0</v>
      </c>
      <c r="BO117" s="54" t="n">
        <f aca="false">BO113+($E115+$E116)*BO14</f>
        <v>0</v>
      </c>
      <c r="BP117" s="54" t="n">
        <f aca="false">BP113+($E115+$E116)*BP14</f>
        <v>0</v>
      </c>
      <c r="BQ117" s="54" t="n">
        <f aca="false">BQ113+($E115+$E116)*BQ14</f>
        <v>0</v>
      </c>
      <c r="BR117" s="54" t="n">
        <f aca="false">BR113+($E115+$E116)*BR14</f>
        <v>0</v>
      </c>
      <c r="BS117" s="54" t="n">
        <f aca="false">BS113+($E115+$E116)*BS14</f>
        <v>0</v>
      </c>
      <c r="BT117" s="54" t="n">
        <f aca="false">BT113+($E115+$E116)*BT14</f>
        <v>0</v>
      </c>
      <c r="BU117" s="54" t="n">
        <f aca="false">BU113+($E115+$E116)*BU14</f>
        <v>0</v>
      </c>
      <c r="BV117" s="54" t="n">
        <f aca="false">BV113+($E115+$E116)*BV14</f>
        <v>0</v>
      </c>
      <c r="BW117" s="54" t="n">
        <f aca="false">BW113+($E115+$E116)*BW14</f>
        <v>0</v>
      </c>
      <c r="BX117" s="54" t="n">
        <f aca="false">BX113+($E115+$E116)*BX14</f>
        <v>0</v>
      </c>
      <c r="BY117" s="54" t="n">
        <f aca="false">BY113+($E115+$E116)*BY14</f>
        <v>0</v>
      </c>
      <c r="BZ117" s="54" t="n">
        <f aca="false">BZ113+($E115+$E116)*BZ14</f>
        <v>0</v>
      </c>
      <c r="CA117" s="54" t="n">
        <f aca="false">CA113+($E115+$E116)*CA14</f>
        <v>0</v>
      </c>
      <c r="CB117" s="54" t="n">
        <f aca="false">CB113+($E115+$E116)*CB14</f>
        <v>0</v>
      </c>
      <c r="CC117" s="54" t="n">
        <f aca="false">CC113+($E115+$E116)*CC14</f>
        <v>0</v>
      </c>
      <c r="CD117" s="54" t="n">
        <f aca="false">CD113+($E115+$E116)*CD14</f>
        <v>0</v>
      </c>
      <c r="CE117" s="54" t="n">
        <f aca="false">CE113+($E115+$E116)*CE14</f>
        <v>0</v>
      </c>
      <c r="CF117" s="54" t="n">
        <f aca="false">CF113+($E115+$E116)*CF14</f>
        <v>0</v>
      </c>
      <c r="CG117" s="54" t="n">
        <f aca="false">CG113+($E115+$E116)*CG14</f>
        <v>0</v>
      </c>
      <c r="CH117" s="54" t="n">
        <f aca="false">CH113+($E115+$E116)*CH14</f>
        <v>0</v>
      </c>
      <c r="CI117" s="54" t="n">
        <f aca="false">CI113+($E115+$E116)*CI14</f>
        <v>0</v>
      </c>
      <c r="CJ117" s="54" t="n">
        <f aca="false">CJ113+($E115+$E116)*CJ14</f>
        <v>0</v>
      </c>
      <c r="CK117" s="54" t="n">
        <f aca="false">CK113+($E115+$E116)*CK14</f>
        <v>0</v>
      </c>
      <c r="CL117" s="54" t="n">
        <f aca="false">CL113+($E115+$E116)*CL14</f>
        <v>0</v>
      </c>
      <c r="CM117" s="54" t="n">
        <f aca="false">CM113+($E115+$E116)*CM14</f>
        <v>0</v>
      </c>
      <c r="CN117" s="54" t="n">
        <f aca="false">CN113+($E115+$E116)*CN14</f>
        <v>0</v>
      </c>
      <c r="CO117" s="54" t="n">
        <f aca="false">CO113+($E115+$E116)*CO14</f>
        <v>0</v>
      </c>
      <c r="CP117" s="54" t="n">
        <f aca="false">CP113+($E115+$E116)*CP14</f>
        <v>0</v>
      </c>
      <c r="CQ117" s="54" t="n">
        <f aca="false">CQ113+($E115+$E116)*CQ14</f>
        <v>0</v>
      </c>
      <c r="CR117" s="54" t="n">
        <f aca="false">CR113+($E115+$E116)*CR14</f>
        <v>0</v>
      </c>
      <c r="CS117" s="54" t="n">
        <f aca="false">CS113+($E115+$E116)*CS14</f>
        <v>0</v>
      </c>
      <c r="CT117" s="54" t="n">
        <f aca="false">CT113+($E115+$E116)*CT14</f>
        <v>0</v>
      </c>
      <c r="CU117" s="54" t="n">
        <f aca="false">CU113+($E115+$E116)*CU14</f>
        <v>0</v>
      </c>
      <c r="CV117" s="54" t="n">
        <f aca="false">CV113+($E115+$E116)*CV14</f>
        <v>0</v>
      </c>
      <c r="CW117" s="54" t="n">
        <f aca="false">CW113+($E115+$E116)*CW14</f>
        <v>0</v>
      </c>
      <c r="CX117" s="54" t="n">
        <f aca="false">CX113+($E115+$E116)*CX14</f>
        <v>0</v>
      </c>
      <c r="CY117" s="54" t="n">
        <f aca="false">CY113+($E115+$E116)*CY14</f>
        <v>0</v>
      </c>
      <c r="CZ117" s="54" t="n">
        <f aca="false">CZ113+($E115+$E116)*CZ14</f>
        <v>0</v>
      </c>
      <c r="DA117" s="54" t="n">
        <f aca="false">DA113+($E115+$E116)*DA14</f>
        <v>0</v>
      </c>
      <c r="DB117" s="54" t="n">
        <f aca="false">DB113+($E115+$E116)*DB14</f>
        <v>0</v>
      </c>
      <c r="DC117" s="54" t="n">
        <f aca="false">DC113+($E115+$E116)*DC14</f>
        <v>0</v>
      </c>
      <c r="DD117" s="54" t="n">
        <f aca="false">DD113+($E115+$E116)*DD14</f>
        <v>0</v>
      </c>
      <c r="DE117" s="54" t="n">
        <f aca="false">DE113+($E115+$E116)*DE14</f>
        <v>0</v>
      </c>
      <c r="DF117" s="54" t="n">
        <f aca="false">DF113+($E115+$E116)*DF14</f>
        <v>0</v>
      </c>
      <c r="DG117" s="54" t="n">
        <f aca="false">DG113+($E115+$E116)*DG14</f>
        <v>0</v>
      </c>
      <c r="DH117" s="54" t="n">
        <f aca="false">DH113+($E115+$E116)*DH14</f>
        <v>0</v>
      </c>
      <c r="DI117" s="54" t="n">
        <f aca="false">DI113+($E115+$E116)*DI14</f>
        <v>0</v>
      </c>
      <c r="DJ117" s="54" t="n">
        <f aca="false">DJ113+($E115+$E116)*DJ14</f>
        <v>0</v>
      </c>
      <c r="DK117" s="54" t="n">
        <f aca="false">DK113+($E115+$E116)*DK14</f>
        <v>0</v>
      </c>
      <c r="DL117" s="54" t="n">
        <f aca="false">DL113+($E115+$E116)*DL14</f>
        <v>0</v>
      </c>
      <c r="DM117" s="54" t="n">
        <f aca="false">DM113+($E115+$E116)*DM14</f>
        <v>0</v>
      </c>
      <c r="DN117" s="54" t="n">
        <f aca="false">DN113+($E115+$E116)*DN14</f>
        <v>0</v>
      </c>
      <c r="DO117" s="54" t="n">
        <f aca="false">DO113+($E115+$E116)*DO14</f>
        <v>0</v>
      </c>
      <c r="DP117" s="54" t="n">
        <f aca="false">DP113+($E115+$E116)*DP14</f>
        <v>0</v>
      </c>
      <c r="DQ117" s="54" t="n">
        <f aca="false">DQ113+($E115+$E116)*DQ14</f>
        <v>0</v>
      </c>
      <c r="DR117" s="54" t="n">
        <f aca="false">DR113+($E115+$E116)*DR14</f>
        <v>0</v>
      </c>
      <c r="DS117" s="54" t="n">
        <f aca="false">DS113+($E115+$E116)*DS14</f>
        <v>0</v>
      </c>
      <c r="DT117" s="54" t="n">
        <f aca="false">DT113+($E115+$E116)*DT14</f>
        <v>0</v>
      </c>
      <c r="DU117" s="54" t="n">
        <f aca="false">DU113+($E115+$E116)*DU14</f>
        <v>0</v>
      </c>
      <c r="DV117" s="54" t="n">
        <f aca="false">DV113+($E115+$E116)*DV14</f>
        <v>0</v>
      </c>
      <c r="DW117" s="54" t="n">
        <f aca="false">DW113+($E115+$E116)*DW14</f>
        <v>0</v>
      </c>
      <c r="DX117" s="54" t="n">
        <f aca="false">DX113+($E115+$E116)*DX14</f>
        <v>0</v>
      </c>
      <c r="DY117" s="54" t="n">
        <f aca="false">DY113+($E115+$E116)*DY14</f>
        <v>0</v>
      </c>
      <c r="DZ117" s="54" t="n">
        <f aca="false">DZ113+($E115+$E116)*DZ14</f>
        <v>0</v>
      </c>
      <c r="EA117" s="54" t="n">
        <f aca="false">EA113+($E115+$E116)*EA14</f>
        <v>0</v>
      </c>
      <c r="EB117" s="54" t="n">
        <f aca="false">EB113+($E115+$E116)*EB14</f>
        <v>0</v>
      </c>
      <c r="EC117" s="54" t="n">
        <f aca="false">EC113+($E115+$E116)*EC14</f>
        <v>0</v>
      </c>
      <c r="ED117" s="54" t="n">
        <f aca="false">ED113+($E115+$E116)*ED14</f>
        <v>0</v>
      </c>
      <c r="EE117" s="54" t="n">
        <f aca="false">EE113+($E115+$E116)*EE14</f>
        <v>0</v>
      </c>
      <c r="EF117" s="54" t="n">
        <f aca="false">EF113+($E115+$E116)*EF14</f>
        <v>0</v>
      </c>
      <c r="EG117" s="54" t="n">
        <f aca="false">EG113+($E115+$E116)*EG14</f>
        <v>0</v>
      </c>
      <c r="EH117" s="54" t="n">
        <f aca="false">EH113+($E115+$E116)*EH14</f>
        <v>0</v>
      </c>
      <c r="EI117" s="54" t="n">
        <f aca="false">EI113+($E115+$E116)*EI14</f>
        <v>0</v>
      </c>
      <c r="EJ117" s="54" t="n">
        <f aca="false">EJ113+($E115+$E116)*EJ14</f>
        <v>0</v>
      </c>
      <c r="EK117" s="54" t="n">
        <f aca="false">EK113+($E115+$E116)*EK14</f>
        <v>0</v>
      </c>
      <c r="EL117" s="54" t="n">
        <f aca="false">EL113+($E115+$E116)*EL14</f>
        <v>0</v>
      </c>
      <c r="EM117" s="54" t="n">
        <f aca="false">EM113+($E115+$E116)*EM14</f>
        <v>0</v>
      </c>
      <c r="EN117" s="54" t="n">
        <f aca="false">EN113+($E115+$E116)*EN14</f>
        <v>0</v>
      </c>
      <c r="EO117" s="54" t="n">
        <f aca="false">EO113+($E115+$E116)*EO14</f>
        <v>0</v>
      </c>
    </row>
    <row r="118" customFormat="false" ht="15" hidden="false" customHeight="false" outlineLevel="0" collapsed="false">
      <c r="C118" s="21" t="s">
        <v>54</v>
      </c>
      <c r="D118" s="11" t="s">
        <v>53</v>
      </c>
      <c r="E118" s="27" t="n">
        <f aca="false">XIRR($J117:$EO117,$J$4:$EO$4)</f>
        <v>0.467905968268763</v>
      </c>
    </row>
    <row r="119" customFormat="false" ht="15" hidden="false" customHeight="false" outlineLevel="0" collapsed="false">
      <c r="C119" s="21" t="s">
        <v>56</v>
      </c>
      <c r="D119" s="11" t="s">
        <v>13</v>
      </c>
      <c r="E119" s="57" t="n">
        <f aca="false">($E115+$E116)/-$I113</f>
        <v>2.03445720312476</v>
      </c>
    </row>
    <row r="120" customFormat="false" ht="15" hidden="false" customHeight="false" outlineLevel="0" collapsed="false">
      <c r="C120" s="21" t="s">
        <v>59</v>
      </c>
      <c r="D120" s="11" t="s">
        <v>33</v>
      </c>
      <c r="E120" s="54" t="n">
        <f aca="false">XNPV(In_Discount_Rate,$J117:$EO117,$J$4:$EO$4)</f>
        <v>18644.0867129192</v>
      </c>
    </row>
    <row r="122" customFormat="false" ht="15" hidden="false" customHeight="false" outlineLevel="0" collapsed="false">
      <c r="A122" s="9" t="s">
        <v>13</v>
      </c>
      <c r="B122" s="9"/>
      <c r="C122" s="9" t="s">
        <v>408</v>
      </c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</row>
    <row r="123" customFormat="false" ht="15" hidden="false" customHeight="false" outlineLevel="0" collapsed="false">
      <c r="C123" s="0" t="s">
        <v>409</v>
      </c>
      <c r="D123" s="11" t="s">
        <v>33</v>
      </c>
      <c r="I123" s="43" t="n">
        <f aca="false">SUM(J123:EO123)</f>
        <v>166990.979466579</v>
      </c>
      <c r="J123" s="43" t="n">
        <f aca="false">J47+J54+J67+J97</f>
        <v>-4661.09904297242</v>
      </c>
      <c r="K123" s="43" t="n">
        <f aca="false">K47+K54+K67+K97</f>
        <v>-699.203169476608</v>
      </c>
      <c r="L123" s="43" t="n">
        <f aca="false">L47+L54+L67+L97</f>
        <v>-92.0040320318945</v>
      </c>
      <c r="M123" s="43" t="n">
        <f aca="false">M47+M54+M67+M97</f>
        <v>-93.0150653509263</v>
      </c>
      <c r="N123" s="43" t="n">
        <f aca="false">N47+N54+N67+N97</f>
        <v>-93.0150653509263</v>
      </c>
      <c r="O123" s="43" t="n">
        <f aca="false">O47+O54+O67+O97</f>
        <v>-92.0040320318945</v>
      </c>
      <c r="P123" s="43" t="n">
        <f aca="false">P47+P54+P67+P97</f>
        <v>-92.0040320318945</v>
      </c>
      <c r="Q123" s="43" t="n">
        <f aca="false">Q47+Q54+Q67+Q97</f>
        <v>-93.0150653509263</v>
      </c>
      <c r="R123" s="43" t="n">
        <f aca="false">R47+R54+R67+R97</f>
        <v>-7145.01879203831</v>
      </c>
      <c r="S123" s="43" t="n">
        <f aca="false">S47+S54+S67+S97</f>
        <v>-15145.4395547144</v>
      </c>
      <c r="T123" s="43" t="n">
        <f aca="false">T47+T54+T67+T97</f>
        <v>-7068.28991962982</v>
      </c>
      <c r="U123" s="43" t="n">
        <f aca="false">U47+U54+U67+U97</f>
        <v>-7145.96343523015</v>
      </c>
      <c r="V123" s="43" t="n">
        <f aca="false">V47+V54+V67+V97</f>
        <v>-7145.96343523015</v>
      </c>
      <c r="W123" s="43" t="n">
        <f aca="false">W47+W54+W67+W97</f>
        <v>-6991.56361418653</v>
      </c>
      <c r="X123" s="43" t="n">
        <f aca="false">X47+X54+X67+X97</f>
        <v>-7069.24765434415</v>
      </c>
      <c r="Y123" s="43" t="n">
        <f aca="false">Y47+Y54+Y67+Y97</f>
        <v>-8896.93169450178</v>
      </c>
      <c r="Z123" s="43" t="n">
        <f aca="false">Z47+Z54+Z67+Z97</f>
        <v>2019.06858358486</v>
      </c>
      <c r="AA123" s="43" t="n">
        <f aca="false">AA47+AA54+AA67+AA97</f>
        <v>1988.08657939873</v>
      </c>
      <c r="AB123" s="43" t="n">
        <f aca="false">AB47+AB54+AB67+AB97</f>
        <v>2009.64706968901</v>
      </c>
      <c r="AC123" s="43" t="n">
        <f aca="false">AC47+AC54+AC67+AC97</f>
        <v>2031.19855117178</v>
      </c>
      <c r="AD123" s="43" t="n">
        <f aca="false">AD47+AD54+AD67+AD97</f>
        <v>2023.91538909046</v>
      </c>
      <c r="AE123" s="43" t="n">
        <f aca="false">AE47+AE54+AE67+AE97</f>
        <v>2014.52086000916</v>
      </c>
      <c r="AF123" s="43" t="n">
        <f aca="false">AF47+AF54+AF67+AF97</f>
        <v>2014.27245338735</v>
      </c>
      <c r="AG123" s="43" t="n">
        <f aca="false">AG47+AG54+AG67+AG97</f>
        <v>2019.26162167997</v>
      </c>
      <c r="AH123" s="43" t="n">
        <f aca="false">AH47+AH54+AH67+AH97</f>
        <v>2003.44941655019</v>
      </c>
      <c r="AI123" s="43" t="n">
        <f aca="false">AI47+AI54+AI67+AI97</f>
        <v>1972.20651348602</v>
      </c>
      <c r="AJ123" s="43" t="n">
        <f aca="false">AJ47+AJ54+AJ67+AJ97</f>
        <v>2011.99188840467</v>
      </c>
      <c r="AK123" s="43" t="n">
        <f aca="false">AK47+AK54+AK67+AK97</f>
        <v>2033.02922676184</v>
      </c>
      <c r="AL123" s="43" t="n">
        <f aca="false">AL47+AL54+AL67+AL97</f>
        <v>2025.69475708501</v>
      </c>
      <c r="AM123" s="43" t="n">
        <f aca="false">AM47+AM54+AM67+AM97</f>
        <v>1993.75439866179</v>
      </c>
      <c r="AN123" s="43" t="n">
        <f aca="false">AN47+AN54+AN67+AN97</f>
        <v>2014.83685115021</v>
      </c>
      <c r="AO123" s="43" t="n">
        <f aca="false">AO47+AO54+AO67+AO97</f>
        <v>2035.90057094704</v>
      </c>
      <c r="AP123" s="43" t="n">
        <f aca="false">AP47+AP54+AP67+AP97</f>
        <v>2028.49473919282</v>
      </c>
      <c r="AQ123" s="43" t="n">
        <f aca="false">AQ47+AQ54+AQ67+AQ97</f>
        <v>1996.28009201125</v>
      </c>
      <c r="AR123" s="43" t="n">
        <f aca="false">AR47+AR54+AR67+AR97</f>
        <v>2017.38605074969</v>
      </c>
      <c r="AS123" s="43" t="n">
        <f aca="false">AS47+AS54+AS67+AS97</f>
        <v>2038.47289477268</v>
      </c>
      <c r="AT123" s="43" t="n">
        <f aca="false">AT47+AT54+AT67+AT97</f>
        <v>2030.99426494015</v>
      </c>
      <c r="AU123" s="43" t="n">
        <f aca="false">AU47+AU54+AU67+AU97</f>
        <v>2020.22488225751</v>
      </c>
      <c r="AV123" s="43" t="n">
        <f aca="false">AV47+AV54+AV67+AV97</f>
        <v>2019.61547245297</v>
      </c>
      <c r="AW123" s="43" t="n">
        <f aca="false">AW47+AW54+AW67+AW97</f>
        <v>2040.72190666579</v>
      </c>
      <c r="AX123" s="43" t="n">
        <f aca="false">AX47+AX54+AX67+AX97</f>
        <v>2033.16883618186</v>
      </c>
      <c r="AY123" s="43" t="n">
        <f aca="false">AY47+AY54+AY67+AY97</f>
        <v>2000.39468763524</v>
      </c>
      <c r="AZ123" s="43" t="n">
        <f aca="false">AZ47+AZ54+AZ67+AZ97</f>
        <v>2021.53725812624</v>
      </c>
      <c r="BA123" s="43" t="n">
        <f aca="false">BA47+BA54+BA67+BA97</f>
        <v>2042.65990326335</v>
      </c>
      <c r="BB123" s="43" t="n">
        <f aca="false">BB47+BB54+BB67+BB97</f>
        <v>2035.0309817069</v>
      </c>
      <c r="BC123" s="43" t="n">
        <f aca="false">BC47+BC54+BC67+BC97</f>
        <v>2001.97158110817</v>
      </c>
      <c r="BD123" s="43" t="n">
        <f aca="false">BD47+BD54+BD67+BD97</f>
        <v>2023.12713212039</v>
      </c>
      <c r="BE123" s="43" t="n">
        <f aca="false">BE47+BE54+BE67+BE97</f>
        <v>2044.26232950114</v>
      </c>
      <c r="BF123" s="43" t="n">
        <f aca="false">BF47+BF54+BF67+BF97</f>
        <v>2036.55594126858</v>
      </c>
      <c r="BG123" s="43" t="n">
        <f aca="false">BG47+BG54+BG67+BG97</f>
        <v>2003.20744707378</v>
      </c>
      <c r="BH123" s="43" t="n">
        <f aca="false">BH47+BH54+BH67+BH97</f>
        <v>2024.37219332634</v>
      </c>
      <c r="BI123" s="43" t="n">
        <f aca="false">BI47+BI54+BI67+BI97</f>
        <v>2045.51614081941</v>
      </c>
      <c r="BJ123" s="43" t="n">
        <f aca="false">BJ47+BJ54+BJ67+BJ97</f>
        <v>2037.73060479296</v>
      </c>
      <c r="BK123" s="43" t="n">
        <f aca="false">BK47+BK54+BK67+BK97</f>
        <v>2025.99410768169</v>
      </c>
      <c r="BL123" s="43" t="n">
        <f aca="false">BL47+BL54+BL67+BL97</f>
        <v>2025.24659029224</v>
      </c>
      <c r="BM123" s="43" t="n">
        <f aca="false">BM47+BM54+BM67+BM97</f>
        <v>2046.39518809883</v>
      </c>
      <c r="BN123" s="43" t="n">
        <f aca="false">BN47+BN54+BN67+BN97</f>
        <v>2038.52860372378</v>
      </c>
      <c r="BO123" s="43" t="n">
        <f aca="false">BO47+BO54+BO67+BO97</f>
        <v>2004.5898388003</v>
      </c>
      <c r="BP123" s="43" t="n">
        <f aca="false">BP47+BP54+BP67+BP97</f>
        <v>2025.76086854132</v>
      </c>
      <c r="BQ123" s="43" t="n">
        <f aca="false">BQ47+BQ54+BQ67+BQ97</f>
        <v>2046.91015368287</v>
      </c>
      <c r="BR123" s="43" t="n">
        <f aca="false">BR47+BR54+BR67+BR97</f>
        <v>2038.96084282551</v>
      </c>
      <c r="BS123" s="43" t="n">
        <f aca="false">BS47+BS54+BS67+BS97</f>
        <v>2004.7208330711</v>
      </c>
      <c r="BT123" s="43" t="n">
        <f aca="false">BT47+BT54+BT67+BT97</f>
        <v>2025.88878606696</v>
      </c>
      <c r="BU123" s="43" t="n">
        <f aca="false">BU47+BU54+BU67+BU97</f>
        <v>2047.0344938123</v>
      </c>
      <c r="BV123" s="43" t="n">
        <f aca="false">BV47+BV54+BV67+BV97</f>
        <v>2039.00055919664</v>
      </c>
      <c r="BW123" s="43" t="n">
        <f aca="false">BW47+BW54+BW67+BW97</f>
        <v>2004.45503656723</v>
      </c>
      <c r="BX123" s="43" t="n">
        <f aca="false">BX47+BX54+BX67+BX97</f>
        <v>2025.61550289699</v>
      </c>
      <c r="BY123" s="43" t="n">
        <f aca="false">BY47+BY54+BY67+BY97</f>
        <v>2046.75320308277</v>
      </c>
      <c r="BZ123" s="43" t="n">
        <f aca="false">BZ47+BZ54+BZ67+BZ97</f>
        <v>2038.6326685345</v>
      </c>
      <c r="CA123" s="43" t="n">
        <f aca="false">CA47+CA54+CA67+CA97</f>
        <v>2025.82539403751</v>
      </c>
      <c r="CB123" s="43" t="n">
        <f aca="false">CB47+CB54+CB67+CB97</f>
        <v>2024.91307266049</v>
      </c>
      <c r="CC123" s="43" t="n">
        <f aca="false">CC47+CC54+CC67+CC97</f>
        <v>2046.03801364132</v>
      </c>
      <c r="CD123" s="43" t="n">
        <f aca="false">CD47+CD54+CD67+CD97</f>
        <v>2037.82866853092</v>
      </c>
      <c r="CE123" s="43" t="n">
        <f aca="false">CE47+CE54+CE67+CE97</f>
        <v>2002.65868982701</v>
      </c>
      <c r="CF123" s="43" t="n">
        <f aca="false">CF47+CF54+CF67+CF97</f>
        <v>2023.7901093059</v>
      </c>
      <c r="CG123" s="43" t="n">
        <f aca="false">CG47+CG54+CG67+CG97</f>
        <v>2044.89765441999</v>
      </c>
      <c r="CH123" s="43" t="n">
        <f aca="false">CH47+CH54+CH67+CH97</f>
        <v>2036.59749774845</v>
      </c>
      <c r="CI123" s="43" t="n">
        <f aca="false">CI47+CI54+CI67+CI97</f>
        <v>2001.10847411398</v>
      </c>
      <c r="CJ123" s="43" t="n">
        <f aca="false">CJ47+CJ54+CJ67+CJ97</f>
        <v>2022.21812131859</v>
      </c>
      <c r="CK123" s="43" t="n">
        <f aca="false">CK47+CK54+CK67+CK97</f>
        <v>2043.30330655218</v>
      </c>
      <c r="CL123" s="43" t="n">
        <f aca="false">CL47+CL54+CL67+CL97</f>
        <v>2034.91010181175</v>
      </c>
      <c r="CM123" s="43" t="n">
        <f aca="false">CM47+CM54+CM67+CM97</f>
        <v>1999.09726866895</v>
      </c>
      <c r="CN123" s="43" t="n">
        <f aca="false">CN47+CN54+CN67+CN97</f>
        <v>2020.18001284637</v>
      </c>
      <c r="CO123" s="43" t="n">
        <f aca="false">CO47+CO54+CO67+CO97</f>
        <v>2041.23768310895</v>
      </c>
      <c r="CP123" s="43" t="n">
        <f aca="false">CP47+CP54+CP67+CP97</f>
        <v>2032.7490987188</v>
      </c>
      <c r="CQ123" s="43" t="n">
        <f aca="false">CQ47+CQ54+CQ67+CQ97</f>
        <v>2018.75453048775</v>
      </c>
      <c r="CR123" s="43" t="n">
        <f aca="false">CR47+CR54+CR67+CR97</f>
        <v>2017.64543750819</v>
      </c>
      <c r="CS123" s="43" t="n">
        <f aca="false">CS47+CS54+CS67+CS97</f>
        <v>2038.67008889472</v>
      </c>
      <c r="CT123" s="43" t="n">
        <f aca="false">CT47+CT54+CT67+CT97</f>
        <v>2030.08354117925</v>
      </c>
      <c r="CU123" s="43" t="n">
        <f aca="false">CU47+CU54+CU67+CU97</f>
        <v>1994.76589078211</v>
      </c>
      <c r="CV123" s="43" t="n">
        <f aca="false">CV47+CV54+CV67+CV97</f>
        <v>2016.92995623524</v>
      </c>
      <c r="CW123" s="43" t="n">
        <f aca="false">CW47+CW54+CW67+CW97</f>
        <v>2039.09402168838</v>
      </c>
      <c r="CX123" s="43" t="n">
        <f aca="false">CX47+CX54+CX67+CX97</f>
        <v>2031.61166042314</v>
      </c>
      <c r="CY123" s="43" t="n">
        <f aca="false">CY47+CY54+CY67+CY97</f>
        <v>1996.01189994778</v>
      </c>
      <c r="CZ123" s="43" t="n">
        <f aca="false">CZ47+CZ54+CZ67+CZ97</f>
        <v>2018.1898099472</v>
      </c>
      <c r="DA123" s="43" t="n">
        <f aca="false">DA47+DA54+DA67+DA97</f>
        <v>2040.36771994662</v>
      </c>
      <c r="DB123" s="43" t="n">
        <f aca="false">DB47+DB54+DB67+DB97</f>
        <v>1948.84471502511</v>
      </c>
      <c r="DC123" s="43" t="n">
        <f aca="false">DC47+DC54+DC67+DC97</f>
        <v>1914.78609412644</v>
      </c>
      <c r="DD123" s="43" t="n">
        <f aca="false">DD47+DD54+DD67+DD97</f>
        <v>1936.06149517229</v>
      </c>
      <c r="DE123" s="43" t="n">
        <f aca="false">DE47+DE54+DE67+DE97</f>
        <v>1957.33689621814</v>
      </c>
      <c r="DF123" s="43" t="n">
        <f aca="false">DF47+DF54+DF67+DF97</f>
        <v>1949.76595305462</v>
      </c>
      <c r="DG123" s="43" t="n">
        <f aca="false">DG47+DG54+DG67+DG97</f>
        <v>1936.70210524302</v>
      </c>
      <c r="DH123" s="43" t="n">
        <f aca="false">DH47+DH54+DH67+DH97</f>
        <v>1936.70210524302</v>
      </c>
      <c r="DI123" s="43" t="n">
        <f aca="false">DI47+DI54+DI67+DI97</f>
        <v>1957.98454595998</v>
      </c>
      <c r="DJ123" s="43" t="n">
        <f aca="false">DJ47+DJ54+DJ67+DJ97</f>
        <v>1950.36918653537</v>
      </c>
      <c r="DK123" s="43" t="n">
        <f aca="false">DK47+DK54+DK67+DK97</f>
        <v>1915.7323913549</v>
      </c>
      <c r="DL123" s="43" t="n">
        <f aca="false">DL47+DL54+DL67+DL97</f>
        <v>1937.0183068144</v>
      </c>
      <c r="DM123" s="43" t="n">
        <f aca="false">DM47+DM54+DM67+DM97</f>
        <v>1958.3042222739</v>
      </c>
      <c r="DN123" s="43" t="n">
        <f aca="false">DN47+DN54+DN67+DN97</f>
        <v>1950.64436867568</v>
      </c>
      <c r="DO123" s="43" t="n">
        <f aca="false">DO47+DO54+DO67+DO97</f>
        <v>1915.71418661246</v>
      </c>
      <c r="DP123" s="43" t="n">
        <f aca="false">DP47+DP54+DP67+DP97</f>
        <v>1936.99989979704</v>
      </c>
      <c r="DQ123" s="43" t="n">
        <f aca="false">DQ47+DQ54+DQ67+DQ97</f>
        <v>1958.28561298162</v>
      </c>
      <c r="DR123" s="43" t="n">
        <f aca="false">DR47+DR54+DR67+DR97</f>
        <v>1950.58119168799</v>
      </c>
      <c r="DS123" s="43" t="n">
        <f aca="false">DS47+DS54+DS67+DS97</f>
        <v>1915.35470049663</v>
      </c>
      <c r="DT123" s="43" t="n">
        <f aca="false">DT47+DT54+DT67+DT97</f>
        <v>1936.63641939104</v>
      </c>
      <c r="DU123" s="43" t="n">
        <f aca="false">DU47+DU54+DU67+DU97</f>
        <v>1957.91813828544</v>
      </c>
      <c r="DV123" s="43" t="n">
        <f aca="false">DV47+DV54+DV67+DV97</f>
        <v>1950.16908030453</v>
      </c>
      <c r="DW123" s="43" t="n">
        <f aca="false">DW47+DW54+DW67+DW97</f>
        <v>1935.91712951107</v>
      </c>
      <c r="DX123" s="43" t="n">
        <f aca="false">DX47+DX54+DX67+DX97</f>
        <v>1935.91712951107</v>
      </c>
      <c r="DY123" s="43" t="n">
        <f aca="false">DY47+DY54+DY67+DY97</f>
        <v>1957.19094412108</v>
      </c>
      <c r="DZ123" s="43" t="n">
        <f aca="false">DZ47+DZ54+DZ67+DZ97</f>
        <v>1949.39718513351</v>
      </c>
      <c r="EA123" s="43" t="n">
        <f aca="false">EA47+EA54+EA67+EA97</f>
        <v>1913.56913675262</v>
      </c>
      <c r="EB123" s="43" t="n">
        <f aca="false">EB47+EB54+EB67+EB97</f>
        <v>1934.83101604987</v>
      </c>
      <c r="EC123" s="43" t="n">
        <f aca="false">EC47+EC54+EC67+EC97</f>
        <v>1956.09289534712</v>
      </c>
      <c r="ED123" s="43" t="n">
        <f aca="false">ED47+ED54+ED67+ED97</f>
        <v>1948.25437585199</v>
      </c>
      <c r="EE123" s="43" t="n">
        <f aca="false">EE47+EE54+EE67+EE97</f>
        <v>1912.12099118508</v>
      </c>
      <c r="EF123" s="43" t="n">
        <f aca="false">EF47+EF54+EF67+EF97</f>
        <v>1933.36677997603</v>
      </c>
      <c r="EG123" s="43" t="n">
        <f aca="false">EG47+EG54+EG67+EG97</f>
        <v>1954.61256876697</v>
      </c>
      <c r="EH123" s="43" t="n">
        <f aca="false">EH47+EH54+EH67+EH97</f>
        <v>1946.72923423136</v>
      </c>
      <c r="EI123" s="43" t="n">
        <f aca="false">EI47+EI54+EI67+EI97</f>
        <v>1910.28741454497</v>
      </c>
      <c r="EJ123" s="43" t="n">
        <f aca="false">EJ47+EJ54+EJ67+EJ97</f>
        <v>1931.51283026213</v>
      </c>
      <c r="EK123" s="43" t="n">
        <f aca="false">EK47+EK54+EK67+EK97</f>
        <v>1952.7382459793</v>
      </c>
      <c r="EL123" s="43" t="n">
        <f aca="false">EL47+EL54+EL67+EL97</f>
        <v>1944.81004699132</v>
      </c>
      <c r="EM123" s="43" t="n">
        <f aca="false">EM47+EM54+EM67+EM97</f>
        <v>1929.25727663903</v>
      </c>
      <c r="EN123" s="43" t="n">
        <f aca="false">EN47+EN54+EN67+EN97</f>
        <v>1929.25727663903</v>
      </c>
      <c r="EO123" s="43" t="n">
        <f aca="false">EO47+EO54+EO67+EO97</f>
        <v>1950.45790605265</v>
      </c>
    </row>
    <row r="124" customFormat="false" ht="15" hidden="false" customHeight="false" outlineLevel="0" collapsed="false">
      <c r="C124" s="21" t="s">
        <v>70</v>
      </c>
      <c r="D124" s="11" t="s">
        <v>53</v>
      </c>
      <c r="E124" s="27" t="n">
        <f aca="false">XIRR($J123:$EO123,$J$4:$EO$4)</f>
        <v>0.0964986484460369</v>
      </c>
    </row>
    <row r="125" customFormat="false" ht="15" hidden="false" customHeight="false" outlineLevel="0" collapsed="false">
      <c r="C125" s="21" t="s">
        <v>410</v>
      </c>
      <c r="D125" s="11" t="s">
        <v>33</v>
      </c>
      <c r="I125" s="54" t="n">
        <f aca="false">SUM(J125:EO125)</f>
        <v>138100.576225961</v>
      </c>
      <c r="J125" s="54" t="n">
        <f aca="false">J47+J54+J80+J84+J85+J67+J78+J86+J97</f>
        <v>-4661.09904297242</v>
      </c>
      <c r="K125" s="54" t="n">
        <f aca="false">K47+K54+K80+K84+K85+K67+K78+K86+K97</f>
        <v>-699.203169476608</v>
      </c>
      <c r="L125" s="54" t="n">
        <f aca="false">L47+L54+L80+L84+L85+L67+L78+L86+L97</f>
        <v>-92.0040320318945</v>
      </c>
      <c r="M125" s="54" t="n">
        <f aca="false">M47+M54+M80+M84+M85+M67+M78+M86+M97</f>
        <v>-93.0150653509263</v>
      </c>
      <c r="N125" s="54" t="n">
        <f aca="false">N47+N54+N80+N84+N85+N67+N78+N86+N97</f>
        <v>-93.0150653509263</v>
      </c>
      <c r="O125" s="54" t="n">
        <f aca="false">O47+O54+O80+O84+O85+O67+O78+O86+O97</f>
        <v>-92.0040320318945</v>
      </c>
      <c r="P125" s="54" t="n">
        <f aca="false">P47+P54+P80+P84+P85+P67+P78+P86+P97</f>
        <v>-92.0040320318945</v>
      </c>
      <c r="Q125" s="54" t="n">
        <f aca="false">Q47+Q54+Q80+Q84+Q85+Q67+Q78+Q86+Q97</f>
        <v>-93.0150653509263</v>
      </c>
      <c r="R125" s="54" t="n">
        <f aca="false">R47+R54+R80+R84+R85+R67+R78+R86+R97</f>
        <v>-3138.42862246812</v>
      </c>
      <c r="S125" s="54" t="n">
        <f aca="false">S47+S54+S80+S84+S85+S67+S78+S86+S97</f>
        <v>-4676.27677038453</v>
      </c>
      <c r="T125" s="54" t="n">
        <f aca="false">T47+T54+T80+T84+T85+T67+T78+T86+T97</f>
        <v>-2230.90881890173</v>
      </c>
      <c r="U125" s="54" t="n">
        <f aca="false">U47+U54+U80+U84+U85+U67+U78+U86+U97</f>
        <v>-2244.29410425999</v>
      </c>
      <c r="V125" s="54" t="n">
        <f aca="false">V47+V54+V80+V84+V85+V67+V78+V86+V97</f>
        <v>-2233.04159824385</v>
      </c>
      <c r="W125" s="54" t="n">
        <f aca="false">W47+W54+W80+W84+W85+W67+W78+W86+W97</f>
        <v>-2174.43653951023</v>
      </c>
      <c r="X125" s="54" t="n">
        <f aca="false">X47+X54+X80+X84+X85+X67+X78+X86+X97</f>
        <v>-2187.70871012291</v>
      </c>
      <c r="Y125" s="54" t="n">
        <f aca="false">Y47+Y54+Y80+Y84+Y85+Y67+Y78+Y86+Y97</f>
        <v>-3749.19180599592</v>
      </c>
      <c r="Z125" s="54" t="n">
        <f aca="false">Z47+Z54+Z80+Z84+Z85+Z67+Z78+Z86+Z97</f>
        <v>995.496046600009</v>
      </c>
      <c r="AA125" s="54" t="n">
        <f aca="false">AA47+AA54+AA80+AA84+AA85+AA67+AA78+AA86+AA97</f>
        <v>980.22045718527</v>
      </c>
      <c r="AB125" s="54" t="n">
        <f aca="false">AB47+AB54+AB80+AB84+AB85+AB67+AB78+AB86+AB97</f>
        <v>990.850795857879</v>
      </c>
      <c r="AC125" s="54" t="n">
        <f aca="false">AC47+AC54+AC80+AC84+AC85+AC67+AC78+AC86+AC97</f>
        <v>1001.47669276347</v>
      </c>
      <c r="AD125" s="54" t="n">
        <f aca="false">AD47+AD54+AD80+AD84+AD85+AD67+AD78+AD86+AD97</f>
        <v>997.885750327112</v>
      </c>
      <c r="AE125" s="54" t="n">
        <f aca="false">AE47+AE54+AE80+AE84+AE85+AE67+AE78+AE86+AE97</f>
        <v>993.25380437137</v>
      </c>
      <c r="AF125" s="54" t="n">
        <f aca="false">AF47+AF54+AF80+AF84+AF85+AF67+AF78+AF86+AF97</f>
        <v>993.131328190041</v>
      </c>
      <c r="AG125" s="54" t="n">
        <f aca="false">AG47+AG54+AG80+AG84+AG85+AG67+AG78+AG86+AG97</f>
        <v>995.591223486116</v>
      </c>
      <c r="AH125" s="54" t="n">
        <f aca="false">AH47+AH54+AH80+AH84+AH85+AH67+AH78+AH86+AH97</f>
        <v>987.795060531209</v>
      </c>
      <c r="AI125" s="54" t="n">
        <f aca="false">AI47+AI54+AI80+AI84+AI85+AI67+AI78+AI86+AI97</f>
        <v>972.390835663596</v>
      </c>
      <c r="AJ125" s="54" t="n">
        <f aca="false">AJ47+AJ54+AJ80+AJ84+AJ85+AJ67+AJ78+AJ86+AJ97</f>
        <v>992.006902084531</v>
      </c>
      <c r="AK125" s="54" t="n">
        <f aca="false">AK47+AK54+AK80+AK84+AK85+AK67+AK78+AK86+AK97</f>
        <v>1002.37930217823</v>
      </c>
      <c r="AL125" s="54" t="n">
        <f aca="false">AL47+AL54+AL80+AL84+AL85+AL67+AL78+AL86+AL97</f>
        <v>998.763062677233</v>
      </c>
      <c r="AM125" s="54" t="n">
        <f aca="false">AM47+AM54+AM80+AM84+AM85+AM67+AM78+AM86+AM97</f>
        <v>983.01495942022</v>
      </c>
      <c r="AN125" s="54" t="n">
        <f aca="false">AN47+AN54+AN80+AN84+AN85+AN67+AN78+AN86+AN97</f>
        <v>993.409602908555</v>
      </c>
      <c r="AO125" s="54" t="n">
        <f aca="false">AO47+AO54+AO80+AO84+AO85+AO67+AO78+AO86+AO97</f>
        <v>1003.79501029636</v>
      </c>
      <c r="AP125" s="54" t="n">
        <f aca="false">AP47+AP54+AP80+AP84+AP85+AP67+AP78+AP86+AP97</f>
        <v>1000.14358592522</v>
      </c>
      <c r="AQ125" s="54" t="n">
        <f aca="false">AQ47+AQ54+AQ80+AQ84+AQ85+AQ67+AQ78+AQ86+AQ97</f>
        <v>984.26024537276</v>
      </c>
      <c r="AR125" s="54" t="n">
        <f aca="false">AR47+AR54+AR80+AR84+AR85+AR67+AR78+AR86+AR97</f>
        <v>994.666478551094</v>
      </c>
      <c r="AS125" s="54" t="n">
        <f aca="false">AS47+AS54+AS80+AS84+AS85+AS67+AS78+AS86+AS97</f>
        <v>1005.06328727311</v>
      </c>
      <c r="AT125" s="54" t="n">
        <f aca="false">AT47+AT54+AT80+AT84+AT85+AT67+AT78+AT86+AT97</f>
        <v>1001.37597001565</v>
      </c>
      <c r="AU125" s="54" t="n">
        <f aca="false">AU47+AU54+AU80+AU84+AU85+AU67+AU78+AU86+AU97</f>
        <v>996.066156385719</v>
      </c>
      <c r="AV125" s="54" t="n">
        <f aca="false">AV47+AV54+AV80+AV84+AV85+AV67+AV78+AV86+AV97</f>
        <v>995.765688607607</v>
      </c>
      <c r="AW125" s="54" t="n">
        <f aca="false">AW47+AW54+AW80+AW84+AW85+AW67+AW78+AW86+AW97</f>
        <v>1006.17215621723</v>
      </c>
      <c r="AX125" s="54" t="n">
        <f aca="false">AX47+AX54+AX80+AX84+AX85+AX67+AX78+AX86+AX97</f>
        <v>1002.44813620743</v>
      </c>
      <c r="AY125" s="54" t="n">
        <f aca="false">AY47+AY54+AY80+AY84+AY85+AY67+AY78+AY86+AY97</f>
        <v>986.288935091584</v>
      </c>
      <c r="AZ125" s="54" t="n">
        <f aca="false">AZ47+AZ54+AZ80+AZ84+AZ85+AZ67+AZ78+AZ86+AZ97</f>
        <v>996.71321959082</v>
      </c>
      <c r="BA125" s="54" t="n">
        <f aca="false">BA47+BA54+BA80+BA84+BA85+BA67+BA78+BA86+BA97</f>
        <v>1007.12767995075</v>
      </c>
      <c r="BB125" s="54" t="n">
        <f aca="false">BB47+BB54+BB80+BB84+BB85+BB67+BB78+BB86+BB97</f>
        <v>1003.36626178448</v>
      </c>
      <c r="BC125" s="54" t="n">
        <f aca="false">BC47+BC54+BC80+BC84+BC85+BC67+BC78+BC86+BC97</f>
        <v>987.066417952244</v>
      </c>
      <c r="BD125" s="54" t="n">
        <f aca="false">BD47+BD54+BD80+BD84+BD85+BD67+BD78+BD86+BD97</f>
        <v>997.497102460701</v>
      </c>
      <c r="BE125" s="54" t="n">
        <f aca="false">BE47+BE54+BE80+BE84+BE85+BE67+BE78+BE86+BE97</f>
        <v>1007.91775166881</v>
      </c>
      <c r="BF125" s="54" t="n">
        <f aca="false">BF47+BF54+BF80+BF84+BF85+BF67+BF78+BF86+BF97</f>
        <v>1004.11813877727</v>
      </c>
      <c r="BG125" s="54" t="n">
        <f aca="false">BG47+BG54+BG80+BG84+BG85+BG67+BG78+BG86+BG97</f>
        <v>987.675758166292</v>
      </c>
      <c r="BH125" s="54" t="n">
        <f aca="false">BH47+BH54+BH80+BH84+BH85+BH67+BH78+BH86+BH97</f>
        <v>998.110976361954</v>
      </c>
      <c r="BI125" s="54" t="n">
        <f aca="false">BI47+BI54+BI80+BI84+BI85+BI67+BI78+BI86+BI97</f>
        <v>1008.53593978815</v>
      </c>
      <c r="BJ125" s="54" t="n">
        <f aca="false">BJ47+BJ54+BJ80+BJ84+BJ85+BJ67+BJ78+BJ86+BJ97</f>
        <v>1004.69730330101</v>
      </c>
      <c r="BK125" s="54" t="n">
        <f aca="false">BK47+BK54+BK80+BK84+BK85+BK67+BK78+BK86+BK97</f>
        <v>998.91065664116</v>
      </c>
      <c r="BL125" s="54" t="n">
        <f aca="false">BL47+BL54+BL80+BL84+BL85+BL67+BL78+BL86+BL97</f>
        <v>998.542095309458</v>
      </c>
      <c r="BM125" s="54" t="n">
        <f aca="false">BM47+BM54+BM80+BM84+BM85+BM67+BM78+BM86+BM97</f>
        <v>1008.96935155957</v>
      </c>
      <c r="BN125" s="54" t="n">
        <f aca="false">BN47+BN54+BN80+BN84+BN85+BN67+BN78+BN86+BN97</f>
        <v>1005.09075441369</v>
      </c>
      <c r="BO125" s="54" t="n">
        <f aca="false">BO47+BO54+BO80+BO84+BO85+BO67+BO78+BO86+BO97</f>
        <v>988.35734249173</v>
      </c>
      <c r="BP125" s="54" t="n">
        <f aca="false">BP47+BP54+BP80+BP84+BP85+BP67+BP78+BP86+BP97</f>
        <v>998.795658743581</v>
      </c>
      <c r="BQ125" s="54" t="n">
        <f aca="false">BQ47+BQ54+BQ80+BQ84+BQ85+BQ67+BQ78+BQ86+BQ97</f>
        <v>1009.22325388225</v>
      </c>
      <c r="BR125" s="54" t="n">
        <f aca="false">BR47+BR54+BR80+BR84+BR85+BR67+BR78+BR86+BR97</f>
        <v>1005.30386867857</v>
      </c>
      <c r="BS125" s="54" t="n">
        <f aca="false">BS47+BS54+BS80+BS84+BS85+BS67+BS78+BS86+BS97</f>
        <v>988.421928845923</v>
      </c>
      <c r="BT125" s="54" t="n">
        <f aca="false">BT47+BT54+BT80+BT84+BT85+BT67+BT78+BT86+BT97</f>
        <v>998.858728117282</v>
      </c>
      <c r="BU125" s="54" t="n">
        <f aca="false">BU47+BU54+BU80+BU84+BU85+BU67+BU78+BU86+BU97</f>
        <v>1009.28455943088</v>
      </c>
      <c r="BV125" s="54" t="n">
        <f aca="false">BV47+BV54+BV80+BV84+BV85+BV67+BV78+BV86+BV97</f>
        <v>1005.32345072285</v>
      </c>
      <c r="BW125" s="54" t="n">
        <f aca="false">BW47+BW54+BW80+BW84+BW85+BW67+BW78+BW86+BW97</f>
        <v>988.290878632468</v>
      </c>
      <c r="BX125" s="54" t="n">
        <f aca="false">BX47+BX54+BX80+BX84+BX85+BX67+BX78+BX86+BX97</f>
        <v>998.72398662431</v>
      </c>
      <c r="BY125" s="54" t="n">
        <f aca="false">BY47+BY54+BY80+BY84+BY85+BY67+BY78+BY86+BY97</f>
        <v>1009.14586983334</v>
      </c>
      <c r="BZ125" s="54" t="n">
        <f aca="false">BZ47+BZ54+BZ80+BZ84+BZ85+BZ67+BZ78+BZ86+BZ97</f>
        <v>1005.14206327382</v>
      </c>
      <c r="CA125" s="54" t="n">
        <f aca="false">CA47+CA54+CA80+CA84+CA85+CA67+CA78+CA86+CA97</f>
        <v>998.827472856661</v>
      </c>
      <c r="CB125" s="54" t="n">
        <f aca="false">CB47+CB54+CB80+CB84+CB85+CB67+CB78+CB86+CB97</f>
        <v>998.377655385653</v>
      </c>
      <c r="CC125" s="54" t="n">
        <f aca="false">CC47+CC54+CC80+CC84+CC85+CC67+CC78+CC86+CC97</f>
        <v>1008.79324770482</v>
      </c>
      <c r="CD125" s="54" t="n">
        <f aca="false">CD47+CD54+CD80+CD84+CD85+CD67+CD78+CD86+CD97</f>
        <v>1004.74565334917</v>
      </c>
      <c r="CE125" s="54" t="n">
        <f aca="false">CE47+CE54+CE80+CE84+CE85+CE67+CE78+CE86+CE97</f>
        <v>987.405194959887</v>
      </c>
      <c r="CF125" s="54" t="n">
        <f aca="false">CF47+CF54+CF80+CF84+CF85+CF67+CF78+CF86+CF97</f>
        <v>997.823981484179</v>
      </c>
      <c r="CG125" s="54" t="n">
        <f aca="false">CG47+CG54+CG80+CG84+CG85+CG67+CG78+CG86+CG97</f>
        <v>1008.23099682052</v>
      </c>
      <c r="CH125" s="54" t="n">
        <f aca="false">CH47+CH54+CH80+CH84+CH85+CH67+CH78+CH86+CH97</f>
        <v>1004.13862808186</v>
      </c>
      <c r="CI125" s="54" t="n">
        <f aca="false">CI47+CI54+CI80+CI84+CI85+CI67+CI78+CI86+CI97</f>
        <v>986.640865493181</v>
      </c>
      <c r="CJ125" s="54" t="n">
        <f aca="false">CJ47+CJ54+CJ80+CJ84+CJ85+CJ67+CJ78+CJ86+CJ97</f>
        <v>997.048917259306</v>
      </c>
      <c r="CK125" s="54" t="n">
        <f aca="false">CK47+CK54+CK80+CK84+CK85+CK67+CK78+CK86+CK97</f>
        <v>1007.4449081199</v>
      </c>
      <c r="CL125" s="54" t="n">
        <f aca="false">CL47+CL54+CL80+CL84+CL85+CL67+CL78+CL86+CL97</f>
        <v>1003.30666229441</v>
      </c>
      <c r="CM125" s="54" t="n">
        <f aca="false">CM47+CM54+CM80+CM84+CM85+CM67+CM78+CM86+CM97</f>
        <v>985.649246344764</v>
      </c>
      <c r="CN125" s="54" t="n">
        <f aca="false">CN47+CN54+CN80+CN84+CN85+CN67+CN78+CN86+CN97</f>
        <v>996.044033649531</v>
      </c>
      <c r="CO125" s="54" t="n">
        <f aca="false">CO47+CO54+CO80+CO84+CO85+CO67+CO78+CO86+CO97</f>
        <v>1006.4264583316</v>
      </c>
      <c r="CP125" s="54" t="n">
        <f aca="false">CP47+CP54+CP80+CP84+CP85+CP67+CP78+CP86+CP97</f>
        <v>1002.24118583995</v>
      </c>
      <c r="CQ125" s="54" t="n">
        <f aca="false">CQ47+CQ54+CQ80+CQ84+CQ85+CQ67+CQ78+CQ86+CQ97</f>
        <v>995.341203609955</v>
      </c>
      <c r="CR125" s="54" t="n">
        <f aca="false">CR47+CR54+CR80+CR84+CR85+CR67+CR78+CR86+CR97</f>
        <v>994.794368457629</v>
      </c>
      <c r="CS125" s="54" t="n">
        <f aca="false">CS47+CS54+CS80+CS84+CS85+CS67+CS78+CS86+CS97</f>
        <v>2028.73305026124</v>
      </c>
      <c r="CT125" s="54" t="n">
        <f aca="false">CT47+CT54+CT80+CT84+CT85+CT67+CT78+CT86+CT97</f>
        <v>2030.08354117925</v>
      </c>
      <c r="CU125" s="54" t="n">
        <f aca="false">CU47+CU54+CU80+CU84+CU85+CU67+CU78+CU86+CU97</f>
        <v>1994.76589078211</v>
      </c>
      <c r="CV125" s="54" t="n">
        <f aca="false">CV47+CV54+CV80+CV84+CV85+CV67+CV78+CV86+CV97</f>
        <v>2016.92995623524</v>
      </c>
      <c r="CW125" s="54" t="n">
        <f aca="false">CW47+CW54+CW80+CW84+CW85+CW67+CW78+CW86+CW97</f>
        <v>2039.09402168838</v>
      </c>
      <c r="CX125" s="54" t="n">
        <f aca="false">CX47+CX54+CX80+CX84+CX85+CX67+CX78+CX86+CX97</f>
        <v>2031.61166042314</v>
      </c>
      <c r="CY125" s="54" t="n">
        <f aca="false">CY47+CY54+CY80+CY84+CY85+CY67+CY78+CY86+CY97</f>
        <v>1996.01189994778</v>
      </c>
      <c r="CZ125" s="54" t="n">
        <f aca="false">CZ47+CZ54+CZ80+CZ84+CZ85+CZ67+CZ78+CZ86+CZ97</f>
        <v>2018.1898099472</v>
      </c>
      <c r="DA125" s="54" t="n">
        <f aca="false">DA47+DA54+DA80+DA84+DA85+DA67+DA78+DA86+DA97</f>
        <v>2040.36771994662</v>
      </c>
      <c r="DB125" s="54" t="n">
        <f aca="false">DB47+DB54+DB80+DB84+DB85+DB67+DB78+DB86+DB97</f>
        <v>1948.84471502511</v>
      </c>
      <c r="DC125" s="54" t="n">
        <f aca="false">DC47+DC54+DC80+DC84+DC85+DC67+DC78+DC86+DC97</f>
        <v>1914.78609412644</v>
      </c>
      <c r="DD125" s="54" t="n">
        <f aca="false">DD47+DD54+DD80+DD84+DD85+DD67+DD78+DD86+DD97</f>
        <v>1936.06149517229</v>
      </c>
      <c r="DE125" s="54" t="n">
        <f aca="false">DE47+DE54+DE80+DE84+DE85+DE67+DE78+DE86+DE97</f>
        <v>1957.33689621814</v>
      </c>
      <c r="DF125" s="54" t="n">
        <f aca="false">DF47+DF54+DF80+DF84+DF85+DF67+DF78+DF86+DF97</f>
        <v>1949.76595305462</v>
      </c>
      <c r="DG125" s="54" t="n">
        <f aca="false">DG47+DG54+DG80+DG84+DG85+DG67+DG78+DG86+DG97</f>
        <v>1936.70210524302</v>
      </c>
      <c r="DH125" s="54" t="n">
        <f aca="false">DH47+DH54+DH80+DH84+DH85+DH67+DH78+DH86+DH97</f>
        <v>1936.70210524302</v>
      </c>
      <c r="DI125" s="54" t="n">
        <f aca="false">DI47+DI54+DI80+DI84+DI85+DI67+DI78+DI86+DI97</f>
        <v>1957.98454595998</v>
      </c>
      <c r="DJ125" s="54" t="n">
        <f aca="false">DJ47+DJ54+DJ80+DJ84+DJ85+DJ67+DJ78+DJ86+DJ97</f>
        <v>1950.36918653537</v>
      </c>
      <c r="DK125" s="54" t="n">
        <f aca="false">DK47+DK54+DK80+DK84+DK85+DK67+DK78+DK86+DK97</f>
        <v>1915.7323913549</v>
      </c>
      <c r="DL125" s="54" t="n">
        <f aca="false">DL47+DL54+DL80+DL84+DL85+DL67+DL78+DL86+DL97</f>
        <v>1937.0183068144</v>
      </c>
      <c r="DM125" s="54" t="n">
        <f aca="false">DM47+DM54+DM80+DM84+DM85+DM67+DM78+DM86+DM97</f>
        <v>1958.3042222739</v>
      </c>
      <c r="DN125" s="54" t="n">
        <f aca="false">DN47+DN54+DN80+DN84+DN85+DN67+DN78+DN86+DN97</f>
        <v>1950.64436867568</v>
      </c>
      <c r="DO125" s="54" t="n">
        <f aca="false">DO47+DO54+DO80+DO84+DO85+DO67+DO78+DO86+DO97</f>
        <v>1915.71418661246</v>
      </c>
      <c r="DP125" s="54" t="n">
        <f aca="false">DP47+DP54+DP80+DP84+DP85+DP67+DP78+DP86+DP97</f>
        <v>1936.99989979704</v>
      </c>
      <c r="DQ125" s="54" t="n">
        <f aca="false">DQ47+DQ54+DQ80+DQ84+DQ85+DQ67+DQ78+DQ86+DQ97</f>
        <v>1958.28561298162</v>
      </c>
      <c r="DR125" s="54" t="n">
        <f aca="false">DR47+DR54+DR80+DR84+DR85+DR67+DR78+DR86+DR97</f>
        <v>1950.58119168799</v>
      </c>
      <c r="DS125" s="54" t="n">
        <f aca="false">DS47+DS54+DS80+DS84+DS85+DS67+DS78+DS86+DS97</f>
        <v>1915.35470049663</v>
      </c>
      <c r="DT125" s="54" t="n">
        <f aca="false">DT47+DT54+DT80+DT84+DT85+DT67+DT78+DT86+DT97</f>
        <v>1936.63641939104</v>
      </c>
      <c r="DU125" s="54" t="n">
        <f aca="false">DU47+DU54+DU80+DU84+DU85+DU67+DU78+DU86+DU97</f>
        <v>1957.91813828544</v>
      </c>
      <c r="DV125" s="54" t="n">
        <f aca="false">DV47+DV54+DV80+DV84+DV85+DV67+DV78+DV86+DV97</f>
        <v>1950.16908030453</v>
      </c>
      <c r="DW125" s="54" t="n">
        <f aca="false">DW47+DW54+DW80+DW84+DW85+DW67+DW78+DW86+DW97</f>
        <v>1935.91712951107</v>
      </c>
      <c r="DX125" s="54" t="n">
        <f aca="false">DX47+DX54+DX80+DX84+DX85+DX67+DX78+DX86+DX97</f>
        <v>1935.91712951107</v>
      </c>
      <c r="DY125" s="54" t="n">
        <f aca="false">DY47+DY54+DY80+DY84+DY85+DY67+DY78+DY86+DY97</f>
        <v>1957.19094412108</v>
      </c>
      <c r="DZ125" s="54" t="n">
        <f aca="false">DZ47+DZ54+DZ80+DZ84+DZ85+DZ67+DZ78+DZ86+DZ97</f>
        <v>1949.39718513351</v>
      </c>
      <c r="EA125" s="54" t="n">
        <f aca="false">EA47+EA54+EA80+EA84+EA85+EA67+EA78+EA86+EA97</f>
        <v>1913.56913675262</v>
      </c>
      <c r="EB125" s="54" t="n">
        <f aca="false">EB47+EB54+EB80+EB84+EB85+EB67+EB78+EB86+EB97</f>
        <v>1934.83101604987</v>
      </c>
      <c r="EC125" s="54" t="n">
        <f aca="false">EC47+EC54+EC80+EC84+EC85+EC67+EC78+EC86+EC97</f>
        <v>1956.09289534712</v>
      </c>
      <c r="ED125" s="54" t="n">
        <f aca="false">ED47+ED54+ED80+ED84+ED85+ED67+ED78+ED86+ED97</f>
        <v>1948.25437585199</v>
      </c>
      <c r="EE125" s="54" t="n">
        <f aca="false">EE47+EE54+EE80+EE84+EE85+EE67+EE78+EE86+EE97</f>
        <v>1912.12099118508</v>
      </c>
      <c r="EF125" s="54" t="n">
        <f aca="false">EF47+EF54+EF80+EF84+EF85+EF67+EF78+EF86+EF97</f>
        <v>1933.36677997603</v>
      </c>
      <c r="EG125" s="54" t="n">
        <f aca="false">EG47+EG54+EG80+EG84+EG85+EG67+EG78+EG86+EG97</f>
        <v>1954.61256876697</v>
      </c>
      <c r="EH125" s="54" t="n">
        <f aca="false">EH47+EH54+EH80+EH84+EH85+EH67+EH78+EH86+EH97</f>
        <v>1946.72923423136</v>
      </c>
      <c r="EI125" s="54" t="n">
        <f aca="false">EI47+EI54+EI80+EI84+EI85+EI67+EI78+EI86+EI97</f>
        <v>1910.28741454497</v>
      </c>
      <c r="EJ125" s="54" t="n">
        <f aca="false">EJ47+EJ54+EJ80+EJ84+EJ85+EJ67+EJ78+EJ86+EJ97</f>
        <v>1931.51283026213</v>
      </c>
      <c r="EK125" s="54" t="n">
        <f aca="false">EK47+EK54+EK80+EK84+EK85+EK67+EK78+EK86+EK97</f>
        <v>1952.7382459793</v>
      </c>
      <c r="EL125" s="54" t="n">
        <f aca="false">EL47+EL54+EL80+EL84+EL85+EL67+EL78+EL86+EL97</f>
        <v>1944.81004699132</v>
      </c>
      <c r="EM125" s="54" t="n">
        <f aca="false">EM47+EM54+EM80+EM84+EM85+EM67+EM78+EM86+EM97</f>
        <v>1929.25727663903</v>
      </c>
      <c r="EN125" s="54" t="n">
        <f aca="false">EN47+EN54+EN80+EN84+EN85+EN67+EN78+EN86+EN97</f>
        <v>1929.25727663903</v>
      </c>
      <c r="EO125" s="54" t="n">
        <f aca="false">EO47+EO54+EO80+EO84+EO85+EO67+EO78+EO86+EO97</f>
        <v>1950.45790605265</v>
      </c>
    </row>
    <row r="126" customFormat="false" ht="15" hidden="false" customHeight="false" outlineLevel="0" collapsed="false">
      <c r="C126" s="21" t="s">
        <v>63</v>
      </c>
      <c r="D126" s="11" t="s">
        <v>53</v>
      </c>
      <c r="E126" s="27" t="n">
        <f aca="false">XIRR($J125:$EO125,$J$4:$EO$4)</f>
        <v>0.128179632485241</v>
      </c>
    </row>
    <row r="127" customFormat="false" ht="15" hidden="false" customHeight="false" outlineLevel="0" collapsed="false">
      <c r="C127" s="21" t="s">
        <v>65</v>
      </c>
      <c r="D127" s="11" t="s">
        <v>13</v>
      </c>
      <c r="E127" s="57" t="n">
        <f aca="false">SUMIF($J125:$EO125,"&gt;0")/-SUMIF($J125:$EO125,"&lt;0")</f>
        <v>5.83720792652839</v>
      </c>
    </row>
    <row r="128" customFormat="false" ht="15" hidden="false" customHeight="false" outlineLevel="0" collapsed="false">
      <c r="C128" s="21" t="s">
        <v>67</v>
      </c>
      <c r="D128" s="11" t="s">
        <v>33</v>
      </c>
      <c r="E128" s="54" t="n">
        <f aca="false">XNPV(In_Discount_Rate,$J125:$EO125,$J$4:$EO$4)</f>
        <v>16315.6538438964</v>
      </c>
    </row>
    <row r="130" customFormat="false" ht="15" hidden="false" customHeight="false" outlineLevel="0" collapsed="false">
      <c r="C130" s="37" t="s">
        <v>137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324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411</v>
      </c>
      <c r="F9" s="8" t="s">
        <v>412</v>
      </c>
    </row>
    <row r="11" customFormat="false" ht="15" hidden="false" customHeight="false" outlineLevel="0" collapsed="false">
      <c r="A11" s="9" t="s">
        <v>13</v>
      </c>
      <c r="B11" s="9"/>
      <c r="C11" s="9" t="s">
        <v>413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414</v>
      </c>
      <c r="D12" s="11" t="s">
        <v>30</v>
      </c>
      <c r="E12" s="23" t="str">
        <f aca="false">IF(F12=0,"OK","CHECK")</f>
        <v>OK</v>
      </c>
      <c r="F12" s="46" t="n">
        <f aca="false">N(Tax_1_Delta&gt;Tolerance)</f>
        <v>0</v>
      </c>
    </row>
    <row r="13" customFormat="false" ht="15" hidden="false" customHeight="false" outlineLevel="0" collapsed="false">
      <c r="C13" s="0" t="s">
        <v>415</v>
      </c>
      <c r="D13" s="11" t="s">
        <v>30</v>
      </c>
      <c r="E13" s="23" t="str">
        <f aca="false">IF(F13=0,"OK","CHECK")</f>
        <v>OK</v>
      </c>
      <c r="F13" s="46" t="n">
        <f aca="false">N(Tax_2_Delta&gt;Tolerance)</f>
        <v>0</v>
      </c>
    </row>
    <row r="14" customFormat="false" ht="15" hidden="false" customHeight="false" outlineLevel="0" collapsed="false">
      <c r="C14" s="0" t="s">
        <v>416</v>
      </c>
      <c r="D14" s="11" t="s">
        <v>30</v>
      </c>
      <c r="E14" s="23" t="str">
        <f aca="false">IF(F14=0,"OK","CHECK")</f>
        <v>OK</v>
      </c>
      <c r="F14" s="46" t="n">
        <f aca="false">N(Calc_1!$E32+Calc_1!$F32&gt;0)</f>
        <v>0</v>
      </c>
    </row>
    <row r="15" customFormat="false" ht="15" hidden="false" customHeight="false" outlineLevel="0" collapsed="false">
      <c r="C15" s="0" t="s">
        <v>417</v>
      </c>
      <c r="D15" s="11" t="s">
        <v>30</v>
      </c>
      <c r="E15" s="23" t="str">
        <f aca="false">IF(F15=0,"OK","CHECK")</f>
        <v>OK</v>
      </c>
      <c r="F15" s="46" t="n">
        <f aca="false">N(Calc_2!$E32+Calc_2!$F32&gt;0)</f>
        <v>0</v>
      </c>
    </row>
    <row r="16" customFormat="false" ht="15" hidden="false" customHeight="false" outlineLevel="0" collapsed="false">
      <c r="C16" s="0" t="s">
        <v>418</v>
      </c>
      <c r="D16" s="11" t="s">
        <v>30</v>
      </c>
      <c r="E16" s="23" t="str">
        <f aca="false">IF(F16=0,"OK","CHECK")</f>
        <v>OK</v>
      </c>
      <c r="F16" s="46" t="n">
        <f aca="false">N(COUNTIF(Calc_1!$J$4:$EO$4,In_COD)=0)</f>
        <v>0</v>
      </c>
    </row>
    <row r="17" customFormat="false" ht="15" hidden="false" customHeight="false" outlineLevel="0" collapsed="false">
      <c r="C17" s="0" t="s">
        <v>419</v>
      </c>
      <c r="D17" s="11" t="s">
        <v>30</v>
      </c>
      <c r="E17" s="23" t="str">
        <f aca="false">IF(F17=0,"OK","CHECK")</f>
        <v>OK</v>
      </c>
      <c r="F17" s="46" t="n">
        <f aca="false">N(COUNTIF(Calc_2!$J$4:$EO$4,In_COD)=0)</f>
        <v>0</v>
      </c>
    </row>
    <row r="18" customFormat="false" ht="15" hidden="false" customHeight="false" outlineLevel="0" collapsed="false">
      <c r="C18" s="0" t="s">
        <v>420</v>
      </c>
      <c r="D18" s="11" t="s">
        <v>30</v>
      </c>
      <c r="E18" s="23" t="str">
        <f aca="false">IF(F18=0,"OK","CHECK")</f>
        <v>OK</v>
      </c>
      <c r="F18" s="46" t="n">
        <f aca="false">N(Calc_1!$F74&gt;1+Tolerance)</f>
        <v>0</v>
      </c>
    </row>
    <row r="19" customFormat="false" ht="15" hidden="false" customHeight="false" outlineLevel="0" collapsed="false">
      <c r="C19" s="0" t="s">
        <v>421</v>
      </c>
      <c r="D19" s="11" t="s">
        <v>30</v>
      </c>
      <c r="E19" s="23" t="str">
        <f aca="false">IF(F19=0,"OK","CHECK")</f>
        <v>OK</v>
      </c>
      <c r="F19" s="46" t="n">
        <f aca="false">N(Calc_2!$F74&gt;1+Tolerance)</f>
        <v>0</v>
      </c>
    </row>
    <row r="20" customFormat="false" ht="15" hidden="false" customHeight="false" outlineLevel="0" collapsed="false">
      <c r="C20" s="0" t="s">
        <v>422</v>
      </c>
      <c r="D20" s="11" t="s">
        <v>30</v>
      </c>
      <c r="E20" s="23" t="str">
        <f aca="false">IF(F20=0,"OK","CHECK")</f>
        <v>OK</v>
      </c>
      <c r="F20" s="46" t="n">
        <f aca="false">SUM(J20:EO20)</f>
        <v>0</v>
      </c>
      <c r="J20" s="46" t="n">
        <f aca="false">N((Calc_1!J$4&gt;=Calc_1!$F17)*ABS(Calc_1!J83)&gt;Tolerance)</f>
        <v>0</v>
      </c>
      <c r="K20" s="46" t="n">
        <f aca="false">N((Calc_1!K$4&gt;=Calc_1!$F17)*ABS(Calc_1!K83)&gt;Tolerance)</f>
        <v>0</v>
      </c>
      <c r="L20" s="46" t="n">
        <f aca="false">N((Calc_1!L$4&gt;=Calc_1!$F17)*ABS(Calc_1!L83)&gt;Tolerance)</f>
        <v>0</v>
      </c>
      <c r="M20" s="46" t="n">
        <f aca="false">N((Calc_1!M$4&gt;=Calc_1!$F17)*ABS(Calc_1!M83)&gt;Tolerance)</f>
        <v>0</v>
      </c>
      <c r="N20" s="46" t="n">
        <f aca="false">N((Calc_1!N$4&gt;=Calc_1!$F17)*ABS(Calc_1!N83)&gt;Tolerance)</f>
        <v>0</v>
      </c>
      <c r="O20" s="46" t="n">
        <f aca="false">N((Calc_1!O$4&gt;=Calc_1!$F17)*ABS(Calc_1!O83)&gt;Tolerance)</f>
        <v>0</v>
      </c>
      <c r="P20" s="46" t="n">
        <f aca="false">N((Calc_1!P$4&gt;=Calc_1!$F17)*ABS(Calc_1!P83)&gt;Tolerance)</f>
        <v>0</v>
      </c>
      <c r="Q20" s="46" t="n">
        <f aca="false">N((Calc_1!Q$4&gt;=Calc_1!$F17)*ABS(Calc_1!Q83)&gt;Tolerance)</f>
        <v>0</v>
      </c>
      <c r="R20" s="46" t="n">
        <f aca="false">N((Calc_1!R$4&gt;=Calc_1!$F17)*ABS(Calc_1!R83)&gt;Tolerance)</f>
        <v>0</v>
      </c>
      <c r="S20" s="46" t="n">
        <f aca="false">N((Calc_1!S$4&gt;=Calc_1!$F17)*ABS(Calc_1!S83)&gt;Tolerance)</f>
        <v>0</v>
      </c>
      <c r="T20" s="46" t="n">
        <f aca="false">N((Calc_1!T$4&gt;=Calc_1!$F17)*ABS(Calc_1!T83)&gt;Tolerance)</f>
        <v>0</v>
      </c>
      <c r="U20" s="46" t="n">
        <f aca="false">N((Calc_1!U$4&gt;=Calc_1!$F17)*ABS(Calc_1!U83)&gt;Tolerance)</f>
        <v>0</v>
      </c>
      <c r="V20" s="46" t="n">
        <f aca="false">N((Calc_1!V$4&gt;=Calc_1!$F17)*ABS(Calc_1!V83)&gt;Tolerance)</f>
        <v>0</v>
      </c>
      <c r="W20" s="46" t="n">
        <f aca="false">N((Calc_1!W$4&gt;=Calc_1!$F17)*ABS(Calc_1!W83)&gt;Tolerance)</f>
        <v>0</v>
      </c>
      <c r="X20" s="46" t="n">
        <f aca="false">N((Calc_1!X$4&gt;=Calc_1!$F17)*ABS(Calc_1!X83)&gt;Tolerance)</f>
        <v>0</v>
      </c>
      <c r="Y20" s="46" t="n">
        <f aca="false">N((Calc_1!Y$4&gt;=Calc_1!$F17)*ABS(Calc_1!Y83)&gt;Tolerance)</f>
        <v>0</v>
      </c>
      <c r="Z20" s="46" t="n">
        <f aca="false">N((Calc_1!Z$4&gt;=Calc_1!$F17)*ABS(Calc_1!Z83)&gt;Tolerance)</f>
        <v>0</v>
      </c>
      <c r="AA20" s="46" t="n">
        <f aca="false">N((Calc_1!AA$4&gt;=Calc_1!$F17)*ABS(Calc_1!AA83)&gt;Tolerance)</f>
        <v>0</v>
      </c>
      <c r="AB20" s="46" t="n">
        <f aca="false">N((Calc_1!AB$4&gt;=Calc_1!$F17)*ABS(Calc_1!AB83)&gt;Tolerance)</f>
        <v>0</v>
      </c>
      <c r="AC20" s="46" t="n">
        <f aca="false">N((Calc_1!AC$4&gt;=Calc_1!$F17)*ABS(Calc_1!AC83)&gt;Tolerance)</f>
        <v>0</v>
      </c>
      <c r="AD20" s="46" t="n">
        <f aca="false">N((Calc_1!AD$4&gt;=Calc_1!$F17)*ABS(Calc_1!AD83)&gt;Tolerance)</f>
        <v>0</v>
      </c>
      <c r="AE20" s="46" t="n">
        <f aca="false">N((Calc_1!AE$4&gt;=Calc_1!$F17)*ABS(Calc_1!AE83)&gt;Tolerance)</f>
        <v>0</v>
      </c>
      <c r="AF20" s="46" t="n">
        <f aca="false">N((Calc_1!AF$4&gt;=Calc_1!$F17)*ABS(Calc_1!AF83)&gt;Tolerance)</f>
        <v>0</v>
      </c>
      <c r="AG20" s="46" t="n">
        <f aca="false">N((Calc_1!AG$4&gt;=Calc_1!$F17)*ABS(Calc_1!AG83)&gt;Tolerance)</f>
        <v>0</v>
      </c>
      <c r="AH20" s="46" t="n">
        <f aca="false">N((Calc_1!AH$4&gt;=Calc_1!$F17)*ABS(Calc_1!AH83)&gt;Tolerance)</f>
        <v>0</v>
      </c>
      <c r="AI20" s="46" t="n">
        <f aca="false">N((Calc_1!AI$4&gt;=Calc_1!$F17)*ABS(Calc_1!AI83)&gt;Tolerance)</f>
        <v>0</v>
      </c>
      <c r="AJ20" s="46" t="n">
        <f aca="false">N((Calc_1!AJ$4&gt;=Calc_1!$F17)*ABS(Calc_1!AJ83)&gt;Tolerance)</f>
        <v>0</v>
      </c>
      <c r="AK20" s="46" t="n">
        <f aca="false">N((Calc_1!AK$4&gt;=Calc_1!$F17)*ABS(Calc_1!AK83)&gt;Tolerance)</f>
        <v>0</v>
      </c>
      <c r="AL20" s="46" t="n">
        <f aca="false">N((Calc_1!AL$4&gt;=Calc_1!$F17)*ABS(Calc_1!AL83)&gt;Tolerance)</f>
        <v>0</v>
      </c>
      <c r="AM20" s="46" t="n">
        <f aca="false">N((Calc_1!AM$4&gt;=Calc_1!$F17)*ABS(Calc_1!AM83)&gt;Tolerance)</f>
        <v>0</v>
      </c>
      <c r="AN20" s="46" t="n">
        <f aca="false">N((Calc_1!AN$4&gt;=Calc_1!$F17)*ABS(Calc_1!AN83)&gt;Tolerance)</f>
        <v>0</v>
      </c>
      <c r="AO20" s="46" t="n">
        <f aca="false">N((Calc_1!AO$4&gt;=Calc_1!$F17)*ABS(Calc_1!AO83)&gt;Tolerance)</f>
        <v>0</v>
      </c>
      <c r="AP20" s="46" t="n">
        <f aca="false">N((Calc_1!AP$4&gt;=Calc_1!$F17)*ABS(Calc_1!AP83)&gt;Tolerance)</f>
        <v>0</v>
      </c>
      <c r="AQ20" s="46" t="n">
        <f aca="false">N((Calc_1!AQ$4&gt;=Calc_1!$F17)*ABS(Calc_1!AQ83)&gt;Tolerance)</f>
        <v>0</v>
      </c>
      <c r="AR20" s="46" t="n">
        <f aca="false">N((Calc_1!AR$4&gt;=Calc_1!$F17)*ABS(Calc_1!AR83)&gt;Tolerance)</f>
        <v>0</v>
      </c>
      <c r="AS20" s="46" t="n">
        <f aca="false">N((Calc_1!AS$4&gt;=Calc_1!$F17)*ABS(Calc_1!AS83)&gt;Tolerance)</f>
        <v>0</v>
      </c>
      <c r="AT20" s="46" t="n">
        <f aca="false">N((Calc_1!AT$4&gt;=Calc_1!$F17)*ABS(Calc_1!AT83)&gt;Tolerance)</f>
        <v>0</v>
      </c>
      <c r="AU20" s="46" t="n">
        <f aca="false">N((Calc_1!AU$4&gt;=Calc_1!$F17)*ABS(Calc_1!AU83)&gt;Tolerance)</f>
        <v>0</v>
      </c>
      <c r="AV20" s="46" t="n">
        <f aca="false">N((Calc_1!AV$4&gt;=Calc_1!$F17)*ABS(Calc_1!AV83)&gt;Tolerance)</f>
        <v>0</v>
      </c>
      <c r="AW20" s="46" t="n">
        <f aca="false">N((Calc_1!AW$4&gt;=Calc_1!$F17)*ABS(Calc_1!AW83)&gt;Tolerance)</f>
        <v>0</v>
      </c>
      <c r="AX20" s="46" t="n">
        <f aca="false">N((Calc_1!AX$4&gt;=Calc_1!$F17)*ABS(Calc_1!AX83)&gt;Tolerance)</f>
        <v>0</v>
      </c>
      <c r="AY20" s="46" t="n">
        <f aca="false">N((Calc_1!AY$4&gt;=Calc_1!$F17)*ABS(Calc_1!AY83)&gt;Tolerance)</f>
        <v>0</v>
      </c>
      <c r="AZ20" s="46" t="n">
        <f aca="false">N((Calc_1!AZ$4&gt;=Calc_1!$F17)*ABS(Calc_1!AZ83)&gt;Tolerance)</f>
        <v>0</v>
      </c>
      <c r="BA20" s="46" t="n">
        <f aca="false">N((Calc_1!BA$4&gt;=Calc_1!$F17)*ABS(Calc_1!BA83)&gt;Tolerance)</f>
        <v>0</v>
      </c>
      <c r="BB20" s="46" t="n">
        <f aca="false">N((Calc_1!BB$4&gt;=Calc_1!$F17)*ABS(Calc_1!BB83)&gt;Tolerance)</f>
        <v>0</v>
      </c>
      <c r="BC20" s="46" t="n">
        <f aca="false">N((Calc_1!BC$4&gt;=Calc_1!$F17)*ABS(Calc_1!BC83)&gt;Tolerance)</f>
        <v>0</v>
      </c>
      <c r="BD20" s="46" t="n">
        <f aca="false">N((Calc_1!BD$4&gt;=Calc_1!$F17)*ABS(Calc_1!BD83)&gt;Tolerance)</f>
        <v>0</v>
      </c>
      <c r="BE20" s="46" t="n">
        <f aca="false">N((Calc_1!BE$4&gt;=Calc_1!$F17)*ABS(Calc_1!BE83)&gt;Tolerance)</f>
        <v>0</v>
      </c>
      <c r="BF20" s="46" t="n">
        <f aca="false">N((Calc_1!BF$4&gt;=Calc_1!$F17)*ABS(Calc_1!BF83)&gt;Tolerance)</f>
        <v>0</v>
      </c>
      <c r="BG20" s="46" t="n">
        <f aca="false">N((Calc_1!BG$4&gt;=Calc_1!$F17)*ABS(Calc_1!BG83)&gt;Tolerance)</f>
        <v>0</v>
      </c>
      <c r="BH20" s="46" t="n">
        <f aca="false">N((Calc_1!BH$4&gt;=Calc_1!$F17)*ABS(Calc_1!BH83)&gt;Tolerance)</f>
        <v>0</v>
      </c>
      <c r="BI20" s="46" t="n">
        <f aca="false">N((Calc_1!BI$4&gt;=Calc_1!$F17)*ABS(Calc_1!BI83)&gt;Tolerance)</f>
        <v>0</v>
      </c>
      <c r="BJ20" s="46" t="n">
        <f aca="false">N((Calc_1!BJ$4&gt;=Calc_1!$F17)*ABS(Calc_1!BJ83)&gt;Tolerance)</f>
        <v>0</v>
      </c>
      <c r="BK20" s="46" t="n">
        <f aca="false">N((Calc_1!BK$4&gt;=Calc_1!$F17)*ABS(Calc_1!BK83)&gt;Tolerance)</f>
        <v>0</v>
      </c>
      <c r="BL20" s="46" t="n">
        <f aca="false">N((Calc_1!BL$4&gt;=Calc_1!$F17)*ABS(Calc_1!BL83)&gt;Tolerance)</f>
        <v>0</v>
      </c>
      <c r="BM20" s="46" t="n">
        <f aca="false">N((Calc_1!BM$4&gt;=Calc_1!$F17)*ABS(Calc_1!BM83)&gt;Tolerance)</f>
        <v>0</v>
      </c>
      <c r="BN20" s="46" t="n">
        <f aca="false">N((Calc_1!BN$4&gt;=Calc_1!$F17)*ABS(Calc_1!BN83)&gt;Tolerance)</f>
        <v>0</v>
      </c>
      <c r="BO20" s="46" t="n">
        <f aca="false">N((Calc_1!BO$4&gt;=Calc_1!$F17)*ABS(Calc_1!BO83)&gt;Tolerance)</f>
        <v>0</v>
      </c>
      <c r="BP20" s="46" t="n">
        <f aca="false">N((Calc_1!BP$4&gt;=Calc_1!$F17)*ABS(Calc_1!BP83)&gt;Tolerance)</f>
        <v>0</v>
      </c>
      <c r="BQ20" s="46" t="n">
        <f aca="false">N((Calc_1!BQ$4&gt;=Calc_1!$F17)*ABS(Calc_1!BQ83)&gt;Tolerance)</f>
        <v>0</v>
      </c>
      <c r="BR20" s="46" t="n">
        <f aca="false">N((Calc_1!BR$4&gt;=Calc_1!$F17)*ABS(Calc_1!BR83)&gt;Tolerance)</f>
        <v>0</v>
      </c>
      <c r="BS20" s="46" t="n">
        <f aca="false">N((Calc_1!BS$4&gt;=Calc_1!$F17)*ABS(Calc_1!BS83)&gt;Tolerance)</f>
        <v>0</v>
      </c>
      <c r="BT20" s="46" t="n">
        <f aca="false">N((Calc_1!BT$4&gt;=Calc_1!$F17)*ABS(Calc_1!BT83)&gt;Tolerance)</f>
        <v>0</v>
      </c>
      <c r="BU20" s="46" t="n">
        <f aca="false">N((Calc_1!BU$4&gt;=Calc_1!$F17)*ABS(Calc_1!BU83)&gt;Tolerance)</f>
        <v>0</v>
      </c>
      <c r="BV20" s="46" t="n">
        <f aca="false">N((Calc_1!BV$4&gt;=Calc_1!$F17)*ABS(Calc_1!BV83)&gt;Tolerance)</f>
        <v>0</v>
      </c>
      <c r="BW20" s="46" t="n">
        <f aca="false">N((Calc_1!BW$4&gt;=Calc_1!$F17)*ABS(Calc_1!BW83)&gt;Tolerance)</f>
        <v>0</v>
      </c>
      <c r="BX20" s="46" t="n">
        <f aca="false">N((Calc_1!BX$4&gt;=Calc_1!$F17)*ABS(Calc_1!BX83)&gt;Tolerance)</f>
        <v>0</v>
      </c>
      <c r="BY20" s="46" t="n">
        <f aca="false">N((Calc_1!BY$4&gt;=Calc_1!$F17)*ABS(Calc_1!BY83)&gt;Tolerance)</f>
        <v>0</v>
      </c>
      <c r="BZ20" s="46" t="n">
        <f aca="false">N((Calc_1!BZ$4&gt;=Calc_1!$F17)*ABS(Calc_1!BZ83)&gt;Tolerance)</f>
        <v>0</v>
      </c>
      <c r="CA20" s="46" t="n">
        <f aca="false">N((Calc_1!CA$4&gt;=Calc_1!$F17)*ABS(Calc_1!CA83)&gt;Tolerance)</f>
        <v>0</v>
      </c>
      <c r="CB20" s="46" t="n">
        <f aca="false">N((Calc_1!CB$4&gt;=Calc_1!$F17)*ABS(Calc_1!CB83)&gt;Tolerance)</f>
        <v>0</v>
      </c>
      <c r="CC20" s="46" t="n">
        <f aca="false">N((Calc_1!CC$4&gt;=Calc_1!$F17)*ABS(Calc_1!CC83)&gt;Tolerance)</f>
        <v>0</v>
      </c>
      <c r="CD20" s="46" t="n">
        <f aca="false">N((Calc_1!CD$4&gt;=Calc_1!$F17)*ABS(Calc_1!CD83)&gt;Tolerance)</f>
        <v>0</v>
      </c>
      <c r="CE20" s="46" t="n">
        <f aca="false">N((Calc_1!CE$4&gt;=Calc_1!$F17)*ABS(Calc_1!CE83)&gt;Tolerance)</f>
        <v>0</v>
      </c>
      <c r="CF20" s="46" t="n">
        <f aca="false">N((Calc_1!CF$4&gt;=Calc_1!$F17)*ABS(Calc_1!CF83)&gt;Tolerance)</f>
        <v>0</v>
      </c>
      <c r="CG20" s="46" t="n">
        <f aca="false">N((Calc_1!CG$4&gt;=Calc_1!$F17)*ABS(Calc_1!CG83)&gt;Tolerance)</f>
        <v>0</v>
      </c>
      <c r="CH20" s="46" t="n">
        <f aca="false">N((Calc_1!CH$4&gt;=Calc_1!$F17)*ABS(Calc_1!CH83)&gt;Tolerance)</f>
        <v>0</v>
      </c>
      <c r="CI20" s="46" t="n">
        <f aca="false">N((Calc_1!CI$4&gt;=Calc_1!$F17)*ABS(Calc_1!CI83)&gt;Tolerance)</f>
        <v>0</v>
      </c>
      <c r="CJ20" s="46" t="n">
        <f aca="false">N((Calc_1!CJ$4&gt;=Calc_1!$F17)*ABS(Calc_1!CJ83)&gt;Tolerance)</f>
        <v>0</v>
      </c>
      <c r="CK20" s="46" t="n">
        <f aca="false">N((Calc_1!CK$4&gt;=Calc_1!$F17)*ABS(Calc_1!CK83)&gt;Tolerance)</f>
        <v>0</v>
      </c>
      <c r="CL20" s="46" t="n">
        <f aca="false">N((Calc_1!CL$4&gt;=Calc_1!$F17)*ABS(Calc_1!CL83)&gt;Tolerance)</f>
        <v>0</v>
      </c>
      <c r="CM20" s="46" t="n">
        <f aca="false">N((Calc_1!CM$4&gt;=Calc_1!$F17)*ABS(Calc_1!CM83)&gt;Tolerance)</f>
        <v>0</v>
      </c>
      <c r="CN20" s="46" t="n">
        <f aca="false">N((Calc_1!CN$4&gt;=Calc_1!$F17)*ABS(Calc_1!CN83)&gt;Tolerance)</f>
        <v>0</v>
      </c>
      <c r="CO20" s="46" t="n">
        <f aca="false">N((Calc_1!CO$4&gt;=Calc_1!$F17)*ABS(Calc_1!CO83)&gt;Tolerance)</f>
        <v>0</v>
      </c>
      <c r="CP20" s="46" t="n">
        <f aca="false">N((Calc_1!CP$4&gt;=Calc_1!$F17)*ABS(Calc_1!CP83)&gt;Tolerance)</f>
        <v>0</v>
      </c>
      <c r="CQ20" s="46" t="n">
        <f aca="false">N((Calc_1!CQ$4&gt;=Calc_1!$F17)*ABS(Calc_1!CQ83)&gt;Tolerance)</f>
        <v>0</v>
      </c>
      <c r="CR20" s="46" t="n">
        <f aca="false">N((Calc_1!CR$4&gt;=Calc_1!$F17)*ABS(Calc_1!CR83)&gt;Tolerance)</f>
        <v>0</v>
      </c>
      <c r="CS20" s="46" t="n">
        <f aca="false">N((Calc_1!CS$4&gt;=Calc_1!$F17)*ABS(Calc_1!CS83)&gt;Tolerance)</f>
        <v>0</v>
      </c>
      <c r="CT20" s="46" t="n">
        <f aca="false">N((Calc_1!CT$4&gt;=Calc_1!$F17)*ABS(Calc_1!CT83)&gt;Tolerance)</f>
        <v>0</v>
      </c>
      <c r="CU20" s="46" t="n">
        <f aca="false">N((Calc_1!CU$4&gt;=Calc_1!$F17)*ABS(Calc_1!CU83)&gt;Tolerance)</f>
        <v>0</v>
      </c>
      <c r="CV20" s="46" t="n">
        <f aca="false">N((Calc_1!CV$4&gt;=Calc_1!$F17)*ABS(Calc_1!CV83)&gt;Tolerance)</f>
        <v>0</v>
      </c>
      <c r="CW20" s="46" t="n">
        <f aca="false">N((Calc_1!CW$4&gt;=Calc_1!$F17)*ABS(Calc_1!CW83)&gt;Tolerance)</f>
        <v>0</v>
      </c>
      <c r="CX20" s="46" t="n">
        <f aca="false">N((Calc_1!CX$4&gt;=Calc_1!$F17)*ABS(Calc_1!CX83)&gt;Tolerance)</f>
        <v>0</v>
      </c>
      <c r="CY20" s="46" t="n">
        <f aca="false">N((Calc_1!CY$4&gt;=Calc_1!$F17)*ABS(Calc_1!CY83)&gt;Tolerance)</f>
        <v>0</v>
      </c>
      <c r="CZ20" s="46" t="n">
        <f aca="false">N((Calc_1!CZ$4&gt;=Calc_1!$F17)*ABS(Calc_1!CZ83)&gt;Tolerance)</f>
        <v>0</v>
      </c>
      <c r="DA20" s="46" t="n">
        <f aca="false">N((Calc_1!DA$4&gt;=Calc_1!$F17)*ABS(Calc_1!DA83)&gt;Tolerance)</f>
        <v>0</v>
      </c>
      <c r="DB20" s="46" t="n">
        <f aca="false">N((Calc_1!DB$4&gt;=Calc_1!$F17)*ABS(Calc_1!DB83)&gt;Tolerance)</f>
        <v>0</v>
      </c>
      <c r="DC20" s="46" t="n">
        <f aca="false">N((Calc_1!DC$4&gt;=Calc_1!$F17)*ABS(Calc_1!DC83)&gt;Tolerance)</f>
        <v>0</v>
      </c>
      <c r="DD20" s="46" t="n">
        <f aca="false">N((Calc_1!DD$4&gt;=Calc_1!$F17)*ABS(Calc_1!DD83)&gt;Tolerance)</f>
        <v>0</v>
      </c>
      <c r="DE20" s="46" t="n">
        <f aca="false">N((Calc_1!DE$4&gt;=Calc_1!$F17)*ABS(Calc_1!DE83)&gt;Tolerance)</f>
        <v>0</v>
      </c>
      <c r="DF20" s="46" t="n">
        <f aca="false">N((Calc_1!DF$4&gt;=Calc_1!$F17)*ABS(Calc_1!DF83)&gt;Tolerance)</f>
        <v>0</v>
      </c>
      <c r="DG20" s="46" t="n">
        <f aca="false">N((Calc_1!DG$4&gt;=Calc_1!$F17)*ABS(Calc_1!DG83)&gt;Tolerance)</f>
        <v>0</v>
      </c>
      <c r="DH20" s="46" t="n">
        <f aca="false">N((Calc_1!DH$4&gt;=Calc_1!$F17)*ABS(Calc_1!DH83)&gt;Tolerance)</f>
        <v>0</v>
      </c>
      <c r="DI20" s="46" t="n">
        <f aca="false">N((Calc_1!DI$4&gt;=Calc_1!$F17)*ABS(Calc_1!DI83)&gt;Tolerance)</f>
        <v>0</v>
      </c>
      <c r="DJ20" s="46" t="n">
        <f aca="false">N((Calc_1!DJ$4&gt;=Calc_1!$F17)*ABS(Calc_1!DJ83)&gt;Tolerance)</f>
        <v>0</v>
      </c>
      <c r="DK20" s="46" t="n">
        <f aca="false">N((Calc_1!DK$4&gt;=Calc_1!$F17)*ABS(Calc_1!DK83)&gt;Tolerance)</f>
        <v>0</v>
      </c>
      <c r="DL20" s="46" t="n">
        <f aca="false">N((Calc_1!DL$4&gt;=Calc_1!$F17)*ABS(Calc_1!DL83)&gt;Tolerance)</f>
        <v>0</v>
      </c>
      <c r="DM20" s="46" t="n">
        <f aca="false">N((Calc_1!DM$4&gt;=Calc_1!$F17)*ABS(Calc_1!DM83)&gt;Tolerance)</f>
        <v>0</v>
      </c>
      <c r="DN20" s="46" t="n">
        <f aca="false">N((Calc_1!DN$4&gt;=Calc_1!$F17)*ABS(Calc_1!DN83)&gt;Tolerance)</f>
        <v>0</v>
      </c>
      <c r="DO20" s="46" t="n">
        <f aca="false">N((Calc_1!DO$4&gt;=Calc_1!$F17)*ABS(Calc_1!DO83)&gt;Tolerance)</f>
        <v>0</v>
      </c>
      <c r="DP20" s="46" t="n">
        <f aca="false">N((Calc_1!DP$4&gt;=Calc_1!$F17)*ABS(Calc_1!DP83)&gt;Tolerance)</f>
        <v>0</v>
      </c>
      <c r="DQ20" s="46" t="n">
        <f aca="false">N((Calc_1!DQ$4&gt;=Calc_1!$F17)*ABS(Calc_1!DQ83)&gt;Tolerance)</f>
        <v>0</v>
      </c>
      <c r="DR20" s="46" t="n">
        <f aca="false">N((Calc_1!DR$4&gt;=Calc_1!$F17)*ABS(Calc_1!DR83)&gt;Tolerance)</f>
        <v>0</v>
      </c>
      <c r="DS20" s="46" t="n">
        <f aca="false">N((Calc_1!DS$4&gt;=Calc_1!$F17)*ABS(Calc_1!DS83)&gt;Tolerance)</f>
        <v>0</v>
      </c>
      <c r="DT20" s="46" t="n">
        <f aca="false">N((Calc_1!DT$4&gt;=Calc_1!$F17)*ABS(Calc_1!DT83)&gt;Tolerance)</f>
        <v>0</v>
      </c>
      <c r="DU20" s="46" t="n">
        <f aca="false">N((Calc_1!DU$4&gt;=Calc_1!$F17)*ABS(Calc_1!DU83)&gt;Tolerance)</f>
        <v>0</v>
      </c>
      <c r="DV20" s="46" t="n">
        <f aca="false">N((Calc_1!DV$4&gt;=Calc_1!$F17)*ABS(Calc_1!DV83)&gt;Tolerance)</f>
        <v>0</v>
      </c>
      <c r="DW20" s="46" t="n">
        <f aca="false">N((Calc_1!DW$4&gt;=Calc_1!$F17)*ABS(Calc_1!DW83)&gt;Tolerance)</f>
        <v>0</v>
      </c>
      <c r="DX20" s="46" t="n">
        <f aca="false">N((Calc_1!DX$4&gt;=Calc_1!$F17)*ABS(Calc_1!DX83)&gt;Tolerance)</f>
        <v>0</v>
      </c>
      <c r="DY20" s="46" t="n">
        <f aca="false">N((Calc_1!DY$4&gt;=Calc_1!$F17)*ABS(Calc_1!DY83)&gt;Tolerance)</f>
        <v>0</v>
      </c>
      <c r="DZ20" s="46" t="n">
        <f aca="false">N((Calc_1!DZ$4&gt;=Calc_1!$F17)*ABS(Calc_1!DZ83)&gt;Tolerance)</f>
        <v>0</v>
      </c>
      <c r="EA20" s="46" t="n">
        <f aca="false">N((Calc_1!EA$4&gt;=Calc_1!$F17)*ABS(Calc_1!EA83)&gt;Tolerance)</f>
        <v>0</v>
      </c>
      <c r="EB20" s="46" t="n">
        <f aca="false">N((Calc_1!EB$4&gt;=Calc_1!$F17)*ABS(Calc_1!EB83)&gt;Tolerance)</f>
        <v>0</v>
      </c>
      <c r="EC20" s="46" t="n">
        <f aca="false">N((Calc_1!EC$4&gt;=Calc_1!$F17)*ABS(Calc_1!EC83)&gt;Tolerance)</f>
        <v>0</v>
      </c>
      <c r="ED20" s="46" t="n">
        <f aca="false">N((Calc_1!ED$4&gt;=Calc_1!$F17)*ABS(Calc_1!ED83)&gt;Tolerance)</f>
        <v>0</v>
      </c>
      <c r="EE20" s="46" t="n">
        <f aca="false">N((Calc_1!EE$4&gt;=Calc_1!$F17)*ABS(Calc_1!EE83)&gt;Tolerance)</f>
        <v>0</v>
      </c>
      <c r="EF20" s="46" t="n">
        <f aca="false">N((Calc_1!EF$4&gt;=Calc_1!$F17)*ABS(Calc_1!EF83)&gt;Tolerance)</f>
        <v>0</v>
      </c>
      <c r="EG20" s="46" t="n">
        <f aca="false">N((Calc_1!EG$4&gt;=Calc_1!$F17)*ABS(Calc_1!EG83)&gt;Tolerance)</f>
        <v>0</v>
      </c>
      <c r="EH20" s="46" t="n">
        <f aca="false">N((Calc_1!EH$4&gt;=Calc_1!$F17)*ABS(Calc_1!EH83)&gt;Tolerance)</f>
        <v>0</v>
      </c>
      <c r="EI20" s="46" t="n">
        <f aca="false">N((Calc_1!EI$4&gt;=Calc_1!$F17)*ABS(Calc_1!EI83)&gt;Tolerance)</f>
        <v>0</v>
      </c>
      <c r="EJ20" s="46" t="n">
        <f aca="false">N((Calc_1!EJ$4&gt;=Calc_1!$F17)*ABS(Calc_1!EJ83)&gt;Tolerance)</f>
        <v>0</v>
      </c>
      <c r="EK20" s="46" t="n">
        <f aca="false">N((Calc_1!EK$4&gt;=Calc_1!$F17)*ABS(Calc_1!EK83)&gt;Tolerance)</f>
        <v>0</v>
      </c>
      <c r="EL20" s="46" t="n">
        <f aca="false">N((Calc_1!EL$4&gt;=Calc_1!$F17)*ABS(Calc_1!EL83)&gt;Tolerance)</f>
        <v>0</v>
      </c>
      <c r="EM20" s="46" t="n">
        <f aca="false">N((Calc_1!EM$4&gt;=Calc_1!$F17)*ABS(Calc_1!EM83)&gt;Tolerance)</f>
        <v>0</v>
      </c>
      <c r="EN20" s="46" t="n">
        <f aca="false">N((Calc_1!EN$4&gt;=Calc_1!$F17)*ABS(Calc_1!EN83)&gt;Tolerance)</f>
        <v>0</v>
      </c>
      <c r="EO20" s="46" t="n">
        <f aca="false">N((Calc_1!EO$4&gt;=Calc_1!$F17)*ABS(Calc_1!EO83)&gt;Tolerance)</f>
        <v>0</v>
      </c>
    </row>
    <row r="21" customFormat="false" ht="15" hidden="false" customHeight="false" outlineLevel="0" collapsed="false">
      <c r="C21" s="0" t="s">
        <v>423</v>
      </c>
      <c r="D21" s="11" t="s">
        <v>30</v>
      </c>
      <c r="E21" s="23" t="str">
        <f aca="false">IF(F21=0,"OK","CHECK")</f>
        <v>OK</v>
      </c>
      <c r="F21" s="46" t="n">
        <f aca="false">SUM(J21:EO21)</f>
        <v>0</v>
      </c>
      <c r="J21" s="46" t="n">
        <f aca="false">N((Calc_2!J$4&gt;=Calc_2!$F17)*ABS(Calc_2!J83)&gt;Tolerance)</f>
        <v>0</v>
      </c>
      <c r="K21" s="46" t="n">
        <f aca="false">N((Calc_2!K$4&gt;=Calc_2!$F17)*ABS(Calc_2!K83)&gt;Tolerance)</f>
        <v>0</v>
      </c>
      <c r="L21" s="46" t="n">
        <f aca="false">N((Calc_2!L$4&gt;=Calc_2!$F17)*ABS(Calc_2!L83)&gt;Tolerance)</f>
        <v>0</v>
      </c>
      <c r="M21" s="46" t="n">
        <f aca="false">N((Calc_2!M$4&gt;=Calc_2!$F17)*ABS(Calc_2!M83)&gt;Tolerance)</f>
        <v>0</v>
      </c>
      <c r="N21" s="46" t="n">
        <f aca="false">N((Calc_2!N$4&gt;=Calc_2!$F17)*ABS(Calc_2!N83)&gt;Tolerance)</f>
        <v>0</v>
      </c>
      <c r="O21" s="46" t="n">
        <f aca="false">N((Calc_2!O$4&gt;=Calc_2!$F17)*ABS(Calc_2!O83)&gt;Tolerance)</f>
        <v>0</v>
      </c>
      <c r="P21" s="46" t="n">
        <f aca="false">N((Calc_2!P$4&gt;=Calc_2!$F17)*ABS(Calc_2!P83)&gt;Tolerance)</f>
        <v>0</v>
      </c>
      <c r="Q21" s="46" t="n">
        <f aca="false">N((Calc_2!Q$4&gt;=Calc_2!$F17)*ABS(Calc_2!Q83)&gt;Tolerance)</f>
        <v>0</v>
      </c>
      <c r="R21" s="46" t="n">
        <f aca="false">N((Calc_2!R$4&gt;=Calc_2!$F17)*ABS(Calc_2!R83)&gt;Tolerance)</f>
        <v>0</v>
      </c>
      <c r="S21" s="46" t="n">
        <f aca="false">N((Calc_2!S$4&gt;=Calc_2!$F17)*ABS(Calc_2!S83)&gt;Tolerance)</f>
        <v>0</v>
      </c>
      <c r="T21" s="46" t="n">
        <f aca="false">N((Calc_2!T$4&gt;=Calc_2!$F17)*ABS(Calc_2!T83)&gt;Tolerance)</f>
        <v>0</v>
      </c>
      <c r="U21" s="46" t="n">
        <f aca="false">N((Calc_2!U$4&gt;=Calc_2!$F17)*ABS(Calc_2!U83)&gt;Tolerance)</f>
        <v>0</v>
      </c>
      <c r="V21" s="46" t="n">
        <f aca="false">N((Calc_2!V$4&gt;=Calc_2!$F17)*ABS(Calc_2!V83)&gt;Tolerance)</f>
        <v>0</v>
      </c>
      <c r="W21" s="46" t="n">
        <f aca="false">N((Calc_2!W$4&gt;=Calc_2!$F17)*ABS(Calc_2!W83)&gt;Tolerance)</f>
        <v>0</v>
      </c>
      <c r="X21" s="46" t="n">
        <f aca="false">N((Calc_2!X$4&gt;=Calc_2!$F17)*ABS(Calc_2!X83)&gt;Tolerance)</f>
        <v>0</v>
      </c>
      <c r="Y21" s="46" t="n">
        <f aca="false">N((Calc_2!Y$4&gt;=Calc_2!$F17)*ABS(Calc_2!Y83)&gt;Tolerance)</f>
        <v>0</v>
      </c>
      <c r="Z21" s="46" t="n">
        <f aca="false">N((Calc_2!Z$4&gt;=Calc_2!$F17)*ABS(Calc_2!Z83)&gt;Tolerance)</f>
        <v>0</v>
      </c>
      <c r="AA21" s="46" t="n">
        <f aca="false">N((Calc_2!AA$4&gt;=Calc_2!$F17)*ABS(Calc_2!AA83)&gt;Tolerance)</f>
        <v>0</v>
      </c>
      <c r="AB21" s="46" t="n">
        <f aca="false">N((Calc_2!AB$4&gt;=Calc_2!$F17)*ABS(Calc_2!AB83)&gt;Tolerance)</f>
        <v>0</v>
      </c>
      <c r="AC21" s="46" t="n">
        <f aca="false">N((Calc_2!AC$4&gt;=Calc_2!$F17)*ABS(Calc_2!AC83)&gt;Tolerance)</f>
        <v>0</v>
      </c>
      <c r="AD21" s="46" t="n">
        <f aca="false">N((Calc_2!AD$4&gt;=Calc_2!$F17)*ABS(Calc_2!AD83)&gt;Tolerance)</f>
        <v>0</v>
      </c>
      <c r="AE21" s="46" t="n">
        <f aca="false">N((Calc_2!AE$4&gt;=Calc_2!$F17)*ABS(Calc_2!AE83)&gt;Tolerance)</f>
        <v>0</v>
      </c>
      <c r="AF21" s="46" t="n">
        <f aca="false">N((Calc_2!AF$4&gt;=Calc_2!$F17)*ABS(Calc_2!AF83)&gt;Tolerance)</f>
        <v>0</v>
      </c>
      <c r="AG21" s="46" t="n">
        <f aca="false">N((Calc_2!AG$4&gt;=Calc_2!$F17)*ABS(Calc_2!AG83)&gt;Tolerance)</f>
        <v>0</v>
      </c>
      <c r="AH21" s="46" t="n">
        <f aca="false">N((Calc_2!AH$4&gt;=Calc_2!$F17)*ABS(Calc_2!AH83)&gt;Tolerance)</f>
        <v>0</v>
      </c>
      <c r="AI21" s="46" t="n">
        <f aca="false">N((Calc_2!AI$4&gt;=Calc_2!$F17)*ABS(Calc_2!AI83)&gt;Tolerance)</f>
        <v>0</v>
      </c>
      <c r="AJ21" s="46" t="n">
        <f aca="false">N((Calc_2!AJ$4&gt;=Calc_2!$F17)*ABS(Calc_2!AJ83)&gt;Tolerance)</f>
        <v>0</v>
      </c>
      <c r="AK21" s="46" t="n">
        <f aca="false">N((Calc_2!AK$4&gt;=Calc_2!$F17)*ABS(Calc_2!AK83)&gt;Tolerance)</f>
        <v>0</v>
      </c>
      <c r="AL21" s="46" t="n">
        <f aca="false">N((Calc_2!AL$4&gt;=Calc_2!$F17)*ABS(Calc_2!AL83)&gt;Tolerance)</f>
        <v>0</v>
      </c>
      <c r="AM21" s="46" t="n">
        <f aca="false">N((Calc_2!AM$4&gt;=Calc_2!$F17)*ABS(Calc_2!AM83)&gt;Tolerance)</f>
        <v>0</v>
      </c>
      <c r="AN21" s="46" t="n">
        <f aca="false">N((Calc_2!AN$4&gt;=Calc_2!$F17)*ABS(Calc_2!AN83)&gt;Tolerance)</f>
        <v>0</v>
      </c>
      <c r="AO21" s="46" t="n">
        <f aca="false">N((Calc_2!AO$4&gt;=Calc_2!$F17)*ABS(Calc_2!AO83)&gt;Tolerance)</f>
        <v>0</v>
      </c>
      <c r="AP21" s="46" t="n">
        <f aca="false">N((Calc_2!AP$4&gt;=Calc_2!$F17)*ABS(Calc_2!AP83)&gt;Tolerance)</f>
        <v>0</v>
      </c>
      <c r="AQ21" s="46" t="n">
        <f aca="false">N((Calc_2!AQ$4&gt;=Calc_2!$F17)*ABS(Calc_2!AQ83)&gt;Tolerance)</f>
        <v>0</v>
      </c>
      <c r="AR21" s="46" t="n">
        <f aca="false">N((Calc_2!AR$4&gt;=Calc_2!$F17)*ABS(Calc_2!AR83)&gt;Tolerance)</f>
        <v>0</v>
      </c>
      <c r="AS21" s="46" t="n">
        <f aca="false">N((Calc_2!AS$4&gt;=Calc_2!$F17)*ABS(Calc_2!AS83)&gt;Tolerance)</f>
        <v>0</v>
      </c>
      <c r="AT21" s="46" t="n">
        <f aca="false">N((Calc_2!AT$4&gt;=Calc_2!$F17)*ABS(Calc_2!AT83)&gt;Tolerance)</f>
        <v>0</v>
      </c>
      <c r="AU21" s="46" t="n">
        <f aca="false">N((Calc_2!AU$4&gt;=Calc_2!$F17)*ABS(Calc_2!AU83)&gt;Tolerance)</f>
        <v>0</v>
      </c>
      <c r="AV21" s="46" t="n">
        <f aca="false">N((Calc_2!AV$4&gt;=Calc_2!$F17)*ABS(Calc_2!AV83)&gt;Tolerance)</f>
        <v>0</v>
      </c>
      <c r="AW21" s="46" t="n">
        <f aca="false">N((Calc_2!AW$4&gt;=Calc_2!$F17)*ABS(Calc_2!AW83)&gt;Tolerance)</f>
        <v>0</v>
      </c>
      <c r="AX21" s="46" t="n">
        <f aca="false">N((Calc_2!AX$4&gt;=Calc_2!$F17)*ABS(Calc_2!AX83)&gt;Tolerance)</f>
        <v>0</v>
      </c>
      <c r="AY21" s="46" t="n">
        <f aca="false">N((Calc_2!AY$4&gt;=Calc_2!$F17)*ABS(Calc_2!AY83)&gt;Tolerance)</f>
        <v>0</v>
      </c>
      <c r="AZ21" s="46" t="n">
        <f aca="false">N((Calc_2!AZ$4&gt;=Calc_2!$F17)*ABS(Calc_2!AZ83)&gt;Tolerance)</f>
        <v>0</v>
      </c>
      <c r="BA21" s="46" t="n">
        <f aca="false">N((Calc_2!BA$4&gt;=Calc_2!$F17)*ABS(Calc_2!BA83)&gt;Tolerance)</f>
        <v>0</v>
      </c>
      <c r="BB21" s="46" t="n">
        <f aca="false">N((Calc_2!BB$4&gt;=Calc_2!$F17)*ABS(Calc_2!BB83)&gt;Tolerance)</f>
        <v>0</v>
      </c>
      <c r="BC21" s="46" t="n">
        <f aca="false">N((Calc_2!BC$4&gt;=Calc_2!$F17)*ABS(Calc_2!BC83)&gt;Tolerance)</f>
        <v>0</v>
      </c>
      <c r="BD21" s="46" t="n">
        <f aca="false">N((Calc_2!BD$4&gt;=Calc_2!$F17)*ABS(Calc_2!BD83)&gt;Tolerance)</f>
        <v>0</v>
      </c>
      <c r="BE21" s="46" t="n">
        <f aca="false">N((Calc_2!BE$4&gt;=Calc_2!$F17)*ABS(Calc_2!BE83)&gt;Tolerance)</f>
        <v>0</v>
      </c>
      <c r="BF21" s="46" t="n">
        <f aca="false">N((Calc_2!BF$4&gt;=Calc_2!$F17)*ABS(Calc_2!BF83)&gt;Tolerance)</f>
        <v>0</v>
      </c>
      <c r="BG21" s="46" t="n">
        <f aca="false">N((Calc_2!BG$4&gt;=Calc_2!$F17)*ABS(Calc_2!BG83)&gt;Tolerance)</f>
        <v>0</v>
      </c>
      <c r="BH21" s="46" t="n">
        <f aca="false">N((Calc_2!BH$4&gt;=Calc_2!$F17)*ABS(Calc_2!BH83)&gt;Tolerance)</f>
        <v>0</v>
      </c>
      <c r="BI21" s="46" t="n">
        <f aca="false">N((Calc_2!BI$4&gt;=Calc_2!$F17)*ABS(Calc_2!BI83)&gt;Tolerance)</f>
        <v>0</v>
      </c>
      <c r="BJ21" s="46" t="n">
        <f aca="false">N((Calc_2!BJ$4&gt;=Calc_2!$F17)*ABS(Calc_2!BJ83)&gt;Tolerance)</f>
        <v>0</v>
      </c>
      <c r="BK21" s="46" t="n">
        <f aca="false">N((Calc_2!BK$4&gt;=Calc_2!$F17)*ABS(Calc_2!BK83)&gt;Tolerance)</f>
        <v>0</v>
      </c>
      <c r="BL21" s="46" t="n">
        <f aca="false">N((Calc_2!BL$4&gt;=Calc_2!$F17)*ABS(Calc_2!BL83)&gt;Tolerance)</f>
        <v>0</v>
      </c>
      <c r="BM21" s="46" t="n">
        <f aca="false">N((Calc_2!BM$4&gt;=Calc_2!$F17)*ABS(Calc_2!BM83)&gt;Tolerance)</f>
        <v>0</v>
      </c>
      <c r="BN21" s="46" t="n">
        <f aca="false">N((Calc_2!BN$4&gt;=Calc_2!$F17)*ABS(Calc_2!BN83)&gt;Tolerance)</f>
        <v>0</v>
      </c>
      <c r="BO21" s="46" t="n">
        <f aca="false">N((Calc_2!BO$4&gt;=Calc_2!$F17)*ABS(Calc_2!BO83)&gt;Tolerance)</f>
        <v>0</v>
      </c>
      <c r="BP21" s="46" t="n">
        <f aca="false">N((Calc_2!BP$4&gt;=Calc_2!$F17)*ABS(Calc_2!BP83)&gt;Tolerance)</f>
        <v>0</v>
      </c>
      <c r="BQ21" s="46" t="n">
        <f aca="false">N((Calc_2!BQ$4&gt;=Calc_2!$F17)*ABS(Calc_2!BQ83)&gt;Tolerance)</f>
        <v>0</v>
      </c>
      <c r="BR21" s="46" t="n">
        <f aca="false">N((Calc_2!BR$4&gt;=Calc_2!$F17)*ABS(Calc_2!BR83)&gt;Tolerance)</f>
        <v>0</v>
      </c>
      <c r="BS21" s="46" t="n">
        <f aca="false">N((Calc_2!BS$4&gt;=Calc_2!$F17)*ABS(Calc_2!BS83)&gt;Tolerance)</f>
        <v>0</v>
      </c>
      <c r="BT21" s="46" t="n">
        <f aca="false">N((Calc_2!BT$4&gt;=Calc_2!$F17)*ABS(Calc_2!BT83)&gt;Tolerance)</f>
        <v>0</v>
      </c>
      <c r="BU21" s="46" t="n">
        <f aca="false">N((Calc_2!BU$4&gt;=Calc_2!$F17)*ABS(Calc_2!BU83)&gt;Tolerance)</f>
        <v>0</v>
      </c>
      <c r="BV21" s="46" t="n">
        <f aca="false">N((Calc_2!BV$4&gt;=Calc_2!$F17)*ABS(Calc_2!BV83)&gt;Tolerance)</f>
        <v>0</v>
      </c>
      <c r="BW21" s="46" t="n">
        <f aca="false">N((Calc_2!BW$4&gt;=Calc_2!$F17)*ABS(Calc_2!BW83)&gt;Tolerance)</f>
        <v>0</v>
      </c>
      <c r="BX21" s="46" t="n">
        <f aca="false">N((Calc_2!BX$4&gt;=Calc_2!$F17)*ABS(Calc_2!BX83)&gt;Tolerance)</f>
        <v>0</v>
      </c>
      <c r="BY21" s="46" t="n">
        <f aca="false">N((Calc_2!BY$4&gt;=Calc_2!$F17)*ABS(Calc_2!BY83)&gt;Tolerance)</f>
        <v>0</v>
      </c>
      <c r="BZ21" s="46" t="n">
        <f aca="false">N((Calc_2!BZ$4&gt;=Calc_2!$F17)*ABS(Calc_2!BZ83)&gt;Tolerance)</f>
        <v>0</v>
      </c>
      <c r="CA21" s="46" t="n">
        <f aca="false">N((Calc_2!CA$4&gt;=Calc_2!$F17)*ABS(Calc_2!CA83)&gt;Tolerance)</f>
        <v>0</v>
      </c>
      <c r="CB21" s="46" t="n">
        <f aca="false">N((Calc_2!CB$4&gt;=Calc_2!$F17)*ABS(Calc_2!CB83)&gt;Tolerance)</f>
        <v>0</v>
      </c>
      <c r="CC21" s="46" t="n">
        <f aca="false">N((Calc_2!CC$4&gt;=Calc_2!$F17)*ABS(Calc_2!CC83)&gt;Tolerance)</f>
        <v>0</v>
      </c>
      <c r="CD21" s="46" t="n">
        <f aca="false">N((Calc_2!CD$4&gt;=Calc_2!$F17)*ABS(Calc_2!CD83)&gt;Tolerance)</f>
        <v>0</v>
      </c>
      <c r="CE21" s="46" t="n">
        <f aca="false">N((Calc_2!CE$4&gt;=Calc_2!$F17)*ABS(Calc_2!CE83)&gt;Tolerance)</f>
        <v>0</v>
      </c>
      <c r="CF21" s="46" t="n">
        <f aca="false">N((Calc_2!CF$4&gt;=Calc_2!$F17)*ABS(Calc_2!CF83)&gt;Tolerance)</f>
        <v>0</v>
      </c>
      <c r="CG21" s="46" t="n">
        <f aca="false">N((Calc_2!CG$4&gt;=Calc_2!$F17)*ABS(Calc_2!CG83)&gt;Tolerance)</f>
        <v>0</v>
      </c>
      <c r="CH21" s="46" t="n">
        <f aca="false">N((Calc_2!CH$4&gt;=Calc_2!$F17)*ABS(Calc_2!CH83)&gt;Tolerance)</f>
        <v>0</v>
      </c>
      <c r="CI21" s="46" t="n">
        <f aca="false">N((Calc_2!CI$4&gt;=Calc_2!$F17)*ABS(Calc_2!CI83)&gt;Tolerance)</f>
        <v>0</v>
      </c>
      <c r="CJ21" s="46" t="n">
        <f aca="false">N((Calc_2!CJ$4&gt;=Calc_2!$F17)*ABS(Calc_2!CJ83)&gt;Tolerance)</f>
        <v>0</v>
      </c>
      <c r="CK21" s="46" t="n">
        <f aca="false">N((Calc_2!CK$4&gt;=Calc_2!$F17)*ABS(Calc_2!CK83)&gt;Tolerance)</f>
        <v>0</v>
      </c>
      <c r="CL21" s="46" t="n">
        <f aca="false">N((Calc_2!CL$4&gt;=Calc_2!$F17)*ABS(Calc_2!CL83)&gt;Tolerance)</f>
        <v>0</v>
      </c>
      <c r="CM21" s="46" t="n">
        <f aca="false">N((Calc_2!CM$4&gt;=Calc_2!$F17)*ABS(Calc_2!CM83)&gt;Tolerance)</f>
        <v>0</v>
      </c>
      <c r="CN21" s="46" t="n">
        <f aca="false">N((Calc_2!CN$4&gt;=Calc_2!$F17)*ABS(Calc_2!CN83)&gt;Tolerance)</f>
        <v>0</v>
      </c>
      <c r="CO21" s="46" t="n">
        <f aca="false">N((Calc_2!CO$4&gt;=Calc_2!$F17)*ABS(Calc_2!CO83)&gt;Tolerance)</f>
        <v>0</v>
      </c>
      <c r="CP21" s="46" t="n">
        <f aca="false">N((Calc_2!CP$4&gt;=Calc_2!$F17)*ABS(Calc_2!CP83)&gt;Tolerance)</f>
        <v>0</v>
      </c>
      <c r="CQ21" s="46" t="n">
        <f aca="false">N((Calc_2!CQ$4&gt;=Calc_2!$F17)*ABS(Calc_2!CQ83)&gt;Tolerance)</f>
        <v>0</v>
      </c>
      <c r="CR21" s="46" t="n">
        <f aca="false">N((Calc_2!CR$4&gt;=Calc_2!$F17)*ABS(Calc_2!CR83)&gt;Tolerance)</f>
        <v>0</v>
      </c>
      <c r="CS21" s="46" t="n">
        <f aca="false">N((Calc_2!CS$4&gt;=Calc_2!$F17)*ABS(Calc_2!CS83)&gt;Tolerance)</f>
        <v>0</v>
      </c>
      <c r="CT21" s="46" t="n">
        <f aca="false">N((Calc_2!CT$4&gt;=Calc_2!$F17)*ABS(Calc_2!CT83)&gt;Tolerance)</f>
        <v>0</v>
      </c>
      <c r="CU21" s="46" t="n">
        <f aca="false">N((Calc_2!CU$4&gt;=Calc_2!$F17)*ABS(Calc_2!CU83)&gt;Tolerance)</f>
        <v>0</v>
      </c>
      <c r="CV21" s="46" t="n">
        <f aca="false">N((Calc_2!CV$4&gt;=Calc_2!$F17)*ABS(Calc_2!CV83)&gt;Tolerance)</f>
        <v>0</v>
      </c>
      <c r="CW21" s="46" t="n">
        <f aca="false">N((Calc_2!CW$4&gt;=Calc_2!$F17)*ABS(Calc_2!CW83)&gt;Tolerance)</f>
        <v>0</v>
      </c>
      <c r="CX21" s="46" t="n">
        <f aca="false">N((Calc_2!CX$4&gt;=Calc_2!$F17)*ABS(Calc_2!CX83)&gt;Tolerance)</f>
        <v>0</v>
      </c>
      <c r="CY21" s="46" t="n">
        <f aca="false">N((Calc_2!CY$4&gt;=Calc_2!$F17)*ABS(Calc_2!CY83)&gt;Tolerance)</f>
        <v>0</v>
      </c>
      <c r="CZ21" s="46" t="n">
        <f aca="false">N((Calc_2!CZ$4&gt;=Calc_2!$F17)*ABS(Calc_2!CZ83)&gt;Tolerance)</f>
        <v>0</v>
      </c>
      <c r="DA21" s="46" t="n">
        <f aca="false">N((Calc_2!DA$4&gt;=Calc_2!$F17)*ABS(Calc_2!DA83)&gt;Tolerance)</f>
        <v>0</v>
      </c>
      <c r="DB21" s="46" t="n">
        <f aca="false">N((Calc_2!DB$4&gt;=Calc_2!$F17)*ABS(Calc_2!DB83)&gt;Tolerance)</f>
        <v>0</v>
      </c>
      <c r="DC21" s="46" t="n">
        <f aca="false">N((Calc_2!DC$4&gt;=Calc_2!$F17)*ABS(Calc_2!DC83)&gt;Tolerance)</f>
        <v>0</v>
      </c>
      <c r="DD21" s="46" t="n">
        <f aca="false">N((Calc_2!DD$4&gt;=Calc_2!$F17)*ABS(Calc_2!DD83)&gt;Tolerance)</f>
        <v>0</v>
      </c>
      <c r="DE21" s="46" t="n">
        <f aca="false">N((Calc_2!DE$4&gt;=Calc_2!$F17)*ABS(Calc_2!DE83)&gt;Tolerance)</f>
        <v>0</v>
      </c>
      <c r="DF21" s="46" t="n">
        <f aca="false">N((Calc_2!DF$4&gt;=Calc_2!$F17)*ABS(Calc_2!DF83)&gt;Tolerance)</f>
        <v>0</v>
      </c>
      <c r="DG21" s="46" t="n">
        <f aca="false">N((Calc_2!DG$4&gt;=Calc_2!$F17)*ABS(Calc_2!DG83)&gt;Tolerance)</f>
        <v>0</v>
      </c>
      <c r="DH21" s="46" t="n">
        <f aca="false">N((Calc_2!DH$4&gt;=Calc_2!$F17)*ABS(Calc_2!DH83)&gt;Tolerance)</f>
        <v>0</v>
      </c>
      <c r="DI21" s="46" t="n">
        <f aca="false">N((Calc_2!DI$4&gt;=Calc_2!$F17)*ABS(Calc_2!DI83)&gt;Tolerance)</f>
        <v>0</v>
      </c>
      <c r="DJ21" s="46" t="n">
        <f aca="false">N((Calc_2!DJ$4&gt;=Calc_2!$F17)*ABS(Calc_2!DJ83)&gt;Tolerance)</f>
        <v>0</v>
      </c>
      <c r="DK21" s="46" t="n">
        <f aca="false">N((Calc_2!DK$4&gt;=Calc_2!$F17)*ABS(Calc_2!DK83)&gt;Tolerance)</f>
        <v>0</v>
      </c>
      <c r="DL21" s="46" t="n">
        <f aca="false">N((Calc_2!DL$4&gt;=Calc_2!$F17)*ABS(Calc_2!DL83)&gt;Tolerance)</f>
        <v>0</v>
      </c>
      <c r="DM21" s="46" t="n">
        <f aca="false">N((Calc_2!DM$4&gt;=Calc_2!$F17)*ABS(Calc_2!DM83)&gt;Tolerance)</f>
        <v>0</v>
      </c>
      <c r="DN21" s="46" t="n">
        <f aca="false">N((Calc_2!DN$4&gt;=Calc_2!$F17)*ABS(Calc_2!DN83)&gt;Tolerance)</f>
        <v>0</v>
      </c>
      <c r="DO21" s="46" t="n">
        <f aca="false">N((Calc_2!DO$4&gt;=Calc_2!$F17)*ABS(Calc_2!DO83)&gt;Tolerance)</f>
        <v>0</v>
      </c>
      <c r="DP21" s="46" t="n">
        <f aca="false">N((Calc_2!DP$4&gt;=Calc_2!$F17)*ABS(Calc_2!DP83)&gt;Tolerance)</f>
        <v>0</v>
      </c>
      <c r="DQ21" s="46" t="n">
        <f aca="false">N((Calc_2!DQ$4&gt;=Calc_2!$F17)*ABS(Calc_2!DQ83)&gt;Tolerance)</f>
        <v>0</v>
      </c>
      <c r="DR21" s="46" t="n">
        <f aca="false">N((Calc_2!DR$4&gt;=Calc_2!$F17)*ABS(Calc_2!DR83)&gt;Tolerance)</f>
        <v>0</v>
      </c>
      <c r="DS21" s="46" t="n">
        <f aca="false">N((Calc_2!DS$4&gt;=Calc_2!$F17)*ABS(Calc_2!DS83)&gt;Tolerance)</f>
        <v>0</v>
      </c>
      <c r="DT21" s="46" t="n">
        <f aca="false">N((Calc_2!DT$4&gt;=Calc_2!$F17)*ABS(Calc_2!DT83)&gt;Tolerance)</f>
        <v>0</v>
      </c>
      <c r="DU21" s="46" t="n">
        <f aca="false">N((Calc_2!DU$4&gt;=Calc_2!$F17)*ABS(Calc_2!DU83)&gt;Tolerance)</f>
        <v>0</v>
      </c>
      <c r="DV21" s="46" t="n">
        <f aca="false">N((Calc_2!DV$4&gt;=Calc_2!$F17)*ABS(Calc_2!DV83)&gt;Tolerance)</f>
        <v>0</v>
      </c>
      <c r="DW21" s="46" t="n">
        <f aca="false">N((Calc_2!DW$4&gt;=Calc_2!$F17)*ABS(Calc_2!DW83)&gt;Tolerance)</f>
        <v>0</v>
      </c>
      <c r="DX21" s="46" t="n">
        <f aca="false">N((Calc_2!DX$4&gt;=Calc_2!$F17)*ABS(Calc_2!DX83)&gt;Tolerance)</f>
        <v>0</v>
      </c>
      <c r="DY21" s="46" t="n">
        <f aca="false">N((Calc_2!DY$4&gt;=Calc_2!$F17)*ABS(Calc_2!DY83)&gt;Tolerance)</f>
        <v>0</v>
      </c>
      <c r="DZ21" s="46" t="n">
        <f aca="false">N((Calc_2!DZ$4&gt;=Calc_2!$F17)*ABS(Calc_2!DZ83)&gt;Tolerance)</f>
        <v>0</v>
      </c>
      <c r="EA21" s="46" t="n">
        <f aca="false">N((Calc_2!EA$4&gt;=Calc_2!$F17)*ABS(Calc_2!EA83)&gt;Tolerance)</f>
        <v>0</v>
      </c>
      <c r="EB21" s="46" t="n">
        <f aca="false">N((Calc_2!EB$4&gt;=Calc_2!$F17)*ABS(Calc_2!EB83)&gt;Tolerance)</f>
        <v>0</v>
      </c>
      <c r="EC21" s="46" t="n">
        <f aca="false">N((Calc_2!EC$4&gt;=Calc_2!$F17)*ABS(Calc_2!EC83)&gt;Tolerance)</f>
        <v>0</v>
      </c>
      <c r="ED21" s="46" t="n">
        <f aca="false">N((Calc_2!ED$4&gt;=Calc_2!$F17)*ABS(Calc_2!ED83)&gt;Tolerance)</f>
        <v>0</v>
      </c>
      <c r="EE21" s="46" t="n">
        <f aca="false">N((Calc_2!EE$4&gt;=Calc_2!$F17)*ABS(Calc_2!EE83)&gt;Tolerance)</f>
        <v>0</v>
      </c>
      <c r="EF21" s="46" t="n">
        <f aca="false">N((Calc_2!EF$4&gt;=Calc_2!$F17)*ABS(Calc_2!EF83)&gt;Tolerance)</f>
        <v>0</v>
      </c>
      <c r="EG21" s="46" t="n">
        <f aca="false">N((Calc_2!EG$4&gt;=Calc_2!$F17)*ABS(Calc_2!EG83)&gt;Tolerance)</f>
        <v>0</v>
      </c>
      <c r="EH21" s="46" t="n">
        <f aca="false">N((Calc_2!EH$4&gt;=Calc_2!$F17)*ABS(Calc_2!EH83)&gt;Tolerance)</f>
        <v>0</v>
      </c>
      <c r="EI21" s="46" t="n">
        <f aca="false">N((Calc_2!EI$4&gt;=Calc_2!$F17)*ABS(Calc_2!EI83)&gt;Tolerance)</f>
        <v>0</v>
      </c>
      <c r="EJ21" s="46" t="n">
        <f aca="false">N((Calc_2!EJ$4&gt;=Calc_2!$F17)*ABS(Calc_2!EJ83)&gt;Tolerance)</f>
        <v>0</v>
      </c>
      <c r="EK21" s="46" t="n">
        <f aca="false">N((Calc_2!EK$4&gt;=Calc_2!$F17)*ABS(Calc_2!EK83)&gt;Tolerance)</f>
        <v>0</v>
      </c>
      <c r="EL21" s="46" t="n">
        <f aca="false">N((Calc_2!EL$4&gt;=Calc_2!$F17)*ABS(Calc_2!EL83)&gt;Tolerance)</f>
        <v>0</v>
      </c>
      <c r="EM21" s="46" t="n">
        <f aca="false">N((Calc_2!EM$4&gt;=Calc_2!$F17)*ABS(Calc_2!EM83)&gt;Tolerance)</f>
        <v>0</v>
      </c>
      <c r="EN21" s="46" t="n">
        <f aca="false">N((Calc_2!EN$4&gt;=Calc_2!$F17)*ABS(Calc_2!EN83)&gt;Tolerance)</f>
        <v>0</v>
      </c>
      <c r="EO21" s="46" t="n">
        <f aca="false">N((Calc_2!EO$4&gt;=Calc_2!$F17)*ABS(Calc_2!EO83)&gt;Tolerance)</f>
        <v>0</v>
      </c>
    </row>
    <row r="22" customFormat="false" ht="15" hidden="false" customHeight="false" outlineLevel="0" collapsed="false">
      <c r="C22" s="0" t="s">
        <v>424</v>
      </c>
      <c r="D22" s="11" t="s">
        <v>30</v>
      </c>
      <c r="E22" s="23" t="str">
        <f aca="false">IF(F22=0,"OK","CHECK")</f>
        <v>OK</v>
      </c>
      <c r="F22" s="46" t="n">
        <f aca="false">N(Calc_1!$E87&lt;In_DSCR-Tolerance)</f>
        <v>0</v>
      </c>
    </row>
    <row r="23" customFormat="false" ht="15" hidden="false" customHeight="false" outlineLevel="0" collapsed="false">
      <c r="C23" s="0" t="s">
        <v>425</v>
      </c>
      <c r="D23" s="11" t="s">
        <v>30</v>
      </c>
      <c r="E23" s="23" t="str">
        <f aca="false">IF(F23=0,"OK","CHECK")</f>
        <v>OK</v>
      </c>
      <c r="F23" s="46" t="n">
        <f aca="false">N(Calc_2!$E87&lt;In_DSCR-Tolerance)</f>
        <v>0</v>
      </c>
    </row>
    <row r="24" customFormat="false" ht="15" hidden="false" customHeight="false" outlineLevel="0" collapsed="false">
      <c r="C24" s="0" t="s">
        <v>426</v>
      </c>
      <c r="D24" s="11" t="s">
        <v>30</v>
      </c>
      <c r="E24" s="23" t="str">
        <f aca="false">IF(F24=0,"OK","CHECK")</f>
        <v>OK</v>
      </c>
      <c r="F24" s="46" t="n">
        <f aca="false">N(ABS(Calc_1!$E108+Calc_1!$I113-Calc_1!$E83)&gt;Tolerance)</f>
        <v>0</v>
      </c>
    </row>
    <row r="25" customFormat="false" ht="15" hidden="false" customHeight="false" outlineLevel="0" collapsed="false">
      <c r="C25" s="0" t="s">
        <v>427</v>
      </c>
      <c r="D25" s="11" t="s">
        <v>30</v>
      </c>
      <c r="E25" s="23" t="str">
        <f aca="false">IF(F25=0,"OK","CHECK")</f>
        <v>OK</v>
      </c>
      <c r="F25" s="46" t="n">
        <f aca="false">N(ABS(Calc_2!$E108+Calc_2!$I113-Calc_2!$E83)&gt;Tolerance)</f>
        <v>0</v>
      </c>
    </row>
    <row r="26" customFormat="false" ht="15" hidden="false" customHeight="false" outlineLevel="0" collapsed="false">
      <c r="C26" s="0" t="s">
        <v>428</v>
      </c>
      <c r="D26" s="11" t="s">
        <v>30</v>
      </c>
      <c r="E26" s="23" t="str">
        <f aca="false">IF(F26=0,"OK","CHECK")</f>
        <v>OK</v>
      </c>
      <c r="F26" s="46" t="n">
        <f aca="false">N(ISERROR(Calc_1!$E118))+N(ISERROR(Calc_1!$E126))+N(ISERROR(Calc_1!$E124))</f>
        <v>0</v>
      </c>
    </row>
    <row r="27" customFormat="false" ht="15" hidden="false" customHeight="false" outlineLevel="0" collapsed="false">
      <c r="C27" s="0" t="s">
        <v>429</v>
      </c>
      <c r="D27" s="11" t="s">
        <v>30</v>
      </c>
      <c r="E27" s="23" t="str">
        <f aca="false">IF(F27=0,"OK","CHECK")</f>
        <v>OK</v>
      </c>
      <c r="F27" s="46" t="n">
        <f aca="false">N(ISERROR(Calc_2!$E118))+N(ISERROR(Calc_2!$E126))+N(ISERROR(Calc_2!$E124))</f>
        <v>0</v>
      </c>
    </row>
    <row r="28" customFormat="false" ht="15" hidden="false" customHeight="false" outlineLevel="0" collapsed="false">
      <c r="C28" s="0" t="s">
        <v>430</v>
      </c>
      <c r="D28" s="11" t="s">
        <v>30</v>
      </c>
      <c r="E28" s="23" t="str">
        <f aca="false">IF(F28=0,"OK","CHECK")</f>
        <v>OK</v>
      </c>
      <c r="F28" s="46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431</v>
      </c>
      <c r="F30" s="58" t="n">
        <f aca="false">SUMPRODUCT(ABS(F12:F27))</f>
        <v>0</v>
      </c>
    </row>
    <row r="32" customFormat="false" ht="15" hidden="false" customHeight="false" outlineLevel="0" collapsed="false">
      <c r="C32" s="21" t="s">
        <v>6</v>
      </c>
      <c r="E32" s="59" t="str">
        <f aca="false">IF(F32=0,"OK","CHECK")</f>
        <v>OK</v>
      </c>
      <c r="F32" s="58" t="n">
        <f aca="false">SUMPRODUCT(ABS(F12:F28))</f>
        <v>0</v>
      </c>
    </row>
    <row r="34" customFormat="false" ht="15" hidden="false" customHeight="false" outlineLevel="0" collapsed="false">
      <c r="C34" s="37" t="s">
        <v>137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2026-10-13T09:35:09Z</dcterms:created>
  <dc:creator>openpyxl</dc:creator>
  <dc:description/>
  <dc:language>en-US</dc:language>
  <cp:lastModifiedBy/>
  <dcterms:modified xsi:type="dcterms:W3CDTF">2026-10-13T09:35:14Z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