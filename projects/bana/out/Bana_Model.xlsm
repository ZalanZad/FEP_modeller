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hecks_1_Stored" vbProcedure="false">Dashboard!$H$101:$O$101</definedName>
    <definedName function="false" hidden="false" name="Checks_2_Stored" vbProcedure="false">Dashboard!$H$102:$O$102</definedName>
    <definedName function="false" hidden="false" name="COD_IRR_1_Stored" vbProcedure="false">Dashboard!$H$87:$O$87</definedName>
    <definedName function="false" hidden="false" name="COD_IRR_2_Stored" vbProcedure="false">Dashboard!$H$88:$O$88</definedName>
    <definedName function="false" hidden="false" name="COD_MOIC_1_Stored" vbProcedure="false">Dashboard!$H$89:$O$89</definedName>
    <definedName function="false" hidden="false" name="COD_MOIC_2_Stored" vbProcedure="false">Dashboard!$H$90:$O$90</definedName>
    <definedName function="false" hidden="false" name="Dash_Community" vbProcedure="false">Dashboard!$E$13:$F$13</definedName>
    <definedName function="false" hidden="false" name="Dash_EU_Transformer" vbProcedure="false">Dashboard!$E$19:$F$19</definedName>
    <definedName function="false" hidden="false" name="Dash_EU_Turbine" vbProcedure="false">Dashboard!$E$18:$F$18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Dashboard!$E$16:$F$16</definedName>
    <definedName function="false" hidden="false" name="Dash_PB_Mult" vbProcedure="false">Dashboard!$E$15:$F$15</definedName>
    <definedName function="false" hidden="false" name="Dash_Shared" vbProcedure="false">Dashboard!$E$17:$F$17</definedName>
    <definedName function="false" hidden="false" name="Days_In_Year" vbProcedure="false">Inputs!$F$13</definedName>
    <definedName function="false" hidden="false" name="Debt_COD_1_Stored" vbProcedure="false">Dashboard!$H$95:$O$95</definedName>
    <definedName function="false" hidden="false" name="Debt_COD_2_Stored" vbProcedure="false">Dashboard!$H$96:$O$96</definedName>
    <definedName function="false" hidden="false" name="Equity_COD_1_Stored" vbProcedure="false">Dashboard!$H$97:$O$97</definedName>
    <definedName function="false" hidden="false" name="Equity_COD_2_Stored" vbProcedure="false">Dashboard!$H$98:$O$98</definedName>
    <definedName function="false" hidden="false" name="GoalSeek_Topics" vbProcedure="false">Inputs!$F$99</definedName>
    <definedName function="false" hidden="false" name="HTM_IRR_1_Stored" vbProcedure="false">Dashboard!$H$91:$O$91</definedName>
    <definedName function="false" hidden="false" name="HTM_IRR_2_Stored" vbProcedure="false">Dashboard!$H$92:$O$92</definedName>
    <definedName function="false" hidden="false" name="HTM_MOIC_1_Stored" vbProcedure="false">Dashboard!$H$93:$O$93</definedName>
    <definedName function="false" hidden="false" name="HTM_MOIC_2_Stored" vbProcedure="false">Dashboard!$H$94:$O$94</definedName>
    <definedName function="false" hidden="false" name="In_Admin" vbProcedure="false">Inputs!$F$80</definedName>
    <definedName function="false" hidden="false" name="In_Award_Date" vbProcedure="false">Inputs!$F$21</definedName>
    <definedName function="false" hidden="false" name="In_Bench_Wind" vbProcedure="false">Inputs!$F$54</definedName>
    <definedName function="false" hidden="false" name="In_Bid_Date" vbProcedure="false">Inputs!$F$20</definedName>
    <definedName function="false" hidden="false" name="In_Bid_Rate" vbProcedure="false">Inputs!$F$56</definedName>
    <definedName function="false" hidden="false" name="In_Bottleneck_Loss" vbProcedure="false">Inputs!$F$50</definedName>
    <definedName function="false" hidden="false" name="In_Capex_Contingency" vbProcedure="false">Inputs!$F$69</definedName>
    <definedName function="false" hidden="false" name="In_CIT" vbProcedure="false">Inputs!$F$40</definedName>
    <definedName function="false" hidden="false" name="In_Closing" vbProcedure="false">Inputs!$F$24</definedName>
    <definedName function="false" hidden="false" name="In_COD" vbProcedure="false">Inputs!$F$27</definedName>
    <definedName function="false" hidden="false" name="In_COD_Price" vbProcedure="false">Inputs!$F$36</definedName>
    <definedName function="false" hidden="false" name="In_COD_Price_CN" vbProcedure="false">Inputs!$F$37</definedName>
    <definedName function="false" hidden="false" name="In_Commitment_Fee" vbProcedure="false">Inputs!$F$94</definedName>
    <definedName function="false" hidden="false" name="In_Curtailment" vbProcedure="false">Inputs!$F$73</definedName>
    <definedName function="false" hidden="false" name="In_DD" vbProcedure="false">Inputs!$F$34</definedName>
    <definedName function="false" hidden="false" name="In_Debt_Rate" vbProcedure="false">Inputs!$F$92</definedName>
    <definedName function="false" hidden="false" name="In_Debt_Tenor" vbProcedure="false">Inputs!$F$91</definedName>
    <definedName function="false" hidden="false" name="In_Decision_Date" vbProcedure="false">Inputs!$F$22</definedName>
    <definedName function="false" hidden="false" name="In_Degradation" vbProcedure="false">Inputs!$F$74</definedName>
    <definedName function="false" hidden="false" name="In_Dep_Years" vbProcedure="false">Inputs!$F$42</definedName>
    <definedName function="false" hidden="false" name="In_Devex" vbProcedure="false">Inputs!$F$35</definedName>
    <definedName function="false" hidden="false" name="In_Direct_Fee" vbProcedure="false">Inputs!$F$59</definedName>
    <definedName function="false" hidden="false" name="In_Discount_Rate" vbProcedure="false">Inputs!$F$39</definedName>
    <definedName function="false" hidden="false" name="In_DSCR" vbProcedure="false">Inputs!$F$90</definedName>
    <definedName function="false" hidden="false" name="In_DSRA_Months" vbProcedure="false">Inputs!$F$95</definedName>
    <definedName function="false" hidden="false" name="In_Fixed_Opex" vbProcedure="false">Inputs!$F$78</definedName>
    <definedName function="false" hidden="false" name="In_FX" vbProcedure="false">Inputs!$F$32</definedName>
    <definedName function="false" hidden="false" name="In_Gearing" vbProcedure="false">Inputs!$F$88</definedName>
    <definedName function="false" hidden="false" name="In_Gearing_CN" vbProcedure="false">Inputs!$F$89</definedName>
    <definedName function="false" hidden="false" name="In_Guarantee_Fee" vbProcedure="false">Inputs!$F$61</definedName>
    <definedName function="false" hidden="false" name="In_HCSSZ_Date" vbProcedure="false">Inputs!$F$26</definedName>
    <definedName function="false" hidden="false" name="In_HIPA" vbProcedure="false">Inputs!$F$84</definedName>
    <definedName function="false" hidden="false" name="In_Indirect_Fee" vbProcedure="false">Inputs!$F$60</definedName>
    <definedName function="false" hidden="false" name="In_Innovation" vbProcedure="false">Inputs!$F$85</definedName>
    <definedName function="false" hidden="false" name="In_Lease" vbProcedure="false">Inputs!$F$79</definedName>
    <definedName function="false" hidden="false" name="In_Life" vbProcedure="false">Inputs!$F$28</definedName>
    <definedName function="false" hidden="false" name="In_Loss_Cap" vbProcedure="false">Inputs!$F$43</definedName>
    <definedName function="false" hidden="false" name="In_Loss_Years" vbProcedure="false">Inputs!$F$44</definedName>
    <definedName function="false" hidden="false" name="In_MEKH" vbProcedure="false">Inputs!$F$83</definedName>
    <definedName function="false" hidden="false" name="In_Model_Start" vbProcedure="false">Inputs!$F$19</definedName>
    <definedName function="false" hidden="false" name="In_MVA" vbProcedure="false">Inputs!$F$48</definedName>
    <definedName function="false" hidden="false" name="In_NTP" vbProcedure="false">Inputs!$F$25</definedName>
    <definedName function="false" hidden="false" name="In_Opex_Contingency" vbProcedure="false">Inputs!$F$81</definedName>
    <definedName function="false" hidden="false" name="In_Opex_Esc" vbProcedure="false">Inputs!$F$82</definedName>
    <definedName function="false" hidden="false" name="In_Other_Wind" vbProcedure="false">Inputs!$F$66</definedName>
    <definedName function="false" hidden="false" name="In_Overbuild_Built" vbProcedure="false">Inputs!$F$49</definedName>
    <definedName function="false" hidden="false" name="In_P50_Hours" vbProcedure="false">Inputs!$F$72</definedName>
    <definedName function="false" hidden="false" name="In_Part_Fee" vbProcedure="false">Inputs!$F$55</definedName>
    <definedName function="false" hidden="false" name="In_PB_Days" vbProcedure="false">Inputs!$F$23</definedName>
    <definedName function="false" hidden="false" name="In_PB_Rate" vbProcedure="false">Inputs!$F$57</definedName>
    <definedName function="false" hidden="false" name="In_PB_Release" vbProcedure="false">Inputs!$F$29</definedName>
    <definedName function="false" hidden="false" name="In_PPA_Esc" vbProcedure="false">Inputs!$F$76</definedName>
    <definedName function="false" hidden="false" name="In_PPA_Price" vbProcedure="false">Inputs!$F$75</definedName>
    <definedName function="false" hidden="false" name="In_Purchase_Price" vbProcedure="false">Inputs!$F$33</definedName>
    <definedName function="false" hidden="false" name="In_Sale_Costs" vbProcedure="false">Inputs!$F$38</definedName>
    <definedName function="false" hidden="false" name="In_Sale_Gain_Taxed" vbProcedure="false">Inputs!$F$41</definedName>
    <definedName function="false" hidden="false" name="In_Sanction_Lag" vbProcedure="false">Inputs!$F$53</definedName>
    <definedName function="false" hidden="false" name="In_Sanction_Regime" vbProcedure="false">Inputs!$F$52</definedName>
    <definedName function="false" hidden="false" name="In_Substation" vbProcedure="false">Inputs!$F$67</definedName>
    <definedName function="false" hidden="false" name="In_Substation_CN" vbProcedure="false">Inputs!$F$68</definedName>
    <definedName function="false" hidden="false" name="In_Tolerance_Cap" vbProcedure="false">Inputs!$F$51</definedName>
    <definedName function="false" hidden="false" name="In_TSO_Security" vbProcedure="false">Inputs!$F$58</definedName>
    <definedName function="false" hidden="false" name="In_Turbine" vbProcedure="false">Inputs!$F$64</definedName>
    <definedName function="false" hidden="false" name="In_Turbine_CN" vbProcedure="false">Inputs!$F$65</definedName>
    <definedName function="false" hidden="false" name="In_Upfront_Fee" vbProcedure="false">Inputs!$F$93</definedName>
    <definedName function="false" hidden="false" name="In_Var_Opex" vbProcedure="false">Inputs!$F$77</definedName>
    <definedName function="false" hidden="false" name="Live_Results" vbProcedure="false">Dashboard!$E$87:$E$102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Dashboard!$H$99:$O$99</definedName>
    <definedName function="false" hidden="false" name="Min_DSCR_2_Stored" vbProcedure="false">Dashboard!$H$100:$O$100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5_Pts" vbProcedure="false">Curves!$J$19:$J$19</definedName>
    <definedName function="false" hidden="false" name="Osz5_W" vbProcedure="false">Curves!$E$19</definedName>
    <definedName function="false" hidden="false" name="Osz6_Incl" vbProcedure="false">Curves!$J$17:$S$17</definedName>
    <definedName function="false" hidden="false" name="Osz6_LB" vbProcedure="false">Curves!$J$16:$S$16</definedName>
    <definedName function="false" hidden="false" name="Osz6_Pts" vbProcedure="false">Curves!$J$18:$T$18</definedName>
    <definedName function="false" hidden="false" name="Osz6_W" vbProcedure="false">Curves!$E$18</definedName>
    <definedName function="false" hidden="false" name="Osz8_Pts" vbProcedure="false">Curves!$J$20:$J$20</definedName>
    <definedName function="false" hidden="false" name="Osz8_W" vbProcedure="false">Curves!$E$20</definedName>
    <definedName function="false" hidden="false" name="Osz9a_Pts" vbProcedure="false">Curves!$J$21:$J$21</definedName>
    <definedName function="false" hidden="false" name="Osz9b_Pts" vbProcedure="false">Curves!$J$22:$J$22</definedName>
    <definedName function="false" hidden="false" name="Osz9_W" vbProcedure="false">Curves!$E$21</definedName>
    <definedName function="false" hidden="false" name="Out_Bottleneck_Loss_1" vbProcedure="false">Dashboard!$E$27</definedName>
    <definedName function="false" hidden="false" name="Out_Bottleneck_Loss_2" vbProcedure="false">Dashboard!$F$27</definedName>
    <definedName function="false" hidden="false" name="Out_Capacity_Used_1" vbProcedure="false">Dashboard!$E$74</definedName>
    <definedName function="false" hidden="false" name="Out_Capacity_Used_2" vbProcedure="false">Dashboard!$F$74</definedName>
    <definedName function="false" hidden="false" name="Out_Checks_1" vbProcedure="false">Dashboard!$E$84</definedName>
    <definedName function="false" hidden="false" name="Out_Checks_2" vbProcedure="false">Dashboard!$F$84</definedName>
    <definedName function="false" hidden="false" name="Out_COD_IRR_1" vbProcedure="false">Dashboard!$E$33</definedName>
    <definedName function="false" hidden="false" name="Out_COD_IRR_2" vbProcedure="false">Dashboard!$F$33</definedName>
    <definedName function="false" hidden="false" name="Out_COD_MOIC_1" vbProcedure="false">Dashboard!$E$34</definedName>
    <definedName function="false" hidden="false" name="Out_COD_MOIC_2" vbProcedure="false">Dashboard!$F$34</definedName>
    <definedName function="false" hidden="false" name="Out_COD_NPV_1" vbProcedure="false">Dashboard!$E$35</definedName>
    <definedName function="false" hidden="false" name="Out_COD_NPV_2" vbProcedure="false">Dashboard!$F$35</definedName>
    <definedName function="false" hidden="false" name="Out_COD_Price_1" vbProcedure="false">Dashboard!$E$66</definedName>
    <definedName function="false" hidden="false" name="Out_COD_Price_2" vbProcedure="false">Dashboard!$F$66</definedName>
    <definedName function="false" hidden="false" name="Out_COD_Proceeds_1" vbProcedure="false">Dashboard!$E$67</definedName>
    <definedName function="false" hidden="false" name="Out_COD_Proceeds_2" vbProcedure="false">Dashboard!$F$67</definedName>
    <definedName function="false" hidden="false" name="Out_COD_Profit_1" vbProcedure="false">Dashboard!$E$32</definedName>
    <definedName function="false" hidden="false" name="Out_COD_Profit_2" vbProcedure="false">Dashboard!$F$32</definedName>
    <definedName function="false" hidden="false" name="Out_COD_Tax_1" vbProcedure="false">Dashboard!$E$68</definedName>
    <definedName function="false" hidden="false" name="Out_COD_Tax_2" vbProcedure="false">Dashboard!$F$68</definedName>
    <definedName function="false" hidden="false" name="Out_Debt_Capacity_1" vbProcedure="false">Dashboard!$E$71</definedName>
    <definedName function="false" hidden="false" name="Out_Debt_Capacity_2" vbProcedure="false">Dashboard!$F$71</definedName>
    <definedName function="false" hidden="false" name="Out_Debt_COD_1" vbProcedure="false">Dashboard!$E$51</definedName>
    <definedName function="false" hidden="false" name="Out_Debt_COD_2" vbProcedure="false">Dashboard!$F$51</definedName>
    <definedName function="false" hidden="false" name="Out_Debt_Share_1" vbProcedure="false">Dashboard!$E$73</definedName>
    <definedName function="false" hidden="false" name="Out_Debt_Share_2" vbProcedure="false">Dashboard!$F$73</definedName>
    <definedName function="false" hidden="false" name="Out_DSRA_1" vbProcedure="false">Dashboard!$E$75</definedName>
    <definedName function="false" hidden="false" name="Out_DSRA_2" vbProcedure="false">Dashboard!$F$75</definedName>
    <definedName function="false" hidden="false" name="Out_EBITDA_Life_1" vbProcedure="false">Dashboard!$E$81</definedName>
    <definedName function="false" hidden="false" name="Out_EBITDA_Life_2" vbProcedure="false">Dashboard!$F$81</definedName>
    <definedName function="false" hidden="false" name="Out_EBITDA_Year1_1" vbProcedure="false">Dashboard!$E$79</definedName>
    <definedName function="false" hidden="false" name="Out_EBITDA_Year1_2" vbProcedure="false">Dashboard!$F$79</definedName>
    <definedName function="false" hidden="false" name="Out_Equity_COD_1" vbProcedure="false">Dashboard!$E$52</definedName>
    <definedName function="false" hidden="false" name="Out_Equity_COD_2" vbProcedure="false">Dashboard!$F$52</definedName>
    <definedName function="false" hidden="false" name="Out_Equity_Peak_HTM_1" vbProcedure="false">Dashboard!$E$53</definedName>
    <definedName function="false" hidden="false" name="Out_Equity_Peak_HTM_2" vbProcedure="false">Dashboard!$F$53</definedName>
    <definedName function="false" hidden="false" name="Out_Gearing_Cap_1" vbProcedure="false">Dashboard!$E$72</definedName>
    <definedName function="false" hidden="false" name="Out_Gearing_Cap_2" vbProcedure="false">Dashboard!$F$72</definedName>
    <definedName function="false" hidden="false" name="Out_Gearing_Uses_1" vbProcedure="false">Dashboard!$E$54</definedName>
    <definedName function="false" hidden="false" name="Out_Gearing_Uses_2" vbProcedure="false">Dashboard!$F$54</definedName>
    <definedName function="false" hidden="false" name="Out_Gen_Year1_1" vbProcedure="false">Dashboard!$E$77</definedName>
    <definedName function="false" hidden="false" name="Out_Gen_Year1_2" vbProcedure="false">Dashboard!$F$77</definedName>
    <definedName function="false" hidden="false" name="Out_Guarantee_Fees_COD_1" vbProcedure="false">Dashboard!$E$63</definedName>
    <definedName function="false" hidden="false" name="Out_Guarantee_Fees_COD_2" vbProcedure="false">Dashboard!$F$63</definedName>
    <definedName function="false" hidden="false" name="Out_HTM_IRR_1" vbProcedure="false">Dashboard!$E$37</definedName>
    <definedName function="false" hidden="false" name="Out_HTM_IRR_2" vbProcedure="false">Dashboard!$F$37</definedName>
    <definedName function="false" hidden="false" name="Out_HTM_MOIC_1" vbProcedure="false">Dashboard!$E$38</definedName>
    <definedName function="false" hidden="false" name="Out_HTM_MOIC_2" vbProcedure="false">Dashboard!$F$38</definedName>
    <definedName function="false" hidden="false" name="Out_HTM_NPV_1" vbProcedure="false">Dashboard!$E$39</definedName>
    <definedName function="false" hidden="false" name="Out_HTM_NPV_2" vbProcedure="false">Dashboard!$F$39</definedName>
    <definedName function="false" hidden="false" name="Out_HTM_Profit_1" vbProcedure="false">Dashboard!$E$36</definedName>
    <definedName function="false" hidden="false" name="Out_HTM_Profit_2" vbProcedure="false">Dashboard!$F$36</definedName>
    <definedName function="false" hidden="false" name="Out_Min_DSCR_1" vbProcedure="false">Dashboard!$E$76</definedName>
    <definedName function="false" hidden="false" name="Out_Min_DSCR_2" vbProcedure="false">Dashboard!$F$76</definedName>
    <definedName function="false" hidden="false" name="Out_PB_Call_Full_1" vbProcedure="false">Dashboard!$E$29</definedName>
    <definedName function="false" hidden="false" name="Out_PB_Call_Full_2" vbProcedure="false">Dashboard!$F$29</definedName>
    <definedName function="false" hidden="false" name="Out_PB_Call_ProRata_1" vbProcedure="false">Dashboard!$E$28</definedName>
    <definedName function="false" hidden="false" name="Out_PB_Call_ProRata_2" vbProcedure="false">Dashboard!$F$28</definedName>
    <definedName function="false" hidden="false" name="Out_Points_1" vbProcedure="false">Dashboard!$E$20</definedName>
    <definedName function="false" hidden="false" name="Out_Points_2" vbProcedure="false">Dashboard!$F$20</definedName>
    <definedName function="false" hidden="false" name="Out_Project_IRR_1" vbProcedure="false">Dashboard!$E$40</definedName>
    <definedName function="false" hidden="false" name="Out_Project_IRR_2" vbProcedure="false">Dashboard!$F$40</definedName>
    <definedName function="false" hidden="false" name="Out_Revenue_Life_1" vbProcedure="false">Dashboard!$E$80</definedName>
    <definedName function="false" hidden="false" name="Out_Revenue_Life_2" vbProcedure="false">Dashboard!$F$80</definedName>
    <definedName function="false" hidden="false" name="Out_Revenue_Year1_1" vbProcedure="false">Dashboard!$E$78</definedName>
    <definedName function="false" hidden="false" name="Out_Revenue_Year1_2" vbProcedure="false">Dashboard!$F$78</definedName>
    <definedName function="false" hidden="false" name="Out_Sec_bid_1" vbProcedure="false">Dashboard!$E$58</definedName>
    <definedName function="false" hidden="false" name="Out_Sec_bid_2" vbProcedure="false">Dashboard!$F$58</definedName>
    <definedName function="false" hidden="false" name="Out_Sec_direct_1" vbProcedure="false">Dashboard!$E$61</definedName>
    <definedName function="false" hidden="false" name="Out_Sec_direct_2" vbProcedure="false">Dashboard!$F$61</definedName>
    <definedName function="false" hidden="false" name="Out_Sec_fee_1" vbProcedure="false">Dashboard!$E$57</definedName>
    <definedName function="false" hidden="false" name="Out_Sec_fee_2" vbProcedure="false">Dashboard!$F$57</definedName>
    <definedName function="false" hidden="false" name="Out_Sec_indirect_1" vbProcedure="false">Dashboard!$E$62</definedName>
    <definedName function="false" hidden="false" name="Out_Sec_indirect_2" vbProcedure="false">Dashboard!$F$62</definedName>
    <definedName function="false" hidden="false" name="Out_Sec_pb_1" vbProcedure="false">Dashboard!$E$59</definedName>
    <definedName function="false" hidden="false" name="Out_Sec_pb_2" vbProcedure="false">Dashboard!$F$59</definedName>
    <definedName function="false" hidden="false" name="Out_Sec_tso_1" vbProcedure="false">Dashboard!$E$60</definedName>
    <definedName function="false" hidden="false" name="Out_Sec_tso_2" vbProcedure="false">Dashboard!$F$60</definedName>
    <definedName function="false" hidden="false" name="Out_Shortfall_1" vbProcedure="false">Dashboard!$E$26</definedName>
    <definedName function="false" hidden="false" name="Out_Shortfall_2" vbProcedure="false">Dashboard!$F$26</definedName>
    <definedName function="false" hidden="false" name="Out_Tax_Life_1" vbProcedure="false">Dashboard!$E$82</definedName>
    <definedName function="false" hidden="false" name="Out_Tax_Life_2" vbProcedure="false">Dashboard!$F$82</definedName>
    <definedName function="false" hidden="false" name="Out_Tax_Losses_Lapsed_1" vbProcedure="false">Dashboard!$E$83</definedName>
    <definedName function="false" hidden="false" name="Out_Tax_Losses_Lapsed_2" vbProcedure="false">Dashboard!$F$83</definedName>
    <definedName function="false" hidden="false" name="Out_Uses_Capex_1" vbProcedure="false">Dashboard!$E$45</definedName>
    <definedName function="false" hidden="false" name="Out_Uses_Capex_2" vbProcedure="false">Dashboard!$F$45</definedName>
    <definedName function="false" hidden="false" name="Out_Uses_Connection_1" vbProcedure="false">Dashboard!$E$46</definedName>
    <definedName function="false" hidden="false" name="Out_Uses_Connection_2" vbProcedure="false">Dashboard!$F$46</definedName>
    <definedName function="false" hidden="false" name="Out_Uses_Development_1" vbProcedure="false">Dashboard!$E$43</definedName>
    <definedName function="false" hidden="false" name="Out_Uses_Development_2" vbProcedure="false">Dashboard!$F$43</definedName>
    <definedName function="false" hidden="false" name="Out_Uses_Financing_1" vbProcedure="false">Dashboard!$E$48</definedName>
    <definedName function="false" hidden="false" name="Out_Uses_Financing_2" vbProcedure="false">Dashboard!$F$48</definedName>
    <definedName function="false" hidden="false" name="Out_Uses_Lease_1" vbProcedure="false">Dashboard!$E$49</definedName>
    <definedName function="false" hidden="false" name="Out_Uses_Lease_2" vbProcedure="false">Dashboard!$F$49</definedName>
    <definedName function="false" hidden="false" name="Out_Uses_Municipal_1" vbProcedure="false">Dashboard!$E$47</definedName>
    <definedName function="false" hidden="false" name="Out_Uses_Municipal_2" vbProcedure="false">Dashboard!$F$47</definedName>
    <definedName function="false" hidden="false" name="Out_Uses_Securities_1" vbProcedure="false">Dashboard!$E$44</definedName>
    <definedName function="false" hidden="false" name="Out_Uses_Securities_2" vbProcedure="false">Dashboard!$F$44</definedName>
    <definedName function="false" hidden="false" name="Out_Uses_Total_1" vbProcedure="false">Dashboard!$E$50</definedName>
    <definedName function="false" hidden="false" name="Out_Uses_Total_2" vbProcedure="false">Dashboard!$F$50</definedName>
    <definedName function="false" hidden="false" name="Out_Wind_Built_1" vbProcedure="false">Dashboard!$E$25</definedName>
    <definedName function="false" hidden="false" name="Out_Wind_Built_2" vbProcedure="false">Dashboard!$F$25</definedName>
    <definedName function="false" hidden="false" name="Out_Wind_MW_1" vbProcedure="false">Dashboard!$E$24</definedName>
    <definedName function="false" hidden="false" name="Out_Wind_MW_2" vbProcedure="false">Dashboard!$F$24</definedName>
    <definedName function="false" hidden="false" name="Points_Decimals" vbProcedure="false">Inputs!$F$47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olver_Topics" vbProcedure="false">Inputs!$F$98</definedName>
    <definedName function="false" hidden="false" name="Stored_Results" vbProcedure="false">Dashboard!$H$87:$O$102</definedName>
    <definedName function="false" hidden="false" name="Tax_1_Copy" vbProcedure="false">Calc_1!$J$105:$EO$105</definedName>
    <definedName function="false" hidden="false" name="Tax_1_Delta" vbProcedure="false">Calc_1!$I$106</definedName>
    <definedName function="false" hidden="false" name="Tax_1_Paste" vbProcedure="false">Calc_1!$J$78:$EO$78</definedName>
    <definedName function="false" hidden="false" name="Tax_2_Copy" vbProcedure="false">Calc_2!$J$105:$EO$105</definedName>
    <definedName function="false" hidden="false" name="Tax_2_Delta" vbProcedure="false">Calc_2!$I$106</definedName>
    <definedName function="false" hidden="false" name="Tax_2_Paste" vbProcedure="false">Calc_2!$J$78:$EO$78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<sst xmlns="http://schemas.openxmlformats.org/spreadsheetml/2006/main" count="1091" uniqueCount="461">
  <si>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</si>
  <si>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</si>
  <si>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</si>
  <si>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</si>
  <si>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</si>
  <si>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</si>
  <si>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</si>
  <si>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</si>
  <si>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</si>
  <si>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</si>
  <si>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</si>
  <si>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</si>
  <si>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</si>
  <si>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</si>
  <si>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</si>
  <si>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</si>
  <si>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</si>
  <si>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</si>
  <si>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</si>
  <si>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</si>
  <si>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</si>
  <si>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</si>
  <si>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</si>
  <si>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</si>
  <si>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</si>
  <si>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</si>
  <si>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</si>
  <si>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</si>
  <si>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</si>
  <si>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</si>
  <si>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Performance security multiple (ÖSZ-6)</t>
  </si>
  <si>
    <t xml:space="preserve">≥ 1.0</t>
  </si>
  <si>
    <t xml:space="preserve">Purchase price</t>
  </si>
  <si>
    <t xml:space="preserve">EUR k</t>
  </si>
  <si>
    <t xml:space="preserve">Partial award accepted (ÖSZ-5)</t>
  </si>
  <si>
    <t xml:space="preserve">flag</t>
  </si>
  <si>
    <t xml:space="preserve">0 / 1</t>
  </si>
  <si>
    <t xml:space="preserve">COD</t>
  </si>
  <si>
    <t xml:space="preserve">date</t>
  </si>
  <si>
    <t xml:space="preserve">Shared connection (ÖSZ-8)</t>
  </si>
  <si>
    <t xml:space="preserve">Overbuild built</t>
  </si>
  <si>
    <t xml:space="preserve">EU turbines ≥ 80 % (ÖSZ-9), sets the route</t>
  </si>
  <si>
    <t xml:space="preserve">Sanction regime (1 pro rata, 2 full)</t>
  </si>
  <si>
    <t xml:space="preserve">EU transformers ≥ 80 % (ÖSZ-9)</t>
  </si>
  <si>
    <t xml:space="preserve">COD price, EU</t>
  </si>
  <si>
    <t xml:space="preserve">Points total</t>
  </si>
  <si>
    <t xml:space="preserve">points</t>
  </si>
  <si>
    <t xml:space="preserve">COD price, CN</t>
  </si>
  <si>
    <t xml:space="preserve">Commitments within the offerable range</t>
  </si>
  <si>
    <t xml:space="preserve">Turbine price, EU</t>
  </si>
  <si>
    <t xml:space="preserve">Turbine price, CN</t>
  </si>
  <si>
    <t xml:space="preserve">Overbuild: committed vs built</t>
  </si>
  <si>
    <t xml:space="preserve">Net P50 hours</t>
  </si>
  <si>
    <t xml:space="preserve">h/yr</t>
  </si>
  <si>
    <t xml:space="preserve">Wind committed in the bid</t>
  </si>
  <si>
    <t xml:space="preserve">MW</t>
  </si>
  <si>
    <t xml:space="preserve">PPA price at COD, whole life</t>
  </si>
  <si>
    <t xml:space="preserve">Wind built</t>
  </si>
  <si>
    <t xml:space="preserve">Debt rate</t>
  </si>
  <si>
    <t xml:space="preserve">Build shortfall vs commitment</t>
  </si>
  <si>
    <t xml:space="preserve">Target DSCR</t>
  </si>
  <si>
    <t xml:space="preserve">Grid-bottleneck energy loss</t>
  </si>
  <si>
    <t xml:space="preserve">Tenor from COD</t>
  </si>
  <si>
    <t xml:space="preserve">years</t>
  </si>
  <si>
    <t xml:space="preserve">PB call if the pro-rata rule applies (GYIK 28/30)</t>
  </si>
  <si>
    <t xml:space="preserve">EUR m</t>
  </si>
  <si>
    <t xml:space="preserve">Debt share cap, EU</t>
  </si>
  <si>
    <t xml:space="preserve">PB call if the full-call rule applies (GYIK 72)</t>
  </si>
  <si>
    <t xml:space="preserve">Debt share cap, CN</t>
  </si>
  <si>
    <t xml:space="preserve">CIT</t>
  </si>
  <si>
    <t xml:space="preserve">Returns at a glance</t>
  </si>
  <si>
    <t xml:space="preserve">Discount rate</t>
  </si>
  <si>
    <t xml:space="preserve">FEP profit – sale at COD</t>
  </si>
  <si>
    <t xml:space="preserve">FX</t>
  </si>
  <si>
    <t xml:space="preserve">HUF/EUR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</si>
  <si>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</si>
  <si>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</si>
  <si>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</si>
  <si>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</si>
  <si>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</si>
  <si>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</si>
  <si>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</si>
  <si>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</si>
  <si>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</si>
  <si>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</si>
  <si>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</si>
  <si>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</si>
  <si>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</si>
  <si>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</si>
  <si>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</si>
  <si>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</si>
  <si>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</si>
  <si>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</si>
  <si>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</si>
  <si>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</si>
  <si>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</si>
  <si>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</si>
  <si>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</si>
  <si>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</si>
  <si>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</si>
  <si>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</si>
  <si>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</si>
  <si>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</si>
  <si>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</si>
  <si>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</si>
  <si>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</si>
  <si>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</si>
  <si>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</si>
  <si>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</si>
  <si>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</si>
  <si>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</si>
  <si>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</si>
  <si>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</si>
  <si>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</si>
  <si>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</si>
  <si>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</si>
  <si>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</si>
  <si>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</si>
  <si>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</si>
  <si>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</si>
  <si>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</si>
  <si>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</si>
  <si>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</si>
  <si>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</si>
  <si>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</si>
  <si>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</si>
  <si>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</si>
  <si>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</si>
  <si>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</si>
  <si>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</si>
  <si>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</si>
  <si>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</si>
  <si>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</si>
  <si>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</si>
  <si>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</si>
  <si>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</si>
  <si>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</si>
  <si>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</si>
  <si>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</si>
  <si>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</si>
  <si>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</si>
  <si>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</si>
  <si>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</si>
  <si>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</si>
  <si>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</si>
  <si>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</si>
  <si>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</si>
  <si>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</si>
  <si>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</si>
  <si>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</si>
  <si>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</si>
  <si>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</si>
  <si>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</si>
  <si>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</si>
  <si>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</si>
  <si>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</si>
  <si>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</si>
  <si>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</si>
  <si>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−10%</t>
  </si>
  <si>
    <t xml:space="preserve">Full PB call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</si>
  <si>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</si>
  <si>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</si>
  <si>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</si>
  <si>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</si>
  <si>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</si>
  <si>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</si>
  <si>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</si>
  <si>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</si>
  <si>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</si>
  <si>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</si>
  <si>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</si>
  <si>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</si>
  <si>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</si>
  <si>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</si>
  <si>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</si>
  <si>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</si>
  <si>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</si>
  <si>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</si>
  <si>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</si>
  <si>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</si>
  <si>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</si>
  <si>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</si>
  <si>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</si>
  <si>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</si>
  <si>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</si>
  <si>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</si>
  <si>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</si>
  <si>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</si>
  <si>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</si>
  <si>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</si>
  <si>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</si>
  <si>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</si>
  <si>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</si>
  <si>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</si>
  <si>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</si>
  <si>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</si>
  <si>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</si>
  <si>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</si>
  <si>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</si>
  <si>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</si>
  <si>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</si>
  <si>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</si>
  <si>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</si>
  <si>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</si>
  <si>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</si>
  <si>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</si>
  <si>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</si>
  <si>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</si>
  <si>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</si>
  <si>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</si>
  <si>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</si>
  <si>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</si>
  <si>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</si>
  <si>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</si>
  <si>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</si>
  <si>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</si>
  <si>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</si>
  <si>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</si>
  <si>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</si>
  <si>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</si>
  <si>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</si>
  <si>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</si>
  <si>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</si>
  <si>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</si>
  <si>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</si>
  <si>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</si>
  <si>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</si>
  <si>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</si>
  <si>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</si>
  <si>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</si>
  <si>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</si>
  <si>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</si>
  <si>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User 13-Oct-26</t>
  </si>
  <si>
    <t xml:space="preserve">Energy lost on overbuilt MW</t>
  </si>
  <si>
    <t xml:space="preserve">Bora!N18 (as Bora)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</si>
  <si>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</si>
  <si>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</si>
  <si>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</si>
  <si>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</si>
  <si>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</si>
  <si>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</si>
  <si>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wind</t>
  </si>
  <si>
    <t xml:space="preserve">mHUF/MW</t>
  </si>
  <si>
    <t xml:space="preserve">Kiírás Annex 2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</si>
  <si>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</si>
  <si>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</si>
  <si>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</si>
  <si>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</si>
  <si>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</si>
  <si>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</si>
  <si>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</si>
  <si>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</si>
  <si>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</si>
  <si>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</si>
  <si>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</si>
  <si>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</si>
  <si>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</si>
  <si>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</si>
  <si>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</si>
  <si>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</si>
  <si>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</si>
  <si>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</si>
  <si>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12-Oct-26 (Bora SPEC v2.1)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</si>
  <si>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</si>
  <si>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</si>
  <si>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</si>
  <si>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</si>
  <si>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</si>
  <si>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</si>
  <si>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</si>
  <si>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</si>
  <si>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</si>
  <si>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</si>
  <si>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Operations</t>
  </si>
  <si>
    <t xml:space="preserve">Bana v3 Inputs E179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</si>
  <si>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</si>
  <si>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</si>
  <si>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</si>
  <si>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</si>
  <si>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</si>
  <si>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</si>
  <si>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</si>
  <si>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</si>
  <si>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</si>
  <si>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</si>
  <si>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</si>
  <si>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</si>
  <si>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</si>
  <si>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</si>
  <si>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</si>
  <si>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</si>
  <si>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</si>
  <si>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</si>
  <si>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</si>
  <si>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</si>
  <si>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</si>
  <si>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</si>
  <si>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</si>
  <si>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</si>
  <si>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</si>
  <si>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</si>
  <si>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</si>
  <si>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Rock Assumptions G547</t>
  </si>
  <si>
    <t xml:space="preserve">Debt share cap of construction cost, CN</t>
  </si>
  <si>
    <t xml:space="preserve">Rock G547 less 10 pp (Bana v3 CN)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</si>
  <si>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</si>
  <si>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</si>
  <si>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</si>
  <si>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</si>
  <si>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</si>
  <si>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</si>
  <si>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</si>
  <si>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</si>
  <si>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</si>
  <si>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</si>
  <si>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</si>
  <si>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</si>
  <si>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</si>
  <si>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</si>
  <si>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</si>
  <si>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</si>
  <si>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</si>
  <si>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</si>
  <si>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</si>
  <si>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</si>
  <si>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</si>
  <si>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</si>
  <si>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</si>
  <si>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</si>
  <si>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</si>
  <si>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</si>
  <si>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</si>
  <si>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</si>
  <si>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</si>
  <si>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</si>
  <si>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</si>
  <si>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</si>
  <si>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</si>
  <si>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</si>
  <si>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</si>
  <si>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</si>
  <si>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</si>
  <si>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</si>
  <si>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</si>
  <si>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</si>
  <si>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</si>
  <si>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</si>
  <si>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</si>
  <si>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</si>
  <si>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</si>
  <si>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</si>
  <si>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</si>
  <si>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</si>
  <si>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</si>
  <si>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</si>
  <si>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</si>
  <si>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</si>
  <si>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</si>
  <si>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</si>
  <si>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</si>
  <si>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</si>
  <si>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</si>
  <si>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</si>
  <si>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</si>
  <si>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</si>
  <si>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</si>
  <si>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</si>
  <si>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</si>
  <si>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</si>
  <si>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</si>
  <si>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</si>
  <si>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</si>
  <si>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</si>
  <si>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range tests (E: ÖSZ-1 and -2, F: ÖSZ-6)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</si>
  <si>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</si>
  <si>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</si>
  <si>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</si>
  <si>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</si>
  <si>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</si>
  <si>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</si>
  <si>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</si>
  <si>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</si>
  <si>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</si>
  <si>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</si>
  <si>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</si>
  <si>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</si>
  <si>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</si>
  <si>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</si>
  <si>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</si>
  <si>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</si>
  <si>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</si>
  <si>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</si>
  <si>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</si>
  <si>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</si>
  <si>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</si>
  <si>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</si>
  <si>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</si>
  <si>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MWh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</si>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</sst>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0.00\x"/>
    <numFmt numFmtId="171" formatCode="0;\-0;\–"/>
    <numFmt numFmtId="172" formatCode="#,##0.0;\(#,##0.0\);\–"/>
    <numFmt numFmtId="173" formatCode="0.00%"/>
    <numFmt numFmtId="174" formatCode="0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10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35</v>
      </c>
      <c r="F12" s="12" t="n">
        <v>35</v>
      </c>
      <c r="H12" s="13" t="s">
        <v>20</v>
      </c>
      <c r="I12" s="14" t="n">
        <f aca="false">Calc_1!$F$29</f>
        <v>11</v>
      </c>
      <c r="J12" s="14" t="n">
        <f aca="false">Calc_2!$F$29</f>
        <v>11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2.5</v>
      </c>
      <c r="F13" s="16" t="n">
        <v>2.5</v>
      </c>
      <c r="H13" s="13" t="s">
        <v>25</v>
      </c>
      <c r="I13" s="14" t="n">
        <f aca="false">Calc_1!$F$30</f>
        <v>6</v>
      </c>
      <c r="J13" s="14" t="n">
        <f aca="false">Calc_2!$F$30</f>
        <v>6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Calc_1!$F$31</f>
        <v>5</v>
      </c>
      <c r="J14" s="14" t="n">
        <f aca="false">Calc_2!$F$31</f>
        <v>5</v>
      </c>
      <c r="Q14" s="9" t="s">
        <v>29</v>
      </c>
      <c r="R14" s="9"/>
      <c r="S14" s="9"/>
    </row>
    <row r="15" customFormat="false" ht="15" hidden="false" customHeight="false" outlineLevel="0" collapsed="false">
      <c r="C15" s="0" t="s">
        <v>30</v>
      </c>
      <c r="D15" s="11" t="s">
        <v>13</v>
      </c>
      <c r="E15" s="18" t="n">
        <v>1</v>
      </c>
      <c r="F15" s="18" t="n">
        <v>1</v>
      </c>
      <c r="H15" s="13" t="s">
        <v>31</v>
      </c>
      <c r="I15" s="14" t="n">
        <f aca="false">Calc_1!$F$33</f>
        <v>0</v>
      </c>
      <c r="J15" s="14" t="n">
        <f aca="false">Calc_2!$F$33</f>
        <v>0</v>
      </c>
      <c r="Q15" s="13" t="s">
        <v>32</v>
      </c>
      <c r="R15" s="11" t="s">
        <v>33</v>
      </c>
      <c r="S15" s="19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20" t="n">
        <v>0</v>
      </c>
      <c r="F16" s="20" t="n">
        <v>0</v>
      </c>
      <c r="H16" s="13" t="s">
        <v>36</v>
      </c>
      <c r="I16" s="14" t="n">
        <f aca="false">Calc_1!$F$32</f>
        <v>0</v>
      </c>
      <c r="J16" s="14" t="n">
        <f aca="false">Calc_2!$F$32</f>
        <v>0</v>
      </c>
      <c r="Q16" s="13" t="s">
        <v>37</v>
      </c>
      <c r="R16" s="11" t="s">
        <v>38</v>
      </c>
      <c r="S16" s="21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35</v>
      </c>
      <c r="E17" s="20" t="n">
        <v>0</v>
      </c>
      <c r="F17" s="20" t="n">
        <v>0</v>
      </c>
      <c r="H17" s="13" t="s">
        <v>36</v>
      </c>
      <c r="I17" s="14" t="n">
        <f aca="false">Calc_1!$F$34</f>
        <v>0</v>
      </c>
      <c r="J17" s="14" t="n">
        <f aca="false">Calc_2!$F$34</f>
        <v>0</v>
      </c>
      <c r="Q17" s="13" t="s">
        <v>40</v>
      </c>
      <c r="R17" s="11" t="s">
        <v>27</v>
      </c>
      <c r="S17" s="22" t="n">
        <f aca="false">In_Overbuild_Built</f>
        <v>0.1</v>
      </c>
    </row>
    <row r="18" customFormat="false" ht="15" hidden="false" customHeight="false" outlineLevel="0" collapsed="false">
      <c r="C18" s="0" t="s">
        <v>41</v>
      </c>
      <c r="D18" s="11" t="s">
        <v>35</v>
      </c>
      <c r="E18" s="20" t="n">
        <v>1</v>
      </c>
      <c r="F18" s="20" t="n">
        <v>0</v>
      </c>
      <c r="H18" s="13" t="s">
        <v>36</v>
      </c>
      <c r="I18" s="14" t="n">
        <f aca="false">Calc_1!$F$35</f>
        <v>12</v>
      </c>
      <c r="J18" s="14" t="n">
        <f aca="false">Calc_2!$F$35</f>
        <v>0</v>
      </c>
      <c r="Q18" s="13" t="s">
        <v>42</v>
      </c>
      <c r="R18" s="11" t="s">
        <v>35</v>
      </c>
      <c r="S18" s="23" t="n">
        <f aca="false">In_Sanction_Regime</f>
        <v>1</v>
      </c>
    </row>
    <row r="19" customFormat="false" ht="15" hidden="false" customHeight="false" outlineLevel="0" collapsed="false">
      <c r="C19" s="0" t="s">
        <v>43</v>
      </c>
      <c r="D19" s="11" t="s">
        <v>35</v>
      </c>
      <c r="E19" s="20" t="n">
        <v>0</v>
      </c>
      <c r="F19" s="20" t="n">
        <v>0</v>
      </c>
      <c r="H19" s="13" t="s">
        <v>36</v>
      </c>
      <c r="I19" s="14" t="n">
        <f aca="false">Calc_1!$F$36</f>
        <v>0</v>
      </c>
      <c r="J19" s="14" t="n">
        <f aca="false">Calc_2!$F$36</f>
        <v>0</v>
      </c>
      <c r="Q19" s="13" t="s">
        <v>44</v>
      </c>
      <c r="R19" s="11" t="s">
        <v>19</v>
      </c>
      <c r="S19" s="19" t="n">
        <f aca="false">In_COD_Price</f>
        <v>2450</v>
      </c>
    </row>
    <row r="20" customFormat="false" ht="15" hidden="false" customHeight="false" outlineLevel="0" collapsed="false">
      <c r="C20" s="24" t="s">
        <v>45</v>
      </c>
      <c r="D20" s="11" t="s">
        <v>46</v>
      </c>
      <c r="E20" s="25" t="n">
        <f aca="false">Calc_1!$E37</f>
        <v>34</v>
      </c>
      <c r="F20" s="25" t="n">
        <f aca="false">Calc_2!$E37</f>
        <v>22</v>
      </c>
      <c r="Q20" s="13" t="s">
        <v>47</v>
      </c>
      <c r="R20" s="11" t="s">
        <v>19</v>
      </c>
      <c r="S20" s="19" t="n">
        <f aca="false">In_COD_Price_CN</f>
        <v>2100</v>
      </c>
    </row>
    <row r="21" customFormat="false" ht="15" hidden="false" customHeight="false" outlineLevel="0" collapsed="false">
      <c r="C21" s="0" t="s">
        <v>48</v>
      </c>
      <c r="D21" s="11" t="s">
        <v>35</v>
      </c>
      <c r="E21" s="26" t="str">
        <f aca="false">IF(Calc_1!$E38+Calc_1!$F38=0,"OK","CHECK")</f>
        <v>OK</v>
      </c>
      <c r="F21" s="26" t="str">
        <f aca="false">IF(Calc_2!$E38+Calc_2!$F38=0,"OK","CHECK")</f>
        <v>OK</v>
      </c>
      <c r="Q21" s="13" t="s">
        <v>49</v>
      </c>
      <c r="R21" s="11" t="s">
        <v>19</v>
      </c>
      <c r="S21" s="19" t="n">
        <f aca="false">In_Turbine</f>
        <v>600</v>
      </c>
    </row>
    <row r="22" customFormat="false" ht="15" hidden="false" customHeight="false" outlineLevel="0" collapsed="false">
      <c r="Q22" s="0" t="s">
        <v>50</v>
      </c>
      <c r="R22" s="11" t="s">
        <v>19</v>
      </c>
      <c r="S22" s="19" t="n">
        <f aca="false">In_Turbine_CN</f>
        <v>500</v>
      </c>
    </row>
    <row r="23" customFormat="false" ht="15" hidden="false" customHeight="false" outlineLevel="0" collapsed="false">
      <c r="A23" s="9" t="s">
        <v>13</v>
      </c>
      <c r="B23" s="9"/>
      <c r="C23" s="9" t="s">
        <v>51</v>
      </c>
      <c r="D23" s="9"/>
      <c r="E23" s="10" t="s">
        <v>9</v>
      </c>
      <c r="F23" s="10" t="s">
        <v>10</v>
      </c>
      <c r="G23" s="9"/>
      <c r="H23" s="9"/>
      <c r="I23" s="9"/>
      <c r="J23" s="9"/>
      <c r="K23" s="9"/>
      <c r="L23" s="9"/>
      <c r="M23" s="9"/>
      <c r="N23" s="9"/>
      <c r="O23" s="9"/>
      <c r="Q23" s="13" t="s">
        <v>52</v>
      </c>
      <c r="R23" s="11" t="s">
        <v>53</v>
      </c>
      <c r="S23" s="19" t="n">
        <f aca="false">In_P50_Hours</f>
        <v>2460</v>
      </c>
    </row>
    <row r="24" customFormat="false" ht="15" hidden="false" customHeight="false" outlineLevel="0" collapsed="false">
      <c r="C24" s="0" t="s">
        <v>54</v>
      </c>
      <c r="D24" s="11" t="s">
        <v>55</v>
      </c>
      <c r="E24" s="27" t="n">
        <f aca="false">Calc_1!$E24</f>
        <v>60</v>
      </c>
      <c r="F24" s="27" t="n">
        <f aca="false">Calc_2!$E24</f>
        <v>60</v>
      </c>
      <c r="Q24" s="13" t="s">
        <v>56</v>
      </c>
      <c r="R24" s="11" t="s">
        <v>24</v>
      </c>
      <c r="S24" s="27" t="n">
        <f aca="false">In_PPA_Price</f>
        <v>90</v>
      </c>
    </row>
    <row r="25" customFormat="false" ht="15" hidden="false" customHeight="false" outlineLevel="0" collapsed="false">
      <c r="C25" s="0" t="s">
        <v>57</v>
      </c>
      <c r="D25" s="11" t="s">
        <v>55</v>
      </c>
      <c r="E25" s="27" t="n">
        <f aca="false">Calc_1!$F24</f>
        <v>55</v>
      </c>
      <c r="F25" s="27" t="n">
        <f aca="false">Calc_2!$F24</f>
        <v>55</v>
      </c>
      <c r="Q25" s="13" t="s">
        <v>58</v>
      </c>
      <c r="R25" s="11" t="s">
        <v>27</v>
      </c>
      <c r="S25" s="22" t="n">
        <f aca="false">In_Debt_Rate</f>
        <v>0.05</v>
      </c>
    </row>
    <row r="26" customFormat="false" ht="15" hidden="false" customHeight="false" outlineLevel="0" collapsed="false">
      <c r="C26" s="0" t="s">
        <v>59</v>
      </c>
      <c r="D26" s="11" t="s">
        <v>27</v>
      </c>
      <c r="E26" s="22" t="n">
        <f aca="false">Calc_1!$E26</f>
        <v>0.0833333333333333</v>
      </c>
      <c r="F26" s="22" t="n">
        <f aca="false">Calc_2!$E26</f>
        <v>0.0833333333333333</v>
      </c>
      <c r="Q26" s="13" t="s">
        <v>60</v>
      </c>
      <c r="R26" s="11" t="s">
        <v>13</v>
      </c>
      <c r="S26" s="28" t="n">
        <f aca="false">In_DSCR</f>
        <v>1.2</v>
      </c>
    </row>
    <row r="27" customFormat="false" ht="15" hidden="false" customHeight="false" outlineLevel="0" collapsed="false">
      <c r="C27" s="0" t="s">
        <v>61</v>
      </c>
      <c r="D27" s="11" t="s">
        <v>27</v>
      </c>
      <c r="E27" s="29" t="n">
        <f aca="false">Calc_1!$E25</f>
        <v>0.00454545454545455</v>
      </c>
      <c r="F27" s="29" t="n">
        <f aca="false">Calc_2!$E25</f>
        <v>0.00454545454545455</v>
      </c>
      <c r="Q27" s="13" t="s">
        <v>62</v>
      </c>
      <c r="R27" s="11" t="s">
        <v>63</v>
      </c>
      <c r="S27" s="30" t="n">
        <f aca="false">In_Debt_Tenor</f>
        <v>18</v>
      </c>
    </row>
    <row r="28" customFormat="false" ht="15" hidden="false" customHeight="false" outlineLevel="0" collapsed="false">
      <c r="C28" s="0" t="s">
        <v>64</v>
      </c>
      <c r="D28" s="11" t="s">
        <v>65</v>
      </c>
      <c r="E28" s="31" t="n">
        <f aca="false">Calc_1!$E53/Thousand</f>
        <v>0</v>
      </c>
      <c r="F28" s="31" t="n">
        <f aca="false">Calc_2!$E53/Thousand</f>
        <v>0</v>
      </c>
      <c r="Q28" s="13" t="s">
        <v>66</v>
      </c>
      <c r="R28" s="11" t="s">
        <v>27</v>
      </c>
      <c r="S28" s="22" t="n">
        <f aca="false">In_Gearing</f>
        <v>0.8</v>
      </c>
    </row>
    <row r="29" customFormat="false" ht="15" hidden="false" customHeight="false" outlineLevel="0" collapsed="false">
      <c r="C29" s="0" t="s">
        <v>67</v>
      </c>
      <c r="D29" s="11" t="s">
        <v>65</v>
      </c>
      <c r="E29" s="31" t="n">
        <f aca="false">Calc_1!$F53/Thousand</f>
        <v>1.66849315068493</v>
      </c>
      <c r="F29" s="31" t="n">
        <f aca="false">Calc_2!$F53/Thousand</f>
        <v>1.66849315068493</v>
      </c>
      <c r="Q29" s="13" t="s">
        <v>68</v>
      </c>
      <c r="R29" s="11" t="s">
        <v>27</v>
      </c>
      <c r="S29" s="22" t="n">
        <f aca="false">In_Gearing_CN</f>
        <v>0.7</v>
      </c>
    </row>
    <row r="30" customFormat="false" ht="15" hidden="false" customHeight="false" outlineLevel="0" collapsed="false">
      <c r="Q30" s="0" t="s">
        <v>69</v>
      </c>
      <c r="R30" s="11" t="s">
        <v>27</v>
      </c>
      <c r="S30" s="22" t="n">
        <f aca="false">In_CIT</f>
        <v>0.09</v>
      </c>
    </row>
    <row r="31" customFormat="false" ht="15" hidden="false" customHeight="false" outlineLevel="0" collapsed="false">
      <c r="A31" s="9" t="s">
        <v>13</v>
      </c>
      <c r="B31" s="9"/>
      <c r="C31" s="9" t="s">
        <v>70</v>
      </c>
      <c r="D31" s="9"/>
      <c r="E31" s="10" t="s">
        <v>9</v>
      </c>
      <c r="F31" s="10" t="s">
        <v>10</v>
      </c>
      <c r="G31" s="9"/>
      <c r="H31" s="9"/>
      <c r="I31" s="9"/>
      <c r="J31" s="9"/>
      <c r="K31" s="9"/>
      <c r="L31" s="9"/>
      <c r="M31" s="9"/>
      <c r="N31" s="9"/>
      <c r="O31" s="9"/>
      <c r="Q31" s="13" t="s">
        <v>71</v>
      </c>
      <c r="R31" s="11" t="s">
        <v>27</v>
      </c>
      <c r="S31" s="22" t="n">
        <f aca="false">In_Discount_Rate</f>
        <v>0.08</v>
      </c>
    </row>
    <row r="32" customFormat="false" ht="15" hidden="false" customHeight="false" outlineLevel="0" collapsed="false">
      <c r="C32" s="0" t="s">
        <v>72</v>
      </c>
      <c r="D32" s="11" t="s">
        <v>65</v>
      </c>
      <c r="E32" s="31" t="n">
        <f aca="false">Calc_1!$I125/Thousand</f>
        <v>44.8202946941717</v>
      </c>
      <c r="F32" s="31" t="n">
        <f aca="false">Calc_2!$I125/Thousand</f>
        <v>33.6381881782181</v>
      </c>
      <c r="Q32" s="13" t="s">
        <v>73</v>
      </c>
      <c r="R32" s="11" t="s">
        <v>74</v>
      </c>
      <c r="S32" s="19" t="n">
        <f aca="false">In_FX</f>
        <v>365</v>
      </c>
    </row>
    <row r="33" customFormat="false" ht="15" hidden="false" customHeight="false" outlineLevel="0" collapsed="false">
      <c r="C33" s="24" t="s">
        <v>75</v>
      </c>
      <c r="D33" s="11" t="s">
        <v>27</v>
      </c>
      <c r="E33" s="32" t="n">
        <f aca="false">Calc_1!$E126</f>
        <v>0.663535311491085</v>
      </c>
      <c r="F33" s="32" t="n">
        <f aca="false">Calc_2!$E126</f>
        <v>0.518123392285528</v>
      </c>
    </row>
    <row r="34" customFormat="false" ht="15" hidden="false" customHeight="false" outlineLevel="0" collapsed="false">
      <c r="C34" s="0" t="s">
        <v>76</v>
      </c>
      <c r="D34" s="11" t="s">
        <v>13</v>
      </c>
      <c r="E34" s="28" t="n">
        <f aca="false">Calc_1!$E127</f>
        <v>2.88662013381121</v>
      </c>
      <c r="F34" s="28" t="n">
        <f aca="false">Calc_2!$E127</f>
        <v>2.15776567105697</v>
      </c>
    </row>
    <row r="35" customFormat="false" ht="15" hidden="false" customHeight="false" outlineLevel="0" collapsed="false">
      <c r="C35" s="0" t="s">
        <v>77</v>
      </c>
      <c r="D35" s="11" t="s">
        <v>65</v>
      </c>
      <c r="E35" s="31" t="n">
        <f aca="false">Calc_1!$E128/Thousand</f>
        <v>31.0912649449531</v>
      </c>
      <c r="F35" s="31" t="n">
        <f aca="false">Calc_2!$E128/Thousand</f>
        <v>22.4249237379193</v>
      </c>
    </row>
    <row r="36" customFormat="false" ht="15" hidden="false" customHeight="false" outlineLevel="0" collapsed="false">
      <c r="C36" s="0" t="s">
        <v>78</v>
      </c>
      <c r="D36" s="11" t="s">
        <v>65</v>
      </c>
      <c r="E36" s="31" t="n">
        <f aca="false">Calc_1!$I133/Thousand</f>
        <v>140.799068106775</v>
      </c>
      <c r="F36" s="31" t="n">
        <f aca="false">Calc_2!$I133/Thousand</f>
        <v>154.357882997321</v>
      </c>
    </row>
    <row r="37" customFormat="false" ht="15" hidden="false" customHeight="false" outlineLevel="0" collapsed="false">
      <c r="C37" s="24" t="s">
        <v>79</v>
      </c>
      <c r="D37" s="11" t="s">
        <v>27</v>
      </c>
      <c r="E37" s="32" t="n">
        <f aca="false">Calc_1!$E134</f>
        <v>0.129381611423992</v>
      </c>
      <c r="F37" s="32" t="n">
        <f aca="false">Calc_2!$E134</f>
        <v>0.134805776932951</v>
      </c>
    </row>
    <row r="38" customFormat="false" ht="15" hidden="false" customHeight="false" outlineLevel="0" collapsed="false">
      <c r="C38" s="0" t="s">
        <v>80</v>
      </c>
      <c r="D38" s="11" t="s">
        <v>13</v>
      </c>
      <c r="E38" s="28" t="n">
        <f aca="false">Calc_1!$E135</f>
        <v>6.60381530327083</v>
      </c>
      <c r="F38" s="28" t="n">
        <f aca="false">Calc_2!$E135</f>
        <v>6.12017077960487</v>
      </c>
    </row>
    <row r="39" customFormat="false" ht="15" hidden="false" customHeight="false" outlineLevel="0" collapsed="false">
      <c r="C39" s="0" t="s">
        <v>81</v>
      </c>
      <c r="D39" s="11" t="s">
        <v>65</v>
      </c>
      <c r="E39" s="31" t="n">
        <f aca="false">Calc_1!$E136/Thousand</f>
        <v>16.1800718168963</v>
      </c>
      <c r="F39" s="31" t="n">
        <f aca="false">Calc_2!$E136/Thousand</f>
        <v>19.6368251240545</v>
      </c>
    </row>
    <row r="40" customFormat="false" ht="15" hidden="false" customHeight="false" outlineLevel="0" collapsed="false">
      <c r="C40" s="0" t="s">
        <v>82</v>
      </c>
      <c r="D40" s="11" t="s">
        <v>27</v>
      </c>
      <c r="E40" s="22" t="n">
        <f aca="false">Calc_1!$E132</f>
        <v>0.091457501165244</v>
      </c>
      <c r="F40" s="22" t="n">
        <f aca="false">Calc_2!$E132</f>
        <v>0.0998242386406485</v>
      </c>
    </row>
    <row r="42" customFormat="false" ht="15" hidden="false" customHeight="false" outlineLevel="0" collapsed="false">
      <c r="A42" s="9" t="s">
        <v>13</v>
      </c>
      <c r="B42" s="9"/>
      <c r="C42" s="9" t="s">
        <v>83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</row>
    <row r="43" customFormat="false" ht="15" hidden="false" customHeight="false" outlineLevel="0" collapsed="false">
      <c r="C43" s="0" t="s">
        <v>84</v>
      </c>
      <c r="D43" s="11" t="s">
        <v>65</v>
      </c>
      <c r="E43" s="31" t="n">
        <f aca="false">Calc_1!$E109/Thousand</f>
        <v>5.15</v>
      </c>
      <c r="F43" s="31" t="n">
        <f aca="false">Calc_2!$E109/Thousand</f>
        <v>5.15</v>
      </c>
    </row>
    <row r="44" customFormat="false" ht="15" hidden="false" customHeight="false" outlineLevel="0" collapsed="false">
      <c r="C44" s="0" t="s">
        <v>85</v>
      </c>
      <c r="D44" s="11" t="s">
        <v>65</v>
      </c>
      <c r="E44" s="31" t="n">
        <f aca="false">Calc_1!$E110/Thousand</f>
        <v>0.993719076749859</v>
      </c>
      <c r="F44" s="31" t="n">
        <f aca="false">Calc_2!$E110/Thousand</f>
        <v>0.993719076749859</v>
      </c>
    </row>
    <row r="45" customFormat="false" ht="15" hidden="false" customHeight="false" outlineLevel="0" collapsed="false">
      <c r="C45" s="0" t="s">
        <v>86</v>
      </c>
      <c r="D45" s="11" t="s">
        <v>65</v>
      </c>
      <c r="E45" s="31" t="n">
        <f aca="false">Calc_1!$E111/Thousand</f>
        <v>67.75125</v>
      </c>
      <c r="F45" s="31" t="n">
        <f aca="false">Calc_2!$E111/Thousand</f>
        <v>60.71625</v>
      </c>
    </row>
    <row r="46" customFormat="false" ht="15" hidden="false" customHeight="false" outlineLevel="0" collapsed="false">
      <c r="C46" s="0" t="s">
        <v>87</v>
      </c>
      <c r="D46" s="11" t="s">
        <v>65</v>
      </c>
      <c r="E46" s="31" t="n">
        <f aca="false">Calc_1!$E112/Thousand</f>
        <v>8.15482315068493</v>
      </c>
      <c r="F46" s="31" t="n">
        <f aca="false">Calc_2!$E112/Thousand</f>
        <v>8.15482315068493</v>
      </c>
    </row>
    <row r="47" customFormat="false" ht="15" hidden="false" customHeight="false" outlineLevel="0" collapsed="false">
      <c r="C47" s="0" t="s">
        <v>88</v>
      </c>
      <c r="D47" s="11" t="s">
        <v>65</v>
      </c>
      <c r="E47" s="31" t="n">
        <f aca="false">Calc_1!$E113/Thousand</f>
        <v>1.75</v>
      </c>
      <c r="F47" s="31" t="n">
        <f aca="false">Calc_2!$E113/Thousand</f>
        <v>1.75</v>
      </c>
    </row>
    <row r="48" customFormat="false" ht="15" hidden="false" customHeight="false" outlineLevel="0" collapsed="false">
      <c r="C48" s="0" t="s">
        <v>89</v>
      </c>
      <c r="D48" s="11" t="s">
        <v>65</v>
      </c>
      <c r="E48" s="31" t="n">
        <f aca="false">Calc_1!$E114/Thousand</f>
        <v>4.67724288085941</v>
      </c>
      <c r="F48" s="31" t="n">
        <f aca="false">Calc_2!$E114/Thousand</f>
        <v>3.73184939681306</v>
      </c>
    </row>
    <row r="49" customFormat="false" ht="15" hidden="false" customHeight="false" outlineLevel="0" collapsed="false">
      <c r="C49" s="0" t="s">
        <v>90</v>
      </c>
      <c r="D49" s="11" t="s">
        <v>65</v>
      </c>
      <c r="E49" s="31" t="n">
        <f aca="false">Calc_1!$E115/Thousand</f>
        <v>0.340170197534084</v>
      </c>
      <c r="F49" s="31" t="n">
        <f aca="false">Calc_2!$E115/Thousand</f>
        <v>0.340170197534084</v>
      </c>
    </row>
    <row r="50" customFormat="false" ht="15" hidden="false" customHeight="false" outlineLevel="0" collapsed="false">
      <c r="C50" s="24" t="s">
        <v>91</v>
      </c>
      <c r="D50" s="11" t="s">
        <v>65</v>
      </c>
      <c r="E50" s="25" t="n">
        <f aca="false">Calc_1!$E116/Thousand</f>
        <v>88.8172053058283</v>
      </c>
      <c r="F50" s="25" t="n">
        <f aca="false">Calc_2!$E116/Thousand</f>
        <v>80.8368118217819</v>
      </c>
    </row>
    <row r="51" customFormat="false" ht="15" hidden="false" customHeight="false" outlineLevel="0" collapsed="false">
      <c r="C51" s="0" t="s">
        <v>92</v>
      </c>
      <c r="D51" s="11" t="s">
        <v>65</v>
      </c>
      <c r="E51" s="31" t="n">
        <f aca="false">Calc_1!$E91/Thousand</f>
        <v>65.0602794197311</v>
      </c>
      <c r="F51" s="31" t="n">
        <f aca="false">Calc_2!$E91/Thousand</f>
        <v>51.7824107291078</v>
      </c>
    </row>
    <row r="52" customFormat="false" ht="15" hidden="false" customHeight="false" outlineLevel="0" collapsed="false">
      <c r="C52" s="24" t="s">
        <v>93</v>
      </c>
      <c r="D52" s="11" t="s">
        <v>65</v>
      </c>
      <c r="E52" s="25" t="n">
        <f aca="false">Calc_1!$E117/Thousand</f>
        <v>23.7569258860972</v>
      </c>
      <c r="F52" s="25" t="n">
        <f aca="false">Calc_2!$E117/Thousand</f>
        <v>29.0544010926741</v>
      </c>
    </row>
    <row r="53" customFormat="false" ht="15" hidden="false" customHeight="false" outlineLevel="0" collapsed="false">
      <c r="C53" s="0" t="s">
        <v>94</v>
      </c>
      <c r="D53" s="11" t="s">
        <v>65</v>
      </c>
      <c r="E53" s="31" t="n">
        <f aca="false">Calc_1!$F117/Thousand</f>
        <v>25.1255725763471</v>
      </c>
      <c r="F53" s="31" t="n">
        <f aca="false">Calc_2!$F117/Thousand</f>
        <v>30.1470184573087</v>
      </c>
    </row>
    <row r="54" customFormat="false" ht="15" hidden="false" customHeight="false" outlineLevel="0" collapsed="false">
      <c r="C54" s="0" t="s">
        <v>95</v>
      </c>
      <c r="D54" s="11" t="s">
        <v>27</v>
      </c>
      <c r="E54" s="22" t="n">
        <f aca="false">Calc_1!$E118</f>
        <v>0.732518876221179</v>
      </c>
      <c r="F54" s="22" t="n">
        <f aca="false">Calc_2!$E118</f>
        <v>0.640579577077714</v>
      </c>
    </row>
    <row r="56" customFormat="false" ht="15" hidden="false" customHeight="false" outlineLevel="0" collapsed="false">
      <c r="A56" s="9" t="s">
        <v>13</v>
      </c>
      <c r="B56" s="9"/>
      <c r="C56" s="9" t="s">
        <v>96</v>
      </c>
      <c r="D56" s="9"/>
      <c r="E56" s="10" t="s">
        <v>9</v>
      </c>
      <c r="F56" s="10" t="s">
        <v>10</v>
      </c>
      <c r="G56" s="9"/>
      <c r="H56" s="10" t="s">
        <v>97</v>
      </c>
      <c r="I56" s="10" t="s">
        <v>98</v>
      </c>
      <c r="J56" s="10" t="s">
        <v>99</v>
      </c>
      <c r="K56" s="9"/>
      <c r="L56" s="9"/>
      <c r="M56" s="9"/>
      <c r="N56" s="9"/>
      <c r="O56" s="9"/>
    </row>
    <row r="57" customFormat="false" ht="15" hidden="false" customHeight="false" outlineLevel="0" collapsed="false">
      <c r="C57" s="0" t="s">
        <v>100</v>
      </c>
      <c r="D57" s="11" t="s">
        <v>65</v>
      </c>
      <c r="E57" s="33" t="n">
        <f aca="false">Calc_1!$E45/Thousand</f>
        <v>0.00821917808219178</v>
      </c>
      <c r="F57" s="33" t="n">
        <f aca="false">Calc_2!$E45/Thousand</f>
        <v>0.00821917808219178</v>
      </c>
      <c r="H57" s="13" t="s">
        <v>101</v>
      </c>
      <c r="I57" s="21" t="n">
        <f aca="false">In_Bid_Date</f>
        <v>46325</v>
      </c>
      <c r="J57" s="34" t="s">
        <v>102</v>
      </c>
    </row>
    <row r="58" customFormat="false" ht="15" hidden="false" customHeight="false" outlineLevel="0" collapsed="false">
      <c r="C58" s="0" t="s">
        <v>103</v>
      </c>
      <c r="D58" s="11" t="s">
        <v>65</v>
      </c>
      <c r="E58" s="33" t="n">
        <f aca="false">Calc_1!$E46/Thousand</f>
        <v>0.333698630136986</v>
      </c>
      <c r="F58" s="33" t="n">
        <f aca="false">Calc_2!$E46/Thousand</f>
        <v>0.333698630136986</v>
      </c>
      <c r="H58" s="13" t="s">
        <v>104</v>
      </c>
      <c r="I58" s="21" t="n">
        <f aca="false">In_Bid_Date</f>
        <v>46325</v>
      </c>
      <c r="J58" s="21" t="n">
        <f aca="false">Calc_1!$F$47</f>
        <v>46433</v>
      </c>
    </row>
    <row r="59" customFormat="false" ht="15" hidden="false" customHeight="false" outlineLevel="0" collapsed="false">
      <c r="C59" s="0" t="s">
        <v>105</v>
      </c>
      <c r="D59" s="11" t="s">
        <v>65</v>
      </c>
      <c r="E59" s="33" t="n">
        <f aca="false">Calc_1!$E47/Thousand</f>
        <v>1.66849315068493</v>
      </c>
      <c r="F59" s="33" t="n">
        <f aca="false">Calc_2!$E47/Thousand</f>
        <v>1.66849315068493</v>
      </c>
      <c r="H59" s="13" t="s">
        <v>104</v>
      </c>
      <c r="I59" s="21" t="n">
        <f aca="false">Calc_1!$F$47</f>
        <v>46433</v>
      </c>
      <c r="J59" s="21" t="n">
        <f aca="false">In_PB_Release</f>
        <v>48669</v>
      </c>
    </row>
    <row r="60" customFormat="false" ht="15" hidden="false" customHeight="false" outlineLevel="0" collapsed="false">
      <c r="C60" s="0" t="s">
        <v>106</v>
      </c>
      <c r="D60" s="11" t="s">
        <v>65</v>
      </c>
      <c r="E60" s="33" t="n">
        <f aca="false">Calc_1!$E48/Thousand</f>
        <v>0.616438356164384</v>
      </c>
      <c r="F60" s="33" t="n">
        <f aca="false">Calc_2!$E48/Thousand</f>
        <v>0.616438356164384</v>
      </c>
      <c r="H60" s="13" t="s">
        <v>101</v>
      </c>
      <c r="I60" s="21" t="n">
        <f aca="false">Calc_1!$F$47</f>
        <v>46433</v>
      </c>
      <c r="J60" s="34" t="s">
        <v>107</v>
      </c>
    </row>
    <row r="61" customFormat="false" ht="15" hidden="false" customHeight="false" outlineLevel="0" collapsed="false">
      <c r="C61" s="0" t="s">
        <v>108</v>
      </c>
      <c r="D61" s="11" t="s">
        <v>65</v>
      </c>
      <c r="E61" s="33" t="n">
        <f aca="false">Calc_1!$E49/Thousand</f>
        <v>1.26027397260274</v>
      </c>
      <c r="F61" s="33" t="n">
        <f aca="false">Calc_2!$E49/Thousand</f>
        <v>1.26027397260274</v>
      </c>
      <c r="H61" s="13" t="s">
        <v>101</v>
      </c>
      <c r="I61" s="21" t="n">
        <f aca="false">In_HCSSZ_Date</f>
        <v>47126</v>
      </c>
      <c r="J61" s="34" t="s">
        <v>102</v>
      </c>
    </row>
    <row r="62" customFormat="false" ht="15" hidden="false" customHeight="false" outlineLevel="0" collapsed="false">
      <c r="C62" s="0" t="s">
        <v>109</v>
      </c>
      <c r="D62" s="11" t="s">
        <v>65</v>
      </c>
      <c r="E62" s="33" t="n">
        <f aca="false">Calc_1!$E50/Thousand</f>
        <v>6.89454917808219</v>
      </c>
      <c r="F62" s="33" t="n">
        <f aca="false">Calc_2!$E50/Thousand</f>
        <v>6.89454917808219</v>
      </c>
      <c r="H62" s="13" t="s">
        <v>101</v>
      </c>
      <c r="I62" s="21" t="n">
        <f aca="false">In_HCSSZ_Date</f>
        <v>47126</v>
      </c>
      <c r="J62" s="34" t="s">
        <v>102</v>
      </c>
    </row>
    <row r="63" customFormat="false" ht="15" hidden="false" customHeight="false" outlineLevel="0" collapsed="false">
      <c r="C63" s="0" t="s">
        <v>110</v>
      </c>
      <c r="D63" s="11" t="s">
        <v>65</v>
      </c>
      <c r="E63" s="33" t="n">
        <f aca="false">(-Calc_1!$E52)/Thousand</f>
        <v>0.369061542503284</v>
      </c>
      <c r="F63" s="33" t="n">
        <f aca="false">(-Calc_2!$E52)/Thousand</f>
        <v>0.369061542503284</v>
      </c>
    </row>
    <row r="65" customFormat="false" ht="15" hidden="false" customHeight="false" outlineLevel="0" collapsed="false">
      <c r="A65" s="9" t="s">
        <v>13</v>
      </c>
      <c r="B65" s="9"/>
      <c r="C65" s="9" t="s">
        <v>111</v>
      </c>
      <c r="D65" s="9"/>
      <c r="E65" s="10" t="s">
        <v>9</v>
      </c>
      <c r="F65" s="10" t="s">
        <v>10</v>
      </c>
      <c r="G65" s="9"/>
      <c r="H65" s="9"/>
      <c r="I65" s="9"/>
      <c r="J65" s="9"/>
      <c r="K65" s="9"/>
      <c r="L65" s="9"/>
      <c r="M65" s="9"/>
      <c r="N65" s="9"/>
      <c r="O65" s="9"/>
    </row>
    <row r="66" customFormat="false" ht="15" hidden="false" customHeight="false" outlineLevel="0" collapsed="false">
      <c r="C66" s="0" t="s">
        <v>112</v>
      </c>
      <c r="D66" s="11" t="s">
        <v>65</v>
      </c>
      <c r="E66" s="31" t="n">
        <f aca="false">Calc_1!$E122/Thousand</f>
        <v>134.1375</v>
      </c>
      <c r="F66" s="31" t="n">
        <f aca="false">Calc_2!$E122/Thousand</f>
        <v>114.975</v>
      </c>
    </row>
    <row r="67" customFormat="false" ht="15" hidden="false" customHeight="false" outlineLevel="0" collapsed="false">
      <c r="C67" s="0" t="s">
        <v>113</v>
      </c>
      <c r="D67" s="11" t="s">
        <v>65</v>
      </c>
      <c r="E67" s="31" t="n">
        <f aca="false">Calc_1!$E123/Thousand</f>
        <v>68.5772205802689</v>
      </c>
      <c r="F67" s="31" t="n">
        <f aca="false">Calc_2!$E123/Thousand</f>
        <v>62.6925892708922</v>
      </c>
    </row>
    <row r="68" customFormat="false" ht="15" hidden="false" customHeight="false" outlineLevel="0" collapsed="false">
      <c r="C68" s="0" t="s">
        <v>114</v>
      </c>
      <c r="D68" s="11" t="s">
        <v>65</v>
      </c>
      <c r="E68" s="31" t="n">
        <f aca="false">Calc_1!$E124/Thousand</f>
        <v>-0</v>
      </c>
      <c r="F68" s="31" t="n">
        <f aca="false">Calc_2!$E124/Thousand</f>
        <v>-0</v>
      </c>
    </row>
    <row r="70" customFormat="false" ht="15" hidden="false" customHeight="false" outlineLevel="0" collapsed="false">
      <c r="A70" s="9" t="s">
        <v>13</v>
      </c>
      <c r="B70" s="9"/>
      <c r="C70" s="9" t="s">
        <v>115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</row>
    <row r="71" customFormat="false" ht="15" hidden="false" customHeight="false" outlineLevel="0" collapsed="false">
      <c r="C71" s="0" t="s">
        <v>116</v>
      </c>
      <c r="D71" s="11" t="s">
        <v>65</v>
      </c>
      <c r="E71" s="31" t="n">
        <f aca="false">Calc_1!$E80/Thousand</f>
        <v>87.9606665662843</v>
      </c>
      <c r="F71" s="31" t="n">
        <f aca="false">Calc_2!$E80/Thousand</f>
        <v>87.230068749855</v>
      </c>
    </row>
    <row r="72" customFormat="false" ht="15" hidden="false" customHeight="false" outlineLevel="0" collapsed="false">
      <c r="C72" s="0" t="s">
        <v>117</v>
      </c>
      <c r="D72" s="11" t="s">
        <v>27</v>
      </c>
      <c r="E72" s="22" t="n">
        <f aca="false">Calc_1!$E81</f>
        <v>0.8</v>
      </c>
      <c r="F72" s="22" t="n">
        <f aca="false">Calc_2!$E81</f>
        <v>0.7</v>
      </c>
    </row>
    <row r="73" customFormat="false" ht="15" hidden="false" customHeight="false" outlineLevel="0" collapsed="false">
      <c r="C73" s="0" t="s">
        <v>118</v>
      </c>
      <c r="D73" s="11" t="s">
        <v>27</v>
      </c>
      <c r="E73" s="22" t="n">
        <f aca="false">Calc_1!$E82</f>
        <v>0.8</v>
      </c>
      <c r="F73" s="22" t="n">
        <f aca="false">Calc_2!$E82</f>
        <v>0.7</v>
      </c>
    </row>
    <row r="74" customFormat="false" ht="15" hidden="false" customHeight="false" outlineLevel="0" collapsed="false">
      <c r="C74" s="0" t="s">
        <v>119</v>
      </c>
      <c r="D74" s="11" t="s">
        <v>27</v>
      </c>
      <c r="E74" s="22" t="n">
        <f aca="false">Calc_1!$F82</f>
        <v>0.739651959898505</v>
      </c>
      <c r="F74" s="22" t="n">
        <f aca="false">Calc_2!$F82</f>
        <v>0.593630286794815</v>
      </c>
    </row>
    <row r="75" customFormat="false" ht="15" hidden="false" customHeight="false" outlineLevel="0" collapsed="false">
      <c r="C75" s="0" t="s">
        <v>120</v>
      </c>
      <c r="D75" s="11" t="s">
        <v>65</v>
      </c>
      <c r="E75" s="31" t="n">
        <f aca="false">Calc_1!$E94/Thousand</f>
        <v>1.36864669024987</v>
      </c>
      <c r="F75" s="31" t="n">
        <f aca="false">Calc_2!$E94/Thousand</f>
        <v>1.09261736463462</v>
      </c>
    </row>
    <row r="76" customFormat="false" ht="15" hidden="false" customHeight="false" outlineLevel="0" collapsed="false">
      <c r="C76" s="0" t="s">
        <v>121</v>
      </c>
      <c r="D76" s="11" t="s">
        <v>13</v>
      </c>
      <c r="E76" s="28" t="n">
        <f aca="false">Calc_1!$E95</f>
        <v>1.6223846688173</v>
      </c>
      <c r="F76" s="28" t="n">
        <f aca="false">Calc_2!$E95</f>
        <v>2.02146020291376</v>
      </c>
    </row>
    <row r="77" customFormat="false" ht="15" hidden="false" customHeight="false" outlineLevel="0" collapsed="false">
      <c r="C77" s="0" t="s">
        <v>122</v>
      </c>
      <c r="D77" s="11" t="s">
        <v>123</v>
      </c>
      <c r="E77" s="35" t="n">
        <f aca="false">Calc_1!$E67/Thousand</f>
        <v>131.89149288</v>
      </c>
      <c r="F77" s="35" t="n">
        <f aca="false">Calc_2!$E67/Thousand</f>
        <v>131.89149288</v>
      </c>
    </row>
    <row r="78" customFormat="false" ht="15" hidden="false" customHeight="false" outlineLevel="0" collapsed="false">
      <c r="C78" s="0" t="s">
        <v>124</v>
      </c>
      <c r="D78" s="11" t="s">
        <v>65</v>
      </c>
      <c r="E78" s="31" t="n">
        <f aca="false">Calc_1!$E68/Thousand</f>
        <v>11.988936702792</v>
      </c>
      <c r="F78" s="31" t="n">
        <f aca="false">Calc_2!$E68/Thousand</f>
        <v>11.988936702792</v>
      </c>
    </row>
    <row r="79" customFormat="false" ht="15" hidden="false" customHeight="false" outlineLevel="0" collapsed="false">
      <c r="C79" s="0" t="s">
        <v>125</v>
      </c>
      <c r="D79" s="11" t="s">
        <v>65</v>
      </c>
      <c r="E79" s="31" t="n">
        <f aca="false">Calc_1!$E75/Thousand</f>
        <v>9.01985169682936</v>
      </c>
      <c r="F79" s="31" t="n">
        <f aca="false">Calc_2!$E75/Thousand</f>
        <v>9.01985169682936</v>
      </c>
    </row>
    <row r="80" customFormat="false" ht="15" hidden="false" customHeight="false" outlineLevel="0" collapsed="false">
      <c r="C80" s="0" t="s">
        <v>126</v>
      </c>
      <c r="D80" s="11" t="s">
        <v>65</v>
      </c>
      <c r="E80" s="31" t="n">
        <f aca="false">Calc_1!$I68/Thousand</f>
        <v>398.096796528086</v>
      </c>
      <c r="F80" s="31" t="n">
        <f aca="false">Calc_2!$I68/Thousand</f>
        <v>398.096796528086</v>
      </c>
    </row>
    <row r="81" customFormat="false" ht="15" hidden="false" customHeight="false" outlineLevel="0" collapsed="false">
      <c r="C81" s="0" t="s">
        <v>127</v>
      </c>
      <c r="D81" s="11" t="s">
        <v>65</v>
      </c>
      <c r="E81" s="31" t="n">
        <f aca="false">Calc_1!$I75/Thousand</f>
        <v>277.488784862531</v>
      </c>
      <c r="F81" s="31" t="n">
        <f aca="false">Calc_2!$I75/Thousand</f>
        <v>277.488784862531</v>
      </c>
    </row>
    <row r="82" customFormat="false" ht="15" hidden="false" customHeight="false" outlineLevel="0" collapsed="false">
      <c r="C82" s="0" t="s">
        <v>128</v>
      </c>
      <c r="D82" s="11" t="s">
        <v>65</v>
      </c>
      <c r="E82" s="31" t="n">
        <f aca="false">(SUM(Calc_1!$J105:$EO105))/Thousand</f>
        <v>-13.938393860027</v>
      </c>
      <c r="F82" s="31" t="n">
        <f aca="false">(SUM(Calc_2!$J105:$EO105))/Thousand</f>
        <v>-15.2661642524822</v>
      </c>
    </row>
    <row r="83" customFormat="false" ht="15" hidden="false" customHeight="false" outlineLevel="0" collapsed="false">
      <c r="C83" s="0" t="s">
        <v>129</v>
      </c>
      <c r="D83" s="11" t="s">
        <v>65</v>
      </c>
      <c r="E83" s="31" t="n">
        <f aca="false">(-Calc_1!$I103)/Thousand</f>
        <v>0.133580922386531</v>
      </c>
      <c r="F83" s="31" t="n">
        <f aca="false">(-Calc_2!$I103)/Thousand</f>
        <v>-0</v>
      </c>
    </row>
    <row r="84" customFormat="false" ht="15" hidden="false" customHeight="false" outlineLevel="0" collapsed="false">
      <c r="C84" s="0" t="s">
        <v>130</v>
      </c>
      <c r="D84" s="11" t="s">
        <v>131</v>
      </c>
      <c r="E84" s="30" t="n">
        <f aca="false">Model_Checks</f>
        <v>0</v>
      </c>
      <c r="F84" s="30" t="n">
        <f aca="false">Model_Checks</f>
        <v>0</v>
      </c>
    </row>
    <row r="86" customFormat="false" ht="15" hidden="false" customHeight="false" outlineLevel="0" collapsed="false">
      <c r="A86" s="9" t="s">
        <v>13</v>
      </c>
      <c r="B86" s="9"/>
      <c r="C86" s="9" t="s">
        <v>132</v>
      </c>
      <c r="D86" s="9"/>
      <c r="E86" s="10" t="s">
        <v>12</v>
      </c>
      <c r="F86" s="10"/>
      <c r="G86" s="9"/>
      <c r="H86" s="10" t="str">
        <f aca="false">Inputs!H$7</f>
        <v>Base</v>
      </c>
      <c r="I86" s="10" t="str">
        <f aca="false">Inputs!I$7</f>
        <v>COD price −10%</v>
      </c>
      <c r="J86" s="10" t="str">
        <f aca="false">Inputs!J$7</f>
        <v>Turbine +10%</v>
      </c>
      <c r="K86" s="10" t="str">
        <f aca="false">Inputs!K$7</f>
        <v>Yield −10%</v>
      </c>
      <c r="L86" s="10" t="str">
        <f aca="false">Inputs!L$7</f>
        <v>PPA −10%</v>
      </c>
      <c r="M86" s="10" t="str">
        <f aca="false">Inputs!M$7</f>
        <v>Full PB call</v>
      </c>
      <c r="N86" s="10" t="str">
        <f aca="false">Inputs!N$7</f>
        <v>Rate +1 pp</v>
      </c>
      <c r="O86" s="10" t="str">
        <f aca="false">Inputs!O$7</f>
        <v>Tenor 10 years</v>
      </c>
    </row>
    <row r="87" customFormat="false" ht="15" hidden="false" customHeight="false" outlineLevel="0" collapsed="false">
      <c r="C87" s="0" t="s">
        <v>133</v>
      </c>
      <c r="D87" s="11" t="s">
        <v>27</v>
      </c>
      <c r="E87" s="22" t="n">
        <f aca="false">Calc_1!$E126</f>
        <v>0.663535311491085</v>
      </c>
      <c r="H87" s="36" t="n">
        <v>0.663535311491085</v>
      </c>
      <c r="I87" s="36" t="n">
        <v>0.522734516629343</v>
      </c>
      <c r="J87" s="36" t="n">
        <v>0.622643032129352</v>
      </c>
      <c r="K87" s="36" t="n">
        <v>0.663535311491085</v>
      </c>
      <c r="L87" s="36" t="n">
        <v>0.663535311491085</v>
      </c>
      <c r="M87" s="36" t="n">
        <v>0.647422126116974</v>
      </c>
      <c r="N87" s="36" t="n">
        <v>0.65747995774178</v>
      </c>
      <c r="O87" s="36" t="n">
        <v>0.627513444733657</v>
      </c>
    </row>
    <row r="88" customFormat="false" ht="15" hidden="false" customHeight="false" outlineLevel="0" collapsed="false">
      <c r="C88" s="0" t="s">
        <v>134</v>
      </c>
      <c r="D88" s="11" t="s">
        <v>27</v>
      </c>
      <c r="E88" s="22" t="n">
        <f aca="false">Calc_2!$E126</f>
        <v>0.518123392285528</v>
      </c>
      <c r="H88" s="36" t="n">
        <v>0.518123392285528</v>
      </c>
      <c r="I88" s="36" t="n">
        <v>0.379771799080291</v>
      </c>
      <c r="J88" s="36" t="n">
        <v>0.479049975054732</v>
      </c>
      <c r="K88" s="36" t="n">
        <v>0.518123392285528</v>
      </c>
      <c r="L88" s="36" t="n">
        <v>0.518123392285528</v>
      </c>
      <c r="M88" s="36" t="n">
        <v>0.499585940592289</v>
      </c>
      <c r="N88" s="36" t="n">
        <v>0.51259556746794</v>
      </c>
      <c r="O88" s="36" t="n">
        <v>0.518123392285528</v>
      </c>
    </row>
    <row r="89" customFormat="false" ht="15" hidden="false" customHeight="false" outlineLevel="0" collapsed="false">
      <c r="C89" s="0" t="s">
        <v>135</v>
      </c>
      <c r="D89" s="11" t="s">
        <v>13</v>
      </c>
      <c r="E89" s="28" t="n">
        <f aca="false">Calc_1!$E127</f>
        <v>2.88662013381121</v>
      </c>
      <c r="H89" s="37" t="n">
        <v>2.88662013381121</v>
      </c>
      <c r="I89" s="37" t="n">
        <v>2.32199531390344</v>
      </c>
      <c r="J89" s="37" t="n">
        <v>2.67771924952388</v>
      </c>
      <c r="K89" s="37" t="n">
        <v>2.88662013381121</v>
      </c>
      <c r="L89" s="37" t="n">
        <v>2.88662013381121</v>
      </c>
      <c r="M89" s="37" t="n">
        <v>2.8163882713773</v>
      </c>
      <c r="N89" s="37" t="n">
        <v>2.85985214111295</v>
      </c>
      <c r="O89" s="37" t="n">
        <v>2.48124344243707</v>
      </c>
    </row>
    <row r="90" customFormat="false" ht="15" hidden="false" customHeight="false" outlineLevel="0" collapsed="false">
      <c r="C90" s="0" t="s">
        <v>136</v>
      </c>
      <c r="D90" s="11" t="s">
        <v>13</v>
      </c>
      <c r="E90" s="28" t="n">
        <f aca="false">Calc_2!$E127</f>
        <v>2.15776567105697</v>
      </c>
      <c r="H90" s="37" t="n">
        <v>2.15776567105697</v>
      </c>
      <c r="I90" s="37" t="n">
        <v>1.76204249082941</v>
      </c>
      <c r="J90" s="37" t="n">
        <v>2.02083354279557</v>
      </c>
      <c r="K90" s="37" t="n">
        <v>2.15776567105697</v>
      </c>
      <c r="L90" s="37" t="n">
        <v>2.15776567105697</v>
      </c>
      <c r="M90" s="37" t="n">
        <v>2.10033915087632</v>
      </c>
      <c r="N90" s="37" t="n">
        <v>2.14046866270123</v>
      </c>
      <c r="O90" s="37" t="n">
        <v>2.15776567105697</v>
      </c>
    </row>
    <row r="91" customFormat="false" ht="15" hidden="false" customHeight="false" outlineLevel="0" collapsed="false">
      <c r="C91" s="0" t="s">
        <v>137</v>
      </c>
      <c r="D91" s="11" t="s">
        <v>27</v>
      </c>
      <c r="E91" s="22" t="n">
        <f aca="false">Calc_1!$E134</f>
        <v>0.129381611423992</v>
      </c>
      <c r="H91" s="36" t="n">
        <v>0.129381611424003</v>
      </c>
      <c r="I91" s="36" t="n">
        <v>0.129381611424003</v>
      </c>
      <c r="J91" s="36" t="n">
        <v>0.121269658403368</v>
      </c>
      <c r="K91" s="36" t="n">
        <v>0.102189268879337</v>
      </c>
      <c r="L91" s="36" t="n">
        <v>0.099267742601384</v>
      </c>
      <c r="M91" s="36" t="n">
        <v>0.124352407945753</v>
      </c>
      <c r="N91" s="36" t="n">
        <v>0.118535090564624</v>
      </c>
      <c r="O91" s="36" t="n">
        <v>0.104682505894024</v>
      </c>
    </row>
    <row r="92" customFormat="false" ht="15" hidden="false" customHeight="false" outlineLevel="0" collapsed="false">
      <c r="C92" s="0" t="s">
        <v>138</v>
      </c>
      <c r="D92" s="11" t="s">
        <v>27</v>
      </c>
      <c r="E92" s="22" t="n">
        <f aca="false">Calc_2!$E134</f>
        <v>0.134805776932951</v>
      </c>
      <c r="H92" s="36" t="n">
        <v>0.134805776932953</v>
      </c>
      <c r="I92" s="36" t="n">
        <v>0.134805776932953</v>
      </c>
      <c r="J92" s="36" t="n">
        <v>0.128285613601225</v>
      </c>
      <c r="K92" s="36" t="n">
        <v>0.110607288393088</v>
      </c>
      <c r="L92" s="36" t="n">
        <v>0.107989381072447</v>
      </c>
      <c r="M92" s="36" t="n">
        <v>0.130129549134321</v>
      </c>
      <c r="N92" s="36" t="n">
        <v>0.12709918964174</v>
      </c>
      <c r="O92" s="36" t="n">
        <v>0.117280989225313</v>
      </c>
    </row>
    <row r="93" customFormat="false" ht="15" hidden="false" customHeight="false" outlineLevel="0" collapsed="false">
      <c r="C93" s="0" t="s">
        <v>139</v>
      </c>
      <c r="D93" s="11" t="s">
        <v>13</v>
      </c>
      <c r="E93" s="28" t="n">
        <f aca="false">Calc_1!$E135</f>
        <v>6.60381530327083</v>
      </c>
      <c r="H93" s="37" t="n">
        <v>6.60381530327077</v>
      </c>
      <c r="I93" s="37" t="n">
        <v>6.60381530327077</v>
      </c>
      <c r="J93" s="37" t="n">
        <v>6.24064846064184</v>
      </c>
      <c r="K93" s="37" t="n">
        <v>5.33432843300651</v>
      </c>
      <c r="L93" s="37" t="n">
        <v>5.19304682747261</v>
      </c>
      <c r="M93" s="37" t="n">
        <v>6.36039548418535</v>
      </c>
      <c r="N93" s="37" t="n">
        <v>6.25476635899789</v>
      </c>
      <c r="O93" s="37" t="n">
        <v>5.85879345629353</v>
      </c>
    </row>
    <row r="94" customFormat="false" ht="15" hidden="false" customHeight="false" outlineLevel="0" collapsed="false">
      <c r="C94" s="0" t="s">
        <v>140</v>
      </c>
      <c r="D94" s="11" t="s">
        <v>13</v>
      </c>
      <c r="E94" s="28" t="n">
        <f aca="false">Calc_2!$E135</f>
        <v>6.12017077960487</v>
      </c>
      <c r="H94" s="37" t="n">
        <v>6.12017077960487</v>
      </c>
      <c r="I94" s="37" t="n">
        <v>6.12017077960487</v>
      </c>
      <c r="J94" s="37" t="n">
        <v>5.84008379828977</v>
      </c>
      <c r="K94" s="37" t="n">
        <v>5.06744379168522</v>
      </c>
      <c r="L94" s="37" t="n">
        <v>4.95007196381111</v>
      </c>
      <c r="M94" s="37" t="n">
        <v>5.97091682069686</v>
      </c>
      <c r="N94" s="37" t="n">
        <v>5.89238982513017</v>
      </c>
      <c r="O94" s="37" t="n">
        <v>6.40394833803254</v>
      </c>
    </row>
    <row r="95" customFormat="false" ht="15" hidden="false" customHeight="false" outlineLevel="0" collapsed="false">
      <c r="C95" s="0" t="s">
        <v>141</v>
      </c>
      <c r="D95" s="11" t="s">
        <v>65</v>
      </c>
      <c r="E95" s="31" t="n">
        <f aca="false">Calc_1!$E91/Thousand</f>
        <v>65.0602794197311</v>
      </c>
      <c r="H95" s="38" t="n">
        <v>65.0602794197311</v>
      </c>
      <c r="I95" s="38" t="n">
        <v>65.0602794197311</v>
      </c>
      <c r="J95" s="38" t="n">
        <v>67.956586697926</v>
      </c>
      <c r="K95" s="38" t="n">
        <v>65.0602794197311</v>
      </c>
      <c r="L95" s="38" t="n">
        <v>65.0602794197311</v>
      </c>
      <c r="M95" s="38" t="n">
        <v>65.0602794197311</v>
      </c>
      <c r="N95" s="38" t="n">
        <v>65.6658951386983</v>
      </c>
      <c r="O95" s="38" t="n">
        <v>57.6684874294927</v>
      </c>
    </row>
    <row r="96" customFormat="false" ht="15" hidden="false" customHeight="false" outlineLevel="0" collapsed="false">
      <c r="C96" s="0" t="s">
        <v>142</v>
      </c>
      <c r="D96" s="11" t="s">
        <v>65</v>
      </c>
      <c r="E96" s="31" t="n">
        <f aca="false">Calc_2!$E91/Thousand</f>
        <v>51.7824107291078</v>
      </c>
      <c r="H96" s="38" t="n">
        <v>51.7824107291078</v>
      </c>
      <c r="I96" s="38" t="n">
        <v>51.7824107291078</v>
      </c>
      <c r="J96" s="38" t="n">
        <v>53.8943014527916</v>
      </c>
      <c r="K96" s="38" t="n">
        <v>51.7824107291078</v>
      </c>
      <c r="L96" s="38" t="n">
        <v>51.7824107291078</v>
      </c>
      <c r="M96" s="38" t="n">
        <v>51.7824107291078</v>
      </c>
      <c r="N96" s="38" t="n">
        <v>52.2668198529619</v>
      </c>
      <c r="O96" s="38" t="n">
        <v>51.7824107291078</v>
      </c>
    </row>
    <row r="97" customFormat="false" ht="15" hidden="false" customHeight="false" outlineLevel="0" collapsed="false">
      <c r="C97" s="0" t="s">
        <v>143</v>
      </c>
      <c r="D97" s="11" t="s">
        <v>65</v>
      </c>
      <c r="E97" s="31" t="n">
        <f aca="false">Calc_1!$E117/Thousand</f>
        <v>23.7569258860972</v>
      </c>
      <c r="H97" s="38" t="n">
        <v>23.7569258860972</v>
      </c>
      <c r="I97" s="38" t="n">
        <v>23.7569258860972</v>
      </c>
      <c r="J97" s="38" t="n">
        <v>24.528678020951</v>
      </c>
      <c r="K97" s="38" t="n">
        <v>23.7569258860972</v>
      </c>
      <c r="L97" s="38" t="n">
        <v>23.7569258860972</v>
      </c>
      <c r="M97" s="38" t="n">
        <v>23.7569258860972</v>
      </c>
      <c r="N97" s="38" t="n">
        <v>23.7675241611791</v>
      </c>
      <c r="O97" s="38" t="n">
        <v>30.617315202208</v>
      </c>
    </row>
    <row r="98" customFormat="false" ht="15" hidden="false" customHeight="false" outlineLevel="0" collapsed="false">
      <c r="C98" s="0" t="s">
        <v>144</v>
      </c>
      <c r="D98" s="11" t="s">
        <v>65</v>
      </c>
      <c r="E98" s="31" t="n">
        <f aca="false">Calc_2!$E117/Thousand</f>
        <v>29.0544010926741</v>
      </c>
      <c r="H98" s="38" t="n">
        <v>29.0544010926741</v>
      </c>
      <c r="I98" s="38" t="n">
        <v>29.0544010926741</v>
      </c>
      <c r="J98" s="38" t="n">
        <v>29.9780745243384</v>
      </c>
      <c r="K98" s="38" t="n">
        <v>29.0544010926741</v>
      </c>
      <c r="L98" s="38" t="n">
        <v>29.0544010926741</v>
      </c>
      <c r="M98" s="38" t="n">
        <v>29.0544010926741</v>
      </c>
      <c r="N98" s="38" t="n">
        <v>29.0628782523415</v>
      </c>
      <c r="O98" s="38" t="n">
        <v>29.0544010926741</v>
      </c>
    </row>
    <row r="99" customFormat="false" ht="15" hidden="false" customHeight="false" outlineLevel="0" collapsed="false">
      <c r="C99" s="0" t="s">
        <v>145</v>
      </c>
      <c r="D99" s="11" t="s">
        <v>13</v>
      </c>
      <c r="E99" s="28" t="n">
        <f aca="false">Calc_1!$E95</f>
        <v>1.6223846688173</v>
      </c>
      <c r="H99" s="37" t="n">
        <v>1.62238466881778</v>
      </c>
      <c r="I99" s="37" t="n">
        <v>1.62238466881778</v>
      </c>
      <c r="J99" s="37" t="n">
        <v>1.55694669732885</v>
      </c>
      <c r="K99" s="37" t="n">
        <v>1.43606046803483</v>
      </c>
      <c r="L99" s="37" t="n">
        <v>1.41676159369511</v>
      </c>
      <c r="M99" s="37" t="n">
        <v>1.62238466881455</v>
      </c>
      <c r="N99" s="37" t="n">
        <v>1.49689434802651</v>
      </c>
      <c r="O99" s="37" t="n">
        <v>1.2</v>
      </c>
    </row>
    <row r="100" customFormat="false" ht="15" hidden="false" customHeight="false" outlineLevel="0" collapsed="false">
      <c r="C100" s="0" t="s">
        <v>146</v>
      </c>
      <c r="D100" s="11" t="s">
        <v>13</v>
      </c>
      <c r="E100" s="28" t="n">
        <f aca="false">Calc_2!$E95</f>
        <v>2.02146020291376</v>
      </c>
      <c r="H100" s="37" t="n">
        <v>2.021460202914</v>
      </c>
      <c r="I100" s="37" t="n">
        <v>2.021460202914</v>
      </c>
      <c r="J100" s="37" t="n">
        <v>1.94661332752347</v>
      </c>
      <c r="K100" s="37" t="n">
        <v>1.78981968783823</v>
      </c>
      <c r="L100" s="37" t="n">
        <v>1.76577820514914</v>
      </c>
      <c r="M100" s="37" t="n">
        <v>2.02146020291466</v>
      </c>
      <c r="N100" s="37" t="n">
        <v>1.86446088552823</v>
      </c>
      <c r="O100" s="37" t="n">
        <v>1.32886956750401</v>
      </c>
    </row>
    <row r="101" customFormat="false" ht="15" hidden="false" customHeight="false" outlineLevel="0" collapsed="false">
      <c r="C101" s="0" t="s">
        <v>147</v>
      </c>
      <c r="D101" s="11" t="s">
        <v>131</v>
      </c>
      <c r="E101" s="30" t="n">
        <f aca="false">Model_Checks</f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>
        <v>0</v>
      </c>
      <c r="M101" s="39" t="n">
        <v>0</v>
      </c>
      <c r="N101" s="39" t="n">
        <v>0</v>
      </c>
      <c r="O101" s="39" t="n">
        <v>0</v>
      </c>
    </row>
    <row r="102" customFormat="false" ht="15" hidden="false" customHeight="false" outlineLevel="0" collapsed="false">
      <c r="C102" s="0" t="s">
        <v>148</v>
      </c>
      <c r="D102" s="11" t="s">
        <v>131</v>
      </c>
      <c r="E102" s="30" t="n">
        <f aca="false">Model_Checks</f>
        <v>0</v>
      </c>
      <c r="H102" s="39" t="n">
        <v>0</v>
      </c>
      <c r="I102" s="39" t="n">
        <v>0</v>
      </c>
      <c r="J102" s="39" t="n">
        <v>0</v>
      </c>
      <c r="K102" s="39" t="n">
        <v>0</v>
      </c>
      <c r="L102" s="39" t="n">
        <v>0</v>
      </c>
      <c r="M102" s="39" t="n">
        <v>0</v>
      </c>
      <c r="N102" s="39" t="n">
        <v>0</v>
      </c>
      <c r="O102" s="39" t="n">
        <v>0</v>
      </c>
    </row>
    <row r="104" customFormat="false" ht="15" hidden="false" customHeight="false" outlineLevel="0" collapsed="false">
      <c r="C104" s="40" t="s">
        <v>149</v>
      </c>
    </row>
  </sheetData>
  <conditionalFormatting sqref="E21:F21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6:F16" type="list">
      <formula1>"0,1"</formula1>
      <formula2>0</formula2>
    </dataValidation>
    <dataValidation allowBlank="false" errorStyle="stop" operator="between" showDropDown="false" showErrorMessage="false" showInputMessage="false" sqref="E17:F17" type="list">
      <formula1>"0,1"</formula1>
      <formula2>0</formula2>
    </dataValidation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0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150</v>
      </c>
      <c r="D4" s="0" t="s">
        <v>151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152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153</v>
      </c>
      <c r="C7" s="7" t="s">
        <v>8</v>
      </c>
      <c r="D7" s="7" t="s">
        <v>154</v>
      </c>
      <c r="F7" s="8" t="s">
        <v>12</v>
      </c>
      <c r="H7" s="43" t="s">
        <v>22</v>
      </c>
      <c r="I7" s="43" t="s">
        <v>155</v>
      </c>
      <c r="J7" s="43" t="s">
        <v>156</v>
      </c>
      <c r="K7" s="43" t="s">
        <v>157</v>
      </c>
      <c r="L7" s="43" t="s">
        <v>158</v>
      </c>
      <c r="M7" s="43" t="s">
        <v>159</v>
      </c>
      <c r="N7" s="43" t="s">
        <v>160</v>
      </c>
      <c r="O7" s="43" t="s">
        <v>161</v>
      </c>
    </row>
    <row r="10" customFormat="false" ht="15" hidden="false" customHeight="false" outlineLevel="0" collapsed="false">
      <c r="A10" s="9" t="s">
        <v>13</v>
      </c>
      <c r="B10" s="9"/>
      <c r="C10" s="9" t="s">
        <v>162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163</v>
      </c>
      <c r="C11" s="11" t="s">
        <v>131</v>
      </c>
      <c r="D11" s="13" t="s">
        <v>164</v>
      </c>
      <c r="F11" s="43" t="n">
        <v>1000</v>
      </c>
    </row>
    <row r="12" customFormat="false" ht="15" hidden="false" customHeight="false" outlineLevel="0" collapsed="false">
      <c r="B12" s="0" t="s">
        <v>165</v>
      </c>
      <c r="C12" s="11" t="s">
        <v>131</v>
      </c>
      <c r="D12" s="13" t="s">
        <v>164</v>
      </c>
      <c r="F12" s="43" t="n">
        <v>1000000</v>
      </c>
    </row>
    <row r="13" customFormat="false" ht="15" hidden="false" customHeight="false" outlineLevel="0" collapsed="false">
      <c r="B13" s="0" t="s">
        <v>166</v>
      </c>
      <c r="C13" s="11" t="s">
        <v>167</v>
      </c>
      <c r="D13" s="13" t="s">
        <v>168</v>
      </c>
      <c r="F13" s="43" t="n">
        <v>365</v>
      </c>
    </row>
    <row r="14" customFormat="false" ht="15" hidden="false" customHeight="false" outlineLevel="0" collapsed="false">
      <c r="B14" s="0" t="s">
        <v>169</v>
      </c>
      <c r="C14" s="11" t="s">
        <v>170</v>
      </c>
      <c r="F14" s="43" t="n">
        <v>12</v>
      </c>
    </row>
    <row r="15" customFormat="false" ht="15" hidden="false" customHeight="false" outlineLevel="0" collapsed="false">
      <c r="B15" s="0" t="s">
        <v>171</v>
      </c>
      <c r="C15" s="11" t="s">
        <v>170</v>
      </c>
      <c r="D15" s="13" t="s">
        <v>172</v>
      </c>
      <c r="F15" s="43" t="n">
        <v>3</v>
      </c>
    </row>
    <row r="16" customFormat="false" ht="15" hidden="false" customHeight="false" outlineLevel="0" collapsed="false">
      <c r="B16" s="0" t="s">
        <v>173</v>
      </c>
      <c r="C16" s="11" t="s">
        <v>131</v>
      </c>
      <c r="D16" s="13" t="s">
        <v>174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175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176</v>
      </c>
      <c r="C19" s="11" t="s">
        <v>38</v>
      </c>
      <c r="D19" s="13" t="s">
        <v>177</v>
      </c>
      <c r="F19" s="44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178</v>
      </c>
      <c r="C20" s="11" t="s">
        <v>38</v>
      </c>
      <c r="D20" s="13" t="s">
        <v>179</v>
      </c>
      <c r="F20" s="44" t="n">
        <f aca="false">IF(INDEX($H20:$O20,1,Scenario_Selected)="",$H20,INDEX($H20:$O20,1,Scenario_Selected))</f>
        <v>46325</v>
      </c>
      <c r="H20" s="4" t="n">
        <v>46325</v>
      </c>
      <c r="I20" s="4"/>
      <c r="J20" s="4"/>
      <c r="K20" s="4"/>
      <c r="L20" s="4"/>
      <c r="M20" s="4"/>
      <c r="N20" s="4"/>
      <c r="O20" s="4"/>
    </row>
    <row r="21" customFormat="false" ht="15" hidden="false" customHeight="false" outlineLevel="0" collapsed="false">
      <c r="B21" s="0" t="s">
        <v>180</v>
      </c>
      <c r="C21" s="11" t="s">
        <v>38</v>
      </c>
      <c r="D21" s="13" t="s">
        <v>181</v>
      </c>
      <c r="F21" s="44" t="n">
        <f aca="false">IF(INDEX($H21:$O21,1,Scenario_Selected)="",$H21,INDEX($H21:$O21,1,Scenario_Selected))</f>
        <v>46369</v>
      </c>
      <c r="H21" s="4" t="n">
        <v>46369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182</v>
      </c>
      <c r="C22" s="11" t="s">
        <v>38</v>
      </c>
      <c r="D22" s="13" t="s">
        <v>183</v>
      </c>
      <c r="F22" s="44" t="n">
        <f aca="false">IF(INDEX($H22:$O22,1,Scenario_Selected)="",$H22,INDEX($H22:$O22,1,Scenario_Selected))</f>
        <v>46418</v>
      </c>
      <c r="H22" s="4" t="n">
        <v>46418</v>
      </c>
      <c r="I22" s="4"/>
      <c r="J22" s="4"/>
      <c r="K22" s="4"/>
      <c r="L22" s="4"/>
      <c r="M22" s="4"/>
      <c r="N22" s="4"/>
      <c r="O22" s="4"/>
    </row>
    <row r="23" customFormat="false" ht="15" hidden="false" customHeight="false" outlineLevel="0" collapsed="false">
      <c r="B23" s="0" t="s">
        <v>184</v>
      </c>
      <c r="C23" s="11" t="s">
        <v>167</v>
      </c>
      <c r="D23" s="13" t="s">
        <v>185</v>
      </c>
      <c r="F23" s="42" t="n">
        <f aca="false">IF(INDEX($H23:$O23,1,Scenario_Selected)="",$H23,INDEX($H23:$O23,1,Scenario_Selected))</f>
        <v>15</v>
      </c>
      <c r="H23" s="45" t="n">
        <v>15</v>
      </c>
      <c r="I23" s="45"/>
      <c r="J23" s="45"/>
      <c r="K23" s="45"/>
      <c r="L23" s="45"/>
      <c r="M23" s="45"/>
      <c r="N23" s="45"/>
      <c r="O23" s="45"/>
    </row>
    <row r="24" customFormat="false" ht="15" hidden="false" customHeight="false" outlineLevel="0" collapsed="false">
      <c r="B24" s="0" t="s">
        <v>186</v>
      </c>
      <c r="C24" s="11" t="s">
        <v>38</v>
      </c>
      <c r="D24" s="13" t="s">
        <v>187</v>
      </c>
      <c r="F24" s="44" t="n">
        <f aca="false">IF(INDEX($H24:$O24,1,Scenario_Selected)="",$H24,INDEX($H24:$O24,1,Scenario_Selected))</f>
        <v>46387</v>
      </c>
      <c r="H24" s="4" t="n">
        <v>46387</v>
      </c>
      <c r="I24" s="4"/>
      <c r="J24" s="4"/>
      <c r="K24" s="4"/>
      <c r="L24" s="4"/>
      <c r="M24" s="4"/>
      <c r="N24" s="4"/>
      <c r="O24" s="4"/>
    </row>
    <row r="25" customFormat="false" ht="15" hidden="false" customHeight="false" outlineLevel="0" collapsed="false">
      <c r="B25" s="0" t="s">
        <v>188</v>
      </c>
      <c r="C25" s="11" t="s">
        <v>38</v>
      </c>
      <c r="D25" s="13" t="s">
        <v>189</v>
      </c>
      <c r="F25" s="44" t="n">
        <f aca="false">IF(INDEX($H25:$O25,1,Scenario_Selected)="",$H25,INDEX($H25:$O25,1,Scenario_Selected))</f>
        <v>47026</v>
      </c>
      <c r="H25" s="4" t="n">
        <v>47026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190</v>
      </c>
      <c r="C26" s="11" t="s">
        <v>38</v>
      </c>
      <c r="D26" s="13" t="s">
        <v>191</v>
      </c>
      <c r="F26" s="44" t="n">
        <f aca="false">IF(INDEX($H26:$O26,1,Scenario_Selected)="",$H26,INDEX($H26:$O26,1,Scenario_Selected))</f>
        <v>47126</v>
      </c>
      <c r="H26" s="4" t="n">
        <v>47126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192</v>
      </c>
      <c r="C27" s="11" t="s">
        <v>38</v>
      </c>
      <c r="D27" s="13" t="s">
        <v>193</v>
      </c>
      <c r="F27" s="44" t="n">
        <f aca="false">IF(INDEX($H27:$O27,1,Scenario_Selected)="",$H27,INDEX($H27:$O27,1,Scenario_Selected))</f>
        <v>47756</v>
      </c>
      <c r="H27" s="4" t="n">
        <v>47756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194</v>
      </c>
      <c r="C28" s="11" t="s">
        <v>63</v>
      </c>
      <c r="D28" s="13" t="s">
        <v>195</v>
      </c>
      <c r="F28" s="42" t="n">
        <f aca="false">IF(INDEX($H28:$O28,1,Scenario_Selected)="",$H28,INDEX($H28:$O28,1,Scenario_Selected))</f>
        <v>30</v>
      </c>
      <c r="H28" s="45" t="n">
        <v>30</v>
      </c>
      <c r="I28" s="45"/>
      <c r="J28" s="45"/>
      <c r="K28" s="45"/>
      <c r="L28" s="45"/>
      <c r="M28" s="45"/>
      <c r="N28" s="45"/>
      <c r="O28" s="45"/>
    </row>
    <row r="29" customFormat="false" ht="15" hidden="false" customHeight="false" outlineLevel="0" collapsed="false">
      <c r="B29" s="0" t="s">
        <v>196</v>
      </c>
      <c r="C29" s="11" t="s">
        <v>38</v>
      </c>
      <c r="D29" s="13" t="s">
        <v>197</v>
      </c>
      <c r="F29" s="44" t="n">
        <f aca="false">IF(INDEX($H29:$O29,1,Scenario_Selected)="",$H29,INDEX($H29:$O29,1,Scenario_Selected))</f>
        <v>48669</v>
      </c>
      <c r="H29" s="4" t="n">
        <v>48669</v>
      </c>
      <c r="I29" s="4"/>
      <c r="J29" s="4"/>
      <c r="K29" s="4"/>
      <c r="L29" s="4"/>
      <c r="M29" s="4"/>
      <c r="N29" s="4"/>
      <c r="O29" s="4"/>
    </row>
    <row r="31" customFormat="false" ht="15" hidden="false" customHeight="false" outlineLevel="0" collapsed="false">
      <c r="A31" s="9" t="s">
        <v>13</v>
      </c>
      <c r="B31" s="9"/>
      <c r="C31" s="9" t="s">
        <v>198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199</v>
      </c>
      <c r="C32" s="11" t="s">
        <v>74</v>
      </c>
      <c r="D32" s="13" t="s">
        <v>200</v>
      </c>
      <c r="F32" s="46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  <c r="O32" s="12"/>
    </row>
    <row r="33" customFormat="false" ht="15" hidden="false" customHeight="false" outlineLevel="0" collapsed="false">
      <c r="B33" s="0" t="s">
        <v>201</v>
      </c>
      <c r="C33" s="11" t="s">
        <v>33</v>
      </c>
      <c r="D33" s="13" t="s">
        <v>202</v>
      </c>
      <c r="F33" s="46" t="n">
        <f aca="false">IF(INDEX($H33:$O33,1,Scenario_Selected)="",$H33,INDEX($H33:$O33,1,Scenario_Selected))</f>
        <v>4500</v>
      </c>
      <c r="H33" s="12" t="n">
        <v>4500</v>
      </c>
      <c r="I33" s="12"/>
      <c r="J33" s="12"/>
      <c r="K33" s="12"/>
      <c r="L33" s="12"/>
      <c r="M33" s="12"/>
      <c r="N33" s="12"/>
      <c r="O33" s="12"/>
    </row>
    <row r="34" customFormat="false" ht="15" hidden="false" customHeight="false" outlineLevel="0" collapsed="false">
      <c r="B34" s="0" t="s">
        <v>203</v>
      </c>
      <c r="C34" s="11" t="s">
        <v>33</v>
      </c>
      <c r="D34" s="13" t="s">
        <v>204</v>
      </c>
      <c r="F34" s="46" t="n">
        <f aca="false">IF(INDEX($H34:$O34,1,Scenario_Selected)="",$H34,INDEX($H34:$O34,1,Scenario_Selected))</f>
        <v>150</v>
      </c>
      <c r="H34" s="12" t="n">
        <v>150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205</v>
      </c>
      <c r="C35" s="11" t="s">
        <v>33</v>
      </c>
      <c r="D35" s="13" t="s">
        <v>206</v>
      </c>
      <c r="F35" s="46" t="n">
        <f aca="false">IF(INDEX($H35:$O35,1,Scenario_Selected)="",$H35,INDEX($H35:$O35,1,Scenario_Selected))</f>
        <v>500</v>
      </c>
      <c r="H35" s="12" t="n">
        <v>500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207</v>
      </c>
      <c r="C36" s="11" t="s">
        <v>19</v>
      </c>
      <c r="D36" s="13" t="s">
        <v>208</v>
      </c>
      <c r="F36" s="46" t="n">
        <f aca="false">IF(INDEX($H36:$O36,1,Scenario_Selected)="",$H36,INDEX($H36:$O36,1,Scenario_Selected))</f>
        <v>2450</v>
      </c>
      <c r="H36" s="12" t="n">
        <v>2450</v>
      </c>
      <c r="I36" s="12" t="n">
        <v>2205</v>
      </c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209</v>
      </c>
      <c r="C37" s="11" t="s">
        <v>19</v>
      </c>
      <c r="D37" s="13" t="s">
        <v>210</v>
      </c>
      <c r="F37" s="46" t="n">
        <f aca="false">IF(INDEX($H37:$O37,1,Scenario_Selected)="",$H37,INDEX($H37:$O37,1,Scenario_Selected))</f>
        <v>2100</v>
      </c>
      <c r="H37" s="12" t="n">
        <v>2100</v>
      </c>
      <c r="I37" s="12" t="n">
        <v>1890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211</v>
      </c>
      <c r="C38" s="11" t="s">
        <v>33</v>
      </c>
      <c r="D38" s="13" t="s">
        <v>212</v>
      </c>
      <c r="F38" s="46" t="n">
        <f aca="false">IF(INDEX($H38:$O38,1,Scenario_Selected)="",$H38,INDEX($H38:$O38,1,Scenario_Selected))</f>
        <v>500</v>
      </c>
      <c r="H38" s="12" t="n">
        <v>500</v>
      </c>
      <c r="I38" s="12"/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213</v>
      </c>
      <c r="C39" s="11" t="s">
        <v>27</v>
      </c>
      <c r="D39" s="13" t="s">
        <v>214</v>
      </c>
      <c r="F39" s="47" t="n">
        <f aca="false">IF(INDEX($H39:$O39,1,Scenario_Selected)="",$H39,INDEX($H39:$O39,1,Scenario_Selected))</f>
        <v>0.08</v>
      </c>
      <c r="H39" s="17" t="n">
        <v>0.08</v>
      </c>
      <c r="I39" s="17"/>
      <c r="J39" s="17"/>
      <c r="K39" s="17"/>
      <c r="L39" s="17"/>
      <c r="M39" s="17"/>
      <c r="N39" s="17"/>
      <c r="O39" s="17"/>
    </row>
    <row r="40" customFormat="false" ht="15" hidden="false" customHeight="false" outlineLevel="0" collapsed="false">
      <c r="B40" s="0" t="s">
        <v>215</v>
      </c>
      <c r="C40" s="11" t="s">
        <v>27</v>
      </c>
      <c r="D40" s="13" t="s">
        <v>216</v>
      </c>
      <c r="F40" s="47" t="n">
        <f aca="false">IF(INDEX($H40:$O40,1,Scenario_Selected)="",$H40,INDEX($H40:$O40,1,Scenario_Selected))</f>
        <v>0.09</v>
      </c>
      <c r="H40" s="17" t="n">
        <v>0.09</v>
      </c>
      <c r="I40" s="17"/>
      <c r="J40" s="17"/>
      <c r="K40" s="17"/>
      <c r="L40" s="17"/>
      <c r="M40" s="17"/>
      <c r="N40" s="17"/>
      <c r="O40" s="17"/>
    </row>
    <row r="41" customFormat="false" ht="15" hidden="false" customHeight="false" outlineLevel="0" collapsed="false">
      <c r="B41" s="0" t="s">
        <v>217</v>
      </c>
      <c r="C41" s="11" t="s">
        <v>35</v>
      </c>
      <c r="D41" s="13" t="s">
        <v>218</v>
      </c>
      <c r="F41" s="48" t="n">
        <f aca="false">IF(INDEX($H41:$O41,1,Scenario_Selected)="",$H41,INDEX($H41:$O41,1,Scenario_Selected))</f>
        <v>0</v>
      </c>
      <c r="H41" s="20" t="n">
        <v>0</v>
      </c>
      <c r="I41" s="20"/>
      <c r="J41" s="20"/>
      <c r="K41" s="20"/>
      <c r="L41" s="20"/>
      <c r="M41" s="20"/>
      <c r="N41" s="20"/>
      <c r="O41" s="20"/>
    </row>
    <row r="42" customFormat="false" ht="15" hidden="false" customHeight="false" outlineLevel="0" collapsed="false">
      <c r="B42" s="0" t="s">
        <v>219</v>
      </c>
      <c r="C42" s="11" t="s">
        <v>63</v>
      </c>
      <c r="D42" s="13" t="s">
        <v>220</v>
      </c>
      <c r="F42" s="42" t="n">
        <f aca="false">IF(INDEX($H42:$O42,1,Scenario_Selected)="",$H42,INDEX($H42:$O42,1,Scenario_Selected))</f>
        <v>20</v>
      </c>
      <c r="H42" s="45" t="n">
        <v>20</v>
      </c>
      <c r="I42" s="45"/>
      <c r="J42" s="45"/>
      <c r="K42" s="45"/>
      <c r="L42" s="45"/>
      <c r="M42" s="45"/>
      <c r="N42" s="45"/>
      <c r="O42" s="45"/>
    </row>
    <row r="43" customFormat="false" ht="15" hidden="false" customHeight="false" outlineLevel="0" collapsed="false">
      <c r="B43" s="0" t="s">
        <v>221</v>
      </c>
      <c r="C43" s="11" t="s">
        <v>27</v>
      </c>
      <c r="D43" s="13" t="s">
        <v>222</v>
      </c>
      <c r="F43" s="47" t="n">
        <f aca="false">IF(INDEX($H43:$O43,1,Scenario_Selected)="",$H43,INDEX($H43:$O43,1,Scenario_Selected))</f>
        <v>0.5</v>
      </c>
      <c r="H43" s="17" t="n">
        <v>0.5</v>
      </c>
      <c r="I43" s="17"/>
      <c r="J43" s="17"/>
      <c r="K43" s="17"/>
      <c r="L43" s="17"/>
      <c r="M43" s="17"/>
      <c r="N43" s="17"/>
      <c r="O43" s="17"/>
    </row>
    <row r="44" customFormat="false" ht="15" hidden="false" customHeight="false" outlineLevel="0" collapsed="false">
      <c r="B44" s="0" t="s">
        <v>223</v>
      </c>
      <c r="C44" s="11" t="s">
        <v>63</v>
      </c>
      <c r="D44" s="13" t="s">
        <v>224</v>
      </c>
      <c r="F44" s="42" t="n">
        <f aca="false">IF(INDEX($H44:$O44,1,Scenario_Selected)="",$H44,INDEX($H44:$O44,1,Scenario_Selected))</f>
        <v>5</v>
      </c>
      <c r="H44" s="45" t="n">
        <v>5</v>
      </c>
      <c r="I44" s="45"/>
      <c r="J44" s="45"/>
      <c r="K44" s="45"/>
      <c r="L44" s="45"/>
      <c r="M44" s="45"/>
      <c r="N44" s="45"/>
      <c r="O44" s="45"/>
    </row>
    <row r="46" customFormat="false" ht="15" hidden="false" customHeight="false" outlineLevel="0" collapsed="false">
      <c r="A46" s="9" t="s">
        <v>13</v>
      </c>
      <c r="B46" s="9"/>
      <c r="C46" s="9" t="s">
        <v>225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</row>
    <row r="47" customFormat="false" ht="15" hidden="false" customHeight="false" outlineLevel="0" collapsed="false">
      <c r="B47" s="0" t="s">
        <v>226</v>
      </c>
      <c r="C47" s="11" t="s">
        <v>131</v>
      </c>
      <c r="D47" s="13" t="s">
        <v>227</v>
      </c>
      <c r="F47" s="43" t="n">
        <v>2</v>
      </c>
    </row>
    <row r="48" customFormat="false" ht="15" hidden="false" customHeight="false" outlineLevel="0" collapsed="false">
      <c r="B48" s="0" t="s">
        <v>228</v>
      </c>
      <c r="C48" s="11" t="s">
        <v>229</v>
      </c>
      <c r="D48" s="13" t="s">
        <v>230</v>
      </c>
      <c r="F48" s="46" t="n">
        <f aca="false">IF(INDEX($H48:$O48,1,Scenario_Selected)="",$H48,INDEX($H48:$O48,1,Scenario_Selected))</f>
        <v>50</v>
      </c>
      <c r="H48" s="12" t="n">
        <v>50</v>
      </c>
      <c r="I48" s="12"/>
      <c r="J48" s="12"/>
      <c r="K48" s="12"/>
      <c r="L48" s="12"/>
      <c r="M48" s="12"/>
      <c r="N48" s="12"/>
      <c r="O48" s="12"/>
    </row>
    <row r="49" customFormat="false" ht="15" hidden="false" customHeight="false" outlineLevel="0" collapsed="false">
      <c r="B49" s="0" t="s">
        <v>231</v>
      </c>
      <c r="C49" s="11" t="s">
        <v>27</v>
      </c>
      <c r="D49" s="13" t="s">
        <v>232</v>
      </c>
      <c r="F49" s="47" t="n">
        <f aca="false">IF(INDEX($H49:$O49,1,Scenario_Selected)="",$H49,INDEX($H49:$O49,1,Scenario_Selected))</f>
        <v>0.1</v>
      </c>
      <c r="H49" s="17" t="n">
        <v>0.1</v>
      </c>
      <c r="I49" s="17"/>
      <c r="J49" s="17"/>
      <c r="K49" s="17"/>
      <c r="L49" s="17"/>
      <c r="M49" s="17"/>
      <c r="N49" s="17"/>
      <c r="O49" s="17"/>
    </row>
    <row r="50" customFormat="false" ht="15" hidden="false" customHeight="false" outlineLevel="0" collapsed="false">
      <c r="B50" s="0" t="s">
        <v>233</v>
      </c>
      <c r="C50" s="11" t="s">
        <v>27</v>
      </c>
      <c r="D50" s="13" t="s">
        <v>234</v>
      </c>
      <c r="F50" s="47" t="n">
        <f aca="false">IF(INDEX($H50:$O50,1,Scenario_Selected)="",$H50,INDEX($H50:$O50,1,Scenario_Selected))</f>
        <v>0.05</v>
      </c>
      <c r="H50" s="17" t="n">
        <v>0.05</v>
      </c>
      <c r="I50" s="17"/>
      <c r="J50" s="17"/>
      <c r="K50" s="17"/>
      <c r="L50" s="17"/>
      <c r="M50" s="17"/>
      <c r="N50" s="17"/>
      <c r="O50" s="17"/>
    </row>
    <row r="51" customFormat="false" ht="15" hidden="false" customHeight="false" outlineLevel="0" collapsed="false">
      <c r="B51" s="0" t="s">
        <v>235</v>
      </c>
      <c r="C51" s="11" t="s">
        <v>27</v>
      </c>
      <c r="D51" s="13" t="s">
        <v>236</v>
      </c>
      <c r="F51" s="47" t="n">
        <f aca="false">IF(INDEX($H51:$O51,1,Scenario_Selected)="",$H51,INDEX($H51:$O51,1,Scenario_Selected))</f>
        <v>0.1</v>
      </c>
      <c r="H51" s="17" t="n">
        <v>0.1</v>
      </c>
      <c r="I51" s="17"/>
      <c r="J51" s="17"/>
      <c r="K51" s="17"/>
      <c r="L51" s="17"/>
      <c r="M51" s="17"/>
      <c r="N51" s="17"/>
      <c r="O51" s="17"/>
    </row>
    <row r="52" customFormat="false" ht="15" hidden="false" customHeight="false" outlineLevel="0" collapsed="false">
      <c r="B52" s="0" t="s">
        <v>237</v>
      </c>
      <c r="C52" s="11" t="s">
        <v>35</v>
      </c>
      <c r="D52" s="13" t="s">
        <v>238</v>
      </c>
      <c r="F52" s="48" t="n">
        <f aca="false">IF(INDEX($H52:$O52,1,Scenario_Selected)="",$H52,INDEX($H52:$O52,1,Scenario_Selected))</f>
        <v>1</v>
      </c>
      <c r="H52" s="20" t="n">
        <v>1</v>
      </c>
      <c r="I52" s="20"/>
      <c r="J52" s="20"/>
      <c r="K52" s="20"/>
      <c r="L52" s="20"/>
      <c r="M52" s="20" t="n">
        <v>2</v>
      </c>
      <c r="N52" s="20"/>
      <c r="O52" s="20"/>
    </row>
    <row r="53" customFormat="false" ht="15" hidden="false" customHeight="false" outlineLevel="0" collapsed="false">
      <c r="B53" s="0" t="s">
        <v>239</v>
      </c>
      <c r="C53" s="11" t="s">
        <v>170</v>
      </c>
      <c r="D53" s="13" t="s">
        <v>240</v>
      </c>
      <c r="F53" s="42" t="n">
        <f aca="false">IF(INDEX($H53:$O53,1,Scenario_Selected)="",$H53,INDEX($H53:$O53,1,Scenario_Selected))</f>
        <v>6</v>
      </c>
      <c r="H53" s="45" t="n">
        <v>6</v>
      </c>
      <c r="I53" s="45"/>
      <c r="J53" s="45"/>
      <c r="K53" s="45"/>
      <c r="L53" s="45"/>
      <c r="M53" s="45"/>
      <c r="N53" s="45"/>
      <c r="O53" s="45"/>
    </row>
    <row r="54" customFormat="false" ht="15" hidden="false" customHeight="false" outlineLevel="0" collapsed="false">
      <c r="B54" s="0" t="s">
        <v>241</v>
      </c>
      <c r="C54" s="11" t="s">
        <v>242</v>
      </c>
      <c r="D54" s="13" t="s">
        <v>243</v>
      </c>
      <c r="F54" s="46" t="n">
        <f aca="false">IF(INDEX($H54:$O54,1,Scenario_Selected)="",$H54,INDEX($H54:$O54,1,Scenario_Selected))</f>
        <v>406</v>
      </c>
      <c r="H54" s="12" t="n">
        <v>406</v>
      </c>
      <c r="I54" s="12"/>
      <c r="J54" s="12"/>
      <c r="K54" s="12"/>
      <c r="L54" s="12"/>
      <c r="M54" s="12"/>
      <c r="N54" s="12"/>
      <c r="O54" s="12"/>
    </row>
    <row r="55" customFormat="false" ht="15" hidden="false" customHeight="false" outlineLevel="0" collapsed="false">
      <c r="B55" s="0" t="s">
        <v>244</v>
      </c>
      <c r="C55" s="11" t="s">
        <v>245</v>
      </c>
      <c r="D55" s="13" t="s">
        <v>246</v>
      </c>
      <c r="F55" s="35" t="n">
        <f aca="false">IF(INDEX($H55:$O55,1,Scenario_Selected)="",$H55,INDEX($H55:$O55,1,Scenario_Selected))</f>
        <v>3</v>
      </c>
      <c r="H55" s="49" t="n">
        <v>3</v>
      </c>
      <c r="I55" s="49"/>
      <c r="J55" s="49"/>
      <c r="K55" s="49"/>
      <c r="L55" s="49"/>
      <c r="M55" s="49"/>
      <c r="N55" s="49"/>
      <c r="O55" s="49"/>
    </row>
    <row r="56" customFormat="false" ht="15" hidden="false" customHeight="false" outlineLevel="0" collapsed="false">
      <c r="B56" s="0" t="s">
        <v>247</v>
      </c>
      <c r="C56" s="11" t="s">
        <v>27</v>
      </c>
      <c r="D56" s="13" t="s">
        <v>248</v>
      </c>
      <c r="F56" s="50" t="n">
        <f aca="false">IF(INDEX($H56:$O56,1,Scenario_Selected)="",$H56,INDEX($H56:$O56,1,Scenario_Selected))</f>
        <v>0.005</v>
      </c>
      <c r="H56" s="51" t="n">
        <v>0.005</v>
      </c>
      <c r="I56" s="51"/>
      <c r="J56" s="51"/>
      <c r="K56" s="51"/>
      <c r="L56" s="51"/>
      <c r="M56" s="51"/>
      <c r="N56" s="51"/>
      <c r="O56" s="51"/>
    </row>
    <row r="57" customFormat="false" ht="15" hidden="false" customHeight="false" outlineLevel="0" collapsed="false">
      <c r="B57" s="0" t="s">
        <v>249</v>
      </c>
      <c r="C57" s="11" t="s">
        <v>27</v>
      </c>
      <c r="D57" s="13" t="s">
        <v>250</v>
      </c>
      <c r="F57" s="50" t="n">
        <f aca="false">IF(INDEX($H57:$O57,1,Scenario_Selected)="",$H57,INDEX($H57:$O57,1,Scenario_Selected))</f>
        <v>0.025</v>
      </c>
      <c r="H57" s="51" t="n">
        <v>0.025</v>
      </c>
      <c r="I57" s="51"/>
      <c r="J57" s="51"/>
      <c r="K57" s="51"/>
      <c r="L57" s="51"/>
      <c r="M57" s="51"/>
      <c r="N57" s="51"/>
      <c r="O57" s="51"/>
    </row>
    <row r="58" customFormat="false" ht="15" hidden="false" customHeight="false" outlineLevel="0" collapsed="false">
      <c r="B58" s="0" t="s">
        <v>251</v>
      </c>
      <c r="C58" s="11" t="s">
        <v>252</v>
      </c>
      <c r="D58" s="13" t="s">
        <v>253</v>
      </c>
      <c r="F58" s="35" t="n">
        <f aca="false">IF(INDEX($H58:$O58,1,Scenario_Selected)="",$H58,INDEX($H58:$O58,1,Scenario_Selected))</f>
        <v>4.5</v>
      </c>
      <c r="H58" s="49" t="n">
        <v>4.5</v>
      </c>
      <c r="I58" s="49"/>
      <c r="J58" s="49"/>
      <c r="K58" s="49"/>
      <c r="L58" s="49"/>
      <c r="M58" s="49"/>
      <c r="N58" s="49"/>
      <c r="O58" s="49"/>
    </row>
    <row r="59" customFormat="false" ht="15" hidden="false" customHeight="false" outlineLevel="0" collapsed="false">
      <c r="B59" s="0" t="s">
        <v>254</v>
      </c>
      <c r="C59" s="11" t="s">
        <v>245</v>
      </c>
      <c r="D59" s="13" t="s">
        <v>255</v>
      </c>
      <c r="F59" s="35" t="n">
        <f aca="false">IF(INDEX($H59:$O59,1,Scenario_Selected)="",$H59,INDEX($H59:$O59,1,Scenario_Selected))</f>
        <v>460</v>
      </c>
      <c r="H59" s="49" t="n">
        <v>460</v>
      </c>
      <c r="I59" s="49"/>
      <c r="J59" s="49"/>
      <c r="K59" s="49"/>
      <c r="L59" s="49"/>
      <c r="M59" s="49"/>
      <c r="N59" s="49"/>
      <c r="O59" s="49"/>
    </row>
    <row r="60" customFormat="false" ht="15" hidden="false" customHeight="false" outlineLevel="0" collapsed="false">
      <c r="B60" s="0" t="s">
        <v>256</v>
      </c>
      <c r="C60" s="11" t="s">
        <v>252</v>
      </c>
      <c r="D60" s="13" t="s">
        <v>257</v>
      </c>
      <c r="F60" s="31" t="n">
        <f aca="false">IF(INDEX($H60:$O60,1,Scenario_Selected)="",$H60,INDEX($H60:$O60,1,Scenario_Selected))</f>
        <v>54.830209</v>
      </c>
      <c r="H60" s="16" t="n">
        <v>54.830209</v>
      </c>
      <c r="I60" s="16"/>
      <c r="J60" s="16"/>
      <c r="K60" s="16"/>
      <c r="L60" s="16"/>
      <c r="M60" s="16"/>
      <c r="N60" s="16"/>
      <c r="O60" s="16"/>
    </row>
    <row r="61" customFormat="false" ht="15" hidden="false" customHeight="false" outlineLevel="0" collapsed="false">
      <c r="B61" s="0" t="s">
        <v>258</v>
      </c>
      <c r="C61" s="11" t="s">
        <v>27</v>
      </c>
      <c r="D61" s="13" t="s">
        <v>259</v>
      </c>
      <c r="F61" s="47" t="n">
        <f aca="false">IF(INDEX($H61:$O61,1,Scenario_Selected)="",$H61,INDEX($H61:$O61,1,Scenario_Selected))</f>
        <v>0.06</v>
      </c>
      <c r="H61" s="17" t="n">
        <v>0.06</v>
      </c>
      <c r="I61" s="17"/>
      <c r="J61" s="17"/>
      <c r="K61" s="17"/>
      <c r="L61" s="17"/>
      <c r="M61" s="17"/>
      <c r="N61" s="17"/>
      <c r="O61" s="17"/>
    </row>
    <row r="63" customFormat="false" ht="15" hidden="false" customHeight="false" outlineLevel="0" collapsed="false">
      <c r="A63" s="9" t="s">
        <v>13</v>
      </c>
      <c r="B63" s="9"/>
      <c r="C63" s="9" t="s">
        <v>260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</row>
    <row r="64" customFormat="false" ht="15" hidden="false" customHeight="false" outlineLevel="0" collapsed="false">
      <c r="B64" s="0" t="s">
        <v>261</v>
      </c>
      <c r="C64" s="11" t="s">
        <v>19</v>
      </c>
      <c r="D64" s="13" t="s">
        <v>262</v>
      </c>
      <c r="F64" s="46" t="n">
        <f aca="false">IF(INDEX($H64:$O64,1,Scenario_Selected)="",$H64,INDEX($H64:$O64,1,Scenario_Selected))</f>
        <v>600</v>
      </c>
      <c r="H64" s="12" t="n">
        <v>600</v>
      </c>
      <c r="I64" s="12"/>
      <c r="J64" s="12" t="n">
        <v>660</v>
      </c>
      <c r="K64" s="12"/>
      <c r="L64" s="12"/>
      <c r="M64" s="12"/>
      <c r="N64" s="12"/>
      <c r="O64" s="12"/>
    </row>
    <row r="65" customFormat="false" ht="15" hidden="false" customHeight="false" outlineLevel="0" collapsed="false">
      <c r="B65" s="0" t="s">
        <v>263</v>
      </c>
      <c r="C65" s="11" t="s">
        <v>19</v>
      </c>
      <c r="D65" s="13" t="s">
        <v>264</v>
      </c>
      <c r="F65" s="46" t="n">
        <f aca="false">IF(INDEX($H65:$O65,1,Scenario_Selected)="",$H65,INDEX($H65:$O65,1,Scenario_Selected))</f>
        <v>500</v>
      </c>
      <c r="H65" s="12" t="n">
        <v>500</v>
      </c>
      <c r="I65" s="12"/>
      <c r="J65" s="12" t="n">
        <v>550</v>
      </c>
      <c r="K65" s="12"/>
      <c r="L65" s="12"/>
      <c r="M65" s="12"/>
      <c r="N65" s="12"/>
      <c r="O65" s="12"/>
    </row>
    <row r="66" customFormat="false" ht="15" hidden="false" customHeight="false" outlineLevel="0" collapsed="false">
      <c r="B66" s="0" t="s">
        <v>265</v>
      </c>
      <c r="C66" s="11" t="s">
        <v>19</v>
      </c>
      <c r="D66" s="13" t="s">
        <v>266</v>
      </c>
      <c r="F66" s="46" t="n">
        <f aca="false">IF(INDEX($H66:$O66,1,Scenario_Selected)="",$H66,INDEX($H66:$O66,1,Scenario_Selected))</f>
        <v>355</v>
      </c>
      <c r="H66" s="12" t="n">
        <v>355</v>
      </c>
      <c r="I66" s="12"/>
      <c r="J66" s="12"/>
      <c r="K66" s="12"/>
      <c r="L66" s="12"/>
      <c r="M66" s="12"/>
      <c r="N66" s="12"/>
      <c r="O66" s="12"/>
    </row>
    <row r="67" customFormat="false" ht="15" hidden="false" customHeight="false" outlineLevel="0" collapsed="false">
      <c r="B67" s="0" t="s">
        <v>267</v>
      </c>
      <c r="C67" s="11" t="s">
        <v>33</v>
      </c>
      <c r="D67" s="13" t="s">
        <v>268</v>
      </c>
      <c r="F67" s="46" t="n">
        <f aca="false">IF(INDEX($H67:$O67,1,Scenario_Selected)="",$H67,INDEX($H67:$O67,1,Scenario_Selected))</f>
        <v>12000</v>
      </c>
      <c r="H67" s="12" t="n">
        <v>12000</v>
      </c>
      <c r="I67" s="12"/>
      <c r="J67" s="12"/>
      <c r="K67" s="12"/>
      <c r="L67" s="12"/>
      <c r="M67" s="12"/>
      <c r="N67" s="12"/>
      <c r="O67" s="12"/>
    </row>
    <row r="68" customFormat="false" ht="15" hidden="false" customHeight="false" outlineLevel="0" collapsed="false">
      <c r="B68" s="0" t="s">
        <v>269</v>
      </c>
      <c r="C68" s="11" t="s">
        <v>33</v>
      </c>
      <c r="D68" s="13" t="s">
        <v>270</v>
      </c>
      <c r="F68" s="46" t="n">
        <f aca="false">IF(INDEX($H68:$O68,1,Scenario_Selected)="",$H68,INDEX($H68:$O68,1,Scenario_Selected))</f>
        <v>10800</v>
      </c>
      <c r="H68" s="12" t="n">
        <v>10800</v>
      </c>
      <c r="I68" s="12"/>
      <c r="J68" s="12"/>
      <c r="K68" s="12"/>
      <c r="L68" s="12"/>
      <c r="M68" s="12"/>
      <c r="N68" s="12"/>
      <c r="O68" s="12"/>
    </row>
    <row r="69" customFormat="false" ht="15" hidden="false" customHeight="false" outlineLevel="0" collapsed="false">
      <c r="B69" s="0" t="s">
        <v>271</v>
      </c>
      <c r="C69" s="11" t="s">
        <v>27</v>
      </c>
      <c r="D69" s="13" t="s">
        <v>272</v>
      </c>
      <c r="F69" s="47" t="n">
        <f aca="false">IF(INDEX($H69:$O69,1,Scenario_Selected)="",$H69,INDEX($H69:$O69,1,Scenario_Selected))</f>
        <v>0.05</v>
      </c>
      <c r="H69" s="17" t="n">
        <v>0.05</v>
      </c>
      <c r="I69" s="17"/>
      <c r="J69" s="17"/>
      <c r="K69" s="17"/>
      <c r="L69" s="17"/>
      <c r="M69" s="17"/>
      <c r="N69" s="17"/>
      <c r="O69" s="17"/>
    </row>
    <row r="71" customFormat="false" ht="15" hidden="false" customHeight="false" outlineLevel="0" collapsed="false">
      <c r="A71" s="9" t="s">
        <v>13</v>
      </c>
      <c r="B71" s="9"/>
      <c r="C71" s="9" t="s">
        <v>273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</row>
    <row r="72" customFormat="false" ht="15" hidden="false" customHeight="false" outlineLevel="0" collapsed="false">
      <c r="B72" s="0" t="s">
        <v>52</v>
      </c>
      <c r="C72" s="11" t="s">
        <v>53</v>
      </c>
      <c r="D72" s="13" t="s">
        <v>274</v>
      </c>
      <c r="F72" s="46" t="n">
        <f aca="false">IF(INDEX($H72:$O72,1,Scenario_Selected)="",$H72,INDEX($H72:$O72,1,Scenario_Selected))</f>
        <v>2460</v>
      </c>
      <c r="H72" s="12" t="n">
        <v>2460</v>
      </c>
      <c r="I72" s="12"/>
      <c r="J72" s="12"/>
      <c r="K72" s="12" t="n">
        <v>2214</v>
      </c>
      <c r="L72" s="12"/>
      <c r="M72" s="12"/>
      <c r="N72" s="12"/>
      <c r="O72" s="12"/>
    </row>
    <row r="73" customFormat="false" ht="15" hidden="false" customHeight="false" outlineLevel="0" collapsed="false">
      <c r="B73" s="0" t="s">
        <v>275</v>
      </c>
      <c r="C73" s="11" t="s">
        <v>27</v>
      </c>
      <c r="D73" s="13" t="s">
        <v>276</v>
      </c>
      <c r="F73" s="47" t="n">
        <f aca="false">IF(INDEX($H73:$O73,1,Scenario_Selected)="",$H73,INDEX($H73:$O73,1,Scenario_Selected))</f>
        <v>0.02</v>
      </c>
      <c r="H73" s="17" t="n">
        <v>0.02</v>
      </c>
      <c r="I73" s="17"/>
      <c r="J73" s="17"/>
      <c r="K73" s="17"/>
      <c r="L73" s="17"/>
      <c r="M73" s="17"/>
      <c r="N73" s="17"/>
      <c r="O73" s="17"/>
    </row>
    <row r="74" customFormat="false" ht="15" hidden="false" customHeight="false" outlineLevel="0" collapsed="false">
      <c r="B74" s="0" t="s">
        <v>277</v>
      </c>
      <c r="C74" s="11" t="s">
        <v>27</v>
      </c>
      <c r="D74" s="13" t="s">
        <v>278</v>
      </c>
      <c r="F74" s="50" t="n">
        <f aca="false">IF(INDEX($H74:$O74,1,Scenario_Selected)="",$H74,INDEX($H74:$O74,1,Scenario_Selected))</f>
        <v>0.003</v>
      </c>
      <c r="H74" s="51" t="n">
        <v>0.003</v>
      </c>
      <c r="I74" s="51"/>
      <c r="J74" s="51"/>
      <c r="K74" s="51"/>
      <c r="L74" s="51"/>
      <c r="M74" s="51"/>
      <c r="N74" s="51"/>
      <c r="O74" s="51"/>
    </row>
    <row r="75" customFormat="false" ht="15" hidden="false" customHeight="false" outlineLevel="0" collapsed="false">
      <c r="B75" s="0" t="s">
        <v>279</v>
      </c>
      <c r="C75" s="11" t="s">
        <v>24</v>
      </c>
      <c r="D75" s="13" t="s">
        <v>232</v>
      </c>
      <c r="F75" s="35" t="n">
        <f aca="false">IF(INDEX($H75:$O75,1,Scenario_Selected)="",$H75,INDEX($H75:$O75,1,Scenario_Selected))</f>
        <v>90</v>
      </c>
      <c r="H75" s="49" t="n">
        <v>90</v>
      </c>
      <c r="I75" s="49"/>
      <c r="J75" s="49"/>
      <c r="K75" s="49"/>
      <c r="L75" s="49" t="n">
        <v>81</v>
      </c>
      <c r="M75" s="49"/>
      <c r="N75" s="49"/>
      <c r="O75" s="49"/>
    </row>
    <row r="76" customFormat="false" ht="15" hidden="false" customHeight="false" outlineLevel="0" collapsed="false">
      <c r="B76" s="0" t="s">
        <v>280</v>
      </c>
      <c r="C76" s="11" t="s">
        <v>27</v>
      </c>
      <c r="D76" s="13" t="s">
        <v>281</v>
      </c>
      <c r="F76" s="47" t="n">
        <f aca="false">IF(INDEX($H76:$O76,1,Scenario_Selected)="",$H76,INDEX($H76:$O76,1,Scenario_Selected))</f>
        <v>0.01</v>
      </c>
      <c r="H76" s="17" t="n">
        <v>0.01</v>
      </c>
      <c r="I76" s="17"/>
      <c r="J76" s="17"/>
      <c r="K76" s="17"/>
      <c r="L76" s="17"/>
      <c r="M76" s="17"/>
      <c r="N76" s="17"/>
      <c r="O76" s="17"/>
    </row>
    <row r="77" customFormat="false" ht="15" hidden="false" customHeight="false" outlineLevel="0" collapsed="false">
      <c r="B77" s="0" t="s">
        <v>282</v>
      </c>
      <c r="C77" s="11" t="s">
        <v>24</v>
      </c>
      <c r="D77" s="13" t="s">
        <v>283</v>
      </c>
      <c r="F77" s="35" t="n">
        <f aca="false">IF(INDEX($H77:$O77,1,Scenario_Selected)="",$H77,INDEX($H77:$O77,1,Scenario_Selected))</f>
        <v>5</v>
      </c>
      <c r="H77" s="49" t="n">
        <v>5</v>
      </c>
      <c r="I77" s="49"/>
      <c r="J77" s="49"/>
      <c r="K77" s="49"/>
      <c r="L77" s="49"/>
      <c r="M77" s="49"/>
      <c r="N77" s="49"/>
      <c r="O77" s="49"/>
    </row>
    <row r="78" customFormat="false" ht="15" hidden="false" customHeight="false" outlineLevel="0" collapsed="false">
      <c r="B78" s="0" t="s">
        <v>284</v>
      </c>
      <c r="C78" s="11" t="s">
        <v>19</v>
      </c>
      <c r="D78" s="13" t="s">
        <v>285</v>
      </c>
      <c r="F78" s="46" t="n">
        <f aca="false">IF(INDEX($H78:$O78,1,Scenario_Selected)="",$H78,INDEX($H78:$O78,1,Scenario_Selected))</f>
        <v>22</v>
      </c>
      <c r="H78" s="12" t="n">
        <v>22</v>
      </c>
      <c r="I78" s="12"/>
      <c r="J78" s="12"/>
      <c r="K78" s="12"/>
      <c r="L78" s="12"/>
      <c r="M78" s="12"/>
      <c r="N78" s="12"/>
      <c r="O78" s="12"/>
    </row>
    <row r="79" customFormat="false" ht="15" hidden="false" customHeight="false" outlineLevel="0" collapsed="false">
      <c r="B79" s="0" t="s">
        <v>286</v>
      </c>
      <c r="C79" s="11" t="s">
        <v>19</v>
      </c>
      <c r="D79" s="13" t="s">
        <v>287</v>
      </c>
      <c r="F79" s="46" t="n">
        <f aca="false">IF(INDEX($H79:$O79,1,Scenario_Selected)="",$H79,INDEX($H79:$O79,1,Scenario_Selected))</f>
        <v>3</v>
      </c>
      <c r="H79" s="12" t="n">
        <v>3</v>
      </c>
      <c r="I79" s="12"/>
      <c r="J79" s="12"/>
      <c r="K79" s="12"/>
      <c r="L79" s="12"/>
      <c r="M79" s="12"/>
      <c r="N79" s="12"/>
      <c r="O79" s="12"/>
    </row>
    <row r="80" customFormat="false" ht="15" hidden="false" customHeight="false" outlineLevel="0" collapsed="false">
      <c r="B80" s="0" t="s">
        <v>288</v>
      </c>
      <c r="C80" s="11" t="s">
        <v>33</v>
      </c>
      <c r="D80" s="13" t="s">
        <v>289</v>
      </c>
      <c r="F80" s="46" t="n">
        <f aca="false">IF(INDEX($H80:$O80,1,Scenario_Selected)="",$H80,INDEX($H80:$O80,1,Scenario_Selected))</f>
        <v>150</v>
      </c>
      <c r="H80" s="12" t="n">
        <v>150</v>
      </c>
      <c r="I80" s="12"/>
      <c r="J80" s="12"/>
      <c r="K80" s="12"/>
      <c r="L80" s="12"/>
      <c r="M80" s="12"/>
      <c r="N80" s="12"/>
      <c r="O80" s="12"/>
    </row>
    <row r="81" customFormat="false" ht="15" hidden="false" customHeight="false" outlineLevel="0" collapsed="false">
      <c r="B81" s="0" t="s">
        <v>290</v>
      </c>
      <c r="C81" s="11" t="s">
        <v>27</v>
      </c>
      <c r="D81" s="13" t="s">
        <v>291</v>
      </c>
      <c r="F81" s="47" t="n">
        <f aca="false">IF(INDEX($H81:$O81,1,Scenario_Selected)="",$H81,INDEX($H81:$O81,1,Scenario_Selected))</f>
        <v>0.05</v>
      </c>
      <c r="H81" s="17" t="n">
        <v>0.05</v>
      </c>
      <c r="I81" s="17"/>
      <c r="J81" s="17"/>
      <c r="K81" s="17"/>
      <c r="L81" s="17"/>
      <c r="M81" s="17"/>
      <c r="N81" s="17"/>
      <c r="O81" s="17"/>
    </row>
    <row r="82" customFormat="false" ht="15" hidden="false" customHeight="false" outlineLevel="0" collapsed="false">
      <c r="B82" s="0" t="s">
        <v>292</v>
      </c>
      <c r="C82" s="11" t="s">
        <v>27</v>
      </c>
      <c r="D82" s="13" t="s">
        <v>293</v>
      </c>
      <c r="F82" s="47" t="n">
        <f aca="false">IF(INDEX($H82:$O82,1,Scenario_Selected)="",$H82,INDEX($H82:$O82,1,Scenario_Selected))</f>
        <v>0.025</v>
      </c>
      <c r="H82" s="17" t="n">
        <v>0.025</v>
      </c>
      <c r="I82" s="17"/>
      <c r="J82" s="17"/>
      <c r="K82" s="17"/>
      <c r="L82" s="17"/>
      <c r="M82" s="17"/>
      <c r="N82" s="17"/>
      <c r="O82" s="17"/>
    </row>
    <row r="83" customFormat="false" ht="15" hidden="false" customHeight="false" outlineLevel="0" collapsed="false">
      <c r="B83" s="0" t="s">
        <v>294</v>
      </c>
      <c r="C83" s="11" t="s">
        <v>27</v>
      </c>
      <c r="D83" s="13" t="s">
        <v>295</v>
      </c>
      <c r="F83" s="50" t="n">
        <f aca="false">IF(INDEX($H83:$O83,1,Scenario_Selected)="",$H83,INDEX($H83:$O83,1,Scenario_Selected))</f>
        <v>0.001</v>
      </c>
      <c r="H83" s="51" t="n">
        <v>0.001</v>
      </c>
      <c r="I83" s="51"/>
      <c r="J83" s="51"/>
      <c r="K83" s="51"/>
      <c r="L83" s="51"/>
      <c r="M83" s="51"/>
      <c r="N83" s="51"/>
      <c r="O83" s="51"/>
    </row>
    <row r="84" customFormat="false" ht="15" hidden="false" customHeight="false" outlineLevel="0" collapsed="false">
      <c r="B84" s="0" t="s">
        <v>296</v>
      </c>
      <c r="C84" s="11" t="s">
        <v>27</v>
      </c>
      <c r="D84" s="13" t="s">
        <v>297</v>
      </c>
      <c r="F84" s="47" t="n">
        <f aca="false">IF(INDEX($H84:$O84,1,Scenario_Selected)="",$H84,INDEX($H84:$O84,1,Scenario_Selected))</f>
        <v>0.02</v>
      </c>
      <c r="H84" s="17" t="n">
        <v>0.02</v>
      </c>
      <c r="I84" s="17"/>
      <c r="J84" s="17"/>
      <c r="K84" s="17"/>
      <c r="L84" s="17"/>
      <c r="M84" s="17"/>
      <c r="N84" s="17"/>
      <c r="O84" s="17"/>
    </row>
    <row r="85" customFormat="false" ht="15" hidden="false" customHeight="false" outlineLevel="0" collapsed="false">
      <c r="B85" s="0" t="s">
        <v>298</v>
      </c>
      <c r="C85" s="11" t="s">
        <v>27</v>
      </c>
      <c r="D85" s="13" t="s">
        <v>299</v>
      </c>
      <c r="F85" s="50" t="n">
        <f aca="false">IF(INDEX($H85:$O85,1,Scenario_Selected)="",$H85,INDEX($H85:$O85,1,Scenario_Selected))</f>
        <v>0.003</v>
      </c>
      <c r="H85" s="51" t="n">
        <v>0.003</v>
      </c>
      <c r="I85" s="51"/>
      <c r="J85" s="51"/>
      <c r="K85" s="51"/>
      <c r="L85" s="51"/>
      <c r="M85" s="51"/>
      <c r="N85" s="51"/>
      <c r="O85" s="51"/>
    </row>
    <row r="87" customFormat="false" ht="15" hidden="false" customHeight="false" outlineLevel="0" collapsed="false">
      <c r="A87" s="9" t="s">
        <v>13</v>
      </c>
      <c r="B87" s="9"/>
      <c r="C87" s="9" t="s">
        <v>300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</row>
    <row r="88" customFormat="false" ht="15" hidden="false" customHeight="false" outlineLevel="0" collapsed="false">
      <c r="B88" s="0" t="s">
        <v>301</v>
      </c>
      <c r="C88" s="11" t="s">
        <v>27</v>
      </c>
      <c r="D88" s="13" t="s">
        <v>302</v>
      </c>
      <c r="F88" s="47" t="n">
        <f aca="false">IF(INDEX($H88:$O88,1,Scenario_Selected)="",$H88,INDEX($H88:$O88,1,Scenario_Selected))</f>
        <v>0.8</v>
      </c>
      <c r="H88" s="17" t="n">
        <v>0.8</v>
      </c>
      <c r="I88" s="17"/>
      <c r="J88" s="17"/>
      <c r="K88" s="17"/>
      <c r="L88" s="17"/>
      <c r="M88" s="17"/>
      <c r="N88" s="17"/>
      <c r="O88" s="17"/>
    </row>
    <row r="89" customFormat="false" ht="15" hidden="false" customHeight="false" outlineLevel="0" collapsed="false">
      <c r="B89" s="0" t="s">
        <v>303</v>
      </c>
      <c r="C89" s="11" t="s">
        <v>27</v>
      </c>
      <c r="D89" s="13" t="s">
        <v>304</v>
      </c>
      <c r="F89" s="47" t="n">
        <f aca="false">IF(INDEX($H89:$O89,1,Scenario_Selected)="",$H89,INDEX($H89:$O89,1,Scenario_Selected))</f>
        <v>0.7</v>
      </c>
      <c r="H89" s="17" t="n">
        <v>0.7</v>
      </c>
      <c r="I89" s="17"/>
      <c r="J89" s="17"/>
      <c r="K89" s="17"/>
      <c r="L89" s="17"/>
      <c r="M89" s="17"/>
      <c r="N89" s="17"/>
      <c r="O89" s="17"/>
    </row>
    <row r="90" customFormat="false" ht="15" hidden="false" customHeight="false" outlineLevel="0" collapsed="false">
      <c r="B90" s="0" t="s">
        <v>305</v>
      </c>
      <c r="C90" s="11" t="s">
        <v>13</v>
      </c>
      <c r="D90" s="13" t="s">
        <v>306</v>
      </c>
      <c r="F90" s="52" t="n">
        <f aca="false">IF(INDEX($H90:$O90,1,Scenario_Selected)="",$H90,INDEX($H90:$O90,1,Scenario_Selected))</f>
        <v>1.2</v>
      </c>
      <c r="H90" s="18" t="n">
        <v>1.2</v>
      </c>
      <c r="I90" s="18"/>
      <c r="J90" s="18"/>
      <c r="K90" s="18"/>
      <c r="L90" s="18"/>
      <c r="M90" s="18"/>
      <c r="N90" s="18"/>
      <c r="O90" s="18"/>
    </row>
    <row r="91" customFormat="false" ht="15" hidden="false" customHeight="false" outlineLevel="0" collapsed="false">
      <c r="B91" s="0" t="s">
        <v>62</v>
      </c>
      <c r="C91" s="11" t="s">
        <v>63</v>
      </c>
      <c r="D91" s="13" t="s">
        <v>307</v>
      </c>
      <c r="F91" s="42" t="n">
        <f aca="false">IF(INDEX($H91:$O91,1,Scenario_Selected)="",$H91,INDEX($H91:$O91,1,Scenario_Selected))</f>
        <v>18</v>
      </c>
      <c r="H91" s="45" t="n">
        <v>18</v>
      </c>
      <c r="I91" s="45"/>
      <c r="J91" s="45"/>
      <c r="K91" s="45"/>
      <c r="L91" s="45"/>
      <c r="M91" s="45"/>
      <c r="N91" s="45"/>
      <c r="O91" s="45" t="n">
        <v>10</v>
      </c>
    </row>
    <row r="92" customFormat="false" ht="15" hidden="false" customHeight="false" outlineLevel="0" collapsed="false">
      <c r="B92" s="0" t="s">
        <v>308</v>
      </c>
      <c r="C92" s="11" t="s">
        <v>27</v>
      </c>
      <c r="D92" s="13" t="s">
        <v>309</v>
      </c>
      <c r="F92" s="47" t="n">
        <f aca="false">IF(INDEX($H92:$O92,1,Scenario_Selected)="",$H92,INDEX($H92:$O92,1,Scenario_Selected))</f>
        <v>0.05</v>
      </c>
      <c r="H92" s="17" t="n">
        <v>0.05</v>
      </c>
      <c r="I92" s="17"/>
      <c r="J92" s="17"/>
      <c r="K92" s="17"/>
      <c r="L92" s="17"/>
      <c r="M92" s="17"/>
      <c r="N92" s="17" t="n">
        <v>0.06</v>
      </c>
      <c r="O92" s="17"/>
    </row>
    <row r="93" customFormat="false" ht="15" hidden="false" customHeight="false" outlineLevel="0" collapsed="false">
      <c r="B93" s="0" t="s">
        <v>310</v>
      </c>
      <c r="C93" s="11" t="s">
        <v>27</v>
      </c>
      <c r="D93" s="13" t="s">
        <v>311</v>
      </c>
      <c r="F93" s="50" t="n">
        <f aca="false">IF(INDEX($H93:$O93,1,Scenario_Selected)="",$H93,INDEX($H93:$O93,1,Scenario_Selected))</f>
        <v>0.0175</v>
      </c>
      <c r="H93" s="51" t="n">
        <v>0.0175</v>
      </c>
      <c r="I93" s="51"/>
      <c r="J93" s="51"/>
      <c r="K93" s="51"/>
      <c r="L93" s="51"/>
      <c r="M93" s="51"/>
      <c r="N93" s="51"/>
      <c r="O93" s="51"/>
    </row>
    <row r="94" customFormat="false" ht="15" hidden="false" customHeight="false" outlineLevel="0" collapsed="false">
      <c r="B94" s="0" t="s">
        <v>312</v>
      </c>
      <c r="C94" s="11" t="s">
        <v>27</v>
      </c>
      <c r="D94" s="13" t="s">
        <v>313</v>
      </c>
      <c r="F94" s="50" t="n">
        <f aca="false">IF(INDEX($H94:$O94,1,Scenario_Selected)="",$H94,INDEX($H94:$O94,1,Scenario_Selected))</f>
        <v>0.009</v>
      </c>
      <c r="H94" s="51" t="n">
        <v>0.009</v>
      </c>
      <c r="I94" s="51"/>
      <c r="J94" s="51"/>
      <c r="K94" s="51"/>
      <c r="L94" s="51"/>
      <c r="M94" s="51"/>
      <c r="N94" s="51"/>
      <c r="O94" s="51"/>
    </row>
    <row r="95" customFormat="false" ht="15" hidden="false" customHeight="false" outlineLevel="0" collapsed="false">
      <c r="B95" s="0" t="s">
        <v>314</v>
      </c>
      <c r="C95" s="11" t="s">
        <v>170</v>
      </c>
      <c r="D95" s="13" t="s">
        <v>315</v>
      </c>
      <c r="F95" s="42" t="n">
        <f aca="false">IF(INDEX($H95:$O95,1,Scenario_Selected)="",$H95,INDEX($H95:$O95,1,Scenario_Selected))</f>
        <v>6</v>
      </c>
      <c r="H95" s="45" t="n">
        <v>6</v>
      </c>
      <c r="I95" s="45"/>
      <c r="J95" s="45"/>
      <c r="K95" s="45"/>
      <c r="L95" s="45"/>
      <c r="M95" s="45"/>
      <c r="N95" s="45"/>
      <c r="O95" s="45"/>
    </row>
    <row r="97" customFormat="false" ht="15" hidden="false" customHeight="false" outlineLevel="0" collapsed="false">
      <c r="A97" s="9" t="s">
        <v>13</v>
      </c>
      <c r="B97" s="9"/>
      <c r="C97" s="9" t="s">
        <v>316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</row>
    <row r="98" customFormat="false" ht="15" hidden="false" customHeight="false" outlineLevel="0" collapsed="false">
      <c r="B98" s="0" t="s">
        <v>317</v>
      </c>
      <c r="C98" s="11" t="s">
        <v>21</v>
      </c>
      <c r="D98" s="13" t="s">
        <v>318</v>
      </c>
      <c r="F98" s="3" t="s">
        <v>319</v>
      </c>
    </row>
    <row r="99" customFormat="false" ht="15" hidden="false" customHeight="false" outlineLevel="0" collapsed="false">
      <c r="B99" s="0" t="s">
        <v>320</v>
      </c>
      <c r="C99" s="11" t="s">
        <v>21</v>
      </c>
      <c r="D99" s="13" t="s">
        <v>321</v>
      </c>
      <c r="F99" s="3"/>
    </row>
    <row r="101" customFormat="false" ht="15" hidden="false" customHeight="false" outlineLevel="0" collapsed="false">
      <c r="C101" s="40" t="s">
        <v>149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322</v>
      </c>
      <c r="D5" s="9"/>
      <c r="E5" s="9" t="s">
        <v>323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324</v>
      </c>
      <c r="F6" s="8" t="s">
        <v>325</v>
      </c>
      <c r="J6" s="8" t="s">
        <v>326</v>
      </c>
    </row>
    <row r="7" customFormat="false" ht="15" hidden="false" customHeight="false" outlineLevel="0" collapsed="false">
      <c r="C7" s="0" t="s">
        <v>327</v>
      </c>
      <c r="D7" s="11" t="s">
        <v>19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328</v>
      </c>
      <c r="D8" s="11" t="s">
        <v>35</v>
      </c>
      <c r="J8" s="20" t="n">
        <v>0</v>
      </c>
      <c r="K8" s="20" t="n">
        <v>0</v>
      </c>
      <c r="L8" s="20" t="n">
        <v>0</v>
      </c>
      <c r="M8" s="20" t="n">
        <v>0</v>
      </c>
      <c r="N8" s="20" t="n">
        <v>0</v>
      </c>
      <c r="O8" s="20" t="n">
        <v>0</v>
      </c>
      <c r="P8" s="20" t="n">
        <v>0</v>
      </c>
      <c r="Q8" s="20" t="n">
        <v>0</v>
      </c>
      <c r="R8" s="20" t="n">
        <v>1</v>
      </c>
    </row>
    <row r="9" customFormat="false" ht="15" hidden="false" customHeight="false" outlineLevel="0" collapsed="false">
      <c r="C9" s="0" t="s">
        <v>329</v>
      </c>
      <c r="D9" s="11" t="s">
        <v>46</v>
      </c>
      <c r="E9" s="17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330</v>
      </c>
      <c r="D10" s="11" t="s">
        <v>24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331</v>
      </c>
      <c r="D11" s="11" t="s">
        <v>35</v>
      </c>
      <c r="J11" s="20" t="n">
        <v>0</v>
      </c>
      <c r="K11" s="20" t="n">
        <v>0</v>
      </c>
      <c r="L11" s="20" t="n">
        <v>0</v>
      </c>
      <c r="M11" s="20" t="n">
        <v>0</v>
      </c>
      <c r="N11" s="20" t="n">
        <v>0</v>
      </c>
      <c r="O11" s="20" t="n">
        <v>0</v>
      </c>
      <c r="P11" s="20" t="n">
        <v>0</v>
      </c>
      <c r="Q11" s="20" t="n">
        <v>0</v>
      </c>
      <c r="R11" s="20" t="n">
        <v>0</v>
      </c>
      <c r="S11" s="20" t="n">
        <v>0</v>
      </c>
      <c r="T11" s="20" t="n">
        <v>1</v>
      </c>
    </row>
    <row r="12" customFormat="false" ht="15" hidden="false" customHeight="false" outlineLevel="0" collapsed="false">
      <c r="C12" s="0" t="s">
        <v>332</v>
      </c>
      <c r="D12" s="11" t="s">
        <v>46</v>
      </c>
      <c r="E12" s="17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333</v>
      </c>
      <c r="D13" s="11" t="s">
        <v>27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334</v>
      </c>
      <c r="D14" s="11" t="s">
        <v>35</v>
      </c>
      <c r="J14" s="20" t="n">
        <v>0</v>
      </c>
      <c r="K14" s="20" t="n">
        <v>1</v>
      </c>
      <c r="L14" s="20" t="n">
        <v>1</v>
      </c>
      <c r="M14" s="20" t="n">
        <v>1</v>
      </c>
      <c r="N14" s="20" t="n">
        <v>1</v>
      </c>
      <c r="O14" s="20" t="n">
        <v>1</v>
      </c>
      <c r="P14" s="20" t="n">
        <v>1</v>
      </c>
      <c r="Q14" s="20" t="n">
        <v>1</v>
      </c>
      <c r="R14" s="20" t="n">
        <v>1</v>
      </c>
      <c r="S14" s="20" t="n">
        <v>0</v>
      </c>
    </row>
    <row r="15" customFormat="false" ht="15" hidden="false" customHeight="false" outlineLevel="0" collapsed="false">
      <c r="C15" s="0" t="s">
        <v>335</v>
      </c>
      <c r="D15" s="11" t="s">
        <v>46</v>
      </c>
      <c r="E15" s="17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336</v>
      </c>
      <c r="D16" s="11" t="s">
        <v>13</v>
      </c>
      <c r="J16" s="43" t="n">
        <v>1</v>
      </c>
      <c r="K16" s="43" t="n">
        <v>1.2</v>
      </c>
      <c r="L16" s="43" t="n">
        <v>1.3</v>
      </c>
      <c r="M16" s="43" t="n">
        <v>1.4</v>
      </c>
      <c r="N16" s="43" t="n">
        <v>1.5</v>
      </c>
      <c r="O16" s="43" t="n">
        <v>1.6</v>
      </c>
      <c r="P16" s="43" t="n">
        <v>1.7</v>
      </c>
      <c r="Q16" s="43" t="n">
        <v>1.8</v>
      </c>
      <c r="R16" s="43" t="n">
        <v>1.9</v>
      </c>
      <c r="S16" s="43" t="n">
        <v>2</v>
      </c>
    </row>
    <row r="17" customFormat="false" ht="15" hidden="false" customHeight="false" outlineLevel="0" collapsed="false">
      <c r="C17" s="0" t="s">
        <v>337</v>
      </c>
      <c r="D17" s="11" t="s">
        <v>35</v>
      </c>
      <c r="J17" s="20" t="n">
        <v>0</v>
      </c>
      <c r="K17" s="20" t="n">
        <v>1</v>
      </c>
      <c r="L17" s="20" t="n">
        <v>1</v>
      </c>
      <c r="M17" s="20" t="n">
        <v>1</v>
      </c>
      <c r="N17" s="20" t="n">
        <v>1</v>
      </c>
      <c r="O17" s="20" t="n">
        <v>1</v>
      </c>
      <c r="P17" s="20" t="n">
        <v>1</v>
      </c>
      <c r="Q17" s="20" t="n">
        <v>1</v>
      </c>
      <c r="R17" s="20" t="n">
        <v>1</v>
      </c>
      <c r="S17" s="20" t="n">
        <v>1</v>
      </c>
    </row>
    <row r="18" customFormat="false" ht="15" hidden="false" customHeight="false" outlineLevel="0" collapsed="false">
      <c r="C18" s="0" t="s">
        <v>338</v>
      </c>
      <c r="D18" s="11" t="s">
        <v>46</v>
      </c>
      <c r="E18" s="17" t="n">
        <v>0.05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339</v>
      </c>
      <c r="D19" s="11" t="s">
        <v>46</v>
      </c>
      <c r="E19" s="17" t="n">
        <v>0.05</v>
      </c>
      <c r="J19" s="45" t="n">
        <v>100</v>
      </c>
    </row>
    <row r="20" customFormat="false" ht="15" hidden="false" customHeight="false" outlineLevel="0" collapsed="false">
      <c r="C20" s="0" t="s">
        <v>340</v>
      </c>
      <c r="D20" s="11" t="s">
        <v>46</v>
      </c>
      <c r="E20" s="17" t="n">
        <v>0.05</v>
      </c>
      <c r="J20" s="45" t="n">
        <v>100</v>
      </c>
    </row>
    <row r="21" customFormat="false" ht="15" hidden="false" customHeight="false" outlineLevel="0" collapsed="false">
      <c r="C21" s="0" t="s">
        <v>341</v>
      </c>
      <c r="D21" s="11" t="s">
        <v>46</v>
      </c>
      <c r="E21" s="17" t="n">
        <v>0.15</v>
      </c>
      <c r="J21" s="45" t="n">
        <v>80</v>
      </c>
    </row>
    <row r="22" customFormat="false" ht="15" hidden="false" customHeight="false" outlineLevel="0" collapsed="false">
      <c r="C22" s="0" t="s">
        <v>342</v>
      </c>
      <c r="D22" s="11" t="s">
        <v>46</v>
      </c>
      <c r="J22" s="45" t="n">
        <v>20</v>
      </c>
    </row>
    <row r="24" customFormat="false" ht="15" hidden="false" customHeight="false" outlineLevel="0" collapsed="false">
      <c r="C24" s="40" t="s">
        <v>149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5" t="n">
        <v>1</v>
      </c>
      <c r="C1" s="13" t="s">
        <v>343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344</v>
      </c>
      <c r="D3" s="11" t="s">
        <v>38</v>
      </c>
      <c r="J3" s="44" t="n">
        <f aca="false">I$4+1</f>
        <v>46296</v>
      </c>
      <c r="K3" s="44" t="n">
        <f aca="false">J$4+1</f>
        <v>46388</v>
      </c>
      <c r="L3" s="44" t="n">
        <f aca="false">K$4+1</f>
        <v>46478</v>
      </c>
      <c r="M3" s="44" t="n">
        <f aca="false">L$4+1</f>
        <v>46569</v>
      </c>
      <c r="N3" s="44" t="n">
        <f aca="false">M$4+1</f>
        <v>46661</v>
      </c>
      <c r="O3" s="44" t="n">
        <f aca="false">N$4+1</f>
        <v>46753</v>
      </c>
      <c r="P3" s="44" t="n">
        <f aca="false">O$4+1</f>
        <v>46844</v>
      </c>
      <c r="Q3" s="44" t="n">
        <f aca="false">P$4+1</f>
        <v>46935</v>
      </c>
      <c r="R3" s="44" t="n">
        <f aca="false">Q$4+1</f>
        <v>47027</v>
      </c>
      <c r="S3" s="44" t="n">
        <f aca="false">R$4+1</f>
        <v>47119</v>
      </c>
      <c r="T3" s="44" t="n">
        <f aca="false">S$4+1</f>
        <v>47209</v>
      </c>
      <c r="U3" s="44" t="n">
        <f aca="false">T$4+1</f>
        <v>47300</v>
      </c>
      <c r="V3" s="44" t="n">
        <f aca="false">U$4+1</f>
        <v>47392</v>
      </c>
      <c r="W3" s="44" t="n">
        <f aca="false">V$4+1</f>
        <v>47484</v>
      </c>
      <c r="X3" s="44" t="n">
        <f aca="false">W$4+1</f>
        <v>47574</v>
      </c>
      <c r="Y3" s="44" t="n">
        <f aca="false">X$4+1</f>
        <v>47665</v>
      </c>
      <c r="Z3" s="44" t="n">
        <f aca="false">Y$4+1</f>
        <v>47757</v>
      </c>
      <c r="AA3" s="44" t="n">
        <f aca="false">Z$4+1</f>
        <v>47849</v>
      </c>
      <c r="AB3" s="44" t="n">
        <f aca="false">AA$4+1</f>
        <v>47939</v>
      </c>
      <c r="AC3" s="44" t="n">
        <f aca="false">AB$4+1</f>
        <v>48030</v>
      </c>
      <c r="AD3" s="44" t="n">
        <f aca="false">AC$4+1</f>
        <v>48122</v>
      </c>
      <c r="AE3" s="44" t="n">
        <f aca="false">AD$4+1</f>
        <v>48214</v>
      </c>
      <c r="AF3" s="44" t="n">
        <f aca="false">AE$4+1</f>
        <v>48305</v>
      </c>
      <c r="AG3" s="44" t="n">
        <f aca="false">AF$4+1</f>
        <v>48396</v>
      </c>
      <c r="AH3" s="44" t="n">
        <f aca="false">AG$4+1</f>
        <v>48488</v>
      </c>
      <c r="AI3" s="44" t="n">
        <f aca="false">AH$4+1</f>
        <v>48580</v>
      </c>
      <c r="AJ3" s="44" t="n">
        <f aca="false">AI$4+1</f>
        <v>48670</v>
      </c>
      <c r="AK3" s="44" t="n">
        <f aca="false">AJ$4+1</f>
        <v>48761</v>
      </c>
      <c r="AL3" s="44" t="n">
        <f aca="false">AK$4+1</f>
        <v>48853</v>
      </c>
      <c r="AM3" s="44" t="n">
        <f aca="false">AL$4+1</f>
        <v>48945</v>
      </c>
      <c r="AN3" s="44" t="n">
        <f aca="false">AM$4+1</f>
        <v>49035</v>
      </c>
      <c r="AO3" s="44" t="n">
        <f aca="false">AN$4+1</f>
        <v>49126</v>
      </c>
      <c r="AP3" s="44" t="n">
        <f aca="false">AO$4+1</f>
        <v>49218</v>
      </c>
      <c r="AQ3" s="44" t="n">
        <f aca="false">AP$4+1</f>
        <v>49310</v>
      </c>
      <c r="AR3" s="44" t="n">
        <f aca="false">AQ$4+1</f>
        <v>49400</v>
      </c>
      <c r="AS3" s="44" t="n">
        <f aca="false">AR$4+1</f>
        <v>49491</v>
      </c>
      <c r="AT3" s="44" t="n">
        <f aca="false">AS$4+1</f>
        <v>49583</v>
      </c>
      <c r="AU3" s="44" t="n">
        <f aca="false">AT$4+1</f>
        <v>49675</v>
      </c>
      <c r="AV3" s="44" t="n">
        <f aca="false">AU$4+1</f>
        <v>49766</v>
      </c>
      <c r="AW3" s="44" t="n">
        <f aca="false">AV$4+1</f>
        <v>49857</v>
      </c>
      <c r="AX3" s="44" t="n">
        <f aca="false">AW$4+1</f>
        <v>49949</v>
      </c>
      <c r="AY3" s="44" t="n">
        <f aca="false">AX$4+1</f>
        <v>50041</v>
      </c>
      <c r="AZ3" s="44" t="n">
        <f aca="false">AY$4+1</f>
        <v>50131</v>
      </c>
      <c r="BA3" s="44" t="n">
        <f aca="false">AZ$4+1</f>
        <v>50222</v>
      </c>
      <c r="BB3" s="44" t="n">
        <f aca="false">BA$4+1</f>
        <v>50314</v>
      </c>
      <c r="BC3" s="44" t="n">
        <f aca="false">BB$4+1</f>
        <v>50406</v>
      </c>
      <c r="BD3" s="44" t="n">
        <f aca="false">BC$4+1</f>
        <v>50496</v>
      </c>
      <c r="BE3" s="44" t="n">
        <f aca="false">BD$4+1</f>
        <v>50587</v>
      </c>
      <c r="BF3" s="44" t="n">
        <f aca="false">BE$4+1</f>
        <v>50679</v>
      </c>
      <c r="BG3" s="44" t="n">
        <f aca="false">BF$4+1</f>
        <v>50771</v>
      </c>
      <c r="BH3" s="44" t="n">
        <f aca="false">BG$4+1</f>
        <v>50861</v>
      </c>
      <c r="BI3" s="44" t="n">
        <f aca="false">BH$4+1</f>
        <v>50952</v>
      </c>
      <c r="BJ3" s="44" t="n">
        <f aca="false">BI$4+1</f>
        <v>51044</v>
      </c>
      <c r="BK3" s="44" t="n">
        <f aca="false">BJ$4+1</f>
        <v>51136</v>
      </c>
      <c r="BL3" s="44" t="n">
        <f aca="false">BK$4+1</f>
        <v>51227</v>
      </c>
      <c r="BM3" s="44" t="n">
        <f aca="false">BL$4+1</f>
        <v>51318</v>
      </c>
      <c r="BN3" s="44" t="n">
        <f aca="false">BM$4+1</f>
        <v>51410</v>
      </c>
      <c r="BO3" s="44" t="n">
        <f aca="false">BN$4+1</f>
        <v>51502</v>
      </c>
      <c r="BP3" s="44" t="n">
        <f aca="false">BO$4+1</f>
        <v>51592</v>
      </c>
      <c r="BQ3" s="44" t="n">
        <f aca="false">BP$4+1</f>
        <v>51683</v>
      </c>
      <c r="BR3" s="44" t="n">
        <f aca="false">BQ$4+1</f>
        <v>51775</v>
      </c>
      <c r="BS3" s="44" t="n">
        <f aca="false">BR$4+1</f>
        <v>51867</v>
      </c>
      <c r="BT3" s="44" t="n">
        <f aca="false">BS$4+1</f>
        <v>51957</v>
      </c>
      <c r="BU3" s="44" t="n">
        <f aca="false">BT$4+1</f>
        <v>52048</v>
      </c>
      <c r="BV3" s="44" t="n">
        <f aca="false">BU$4+1</f>
        <v>52140</v>
      </c>
      <c r="BW3" s="44" t="n">
        <f aca="false">BV$4+1</f>
        <v>52232</v>
      </c>
      <c r="BX3" s="44" t="n">
        <f aca="false">BW$4+1</f>
        <v>52322</v>
      </c>
      <c r="BY3" s="44" t="n">
        <f aca="false">BX$4+1</f>
        <v>52413</v>
      </c>
      <c r="BZ3" s="44" t="n">
        <f aca="false">BY$4+1</f>
        <v>52505</v>
      </c>
      <c r="CA3" s="44" t="n">
        <f aca="false">BZ$4+1</f>
        <v>52597</v>
      </c>
      <c r="CB3" s="44" t="n">
        <f aca="false">CA$4+1</f>
        <v>52688</v>
      </c>
      <c r="CC3" s="44" t="n">
        <f aca="false">CB$4+1</f>
        <v>52779</v>
      </c>
      <c r="CD3" s="44" t="n">
        <f aca="false">CC$4+1</f>
        <v>52871</v>
      </c>
      <c r="CE3" s="44" t="n">
        <f aca="false">CD$4+1</f>
        <v>52963</v>
      </c>
      <c r="CF3" s="44" t="n">
        <f aca="false">CE$4+1</f>
        <v>53053</v>
      </c>
      <c r="CG3" s="44" t="n">
        <f aca="false">CF$4+1</f>
        <v>53144</v>
      </c>
      <c r="CH3" s="44" t="n">
        <f aca="false">CG$4+1</f>
        <v>53236</v>
      </c>
      <c r="CI3" s="44" t="n">
        <f aca="false">CH$4+1</f>
        <v>53328</v>
      </c>
      <c r="CJ3" s="44" t="n">
        <f aca="false">CI$4+1</f>
        <v>53418</v>
      </c>
      <c r="CK3" s="44" t="n">
        <f aca="false">CJ$4+1</f>
        <v>53509</v>
      </c>
      <c r="CL3" s="44" t="n">
        <f aca="false">CK$4+1</f>
        <v>53601</v>
      </c>
      <c r="CM3" s="44" t="n">
        <f aca="false">CL$4+1</f>
        <v>53693</v>
      </c>
      <c r="CN3" s="44" t="n">
        <f aca="false">CM$4+1</f>
        <v>53783</v>
      </c>
      <c r="CO3" s="44" t="n">
        <f aca="false">CN$4+1</f>
        <v>53874</v>
      </c>
      <c r="CP3" s="44" t="n">
        <f aca="false">CO$4+1</f>
        <v>53966</v>
      </c>
      <c r="CQ3" s="44" t="n">
        <f aca="false">CP$4+1</f>
        <v>54058</v>
      </c>
      <c r="CR3" s="44" t="n">
        <f aca="false">CQ$4+1</f>
        <v>54149</v>
      </c>
      <c r="CS3" s="44" t="n">
        <f aca="false">CR$4+1</f>
        <v>54240</v>
      </c>
      <c r="CT3" s="44" t="n">
        <f aca="false">CS$4+1</f>
        <v>54332</v>
      </c>
      <c r="CU3" s="44" t="n">
        <f aca="false">CT$4+1</f>
        <v>54424</v>
      </c>
      <c r="CV3" s="44" t="n">
        <f aca="false">CU$4+1</f>
        <v>54514</v>
      </c>
      <c r="CW3" s="44" t="n">
        <f aca="false">CV$4+1</f>
        <v>54605</v>
      </c>
      <c r="CX3" s="44" t="n">
        <f aca="false">CW$4+1</f>
        <v>54697</v>
      </c>
      <c r="CY3" s="44" t="n">
        <f aca="false">CX$4+1</f>
        <v>54789</v>
      </c>
      <c r="CZ3" s="44" t="n">
        <f aca="false">CY$4+1</f>
        <v>54879</v>
      </c>
      <c r="DA3" s="44" t="n">
        <f aca="false">CZ$4+1</f>
        <v>54970</v>
      </c>
      <c r="DB3" s="44" t="n">
        <f aca="false">DA$4+1</f>
        <v>55062</v>
      </c>
      <c r="DC3" s="44" t="n">
        <f aca="false">DB$4+1</f>
        <v>55154</v>
      </c>
      <c r="DD3" s="44" t="n">
        <f aca="false">DC$4+1</f>
        <v>55244</v>
      </c>
      <c r="DE3" s="44" t="n">
        <f aca="false">DD$4+1</f>
        <v>55335</v>
      </c>
      <c r="DF3" s="44" t="n">
        <f aca="false">DE$4+1</f>
        <v>55427</v>
      </c>
      <c r="DG3" s="44" t="n">
        <f aca="false">DF$4+1</f>
        <v>55519</v>
      </c>
      <c r="DH3" s="44" t="n">
        <f aca="false">DG$4+1</f>
        <v>55610</v>
      </c>
      <c r="DI3" s="44" t="n">
        <f aca="false">DH$4+1</f>
        <v>55701</v>
      </c>
      <c r="DJ3" s="44" t="n">
        <f aca="false">DI$4+1</f>
        <v>55793</v>
      </c>
      <c r="DK3" s="44" t="n">
        <f aca="false">DJ$4+1</f>
        <v>55885</v>
      </c>
      <c r="DL3" s="44" t="n">
        <f aca="false">DK$4+1</f>
        <v>55975</v>
      </c>
      <c r="DM3" s="44" t="n">
        <f aca="false">DL$4+1</f>
        <v>56066</v>
      </c>
      <c r="DN3" s="44" t="n">
        <f aca="false">DM$4+1</f>
        <v>56158</v>
      </c>
      <c r="DO3" s="44" t="n">
        <f aca="false">DN$4+1</f>
        <v>56250</v>
      </c>
      <c r="DP3" s="44" t="n">
        <f aca="false">DO$4+1</f>
        <v>56340</v>
      </c>
      <c r="DQ3" s="44" t="n">
        <f aca="false">DP$4+1</f>
        <v>56431</v>
      </c>
      <c r="DR3" s="44" t="n">
        <f aca="false">DQ$4+1</f>
        <v>56523</v>
      </c>
      <c r="DS3" s="44" t="n">
        <f aca="false">DR$4+1</f>
        <v>56615</v>
      </c>
      <c r="DT3" s="44" t="n">
        <f aca="false">DS$4+1</f>
        <v>56705</v>
      </c>
      <c r="DU3" s="44" t="n">
        <f aca="false">DT$4+1</f>
        <v>56796</v>
      </c>
      <c r="DV3" s="44" t="n">
        <f aca="false">DU$4+1</f>
        <v>56888</v>
      </c>
      <c r="DW3" s="44" t="n">
        <f aca="false">DV$4+1</f>
        <v>56980</v>
      </c>
      <c r="DX3" s="44" t="n">
        <f aca="false">DW$4+1</f>
        <v>57071</v>
      </c>
      <c r="DY3" s="44" t="n">
        <f aca="false">DX$4+1</f>
        <v>57162</v>
      </c>
      <c r="DZ3" s="44" t="n">
        <f aca="false">DY$4+1</f>
        <v>57254</v>
      </c>
      <c r="EA3" s="44" t="n">
        <f aca="false">DZ$4+1</f>
        <v>57346</v>
      </c>
      <c r="EB3" s="44" t="n">
        <f aca="false">EA$4+1</f>
        <v>57436</v>
      </c>
      <c r="EC3" s="44" t="n">
        <f aca="false">EB$4+1</f>
        <v>57527</v>
      </c>
      <c r="ED3" s="44" t="n">
        <f aca="false">EC$4+1</f>
        <v>57619</v>
      </c>
      <c r="EE3" s="44" t="n">
        <f aca="false">ED$4+1</f>
        <v>57711</v>
      </c>
      <c r="EF3" s="44" t="n">
        <f aca="false">EE$4+1</f>
        <v>57801</v>
      </c>
      <c r="EG3" s="44" t="n">
        <f aca="false">EF$4+1</f>
        <v>57892</v>
      </c>
      <c r="EH3" s="44" t="n">
        <f aca="false">EG$4+1</f>
        <v>57984</v>
      </c>
      <c r="EI3" s="44" t="n">
        <f aca="false">EH$4+1</f>
        <v>58076</v>
      </c>
      <c r="EJ3" s="44" t="n">
        <f aca="false">EI$4+1</f>
        <v>58166</v>
      </c>
      <c r="EK3" s="44" t="n">
        <f aca="false">EJ$4+1</f>
        <v>58257</v>
      </c>
      <c r="EL3" s="44" t="n">
        <f aca="false">EK$4+1</f>
        <v>58349</v>
      </c>
      <c r="EM3" s="44" t="n">
        <f aca="false">EL$4+1</f>
        <v>58441</v>
      </c>
      <c r="EN3" s="44" t="n">
        <f aca="false">EM$4+1</f>
        <v>58532</v>
      </c>
      <c r="EO3" s="44" t="n">
        <f aca="false">EN$4+1</f>
        <v>58623</v>
      </c>
    </row>
    <row r="4" customFormat="false" ht="15" hidden="false" customHeight="false" outlineLevel="0" collapsed="false">
      <c r="C4" s="0" t="s">
        <v>345</v>
      </c>
      <c r="D4" s="11" t="s">
        <v>38</v>
      </c>
      <c r="I4" s="44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346</v>
      </c>
      <c r="D5" s="11" t="s">
        <v>167</v>
      </c>
      <c r="J5" s="42" t="n">
        <f aca="false">J$4-J$3+1</f>
        <v>92</v>
      </c>
      <c r="K5" s="42" t="n">
        <f aca="false">K$4-K$3+1</f>
        <v>90</v>
      </c>
      <c r="L5" s="42" t="n">
        <f aca="false">L$4-L$3+1</f>
        <v>91</v>
      </c>
      <c r="M5" s="42" t="n">
        <f aca="false">M$4-M$3+1</f>
        <v>92</v>
      </c>
      <c r="N5" s="42" t="n">
        <f aca="false">N$4-N$3+1</f>
        <v>92</v>
      </c>
      <c r="O5" s="42" t="n">
        <f aca="false">O$4-O$3+1</f>
        <v>91</v>
      </c>
      <c r="P5" s="42" t="n">
        <f aca="false">P$4-P$3+1</f>
        <v>91</v>
      </c>
      <c r="Q5" s="42" t="n">
        <f aca="false">Q$4-Q$3+1</f>
        <v>92</v>
      </c>
      <c r="R5" s="42" t="n">
        <f aca="false">R$4-R$3+1</f>
        <v>92</v>
      </c>
      <c r="S5" s="42" t="n">
        <f aca="false">S$4-S$3+1</f>
        <v>90</v>
      </c>
      <c r="T5" s="42" t="n">
        <f aca="false">T$4-T$3+1</f>
        <v>91</v>
      </c>
      <c r="U5" s="42" t="n">
        <f aca="false">U$4-U$3+1</f>
        <v>92</v>
      </c>
      <c r="V5" s="42" t="n">
        <f aca="false">V$4-V$3+1</f>
        <v>92</v>
      </c>
      <c r="W5" s="42" t="n">
        <f aca="false">W$4-W$3+1</f>
        <v>90</v>
      </c>
      <c r="X5" s="42" t="n">
        <f aca="false">X$4-X$3+1</f>
        <v>91</v>
      </c>
      <c r="Y5" s="42" t="n">
        <f aca="false">Y$4-Y$3+1</f>
        <v>92</v>
      </c>
      <c r="Z5" s="42" t="n">
        <f aca="false">Z$4-Z$3+1</f>
        <v>92</v>
      </c>
      <c r="AA5" s="42" t="n">
        <f aca="false">AA$4-AA$3+1</f>
        <v>90</v>
      </c>
      <c r="AB5" s="42" t="n">
        <f aca="false">AB$4-AB$3+1</f>
        <v>91</v>
      </c>
      <c r="AC5" s="42" t="n">
        <f aca="false">AC$4-AC$3+1</f>
        <v>92</v>
      </c>
      <c r="AD5" s="42" t="n">
        <f aca="false">AD$4-AD$3+1</f>
        <v>92</v>
      </c>
      <c r="AE5" s="42" t="n">
        <f aca="false">AE$4-AE$3+1</f>
        <v>91</v>
      </c>
      <c r="AF5" s="42" t="n">
        <f aca="false">AF$4-AF$3+1</f>
        <v>91</v>
      </c>
      <c r="AG5" s="42" t="n">
        <f aca="false">AG$4-AG$3+1</f>
        <v>92</v>
      </c>
      <c r="AH5" s="42" t="n">
        <f aca="false">AH$4-AH$3+1</f>
        <v>92</v>
      </c>
      <c r="AI5" s="42" t="n">
        <f aca="false">AI$4-AI$3+1</f>
        <v>90</v>
      </c>
      <c r="AJ5" s="42" t="n">
        <f aca="false">AJ$4-AJ$3+1</f>
        <v>91</v>
      </c>
      <c r="AK5" s="42" t="n">
        <f aca="false">AK$4-AK$3+1</f>
        <v>92</v>
      </c>
      <c r="AL5" s="42" t="n">
        <f aca="false">AL$4-AL$3+1</f>
        <v>92</v>
      </c>
      <c r="AM5" s="42" t="n">
        <f aca="false">AM$4-AM$3+1</f>
        <v>90</v>
      </c>
      <c r="AN5" s="42" t="n">
        <f aca="false">AN$4-AN$3+1</f>
        <v>91</v>
      </c>
      <c r="AO5" s="42" t="n">
        <f aca="false">AO$4-AO$3+1</f>
        <v>92</v>
      </c>
      <c r="AP5" s="42" t="n">
        <f aca="false">AP$4-AP$3+1</f>
        <v>92</v>
      </c>
      <c r="AQ5" s="42" t="n">
        <f aca="false">AQ$4-AQ$3+1</f>
        <v>90</v>
      </c>
      <c r="AR5" s="42" t="n">
        <f aca="false">AR$4-AR$3+1</f>
        <v>91</v>
      </c>
      <c r="AS5" s="42" t="n">
        <f aca="false">AS$4-AS$3+1</f>
        <v>92</v>
      </c>
      <c r="AT5" s="42" t="n">
        <f aca="false">AT$4-AT$3+1</f>
        <v>92</v>
      </c>
      <c r="AU5" s="42" t="n">
        <f aca="false">AU$4-AU$3+1</f>
        <v>91</v>
      </c>
      <c r="AV5" s="42" t="n">
        <f aca="false">AV$4-AV$3+1</f>
        <v>91</v>
      </c>
      <c r="AW5" s="42" t="n">
        <f aca="false">AW$4-AW$3+1</f>
        <v>92</v>
      </c>
      <c r="AX5" s="42" t="n">
        <f aca="false">AX$4-AX$3+1</f>
        <v>92</v>
      </c>
      <c r="AY5" s="42" t="n">
        <f aca="false">AY$4-AY$3+1</f>
        <v>90</v>
      </c>
      <c r="AZ5" s="42" t="n">
        <f aca="false">AZ$4-AZ$3+1</f>
        <v>91</v>
      </c>
      <c r="BA5" s="42" t="n">
        <f aca="false">BA$4-BA$3+1</f>
        <v>92</v>
      </c>
      <c r="BB5" s="42" t="n">
        <f aca="false">BB$4-BB$3+1</f>
        <v>92</v>
      </c>
      <c r="BC5" s="42" t="n">
        <f aca="false">BC$4-BC$3+1</f>
        <v>90</v>
      </c>
      <c r="BD5" s="42" t="n">
        <f aca="false">BD$4-BD$3+1</f>
        <v>91</v>
      </c>
      <c r="BE5" s="42" t="n">
        <f aca="false">BE$4-BE$3+1</f>
        <v>92</v>
      </c>
      <c r="BF5" s="42" t="n">
        <f aca="false">BF$4-BF$3+1</f>
        <v>92</v>
      </c>
      <c r="BG5" s="42" t="n">
        <f aca="false">BG$4-BG$3+1</f>
        <v>90</v>
      </c>
      <c r="BH5" s="42" t="n">
        <f aca="false">BH$4-BH$3+1</f>
        <v>91</v>
      </c>
      <c r="BI5" s="42" t="n">
        <f aca="false">BI$4-BI$3+1</f>
        <v>92</v>
      </c>
      <c r="BJ5" s="42" t="n">
        <f aca="false">BJ$4-BJ$3+1</f>
        <v>92</v>
      </c>
      <c r="BK5" s="42" t="n">
        <f aca="false">BK$4-BK$3+1</f>
        <v>91</v>
      </c>
      <c r="BL5" s="42" t="n">
        <f aca="false">BL$4-BL$3+1</f>
        <v>91</v>
      </c>
      <c r="BM5" s="42" t="n">
        <f aca="false">BM$4-BM$3+1</f>
        <v>92</v>
      </c>
      <c r="BN5" s="42" t="n">
        <f aca="false">BN$4-BN$3+1</f>
        <v>92</v>
      </c>
      <c r="BO5" s="42" t="n">
        <f aca="false">BO$4-BO$3+1</f>
        <v>90</v>
      </c>
      <c r="BP5" s="42" t="n">
        <f aca="false">BP$4-BP$3+1</f>
        <v>91</v>
      </c>
      <c r="BQ5" s="42" t="n">
        <f aca="false">BQ$4-BQ$3+1</f>
        <v>92</v>
      </c>
      <c r="BR5" s="42" t="n">
        <f aca="false">BR$4-BR$3+1</f>
        <v>92</v>
      </c>
      <c r="BS5" s="42" t="n">
        <f aca="false">BS$4-BS$3+1</f>
        <v>90</v>
      </c>
      <c r="BT5" s="42" t="n">
        <f aca="false">BT$4-BT$3+1</f>
        <v>91</v>
      </c>
      <c r="BU5" s="42" t="n">
        <f aca="false">BU$4-BU$3+1</f>
        <v>92</v>
      </c>
      <c r="BV5" s="42" t="n">
        <f aca="false">BV$4-BV$3+1</f>
        <v>92</v>
      </c>
      <c r="BW5" s="42" t="n">
        <f aca="false">BW$4-BW$3+1</f>
        <v>90</v>
      </c>
      <c r="BX5" s="42" t="n">
        <f aca="false">BX$4-BX$3+1</f>
        <v>91</v>
      </c>
      <c r="BY5" s="42" t="n">
        <f aca="false">BY$4-BY$3+1</f>
        <v>92</v>
      </c>
      <c r="BZ5" s="42" t="n">
        <f aca="false">BZ$4-BZ$3+1</f>
        <v>92</v>
      </c>
      <c r="CA5" s="42" t="n">
        <f aca="false">CA$4-CA$3+1</f>
        <v>91</v>
      </c>
      <c r="CB5" s="42" t="n">
        <f aca="false">CB$4-CB$3+1</f>
        <v>91</v>
      </c>
      <c r="CC5" s="42" t="n">
        <f aca="false">CC$4-CC$3+1</f>
        <v>92</v>
      </c>
      <c r="CD5" s="42" t="n">
        <f aca="false">CD$4-CD$3+1</f>
        <v>92</v>
      </c>
      <c r="CE5" s="42" t="n">
        <f aca="false">CE$4-CE$3+1</f>
        <v>90</v>
      </c>
      <c r="CF5" s="42" t="n">
        <f aca="false">CF$4-CF$3+1</f>
        <v>91</v>
      </c>
      <c r="CG5" s="42" t="n">
        <f aca="false">CG$4-CG$3+1</f>
        <v>92</v>
      </c>
      <c r="CH5" s="42" t="n">
        <f aca="false">CH$4-CH$3+1</f>
        <v>92</v>
      </c>
      <c r="CI5" s="42" t="n">
        <f aca="false">CI$4-CI$3+1</f>
        <v>90</v>
      </c>
      <c r="CJ5" s="42" t="n">
        <f aca="false">CJ$4-CJ$3+1</f>
        <v>91</v>
      </c>
      <c r="CK5" s="42" t="n">
        <f aca="false">CK$4-CK$3+1</f>
        <v>92</v>
      </c>
      <c r="CL5" s="42" t="n">
        <f aca="false">CL$4-CL$3+1</f>
        <v>92</v>
      </c>
      <c r="CM5" s="42" t="n">
        <f aca="false">CM$4-CM$3+1</f>
        <v>90</v>
      </c>
      <c r="CN5" s="42" t="n">
        <f aca="false">CN$4-CN$3+1</f>
        <v>91</v>
      </c>
      <c r="CO5" s="42" t="n">
        <f aca="false">CO$4-CO$3+1</f>
        <v>92</v>
      </c>
      <c r="CP5" s="42" t="n">
        <f aca="false">CP$4-CP$3+1</f>
        <v>92</v>
      </c>
      <c r="CQ5" s="42" t="n">
        <f aca="false">CQ$4-CQ$3+1</f>
        <v>91</v>
      </c>
      <c r="CR5" s="42" t="n">
        <f aca="false">CR$4-CR$3+1</f>
        <v>91</v>
      </c>
      <c r="CS5" s="42" t="n">
        <f aca="false">CS$4-CS$3+1</f>
        <v>92</v>
      </c>
      <c r="CT5" s="42" t="n">
        <f aca="false">CT$4-CT$3+1</f>
        <v>92</v>
      </c>
      <c r="CU5" s="42" t="n">
        <f aca="false">CU$4-CU$3+1</f>
        <v>90</v>
      </c>
      <c r="CV5" s="42" t="n">
        <f aca="false">CV$4-CV$3+1</f>
        <v>91</v>
      </c>
      <c r="CW5" s="42" t="n">
        <f aca="false">CW$4-CW$3+1</f>
        <v>92</v>
      </c>
      <c r="CX5" s="42" t="n">
        <f aca="false">CX$4-CX$3+1</f>
        <v>92</v>
      </c>
      <c r="CY5" s="42" t="n">
        <f aca="false">CY$4-CY$3+1</f>
        <v>90</v>
      </c>
      <c r="CZ5" s="42" t="n">
        <f aca="false">CZ$4-CZ$3+1</f>
        <v>91</v>
      </c>
      <c r="DA5" s="42" t="n">
        <f aca="false">DA$4-DA$3+1</f>
        <v>92</v>
      </c>
      <c r="DB5" s="42" t="n">
        <f aca="false">DB$4-DB$3+1</f>
        <v>92</v>
      </c>
      <c r="DC5" s="42" t="n">
        <f aca="false">DC$4-DC$3+1</f>
        <v>90</v>
      </c>
      <c r="DD5" s="42" t="n">
        <f aca="false">DD$4-DD$3+1</f>
        <v>91</v>
      </c>
      <c r="DE5" s="42" t="n">
        <f aca="false">DE$4-DE$3+1</f>
        <v>92</v>
      </c>
      <c r="DF5" s="42" t="n">
        <f aca="false">DF$4-DF$3+1</f>
        <v>92</v>
      </c>
      <c r="DG5" s="42" t="n">
        <f aca="false">DG$4-DG$3+1</f>
        <v>91</v>
      </c>
      <c r="DH5" s="42" t="n">
        <f aca="false">DH$4-DH$3+1</f>
        <v>91</v>
      </c>
      <c r="DI5" s="42" t="n">
        <f aca="false">DI$4-DI$3+1</f>
        <v>92</v>
      </c>
      <c r="DJ5" s="42" t="n">
        <f aca="false">DJ$4-DJ$3+1</f>
        <v>92</v>
      </c>
      <c r="DK5" s="42" t="n">
        <f aca="false">DK$4-DK$3+1</f>
        <v>90</v>
      </c>
      <c r="DL5" s="42" t="n">
        <f aca="false">DL$4-DL$3+1</f>
        <v>91</v>
      </c>
      <c r="DM5" s="42" t="n">
        <f aca="false">DM$4-DM$3+1</f>
        <v>92</v>
      </c>
      <c r="DN5" s="42" t="n">
        <f aca="false">DN$4-DN$3+1</f>
        <v>92</v>
      </c>
      <c r="DO5" s="42" t="n">
        <f aca="false">DO$4-DO$3+1</f>
        <v>90</v>
      </c>
      <c r="DP5" s="42" t="n">
        <f aca="false">DP$4-DP$3+1</f>
        <v>91</v>
      </c>
      <c r="DQ5" s="42" t="n">
        <f aca="false">DQ$4-DQ$3+1</f>
        <v>92</v>
      </c>
      <c r="DR5" s="42" t="n">
        <f aca="false">DR$4-DR$3+1</f>
        <v>92</v>
      </c>
      <c r="DS5" s="42" t="n">
        <f aca="false">DS$4-DS$3+1</f>
        <v>90</v>
      </c>
      <c r="DT5" s="42" t="n">
        <f aca="false">DT$4-DT$3+1</f>
        <v>91</v>
      </c>
      <c r="DU5" s="42" t="n">
        <f aca="false">DU$4-DU$3+1</f>
        <v>92</v>
      </c>
      <c r="DV5" s="42" t="n">
        <f aca="false">DV$4-DV$3+1</f>
        <v>92</v>
      </c>
      <c r="DW5" s="42" t="n">
        <f aca="false">DW$4-DW$3+1</f>
        <v>91</v>
      </c>
      <c r="DX5" s="42" t="n">
        <f aca="false">DX$4-DX$3+1</f>
        <v>91</v>
      </c>
      <c r="DY5" s="42" t="n">
        <f aca="false">DY$4-DY$3+1</f>
        <v>92</v>
      </c>
      <c r="DZ5" s="42" t="n">
        <f aca="false">DZ$4-DZ$3+1</f>
        <v>92</v>
      </c>
      <c r="EA5" s="42" t="n">
        <f aca="false">EA$4-EA$3+1</f>
        <v>90</v>
      </c>
      <c r="EB5" s="42" t="n">
        <f aca="false">EB$4-EB$3+1</f>
        <v>91</v>
      </c>
      <c r="EC5" s="42" t="n">
        <f aca="false">EC$4-EC$3+1</f>
        <v>92</v>
      </c>
      <c r="ED5" s="42" t="n">
        <f aca="false">ED$4-ED$3+1</f>
        <v>92</v>
      </c>
      <c r="EE5" s="42" t="n">
        <f aca="false">EE$4-EE$3+1</f>
        <v>90</v>
      </c>
      <c r="EF5" s="42" t="n">
        <f aca="false">EF$4-EF$3+1</f>
        <v>91</v>
      </c>
      <c r="EG5" s="42" t="n">
        <f aca="false">EG$4-EG$3+1</f>
        <v>92</v>
      </c>
      <c r="EH5" s="42" t="n">
        <f aca="false">EH$4-EH$3+1</f>
        <v>92</v>
      </c>
      <c r="EI5" s="42" t="n">
        <f aca="false">EI$4-EI$3+1</f>
        <v>90</v>
      </c>
      <c r="EJ5" s="42" t="n">
        <f aca="false">EJ$4-EJ$3+1</f>
        <v>91</v>
      </c>
      <c r="EK5" s="42" t="n">
        <f aca="false">EK$4-EK$3+1</f>
        <v>92</v>
      </c>
      <c r="EL5" s="42" t="n">
        <f aca="false">EL$4-EL$3+1</f>
        <v>92</v>
      </c>
      <c r="EM5" s="42" t="n">
        <f aca="false">EM$4-EM$3+1</f>
        <v>91</v>
      </c>
      <c r="EN5" s="42" t="n">
        <f aca="false">EN$4-EN$3+1</f>
        <v>91</v>
      </c>
      <c r="EO5" s="42" t="n">
        <f aca="false">EO$4-EO$3+1</f>
        <v>92</v>
      </c>
    </row>
    <row r="6" customFormat="false" ht="15" hidden="false" customHeight="false" outlineLevel="0" collapsed="false">
      <c r="C6" s="0" t="s">
        <v>347</v>
      </c>
      <c r="D6" s="11" t="s">
        <v>348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349</v>
      </c>
      <c r="D7" s="11" t="s">
        <v>350</v>
      </c>
      <c r="J7" s="42" t="n">
        <f aca="false">YEAR(J$4)</f>
        <v>2026</v>
      </c>
      <c r="K7" s="42" t="n">
        <f aca="false">YEAR(K$4)</f>
        <v>2027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2028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2029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2030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2031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2032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2033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2034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2035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2036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2037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2038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2039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2040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2041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2042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2043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2044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2045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2046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2047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2048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2049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2050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2051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2052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2053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2054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2055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2056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2057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2058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2059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2060</v>
      </c>
      <c r="EN7" s="42" t="n">
        <f aca="false">YEAR(EN$4)</f>
        <v>2060</v>
      </c>
      <c r="EO7" s="42" t="n">
        <f aca="false">YEAR(EO$4)</f>
        <v>2060</v>
      </c>
    </row>
    <row r="8" customFormat="false" ht="15" hidden="false" customHeight="false" outlineLevel="0" collapsed="false">
      <c r="C8" s="0" t="s">
        <v>351</v>
      </c>
      <c r="D8" s="11" t="s">
        <v>131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352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353</v>
      </c>
      <c r="D12" s="11" t="s">
        <v>348</v>
      </c>
      <c r="E12" s="44" t="n">
        <f aca="false">In_NTP+1</f>
        <v>47027</v>
      </c>
      <c r="F12" s="21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354</v>
      </c>
      <c r="D13" s="11" t="s">
        <v>348</v>
      </c>
      <c r="E13" s="44" t="n">
        <f aca="false">In_Closing+1</f>
        <v>46388</v>
      </c>
      <c r="F13" s="21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35</v>
      </c>
      <c r="E14" s="21" t="n">
        <f aca="false">In_COD</f>
        <v>47756</v>
      </c>
      <c r="I14" s="48" t="n">
        <f aca="false">SUM(J14:EO14)</f>
        <v>1</v>
      </c>
      <c r="J14" s="48" t="n">
        <f aca="false">N(AND(J$3&lt;=$E14,J$4&gt;=$E14))</f>
        <v>0</v>
      </c>
      <c r="K14" s="48" t="n">
        <f aca="false">N(AND(K$3&lt;=$E14,K$4&gt;=$E14))</f>
        <v>0</v>
      </c>
      <c r="L14" s="48" t="n">
        <f aca="false">N(AND(L$3&lt;=$E14,L$4&gt;=$E14))</f>
        <v>0</v>
      </c>
      <c r="M14" s="48" t="n">
        <f aca="false">N(AND(M$3&lt;=$E14,M$4&gt;=$E14))</f>
        <v>0</v>
      </c>
      <c r="N14" s="48" t="n">
        <f aca="false">N(AND(N$3&lt;=$E14,N$4&gt;=$E14))</f>
        <v>0</v>
      </c>
      <c r="O14" s="48" t="n">
        <f aca="false">N(AND(O$3&lt;=$E14,O$4&gt;=$E14))</f>
        <v>0</v>
      </c>
      <c r="P14" s="48" t="n">
        <f aca="false">N(AND(P$3&lt;=$E14,P$4&gt;=$E14))</f>
        <v>0</v>
      </c>
      <c r="Q14" s="48" t="n">
        <f aca="false">N(AND(Q$3&lt;=$E14,Q$4&gt;=$E14))</f>
        <v>0</v>
      </c>
      <c r="R14" s="48" t="n">
        <f aca="false">N(AND(R$3&lt;=$E14,R$4&gt;=$E14))</f>
        <v>0</v>
      </c>
      <c r="S14" s="48" t="n">
        <f aca="false">N(AND(S$3&lt;=$E14,S$4&gt;=$E14))</f>
        <v>0</v>
      </c>
      <c r="T14" s="48" t="n">
        <f aca="false">N(AND(T$3&lt;=$E14,T$4&gt;=$E14))</f>
        <v>0</v>
      </c>
      <c r="U14" s="48" t="n">
        <f aca="false">N(AND(U$3&lt;=$E14,U$4&gt;=$E14))</f>
        <v>0</v>
      </c>
      <c r="V14" s="48" t="n">
        <f aca="false">N(AND(V$3&lt;=$E14,V$4&gt;=$E14))</f>
        <v>0</v>
      </c>
      <c r="W14" s="48" t="n">
        <f aca="false">N(AND(W$3&lt;=$E14,W$4&gt;=$E14))</f>
        <v>0</v>
      </c>
      <c r="X14" s="48" t="n">
        <f aca="false">N(AND(X$3&lt;=$E14,X$4&gt;=$E14))</f>
        <v>0</v>
      </c>
      <c r="Y14" s="48" t="n">
        <f aca="false">N(AND(Y$3&lt;=$E14,Y$4&gt;=$E14))</f>
        <v>1</v>
      </c>
      <c r="Z14" s="48" t="n">
        <f aca="false">N(AND(Z$3&lt;=$E14,Z$4&gt;=$E14))</f>
        <v>0</v>
      </c>
      <c r="AA14" s="48" t="n">
        <f aca="false">N(AND(AA$3&lt;=$E14,AA$4&gt;=$E14))</f>
        <v>0</v>
      </c>
      <c r="AB14" s="48" t="n">
        <f aca="false">N(AND(AB$3&lt;=$E14,AB$4&gt;=$E14))</f>
        <v>0</v>
      </c>
      <c r="AC14" s="48" t="n">
        <f aca="false">N(AND(AC$3&lt;=$E14,AC$4&gt;=$E14))</f>
        <v>0</v>
      </c>
      <c r="AD14" s="48" t="n">
        <f aca="false">N(AND(AD$3&lt;=$E14,AD$4&gt;=$E14))</f>
        <v>0</v>
      </c>
      <c r="AE14" s="48" t="n">
        <f aca="false">N(AND(AE$3&lt;=$E14,AE$4&gt;=$E14))</f>
        <v>0</v>
      </c>
      <c r="AF14" s="48" t="n">
        <f aca="false">N(AND(AF$3&lt;=$E14,AF$4&gt;=$E14))</f>
        <v>0</v>
      </c>
      <c r="AG14" s="48" t="n">
        <f aca="false">N(AND(AG$3&lt;=$E14,AG$4&gt;=$E14))</f>
        <v>0</v>
      </c>
      <c r="AH14" s="48" t="n">
        <f aca="false">N(AND(AH$3&lt;=$E14,AH$4&gt;=$E14))</f>
        <v>0</v>
      </c>
      <c r="AI14" s="48" t="n">
        <f aca="false">N(AND(AI$3&lt;=$E14,AI$4&gt;=$E14))</f>
        <v>0</v>
      </c>
      <c r="AJ14" s="48" t="n">
        <f aca="false">N(AND(AJ$3&lt;=$E14,AJ$4&gt;=$E14))</f>
        <v>0</v>
      </c>
      <c r="AK14" s="48" t="n">
        <f aca="false">N(AND(AK$3&lt;=$E14,AK$4&gt;=$E14))</f>
        <v>0</v>
      </c>
      <c r="AL14" s="48" t="n">
        <f aca="false">N(AND(AL$3&lt;=$E14,AL$4&gt;=$E14))</f>
        <v>0</v>
      </c>
      <c r="AM14" s="48" t="n">
        <f aca="false">N(AND(AM$3&lt;=$E14,AM$4&gt;=$E14))</f>
        <v>0</v>
      </c>
      <c r="AN14" s="48" t="n">
        <f aca="false">N(AND(AN$3&lt;=$E14,AN$4&gt;=$E14))</f>
        <v>0</v>
      </c>
      <c r="AO14" s="48" t="n">
        <f aca="false">N(AND(AO$3&lt;=$E14,AO$4&gt;=$E14))</f>
        <v>0</v>
      </c>
      <c r="AP14" s="48" t="n">
        <f aca="false">N(AND(AP$3&lt;=$E14,AP$4&gt;=$E14))</f>
        <v>0</v>
      </c>
      <c r="AQ14" s="48" t="n">
        <f aca="false">N(AND(AQ$3&lt;=$E14,AQ$4&gt;=$E14))</f>
        <v>0</v>
      </c>
      <c r="AR14" s="48" t="n">
        <f aca="false">N(AND(AR$3&lt;=$E14,AR$4&gt;=$E14))</f>
        <v>0</v>
      </c>
      <c r="AS14" s="48" t="n">
        <f aca="false">N(AND(AS$3&lt;=$E14,AS$4&gt;=$E14))</f>
        <v>0</v>
      </c>
      <c r="AT14" s="48" t="n">
        <f aca="false">N(AND(AT$3&lt;=$E14,AT$4&gt;=$E14))</f>
        <v>0</v>
      </c>
      <c r="AU14" s="48" t="n">
        <f aca="false">N(AND(AU$3&lt;=$E14,AU$4&gt;=$E14))</f>
        <v>0</v>
      </c>
      <c r="AV14" s="48" t="n">
        <f aca="false">N(AND(AV$3&lt;=$E14,AV$4&gt;=$E14))</f>
        <v>0</v>
      </c>
      <c r="AW14" s="48" t="n">
        <f aca="false">N(AND(AW$3&lt;=$E14,AW$4&gt;=$E14))</f>
        <v>0</v>
      </c>
      <c r="AX14" s="48" t="n">
        <f aca="false">N(AND(AX$3&lt;=$E14,AX$4&gt;=$E14))</f>
        <v>0</v>
      </c>
      <c r="AY14" s="48" t="n">
        <f aca="false">N(AND(AY$3&lt;=$E14,AY$4&gt;=$E14))</f>
        <v>0</v>
      </c>
      <c r="AZ14" s="48" t="n">
        <f aca="false">N(AND(AZ$3&lt;=$E14,AZ$4&gt;=$E14))</f>
        <v>0</v>
      </c>
      <c r="BA14" s="48" t="n">
        <f aca="false">N(AND(BA$3&lt;=$E14,BA$4&gt;=$E14))</f>
        <v>0</v>
      </c>
      <c r="BB14" s="48" t="n">
        <f aca="false">N(AND(BB$3&lt;=$E14,BB$4&gt;=$E14))</f>
        <v>0</v>
      </c>
      <c r="BC14" s="48" t="n">
        <f aca="false">N(AND(BC$3&lt;=$E14,BC$4&gt;=$E14))</f>
        <v>0</v>
      </c>
      <c r="BD14" s="48" t="n">
        <f aca="false">N(AND(BD$3&lt;=$E14,BD$4&gt;=$E14))</f>
        <v>0</v>
      </c>
      <c r="BE14" s="48" t="n">
        <f aca="false">N(AND(BE$3&lt;=$E14,BE$4&gt;=$E14))</f>
        <v>0</v>
      </c>
      <c r="BF14" s="48" t="n">
        <f aca="false">N(AND(BF$3&lt;=$E14,BF$4&gt;=$E14))</f>
        <v>0</v>
      </c>
      <c r="BG14" s="48" t="n">
        <f aca="false">N(AND(BG$3&lt;=$E14,BG$4&gt;=$E14))</f>
        <v>0</v>
      </c>
      <c r="BH14" s="48" t="n">
        <f aca="false">N(AND(BH$3&lt;=$E14,BH$4&gt;=$E14))</f>
        <v>0</v>
      </c>
      <c r="BI14" s="48" t="n">
        <f aca="false">N(AND(BI$3&lt;=$E14,BI$4&gt;=$E14))</f>
        <v>0</v>
      </c>
      <c r="BJ14" s="48" t="n">
        <f aca="false">N(AND(BJ$3&lt;=$E14,BJ$4&gt;=$E14))</f>
        <v>0</v>
      </c>
      <c r="BK14" s="48" t="n">
        <f aca="false">N(AND(BK$3&lt;=$E14,BK$4&gt;=$E14))</f>
        <v>0</v>
      </c>
      <c r="BL14" s="48" t="n">
        <f aca="false">N(AND(BL$3&lt;=$E14,BL$4&gt;=$E14))</f>
        <v>0</v>
      </c>
      <c r="BM14" s="48" t="n">
        <f aca="false">N(AND(BM$3&lt;=$E14,BM$4&gt;=$E14))</f>
        <v>0</v>
      </c>
      <c r="BN14" s="48" t="n">
        <f aca="false">N(AND(BN$3&lt;=$E14,BN$4&gt;=$E14))</f>
        <v>0</v>
      </c>
      <c r="BO14" s="48" t="n">
        <f aca="false">N(AND(BO$3&lt;=$E14,BO$4&gt;=$E14))</f>
        <v>0</v>
      </c>
      <c r="BP14" s="48" t="n">
        <f aca="false">N(AND(BP$3&lt;=$E14,BP$4&gt;=$E14))</f>
        <v>0</v>
      </c>
      <c r="BQ14" s="48" t="n">
        <f aca="false">N(AND(BQ$3&lt;=$E14,BQ$4&gt;=$E14))</f>
        <v>0</v>
      </c>
      <c r="BR14" s="48" t="n">
        <f aca="false">N(AND(BR$3&lt;=$E14,BR$4&gt;=$E14))</f>
        <v>0</v>
      </c>
      <c r="BS14" s="48" t="n">
        <f aca="false">N(AND(BS$3&lt;=$E14,BS$4&gt;=$E14))</f>
        <v>0</v>
      </c>
      <c r="BT14" s="48" t="n">
        <f aca="false">N(AND(BT$3&lt;=$E14,BT$4&gt;=$E14))</f>
        <v>0</v>
      </c>
      <c r="BU14" s="48" t="n">
        <f aca="false">N(AND(BU$3&lt;=$E14,BU$4&gt;=$E14))</f>
        <v>0</v>
      </c>
      <c r="BV14" s="48" t="n">
        <f aca="false">N(AND(BV$3&lt;=$E14,BV$4&gt;=$E14))</f>
        <v>0</v>
      </c>
      <c r="BW14" s="48" t="n">
        <f aca="false">N(AND(BW$3&lt;=$E14,BW$4&gt;=$E14))</f>
        <v>0</v>
      </c>
      <c r="BX14" s="48" t="n">
        <f aca="false">N(AND(BX$3&lt;=$E14,BX$4&gt;=$E14))</f>
        <v>0</v>
      </c>
      <c r="BY14" s="48" t="n">
        <f aca="false">N(AND(BY$3&lt;=$E14,BY$4&gt;=$E14))</f>
        <v>0</v>
      </c>
      <c r="BZ14" s="48" t="n">
        <f aca="false">N(AND(BZ$3&lt;=$E14,BZ$4&gt;=$E14))</f>
        <v>0</v>
      </c>
      <c r="CA14" s="48" t="n">
        <f aca="false">N(AND(CA$3&lt;=$E14,CA$4&gt;=$E14))</f>
        <v>0</v>
      </c>
      <c r="CB14" s="48" t="n">
        <f aca="false">N(AND(CB$3&lt;=$E14,CB$4&gt;=$E14))</f>
        <v>0</v>
      </c>
      <c r="CC14" s="48" t="n">
        <f aca="false">N(AND(CC$3&lt;=$E14,CC$4&gt;=$E14))</f>
        <v>0</v>
      </c>
      <c r="CD14" s="48" t="n">
        <f aca="false">N(AND(CD$3&lt;=$E14,CD$4&gt;=$E14))</f>
        <v>0</v>
      </c>
      <c r="CE14" s="48" t="n">
        <f aca="false">N(AND(CE$3&lt;=$E14,CE$4&gt;=$E14))</f>
        <v>0</v>
      </c>
      <c r="CF14" s="48" t="n">
        <f aca="false">N(AND(CF$3&lt;=$E14,CF$4&gt;=$E14))</f>
        <v>0</v>
      </c>
      <c r="CG14" s="48" t="n">
        <f aca="false">N(AND(CG$3&lt;=$E14,CG$4&gt;=$E14))</f>
        <v>0</v>
      </c>
      <c r="CH14" s="48" t="n">
        <f aca="false">N(AND(CH$3&lt;=$E14,CH$4&gt;=$E14))</f>
        <v>0</v>
      </c>
      <c r="CI14" s="48" t="n">
        <f aca="false">N(AND(CI$3&lt;=$E14,CI$4&gt;=$E14))</f>
        <v>0</v>
      </c>
      <c r="CJ14" s="48" t="n">
        <f aca="false">N(AND(CJ$3&lt;=$E14,CJ$4&gt;=$E14))</f>
        <v>0</v>
      </c>
      <c r="CK14" s="48" t="n">
        <f aca="false">N(AND(CK$3&lt;=$E14,CK$4&gt;=$E14))</f>
        <v>0</v>
      </c>
      <c r="CL14" s="48" t="n">
        <f aca="false">N(AND(CL$3&lt;=$E14,CL$4&gt;=$E14))</f>
        <v>0</v>
      </c>
      <c r="CM14" s="48" t="n">
        <f aca="false">N(AND(CM$3&lt;=$E14,CM$4&gt;=$E14))</f>
        <v>0</v>
      </c>
      <c r="CN14" s="48" t="n">
        <f aca="false">N(AND(CN$3&lt;=$E14,CN$4&gt;=$E14))</f>
        <v>0</v>
      </c>
      <c r="CO14" s="48" t="n">
        <f aca="false">N(AND(CO$3&lt;=$E14,CO$4&gt;=$E14))</f>
        <v>0</v>
      </c>
      <c r="CP14" s="48" t="n">
        <f aca="false">N(AND(CP$3&lt;=$E14,CP$4&gt;=$E14))</f>
        <v>0</v>
      </c>
      <c r="CQ14" s="48" t="n">
        <f aca="false">N(AND(CQ$3&lt;=$E14,CQ$4&gt;=$E14))</f>
        <v>0</v>
      </c>
      <c r="CR14" s="48" t="n">
        <f aca="false">N(AND(CR$3&lt;=$E14,CR$4&gt;=$E14))</f>
        <v>0</v>
      </c>
      <c r="CS14" s="48" t="n">
        <f aca="false">N(AND(CS$3&lt;=$E14,CS$4&gt;=$E14))</f>
        <v>0</v>
      </c>
      <c r="CT14" s="48" t="n">
        <f aca="false">N(AND(CT$3&lt;=$E14,CT$4&gt;=$E14))</f>
        <v>0</v>
      </c>
      <c r="CU14" s="48" t="n">
        <f aca="false">N(AND(CU$3&lt;=$E14,CU$4&gt;=$E14))</f>
        <v>0</v>
      </c>
      <c r="CV14" s="48" t="n">
        <f aca="false">N(AND(CV$3&lt;=$E14,CV$4&gt;=$E14))</f>
        <v>0</v>
      </c>
      <c r="CW14" s="48" t="n">
        <f aca="false">N(AND(CW$3&lt;=$E14,CW$4&gt;=$E14))</f>
        <v>0</v>
      </c>
      <c r="CX14" s="48" t="n">
        <f aca="false">N(AND(CX$3&lt;=$E14,CX$4&gt;=$E14))</f>
        <v>0</v>
      </c>
      <c r="CY14" s="48" t="n">
        <f aca="false">N(AND(CY$3&lt;=$E14,CY$4&gt;=$E14))</f>
        <v>0</v>
      </c>
      <c r="CZ14" s="48" t="n">
        <f aca="false">N(AND(CZ$3&lt;=$E14,CZ$4&gt;=$E14))</f>
        <v>0</v>
      </c>
      <c r="DA14" s="48" t="n">
        <f aca="false">N(AND(DA$3&lt;=$E14,DA$4&gt;=$E14))</f>
        <v>0</v>
      </c>
      <c r="DB14" s="48" t="n">
        <f aca="false">N(AND(DB$3&lt;=$E14,DB$4&gt;=$E14))</f>
        <v>0</v>
      </c>
      <c r="DC14" s="48" t="n">
        <f aca="false">N(AND(DC$3&lt;=$E14,DC$4&gt;=$E14))</f>
        <v>0</v>
      </c>
      <c r="DD14" s="48" t="n">
        <f aca="false">N(AND(DD$3&lt;=$E14,DD$4&gt;=$E14))</f>
        <v>0</v>
      </c>
      <c r="DE14" s="48" t="n">
        <f aca="false">N(AND(DE$3&lt;=$E14,DE$4&gt;=$E14))</f>
        <v>0</v>
      </c>
      <c r="DF14" s="48" t="n">
        <f aca="false">N(AND(DF$3&lt;=$E14,DF$4&gt;=$E14))</f>
        <v>0</v>
      </c>
      <c r="DG14" s="48" t="n">
        <f aca="false">N(AND(DG$3&lt;=$E14,DG$4&gt;=$E14))</f>
        <v>0</v>
      </c>
      <c r="DH14" s="48" t="n">
        <f aca="false">N(AND(DH$3&lt;=$E14,DH$4&gt;=$E14))</f>
        <v>0</v>
      </c>
      <c r="DI14" s="48" t="n">
        <f aca="false">N(AND(DI$3&lt;=$E14,DI$4&gt;=$E14))</f>
        <v>0</v>
      </c>
      <c r="DJ14" s="48" t="n">
        <f aca="false">N(AND(DJ$3&lt;=$E14,DJ$4&gt;=$E14))</f>
        <v>0</v>
      </c>
      <c r="DK14" s="48" t="n">
        <f aca="false">N(AND(DK$3&lt;=$E14,DK$4&gt;=$E14))</f>
        <v>0</v>
      </c>
      <c r="DL14" s="48" t="n">
        <f aca="false">N(AND(DL$3&lt;=$E14,DL$4&gt;=$E14))</f>
        <v>0</v>
      </c>
      <c r="DM14" s="48" t="n">
        <f aca="false">N(AND(DM$3&lt;=$E14,DM$4&gt;=$E14))</f>
        <v>0</v>
      </c>
      <c r="DN14" s="48" t="n">
        <f aca="false">N(AND(DN$3&lt;=$E14,DN$4&gt;=$E14))</f>
        <v>0</v>
      </c>
      <c r="DO14" s="48" t="n">
        <f aca="false">N(AND(DO$3&lt;=$E14,DO$4&gt;=$E14))</f>
        <v>0</v>
      </c>
      <c r="DP14" s="48" t="n">
        <f aca="false">N(AND(DP$3&lt;=$E14,DP$4&gt;=$E14))</f>
        <v>0</v>
      </c>
      <c r="DQ14" s="48" t="n">
        <f aca="false">N(AND(DQ$3&lt;=$E14,DQ$4&gt;=$E14))</f>
        <v>0</v>
      </c>
      <c r="DR14" s="48" t="n">
        <f aca="false">N(AND(DR$3&lt;=$E14,DR$4&gt;=$E14))</f>
        <v>0</v>
      </c>
      <c r="DS14" s="48" t="n">
        <f aca="false">N(AND(DS$3&lt;=$E14,DS$4&gt;=$E14))</f>
        <v>0</v>
      </c>
      <c r="DT14" s="48" t="n">
        <f aca="false">N(AND(DT$3&lt;=$E14,DT$4&gt;=$E14))</f>
        <v>0</v>
      </c>
      <c r="DU14" s="48" t="n">
        <f aca="false">N(AND(DU$3&lt;=$E14,DU$4&gt;=$E14))</f>
        <v>0</v>
      </c>
      <c r="DV14" s="48" t="n">
        <f aca="false">N(AND(DV$3&lt;=$E14,DV$4&gt;=$E14))</f>
        <v>0</v>
      </c>
      <c r="DW14" s="48" t="n">
        <f aca="false">N(AND(DW$3&lt;=$E14,DW$4&gt;=$E14))</f>
        <v>0</v>
      </c>
      <c r="DX14" s="48" t="n">
        <f aca="false">N(AND(DX$3&lt;=$E14,DX$4&gt;=$E14))</f>
        <v>0</v>
      </c>
      <c r="DY14" s="48" t="n">
        <f aca="false">N(AND(DY$3&lt;=$E14,DY$4&gt;=$E14))</f>
        <v>0</v>
      </c>
      <c r="DZ14" s="48" t="n">
        <f aca="false">N(AND(DZ$3&lt;=$E14,DZ$4&gt;=$E14))</f>
        <v>0</v>
      </c>
      <c r="EA14" s="48" t="n">
        <f aca="false">N(AND(EA$3&lt;=$E14,EA$4&gt;=$E14))</f>
        <v>0</v>
      </c>
      <c r="EB14" s="48" t="n">
        <f aca="false">N(AND(EB$3&lt;=$E14,EB$4&gt;=$E14))</f>
        <v>0</v>
      </c>
      <c r="EC14" s="48" t="n">
        <f aca="false">N(AND(EC$3&lt;=$E14,EC$4&gt;=$E14))</f>
        <v>0</v>
      </c>
      <c r="ED14" s="48" t="n">
        <f aca="false">N(AND(ED$3&lt;=$E14,ED$4&gt;=$E14))</f>
        <v>0</v>
      </c>
      <c r="EE14" s="48" t="n">
        <f aca="false">N(AND(EE$3&lt;=$E14,EE$4&gt;=$E14))</f>
        <v>0</v>
      </c>
      <c r="EF14" s="48" t="n">
        <f aca="false">N(AND(EF$3&lt;=$E14,EF$4&gt;=$E14))</f>
        <v>0</v>
      </c>
      <c r="EG14" s="48" t="n">
        <f aca="false">N(AND(EG$3&lt;=$E14,EG$4&gt;=$E14))</f>
        <v>0</v>
      </c>
      <c r="EH14" s="48" t="n">
        <f aca="false">N(AND(EH$3&lt;=$E14,EH$4&gt;=$E14))</f>
        <v>0</v>
      </c>
      <c r="EI14" s="48" t="n">
        <f aca="false">N(AND(EI$3&lt;=$E14,EI$4&gt;=$E14))</f>
        <v>0</v>
      </c>
      <c r="EJ14" s="48" t="n">
        <f aca="false">N(AND(EJ$3&lt;=$E14,EJ$4&gt;=$E14))</f>
        <v>0</v>
      </c>
      <c r="EK14" s="48" t="n">
        <f aca="false">N(AND(EK$3&lt;=$E14,EK$4&gt;=$E14))</f>
        <v>0</v>
      </c>
      <c r="EL14" s="48" t="n">
        <f aca="false">N(AND(EL$3&lt;=$E14,EL$4&gt;=$E14))</f>
        <v>0</v>
      </c>
      <c r="EM14" s="48" t="n">
        <f aca="false">N(AND(EM$3&lt;=$E14,EM$4&gt;=$E14))</f>
        <v>0</v>
      </c>
      <c r="EN14" s="48" t="n">
        <f aca="false">N(AND(EN$3&lt;=$E14,EN$4&gt;=$E14))</f>
        <v>0</v>
      </c>
      <c r="EO14" s="48" t="n">
        <f aca="false">N(AND(EO$3&lt;=$E14,EO$4&gt;=$E14))</f>
        <v>0</v>
      </c>
    </row>
    <row r="15" customFormat="false" ht="15" hidden="false" customHeight="false" outlineLevel="0" collapsed="false">
      <c r="C15" s="0" t="s">
        <v>273</v>
      </c>
      <c r="D15" s="11" t="s">
        <v>35</v>
      </c>
      <c r="E15" s="44" t="n">
        <f aca="false">In_COD+1</f>
        <v>47757</v>
      </c>
      <c r="F15" s="44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355</v>
      </c>
      <c r="D16" s="11" t="s">
        <v>35</v>
      </c>
      <c r="E16" s="44" t="n">
        <f aca="false">In_NTP+1</f>
        <v>47027</v>
      </c>
      <c r="F16" s="44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356</v>
      </c>
      <c r="D17" s="11" t="s">
        <v>35</v>
      </c>
      <c r="E17" s="44" t="n">
        <f aca="false">In_COD+1</f>
        <v>47757</v>
      </c>
      <c r="F17" s="44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357</v>
      </c>
      <c r="D18" s="11" t="s">
        <v>35</v>
      </c>
      <c r="E18" s="44" t="n">
        <f aca="false">EDATE(In_COD,In_Debt_Tenor*Months_In_Year)</f>
        <v>54331</v>
      </c>
      <c r="I18" s="48" t="n">
        <f aca="false">SUM(J18:EO18)</f>
        <v>1</v>
      </c>
      <c r="J18" s="48" t="n">
        <f aca="false">N(AND(J$3&lt;=$E18,J$4&gt;=$E18))</f>
        <v>0</v>
      </c>
      <c r="K18" s="48" t="n">
        <f aca="false">N(AND(K$3&lt;=$E18,K$4&gt;=$E18))</f>
        <v>0</v>
      </c>
      <c r="L18" s="48" t="n">
        <f aca="false">N(AND(L$3&lt;=$E18,L$4&gt;=$E18))</f>
        <v>0</v>
      </c>
      <c r="M18" s="48" t="n">
        <f aca="false">N(AND(M$3&lt;=$E18,M$4&gt;=$E18))</f>
        <v>0</v>
      </c>
      <c r="N18" s="48" t="n">
        <f aca="false">N(AND(N$3&lt;=$E18,N$4&gt;=$E18))</f>
        <v>0</v>
      </c>
      <c r="O18" s="48" t="n">
        <f aca="false">N(AND(O$3&lt;=$E18,O$4&gt;=$E18))</f>
        <v>0</v>
      </c>
      <c r="P18" s="48" t="n">
        <f aca="false">N(AND(P$3&lt;=$E18,P$4&gt;=$E18))</f>
        <v>0</v>
      </c>
      <c r="Q18" s="48" t="n">
        <f aca="false">N(AND(Q$3&lt;=$E18,Q$4&gt;=$E18))</f>
        <v>0</v>
      </c>
      <c r="R18" s="48" t="n">
        <f aca="false">N(AND(R$3&lt;=$E18,R$4&gt;=$E18))</f>
        <v>0</v>
      </c>
      <c r="S18" s="48" t="n">
        <f aca="false">N(AND(S$3&lt;=$E18,S$4&gt;=$E18))</f>
        <v>0</v>
      </c>
      <c r="T18" s="48" t="n">
        <f aca="false">N(AND(T$3&lt;=$E18,T$4&gt;=$E18))</f>
        <v>0</v>
      </c>
      <c r="U18" s="48" t="n">
        <f aca="false">N(AND(U$3&lt;=$E18,U$4&gt;=$E18))</f>
        <v>0</v>
      </c>
      <c r="V18" s="48" t="n">
        <f aca="false">N(AND(V$3&lt;=$E18,V$4&gt;=$E18))</f>
        <v>0</v>
      </c>
      <c r="W18" s="48" t="n">
        <f aca="false">N(AND(W$3&lt;=$E18,W$4&gt;=$E18))</f>
        <v>0</v>
      </c>
      <c r="X18" s="48" t="n">
        <f aca="false">N(AND(X$3&lt;=$E18,X$4&gt;=$E18))</f>
        <v>0</v>
      </c>
      <c r="Y18" s="48" t="n">
        <f aca="false">N(AND(Y$3&lt;=$E18,Y$4&gt;=$E18))</f>
        <v>0</v>
      </c>
      <c r="Z18" s="48" t="n">
        <f aca="false">N(AND(Z$3&lt;=$E18,Z$4&gt;=$E18))</f>
        <v>0</v>
      </c>
      <c r="AA18" s="48" t="n">
        <f aca="false">N(AND(AA$3&lt;=$E18,AA$4&gt;=$E18))</f>
        <v>0</v>
      </c>
      <c r="AB18" s="48" t="n">
        <f aca="false">N(AND(AB$3&lt;=$E18,AB$4&gt;=$E18))</f>
        <v>0</v>
      </c>
      <c r="AC18" s="48" t="n">
        <f aca="false">N(AND(AC$3&lt;=$E18,AC$4&gt;=$E18))</f>
        <v>0</v>
      </c>
      <c r="AD18" s="48" t="n">
        <f aca="false">N(AND(AD$3&lt;=$E18,AD$4&gt;=$E18))</f>
        <v>0</v>
      </c>
      <c r="AE18" s="48" t="n">
        <f aca="false">N(AND(AE$3&lt;=$E18,AE$4&gt;=$E18))</f>
        <v>0</v>
      </c>
      <c r="AF18" s="48" t="n">
        <f aca="false">N(AND(AF$3&lt;=$E18,AF$4&gt;=$E18))</f>
        <v>0</v>
      </c>
      <c r="AG18" s="48" t="n">
        <f aca="false">N(AND(AG$3&lt;=$E18,AG$4&gt;=$E18))</f>
        <v>0</v>
      </c>
      <c r="AH18" s="48" t="n">
        <f aca="false">N(AND(AH$3&lt;=$E18,AH$4&gt;=$E18))</f>
        <v>0</v>
      </c>
      <c r="AI18" s="48" t="n">
        <f aca="false">N(AND(AI$3&lt;=$E18,AI$4&gt;=$E18))</f>
        <v>0</v>
      </c>
      <c r="AJ18" s="48" t="n">
        <f aca="false">N(AND(AJ$3&lt;=$E18,AJ$4&gt;=$E18))</f>
        <v>0</v>
      </c>
      <c r="AK18" s="48" t="n">
        <f aca="false">N(AND(AK$3&lt;=$E18,AK$4&gt;=$E18))</f>
        <v>0</v>
      </c>
      <c r="AL18" s="48" t="n">
        <f aca="false">N(AND(AL$3&lt;=$E18,AL$4&gt;=$E18))</f>
        <v>0</v>
      </c>
      <c r="AM18" s="48" t="n">
        <f aca="false">N(AND(AM$3&lt;=$E18,AM$4&gt;=$E18))</f>
        <v>0</v>
      </c>
      <c r="AN18" s="48" t="n">
        <f aca="false">N(AND(AN$3&lt;=$E18,AN$4&gt;=$E18))</f>
        <v>0</v>
      </c>
      <c r="AO18" s="48" t="n">
        <f aca="false">N(AND(AO$3&lt;=$E18,AO$4&gt;=$E18))</f>
        <v>0</v>
      </c>
      <c r="AP18" s="48" t="n">
        <f aca="false">N(AND(AP$3&lt;=$E18,AP$4&gt;=$E18))</f>
        <v>0</v>
      </c>
      <c r="AQ18" s="48" t="n">
        <f aca="false">N(AND(AQ$3&lt;=$E18,AQ$4&gt;=$E18))</f>
        <v>0</v>
      </c>
      <c r="AR18" s="48" t="n">
        <f aca="false">N(AND(AR$3&lt;=$E18,AR$4&gt;=$E18))</f>
        <v>0</v>
      </c>
      <c r="AS18" s="48" t="n">
        <f aca="false">N(AND(AS$3&lt;=$E18,AS$4&gt;=$E18))</f>
        <v>0</v>
      </c>
      <c r="AT18" s="48" t="n">
        <f aca="false">N(AND(AT$3&lt;=$E18,AT$4&gt;=$E18))</f>
        <v>0</v>
      </c>
      <c r="AU18" s="48" t="n">
        <f aca="false">N(AND(AU$3&lt;=$E18,AU$4&gt;=$E18))</f>
        <v>0</v>
      </c>
      <c r="AV18" s="48" t="n">
        <f aca="false">N(AND(AV$3&lt;=$E18,AV$4&gt;=$E18))</f>
        <v>0</v>
      </c>
      <c r="AW18" s="48" t="n">
        <f aca="false">N(AND(AW$3&lt;=$E18,AW$4&gt;=$E18))</f>
        <v>0</v>
      </c>
      <c r="AX18" s="48" t="n">
        <f aca="false">N(AND(AX$3&lt;=$E18,AX$4&gt;=$E18))</f>
        <v>0</v>
      </c>
      <c r="AY18" s="48" t="n">
        <f aca="false">N(AND(AY$3&lt;=$E18,AY$4&gt;=$E18))</f>
        <v>0</v>
      </c>
      <c r="AZ18" s="48" t="n">
        <f aca="false">N(AND(AZ$3&lt;=$E18,AZ$4&gt;=$E18))</f>
        <v>0</v>
      </c>
      <c r="BA18" s="48" t="n">
        <f aca="false">N(AND(BA$3&lt;=$E18,BA$4&gt;=$E18))</f>
        <v>0</v>
      </c>
      <c r="BB18" s="48" t="n">
        <f aca="false">N(AND(BB$3&lt;=$E18,BB$4&gt;=$E18))</f>
        <v>0</v>
      </c>
      <c r="BC18" s="48" t="n">
        <f aca="false">N(AND(BC$3&lt;=$E18,BC$4&gt;=$E18))</f>
        <v>0</v>
      </c>
      <c r="BD18" s="48" t="n">
        <f aca="false">N(AND(BD$3&lt;=$E18,BD$4&gt;=$E18))</f>
        <v>0</v>
      </c>
      <c r="BE18" s="48" t="n">
        <f aca="false">N(AND(BE$3&lt;=$E18,BE$4&gt;=$E18))</f>
        <v>0</v>
      </c>
      <c r="BF18" s="48" t="n">
        <f aca="false">N(AND(BF$3&lt;=$E18,BF$4&gt;=$E18))</f>
        <v>0</v>
      </c>
      <c r="BG18" s="48" t="n">
        <f aca="false">N(AND(BG$3&lt;=$E18,BG$4&gt;=$E18))</f>
        <v>0</v>
      </c>
      <c r="BH18" s="48" t="n">
        <f aca="false">N(AND(BH$3&lt;=$E18,BH$4&gt;=$E18))</f>
        <v>0</v>
      </c>
      <c r="BI18" s="48" t="n">
        <f aca="false">N(AND(BI$3&lt;=$E18,BI$4&gt;=$E18))</f>
        <v>0</v>
      </c>
      <c r="BJ18" s="48" t="n">
        <f aca="false">N(AND(BJ$3&lt;=$E18,BJ$4&gt;=$E18))</f>
        <v>0</v>
      </c>
      <c r="BK18" s="48" t="n">
        <f aca="false">N(AND(BK$3&lt;=$E18,BK$4&gt;=$E18))</f>
        <v>0</v>
      </c>
      <c r="BL18" s="48" t="n">
        <f aca="false">N(AND(BL$3&lt;=$E18,BL$4&gt;=$E18))</f>
        <v>0</v>
      </c>
      <c r="BM18" s="48" t="n">
        <f aca="false">N(AND(BM$3&lt;=$E18,BM$4&gt;=$E18))</f>
        <v>0</v>
      </c>
      <c r="BN18" s="48" t="n">
        <f aca="false">N(AND(BN$3&lt;=$E18,BN$4&gt;=$E18))</f>
        <v>0</v>
      </c>
      <c r="BO18" s="48" t="n">
        <f aca="false">N(AND(BO$3&lt;=$E18,BO$4&gt;=$E18))</f>
        <v>0</v>
      </c>
      <c r="BP18" s="48" t="n">
        <f aca="false">N(AND(BP$3&lt;=$E18,BP$4&gt;=$E18))</f>
        <v>0</v>
      </c>
      <c r="BQ18" s="48" t="n">
        <f aca="false">N(AND(BQ$3&lt;=$E18,BQ$4&gt;=$E18))</f>
        <v>0</v>
      </c>
      <c r="BR18" s="48" t="n">
        <f aca="false">N(AND(BR$3&lt;=$E18,BR$4&gt;=$E18))</f>
        <v>0</v>
      </c>
      <c r="BS18" s="48" t="n">
        <f aca="false">N(AND(BS$3&lt;=$E18,BS$4&gt;=$E18))</f>
        <v>0</v>
      </c>
      <c r="BT18" s="48" t="n">
        <f aca="false">N(AND(BT$3&lt;=$E18,BT$4&gt;=$E18))</f>
        <v>0</v>
      </c>
      <c r="BU18" s="48" t="n">
        <f aca="false">N(AND(BU$3&lt;=$E18,BU$4&gt;=$E18))</f>
        <v>0</v>
      </c>
      <c r="BV18" s="48" t="n">
        <f aca="false">N(AND(BV$3&lt;=$E18,BV$4&gt;=$E18))</f>
        <v>0</v>
      </c>
      <c r="BW18" s="48" t="n">
        <f aca="false">N(AND(BW$3&lt;=$E18,BW$4&gt;=$E18))</f>
        <v>0</v>
      </c>
      <c r="BX18" s="48" t="n">
        <f aca="false">N(AND(BX$3&lt;=$E18,BX$4&gt;=$E18))</f>
        <v>0</v>
      </c>
      <c r="BY18" s="48" t="n">
        <f aca="false">N(AND(BY$3&lt;=$E18,BY$4&gt;=$E18))</f>
        <v>0</v>
      </c>
      <c r="BZ18" s="48" t="n">
        <f aca="false">N(AND(BZ$3&lt;=$E18,BZ$4&gt;=$E18))</f>
        <v>0</v>
      </c>
      <c r="CA18" s="48" t="n">
        <f aca="false">N(AND(CA$3&lt;=$E18,CA$4&gt;=$E18))</f>
        <v>0</v>
      </c>
      <c r="CB18" s="48" t="n">
        <f aca="false">N(AND(CB$3&lt;=$E18,CB$4&gt;=$E18))</f>
        <v>0</v>
      </c>
      <c r="CC18" s="48" t="n">
        <f aca="false">N(AND(CC$3&lt;=$E18,CC$4&gt;=$E18))</f>
        <v>0</v>
      </c>
      <c r="CD18" s="48" t="n">
        <f aca="false">N(AND(CD$3&lt;=$E18,CD$4&gt;=$E18))</f>
        <v>0</v>
      </c>
      <c r="CE18" s="48" t="n">
        <f aca="false">N(AND(CE$3&lt;=$E18,CE$4&gt;=$E18))</f>
        <v>0</v>
      </c>
      <c r="CF18" s="48" t="n">
        <f aca="false">N(AND(CF$3&lt;=$E18,CF$4&gt;=$E18))</f>
        <v>0</v>
      </c>
      <c r="CG18" s="48" t="n">
        <f aca="false">N(AND(CG$3&lt;=$E18,CG$4&gt;=$E18))</f>
        <v>0</v>
      </c>
      <c r="CH18" s="48" t="n">
        <f aca="false">N(AND(CH$3&lt;=$E18,CH$4&gt;=$E18))</f>
        <v>0</v>
      </c>
      <c r="CI18" s="48" t="n">
        <f aca="false">N(AND(CI$3&lt;=$E18,CI$4&gt;=$E18))</f>
        <v>0</v>
      </c>
      <c r="CJ18" s="48" t="n">
        <f aca="false">N(AND(CJ$3&lt;=$E18,CJ$4&gt;=$E18))</f>
        <v>0</v>
      </c>
      <c r="CK18" s="48" t="n">
        <f aca="false">N(AND(CK$3&lt;=$E18,CK$4&gt;=$E18))</f>
        <v>0</v>
      </c>
      <c r="CL18" s="48" t="n">
        <f aca="false">N(AND(CL$3&lt;=$E18,CL$4&gt;=$E18))</f>
        <v>0</v>
      </c>
      <c r="CM18" s="48" t="n">
        <f aca="false">N(AND(CM$3&lt;=$E18,CM$4&gt;=$E18))</f>
        <v>0</v>
      </c>
      <c r="CN18" s="48" t="n">
        <f aca="false">N(AND(CN$3&lt;=$E18,CN$4&gt;=$E18))</f>
        <v>0</v>
      </c>
      <c r="CO18" s="48" t="n">
        <f aca="false">N(AND(CO$3&lt;=$E18,CO$4&gt;=$E18))</f>
        <v>0</v>
      </c>
      <c r="CP18" s="48" t="n">
        <f aca="false">N(AND(CP$3&lt;=$E18,CP$4&gt;=$E18))</f>
        <v>0</v>
      </c>
      <c r="CQ18" s="48" t="n">
        <f aca="false">N(AND(CQ$3&lt;=$E18,CQ$4&gt;=$E18))</f>
        <v>0</v>
      </c>
      <c r="CR18" s="48" t="n">
        <f aca="false">N(AND(CR$3&lt;=$E18,CR$4&gt;=$E18))</f>
        <v>0</v>
      </c>
      <c r="CS18" s="48" t="n">
        <f aca="false">N(AND(CS$3&lt;=$E18,CS$4&gt;=$E18))</f>
        <v>1</v>
      </c>
      <c r="CT18" s="48" t="n">
        <f aca="false">N(AND(CT$3&lt;=$E18,CT$4&gt;=$E18))</f>
        <v>0</v>
      </c>
      <c r="CU18" s="48" t="n">
        <f aca="false">N(AND(CU$3&lt;=$E18,CU$4&gt;=$E18))</f>
        <v>0</v>
      </c>
      <c r="CV18" s="48" t="n">
        <f aca="false">N(AND(CV$3&lt;=$E18,CV$4&gt;=$E18))</f>
        <v>0</v>
      </c>
      <c r="CW18" s="48" t="n">
        <f aca="false">N(AND(CW$3&lt;=$E18,CW$4&gt;=$E18))</f>
        <v>0</v>
      </c>
      <c r="CX18" s="48" t="n">
        <f aca="false">N(AND(CX$3&lt;=$E18,CX$4&gt;=$E18))</f>
        <v>0</v>
      </c>
      <c r="CY18" s="48" t="n">
        <f aca="false">N(AND(CY$3&lt;=$E18,CY$4&gt;=$E18))</f>
        <v>0</v>
      </c>
      <c r="CZ18" s="48" t="n">
        <f aca="false">N(AND(CZ$3&lt;=$E18,CZ$4&gt;=$E18))</f>
        <v>0</v>
      </c>
      <c r="DA18" s="48" t="n">
        <f aca="false">N(AND(DA$3&lt;=$E18,DA$4&gt;=$E18))</f>
        <v>0</v>
      </c>
      <c r="DB18" s="48" t="n">
        <f aca="false">N(AND(DB$3&lt;=$E18,DB$4&gt;=$E18))</f>
        <v>0</v>
      </c>
      <c r="DC18" s="48" t="n">
        <f aca="false">N(AND(DC$3&lt;=$E18,DC$4&gt;=$E18))</f>
        <v>0</v>
      </c>
      <c r="DD18" s="48" t="n">
        <f aca="false">N(AND(DD$3&lt;=$E18,DD$4&gt;=$E18))</f>
        <v>0</v>
      </c>
      <c r="DE18" s="48" t="n">
        <f aca="false">N(AND(DE$3&lt;=$E18,DE$4&gt;=$E18))</f>
        <v>0</v>
      </c>
      <c r="DF18" s="48" t="n">
        <f aca="false">N(AND(DF$3&lt;=$E18,DF$4&gt;=$E18))</f>
        <v>0</v>
      </c>
      <c r="DG18" s="48" t="n">
        <f aca="false">N(AND(DG$3&lt;=$E18,DG$4&gt;=$E18))</f>
        <v>0</v>
      </c>
      <c r="DH18" s="48" t="n">
        <f aca="false">N(AND(DH$3&lt;=$E18,DH$4&gt;=$E18))</f>
        <v>0</v>
      </c>
      <c r="DI18" s="48" t="n">
        <f aca="false">N(AND(DI$3&lt;=$E18,DI$4&gt;=$E18))</f>
        <v>0</v>
      </c>
      <c r="DJ18" s="48" t="n">
        <f aca="false">N(AND(DJ$3&lt;=$E18,DJ$4&gt;=$E18))</f>
        <v>0</v>
      </c>
      <c r="DK18" s="48" t="n">
        <f aca="false">N(AND(DK$3&lt;=$E18,DK$4&gt;=$E18))</f>
        <v>0</v>
      </c>
      <c r="DL18" s="48" t="n">
        <f aca="false">N(AND(DL$3&lt;=$E18,DL$4&gt;=$E18))</f>
        <v>0</v>
      </c>
      <c r="DM18" s="48" t="n">
        <f aca="false">N(AND(DM$3&lt;=$E18,DM$4&gt;=$E18))</f>
        <v>0</v>
      </c>
      <c r="DN18" s="48" t="n">
        <f aca="false">N(AND(DN$3&lt;=$E18,DN$4&gt;=$E18))</f>
        <v>0</v>
      </c>
      <c r="DO18" s="48" t="n">
        <f aca="false">N(AND(DO$3&lt;=$E18,DO$4&gt;=$E18))</f>
        <v>0</v>
      </c>
      <c r="DP18" s="48" t="n">
        <f aca="false">N(AND(DP$3&lt;=$E18,DP$4&gt;=$E18))</f>
        <v>0</v>
      </c>
      <c r="DQ18" s="48" t="n">
        <f aca="false">N(AND(DQ$3&lt;=$E18,DQ$4&gt;=$E18))</f>
        <v>0</v>
      </c>
      <c r="DR18" s="48" t="n">
        <f aca="false">N(AND(DR$3&lt;=$E18,DR$4&gt;=$E18))</f>
        <v>0</v>
      </c>
      <c r="DS18" s="48" t="n">
        <f aca="false">N(AND(DS$3&lt;=$E18,DS$4&gt;=$E18))</f>
        <v>0</v>
      </c>
      <c r="DT18" s="48" t="n">
        <f aca="false">N(AND(DT$3&lt;=$E18,DT$4&gt;=$E18))</f>
        <v>0</v>
      </c>
      <c r="DU18" s="48" t="n">
        <f aca="false">N(AND(DU$3&lt;=$E18,DU$4&gt;=$E18))</f>
        <v>0</v>
      </c>
      <c r="DV18" s="48" t="n">
        <f aca="false">N(AND(DV$3&lt;=$E18,DV$4&gt;=$E18))</f>
        <v>0</v>
      </c>
      <c r="DW18" s="48" t="n">
        <f aca="false">N(AND(DW$3&lt;=$E18,DW$4&gt;=$E18))</f>
        <v>0</v>
      </c>
      <c r="DX18" s="48" t="n">
        <f aca="false">N(AND(DX$3&lt;=$E18,DX$4&gt;=$E18))</f>
        <v>0</v>
      </c>
      <c r="DY18" s="48" t="n">
        <f aca="false">N(AND(DY$3&lt;=$E18,DY$4&gt;=$E18))</f>
        <v>0</v>
      </c>
      <c r="DZ18" s="48" t="n">
        <f aca="false">N(AND(DZ$3&lt;=$E18,DZ$4&gt;=$E18))</f>
        <v>0</v>
      </c>
      <c r="EA18" s="48" t="n">
        <f aca="false">N(AND(EA$3&lt;=$E18,EA$4&gt;=$E18))</f>
        <v>0</v>
      </c>
      <c r="EB18" s="48" t="n">
        <f aca="false">N(AND(EB$3&lt;=$E18,EB$4&gt;=$E18))</f>
        <v>0</v>
      </c>
      <c r="EC18" s="48" t="n">
        <f aca="false">N(AND(EC$3&lt;=$E18,EC$4&gt;=$E18))</f>
        <v>0</v>
      </c>
      <c r="ED18" s="48" t="n">
        <f aca="false">N(AND(ED$3&lt;=$E18,ED$4&gt;=$E18))</f>
        <v>0</v>
      </c>
      <c r="EE18" s="48" t="n">
        <f aca="false">N(AND(EE$3&lt;=$E18,EE$4&gt;=$E18))</f>
        <v>0</v>
      </c>
      <c r="EF18" s="48" t="n">
        <f aca="false">N(AND(EF$3&lt;=$E18,EF$4&gt;=$E18))</f>
        <v>0</v>
      </c>
      <c r="EG18" s="48" t="n">
        <f aca="false">N(AND(EG$3&lt;=$E18,EG$4&gt;=$E18))</f>
        <v>0</v>
      </c>
      <c r="EH18" s="48" t="n">
        <f aca="false">N(AND(EH$3&lt;=$E18,EH$4&gt;=$E18))</f>
        <v>0</v>
      </c>
      <c r="EI18" s="48" t="n">
        <f aca="false">N(AND(EI$3&lt;=$E18,EI$4&gt;=$E18))</f>
        <v>0</v>
      </c>
      <c r="EJ18" s="48" t="n">
        <f aca="false">N(AND(EJ$3&lt;=$E18,EJ$4&gt;=$E18))</f>
        <v>0</v>
      </c>
      <c r="EK18" s="48" t="n">
        <f aca="false">N(AND(EK$3&lt;=$E18,EK$4&gt;=$E18))</f>
        <v>0</v>
      </c>
      <c r="EL18" s="48" t="n">
        <f aca="false">N(AND(EL$3&lt;=$E18,EL$4&gt;=$E18))</f>
        <v>0</v>
      </c>
      <c r="EM18" s="48" t="n">
        <f aca="false">N(AND(EM$3&lt;=$E18,EM$4&gt;=$E18))</f>
        <v>0</v>
      </c>
      <c r="EN18" s="48" t="n">
        <f aca="false">N(AND(EN$3&lt;=$E18,EN$4&gt;=$E18))</f>
        <v>0</v>
      </c>
      <c r="EO18" s="48" t="n">
        <f aca="false">N(AND(EO$3&lt;=$E18,EO$4&gt;=$E18))</f>
        <v>0</v>
      </c>
    </row>
    <row r="19" customFormat="false" ht="15" hidden="false" customHeight="false" outlineLevel="0" collapsed="false">
      <c r="C19" s="0" t="s">
        <v>358</v>
      </c>
      <c r="D19" s="11" t="s">
        <v>348</v>
      </c>
      <c r="E19" s="44" t="n">
        <f aca="false">In_COD+1</f>
        <v>47757</v>
      </c>
      <c r="F19" s="44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359</v>
      </c>
      <c r="D20" s="11" t="s">
        <v>131</v>
      </c>
      <c r="J20" s="42" t="n">
        <f aca="false">ROUNDUP(YEARFRAC(In_COD,J$4),0)*(J$4&gt;In_COD)</f>
        <v>0</v>
      </c>
      <c r="K20" s="42" t="n">
        <f aca="false">ROUNDUP(YEARFRAC(In_COD,K$4),0)*(K$4&gt;In_COD)</f>
        <v>0</v>
      </c>
      <c r="L20" s="42" t="n">
        <f aca="false">ROUNDUP(YEARFRAC(In_COD,L$4),0)*(L$4&gt;In_COD)</f>
        <v>0</v>
      </c>
      <c r="M20" s="42" t="n">
        <f aca="false">ROUNDUP(YEARFRAC(In_COD,M$4),0)*(M$4&gt;In_COD)</f>
        <v>0</v>
      </c>
      <c r="N20" s="42" t="n">
        <f aca="false">ROUNDUP(YEARFRAC(In_COD,N$4),0)*(N$4&gt;In_COD)</f>
        <v>0</v>
      </c>
      <c r="O20" s="42" t="n">
        <f aca="false">ROUNDUP(YEARFRAC(In_COD,O$4),0)*(O$4&gt;In_COD)</f>
        <v>0</v>
      </c>
      <c r="P20" s="42" t="n">
        <f aca="false">ROUNDUP(YEARFRAC(In_COD,P$4),0)*(P$4&gt;In_COD)</f>
        <v>0</v>
      </c>
      <c r="Q20" s="42" t="n">
        <f aca="false">ROUNDUP(YEARFRAC(In_COD,Q$4),0)*(Q$4&gt;In_COD)</f>
        <v>0</v>
      </c>
      <c r="R20" s="42" t="n">
        <f aca="false">ROUNDUP(YEARFRAC(In_COD,R$4),0)*(R$4&gt;In_COD)</f>
        <v>0</v>
      </c>
      <c r="S20" s="42" t="n">
        <f aca="false">ROUNDUP(YEARFRAC(In_COD,S$4),0)*(S$4&gt;In_COD)</f>
        <v>0</v>
      </c>
      <c r="T20" s="42" t="n">
        <f aca="false">ROUNDUP(YEARFRAC(In_COD,T$4),0)*(T$4&gt;In_COD)</f>
        <v>0</v>
      </c>
      <c r="U20" s="42" t="n">
        <f aca="false">ROUNDUP(YEARFRAC(In_COD,U$4),0)*(U$4&gt;In_COD)</f>
        <v>0</v>
      </c>
      <c r="V20" s="42" t="n">
        <f aca="false">ROUNDUP(YEARFRAC(In_COD,V$4),0)*(V$4&gt;In_COD)</f>
        <v>0</v>
      </c>
      <c r="W20" s="42" t="n">
        <f aca="false">ROUNDUP(YEARFRAC(In_COD,W$4),0)*(W$4&gt;In_COD)</f>
        <v>0</v>
      </c>
      <c r="X20" s="42" t="n">
        <f aca="false">ROUNDUP(YEARFRAC(In_COD,X$4),0)*(X$4&gt;In_COD)</f>
        <v>0</v>
      </c>
      <c r="Y20" s="42" t="n">
        <f aca="false">ROUNDUP(YEARFRAC(In_COD,Y$4),0)*(Y$4&gt;In_COD)</f>
        <v>0</v>
      </c>
      <c r="Z20" s="42" t="n">
        <f aca="false">ROUNDUP(YEARFRAC(In_COD,Z$4),0)*(Z$4&gt;In_COD)</f>
        <v>1</v>
      </c>
      <c r="AA20" s="42" t="n">
        <f aca="false">ROUNDUP(YEARFRAC(In_COD,AA$4),0)*(AA$4&gt;In_COD)</f>
        <v>1</v>
      </c>
      <c r="AB20" s="42" t="n">
        <f aca="false">ROUNDUP(YEARFRAC(In_COD,AB$4),0)*(AB$4&gt;In_COD)</f>
        <v>1</v>
      </c>
      <c r="AC20" s="42" t="n">
        <f aca="false">ROUNDUP(YEARFRAC(In_COD,AC$4),0)*(AC$4&gt;In_COD)</f>
        <v>1</v>
      </c>
      <c r="AD20" s="42" t="n">
        <f aca="false">ROUNDUP(YEARFRAC(In_COD,AD$4),0)*(AD$4&gt;In_COD)</f>
        <v>2</v>
      </c>
      <c r="AE20" s="42" t="n">
        <f aca="false">ROUNDUP(YEARFRAC(In_COD,AE$4),0)*(AE$4&gt;In_COD)</f>
        <v>2</v>
      </c>
      <c r="AF20" s="42" t="n">
        <f aca="false">ROUNDUP(YEARFRAC(In_COD,AF$4),0)*(AF$4&gt;In_COD)</f>
        <v>2</v>
      </c>
      <c r="AG20" s="42" t="n">
        <f aca="false">ROUNDUP(YEARFRAC(In_COD,AG$4),0)*(AG$4&gt;In_COD)</f>
        <v>2</v>
      </c>
      <c r="AH20" s="42" t="n">
        <f aca="false">ROUNDUP(YEARFRAC(In_COD,AH$4),0)*(AH$4&gt;In_COD)</f>
        <v>3</v>
      </c>
      <c r="AI20" s="42" t="n">
        <f aca="false">ROUNDUP(YEARFRAC(In_COD,AI$4),0)*(AI$4&gt;In_COD)</f>
        <v>3</v>
      </c>
      <c r="AJ20" s="42" t="n">
        <f aca="false">ROUNDUP(YEARFRAC(In_COD,AJ$4),0)*(AJ$4&gt;In_COD)</f>
        <v>3</v>
      </c>
      <c r="AK20" s="42" t="n">
        <f aca="false">ROUNDUP(YEARFRAC(In_COD,AK$4),0)*(AK$4&gt;In_COD)</f>
        <v>3</v>
      </c>
      <c r="AL20" s="42" t="n">
        <f aca="false">ROUNDUP(YEARFRAC(In_COD,AL$4),0)*(AL$4&gt;In_COD)</f>
        <v>4</v>
      </c>
      <c r="AM20" s="42" t="n">
        <f aca="false">ROUNDUP(YEARFRAC(In_COD,AM$4),0)*(AM$4&gt;In_COD)</f>
        <v>4</v>
      </c>
      <c r="AN20" s="42" t="n">
        <f aca="false">ROUNDUP(YEARFRAC(In_COD,AN$4),0)*(AN$4&gt;In_COD)</f>
        <v>4</v>
      </c>
      <c r="AO20" s="42" t="n">
        <f aca="false">ROUNDUP(YEARFRAC(In_COD,AO$4),0)*(AO$4&gt;In_COD)</f>
        <v>4</v>
      </c>
      <c r="AP20" s="42" t="n">
        <f aca="false">ROUNDUP(YEARFRAC(In_COD,AP$4),0)*(AP$4&gt;In_COD)</f>
        <v>5</v>
      </c>
      <c r="AQ20" s="42" t="n">
        <f aca="false">ROUNDUP(YEARFRAC(In_COD,AQ$4),0)*(AQ$4&gt;In_COD)</f>
        <v>5</v>
      </c>
      <c r="AR20" s="42" t="n">
        <f aca="false">ROUNDUP(YEARFRAC(In_COD,AR$4),0)*(AR$4&gt;In_COD)</f>
        <v>5</v>
      </c>
      <c r="AS20" s="42" t="n">
        <f aca="false">ROUNDUP(YEARFRAC(In_COD,AS$4),0)*(AS$4&gt;In_COD)</f>
        <v>5</v>
      </c>
      <c r="AT20" s="42" t="n">
        <f aca="false">ROUNDUP(YEARFRAC(In_COD,AT$4),0)*(AT$4&gt;In_COD)</f>
        <v>6</v>
      </c>
      <c r="AU20" s="42" t="n">
        <f aca="false">ROUNDUP(YEARFRAC(In_COD,AU$4),0)*(AU$4&gt;In_COD)</f>
        <v>6</v>
      </c>
      <c r="AV20" s="42" t="n">
        <f aca="false">ROUNDUP(YEARFRAC(In_COD,AV$4),0)*(AV$4&gt;In_COD)</f>
        <v>6</v>
      </c>
      <c r="AW20" s="42" t="n">
        <f aca="false">ROUNDUP(YEARFRAC(In_COD,AW$4),0)*(AW$4&gt;In_COD)</f>
        <v>6</v>
      </c>
      <c r="AX20" s="42" t="n">
        <f aca="false">ROUNDUP(YEARFRAC(In_COD,AX$4),0)*(AX$4&gt;In_COD)</f>
        <v>7</v>
      </c>
      <c r="AY20" s="42" t="n">
        <f aca="false">ROUNDUP(YEARFRAC(In_COD,AY$4),0)*(AY$4&gt;In_COD)</f>
        <v>7</v>
      </c>
      <c r="AZ20" s="42" t="n">
        <f aca="false">ROUNDUP(YEARFRAC(In_COD,AZ$4),0)*(AZ$4&gt;In_COD)</f>
        <v>7</v>
      </c>
      <c r="BA20" s="42" t="n">
        <f aca="false">ROUNDUP(YEARFRAC(In_COD,BA$4),0)*(BA$4&gt;In_COD)</f>
        <v>7</v>
      </c>
      <c r="BB20" s="42" t="n">
        <f aca="false">ROUNDUP(YEARFRAC(In_COD,BB$4),0)*(BB$4&gt;In_COD)</f>
        <v>8</v>
      </c>
      <c r="BC20" s="42" t="n">
        <f aca="false">ROUNDUP(YEARFRAC(In_COD,BC$4),0)*(BC$4&gt;In_COD)</f>
        <v>8</v>
      </c>
      <c r="BD20" s="42" t="n">
        <f aca="false">ROUNDUP(YEARFRAC(In_COD,BD$4),0)*(BD$4&gt;In_COD)</f>
        <v>8</v>
      </c>
      <c r="BE20" s="42" t="n">
        <f aca="false">ROUNDUP(YEARFRAC(In_COD,BE$4),0)*(BE$4&gt;In_COD)</f>
        <v>8</v>
      </c>
      <c r="BF20" s="42" t="n">
        <f aca="false">ROUNDUP(YEARFRAC(In_COD,BF$4),0)*(BF$4&gt;In_COD)</f>
        <v>9</v>
      </c>
      <c r="BG20" s="42" t="n">
        <f aca="false">ROUNDUP(YEARFRAC(In_COD,BG$4),0)*(BG$4&gt;In_COD)</f>
        <v>9</v>
      </c>
      <c r="BH20" s="42" t="n">
        <f aca="false">ROUNDUP(YEARFRAC(In_COD,BH$4),0)*(BH$4&gt;In_COD)</f>
        <v>9</v>
      </c>
      <c r="BI20" s="42" t="n">
        <f aca="false">ROUNDUP(YEARFRAC(In_COD,BI$4),0)*(BI$4&gt;In_COD)</f>
        <v>9</v>
      </c>
      <c r="BJ20" s="42" t="n">
        <f aca="false">ROUNDUP(YEARFRAC(In_COD,BJ$4),0)*(BJ$4&gt;In_COD)</f>
        <v>10</v>
      </c>
      <c r="BK20" s="42" t="n">
        <f aca="false">ROUNDUP(YEARFRAC(In_COD,BK$4),0)*(BK$4&gt;In_COD)</f>
        <v>10</v>
      </c>
      <c r="BL20" s="42" t="n">
        <f aca="false">ROUNDUP(YEARFRAC(In_COD,BL$4),0)*(BL$4&gt;In_COD)</f>
        <v>10</v>
      </c>
      <c r="BM20" s="42" t="n">
        <f aca="false">ROUNDUP(YEARFRAC(In_COD,BM$4),0)*(BM$4&gt;In_COD)</f>
        <v>10</v>
      </c>
      <c r="BN20" s="42" t="n">
        <f aca="false">ROUNDUP(YEARFRAC(In_COD,BN$4),0)*(BN$4&gt;In_COD)</f>
        <v>11</v>
      </c>
      <c r="BO20" s="42" t="n">
        <f aca="false">ROUNDUP(YEARFRAC(In_COD,BO$4),0)*(BO$4&gt;In_COD)</f>
        <v>11</v>
      </c>
      <c r="BP20" s="42" t="n">
        <f aca="false">ROUNDUP(YEARFRAC(In_COD,BP$4),0)*(BP$4&gt;In_COD)</f>
        <v>11</v>
      </c>
      <c r="BQ20" s="42" t="n">
        <f aca="false">ROUNDUP(YEARFRAC(In_COD,BQ$4),0)*(BQ$4&gt;In_COD)</f>
        <v>11</v>
      </c>
      <c r="BR20" s="42" t="n">
        <f aca="false">ROUNDUP(YEARFRAC(In_COD,BR$4),0)*(BR$4&gt;In_COD)</f>
        <v>12</v>
      </c>
      <c r="BS20" s="42" t="n">
        <f aca="false">ROUNDUP(YEARFRAC(In_COD,BS$4),0)*(BS$4&gt;In_COD)</f>
        <v>12</v>
      </c>
      <c r="BT20" s="42" t="n">
        <f aca="false">ROUNDUP(YEARFRAC(In_COD,BT$4),0)*(BT$4&gt;In_COD)</f>
        <v>12</v>
      </c>
      <c r="BU20" s="42" t="n">
        <f aca="false">ROUNDUP(YEARFRAC(In_COD,BU$4),0)*(BU$4&gt;In_COD)</f>
        <v>12</v>
      </c>
      <c r="BV20" s="42" t="n">
        <f aca="false">ROUNDUP(YEARFRAC(In_COD,BV$4),0)*(BV$4&gt;In_COD)</f>
        <v>13</v>
      </c>
      <c r="BW20" s="42" t="n">
        <f aca="false">ROUNDUP(YEARFRAC(In_COD,BW$4),0)*(BW$4&gt;In_COD)</f>
        <v>13</v>
      </c>
      <c r="BX20" s="42" t="n">
        <f aca="false">ROUNDUP(YEARFRAC(In_COD,BX$4),0)*(BX$4&gt;In_COD)</f>
        <v>13</v>
      </c>
      <c r="BY20" s="42" t="n">
        <f aca="false">ROUNDUP(YEARFRAC(In_COD,BY$4),0)*(BY$4&gt;In_COD)</f>
        <v>13</v>
      </c>
      <c r="BZ20" s="42" t="n">
        <f aca="false">ROUNDUP(YEARFRAC(In_COD,BZ$4),0)*(BZ$4&gt;In_COD)</f>
        <v>14</v>
      </c>
      <c r="CA20" s="42" t="n">
        <f aca="false">ROUNDUP(YEARFRAC(In_COD,CA$4),0)*(CA$4&gt;In_COD)</f>
        <v>14</v>
      </c>
      <c r="CB20" s="42" t="n">
        <f aca="false">ROUNDUP(YEARFRAC(In_COD,CB$4),0)*(CB$4&gt;In_COD)</f>
        <v>14</v>
      </c>
      <c r="CC20" s="42" t="n">
        <f aca="false">ROUNDUP(YEARFRAC(In_COD,CC$4),0)*(CC$4&gt;In_COD)</f>
        <v>14</v>
      </c>
      <c r="CD20" s="42" t="n">
        <f aca="false">ROUNDUP(YEARFRAC(In_COD,CD$4),0)*(CD$4&gt;In_COD)</f>
        <v>15</v>
      </c>
      <c r="CE20" s="42" t="n">
        <f aca="false">ROUNDUP(YEARFRAC(In_COD,CE$4),0)*(CE$4&gt;In_COD)</f>
        <v>15</v>
      </c>
      <c r="CF20" s="42" t="n">
        <f aca="false">ROUNDUP(YEARFRAC(In_COD,CF$4),0)*(CF$4&gt;In_COD)</f>
        <v>15</v>
      </c>
      <c r="CG20" s="42" t="n">
        <f aca="false">ROUNDUP(YEARFRAC(In_COD,CG$4),0)*(CG$4&gt;In_COD)</f>
        <v>15</v>
      </c>
      <c r="CH20" s="42" t="n">
        <f aca="false">ROUNDUP(YEARFRAC(In_COD,CH$4),0)*(CH$4&gt;In_COD)</f>
        <v>16</v>
      </c>
      <c r="CI20" s="42" t="n">
        <f aca="false">ROUNDUP(YEARFRAC(In_COD,CI$4),0)*(CI$4&gt;In_COD)</f>
        <v>16</v>
      </c>
      <c r="CJ20" s="42" t="n">
        <f aca="false">ROUNDUP(YEARFRAC(In_COD,CJ$4),0)*(CJ$4&gt;In_COD)</f>
        <v>16</v>
      </c>
      <c r="CK20" s="42" t="n">
        <f aca="false">ROUNDUP(YEARFRAC(In_COD,CK$4),0)*(CK$4&gt;In_COD)</f>
        <v>16</v>
      </c>
      <c r="CL20" s="42" t="n">
        <f aca="false">ROUNDUP(YEARFRAC(In_COD,CL$4),0)*(CL$4&gt;In_COD)</f>
        <v>17</v>
      </c>
      <c r="CM20" s="42" t="n">
        <f aca="false">ROUNDUP(YEARFRAC(In_COD,CM$4),0)*(CM$4&gt;In_COD)</f>
        <v>17</v>
      </c>
      <c r="CN20" s="42" t="n">
        <f aca="false">ROUNDUP(YEARFRAC(In_COD,CN$4),0)*(CN$4&gt;In_COD)</f>
        <v>17</v>
      </c>
      <c r="CO20" s="42" t="n">
        <f aca="false">ROUNDUP(YEARFRAC(In_COD,CO$4),0)*(CO$4&gt;In_COD)</f>
        <v>17</v>
      </c>
      <c r="CP20" s="42" t="n">
        <f aca="false">ROUNDUP(YEARFRAC(In_COD,CP$4),0)*(CP$4&gt;In_COD)</f>
        <v>18</v>
      </c>
      <c r="CQ20" s="42" t="n">
        <f aca="false">ROUNDUP(YEARFRAC(In_COD,CQ$4),0)*(CQ$4&gt;In_COD)</f>
        <v>18</v>
      </c>
      <c r="CR20" s="42" t="n">
        <f aca="false">ROUNDUP(YEARFRAC(In_COD,CR$4),0)*(CR$4&gt;In_COD)</f>
        <v>18</v>
      </c>
      <c r="CS20" s="42" t="n">
        <f aca="false">ROUNDUP(YEARFRAC(In_COD,CS$4),0)*(CS$4&gt;In_COD)</f>
        <v>18</v>
      </c>
      <c r="CT20" s="42" t="n">
        <f aca="false">ROUNDUP(YEARFRAC(In_COD,CT$4),0)*(CT$4&gt;In_COD)</f>
        <v>19</v>
      </c>
      <c r="CU20" s="42" t="n">
        <f aca="false">ROUNDUP(YEARFRAC(In_COD,CU$4),0)*(CU$4&gt;In_COD)</f>
        <v>19</v>
      </c>
      <c r="CV20" s="42" t="n">
        <f aca="false">ROUNDUP(YEARFRAC(In_COD,CV$4),0)*(CV$4&gt;In_COD)</f>
        <v>19</v>
      </c>
      <c r="CW20" s="42" t="n">
        <f aca="false">ROUNDUP(YEARFRAC(In_COD,CW$4),0)*(CW$4&gt;In_COD)</f>
        <v>19</v>
      </c>
      <c r="CX20" s="42" t="n">
        <f aca="false">ROUNDUP(YEARFRAC(In_COD,CX$4),0)*(CX$4&gt;In_COD)</f>
        <v>20</v>
      </c>
      <c r="CY20" s="42" t="n">
        <f aca="false">ROUNDUP(YEARFRAC(In_COD,CY$4),0)*(CY$4&gt;In_COD)</f>
        <v>20</v>
      </c>
      <c r="CZ20" s="42" t="n">
        <f aca="false">ROUNDUP(YEARFRAC(In_COD,CZ$4),0)*(CZ$4&gt;In_COD)</f>
        <v>20</v>
      </c>
      <c r="DA20" s="42" t="n">
        <f aca="false">ROUNDUP(YEARFRAC(In_COD,DA$4),0)*(DA$4&gt;In_COD)</f>
        <v>20</v>
      </c>
      <c r="DB20" s="42" t="n">
        <f aca="false">ROUNDUP(YEARFRAC(In_COD,DB$4),0)*(DB$4&gt;In_COD)</f>
        <v>21</v>
      </c>
      <c r="DC20" s="42" t="n">
        <f aca="false">ROUNDUP(YEARFRAC(In_COD,DC$4),0)*(DC$4&gt;In_COD)</f>
        <v>21</v>
      </c>
      <c r="DD20" s="42" t="n">
        <f aca="false">ROUNDUP(YEARFRAC(In_COD,DD$4),0)*(DD$4&gt;In_COD)</f>
        <v>21</v>
      </c>
      <c r="DE20" s="42" t="n">
        <f aca="false">ROUNDUP(YEARFRAC(In_COD,DE$4),0)*(DE$4&gt;In_COD)</f>
        <v>21</v>
      </c>
      <c r="DF20" s="42" t="n">
        <f aca="false">ROUNDUP(YEARFRAC(In_COD,DF$4),0)*(DF$4&gt;In_COD)</f>
        <v>22</v>
      </c>
      <c r="DG20" s="42" t="n">
        <f aca="false">ROUNDUP(YEARFRAC(In_COD,DG$4),0)*(DG$4&gt;In_COD)</f>
        <v>22</v>
      </c>
      <c r="DH20" s="42" t="n">
        <f aca="false">ROUNDUP(YEARFRAC(In_COD,DH$4),0)*(DH$4&gt;In_COD)</f>
        <v>22</v>
      </c>
      <c r="DI20" s="42" t="n">
        <f aca="false">ROUNDUP(YEARFRAC(In_COD,DI$4),0)*(DI$4&gt;In_COD)</f>
        <v>22</v>
      </c>
      <c r="DJ20" s="42" t="n">
        <f aca="false">ROUNDUP(YEARFRAC(In_COD,DJ$4),0)*(DJ$4&gt;In_COD)</f>
        <v>23</v>
      </c>
      <c r="DK20" s="42" t="n">
        <f aca="false">ROUNDUP(YEARFRAC(In_COD,DK$4),0)*(DK$4&gt;In_COD)</f>
        <v>23</v>
      </c>
      <c r="DL20" s="42" t="n">
        <f aca="false">ROUNDUP(YEARFRAC(In_COD,DL$4),0)*(DL$4&gt;In_COD)</f>
        <v>23</v>
      </c>
      <c r="DM20" s="42" t="n">
        <f aca="false">ROUNDUP(YEARFRAC(In_COD,DM$4),0)*(DM$4&gt;In_COD)</f>
        <v>23</v>
      </c>
      <c r="DN20" s="42" t="n">
        <f aca="false">ROUNDUP(YEARFRAC(In_COD,DN$4),0)*(DN$4&gt;In_COD)</f>
        <v>24</v>
      </c>
      <c r="DO20" s="42" t="n">
        <f aca="false">ROUNDUP(YEARFRAC(In_COD,DO$4),0)*(DO$4&gt;In_COD)</f>
        <v>24</v>
      </c>
      <c r="DP20" s="42" t="n">
        <f aca="false">ROUNDUP(YEARFRAC(In_COD,DP$4),0)*(DP$4&gt;In_COD)</f>
        <v>24</v>
      </c>
      <c r="DQ20" s="42" t="n">
        <f aca="false">ROUNDUP(YEARFRAC(In_COD,DQ$4),0)*(DQ$4&gt;In_COD)</f>
        <v>24</v>
      </c>
      <c r="DR20" s="42" t="n">
        <f aca="false">ROUNDUP(YEARFRAC(In_COD,DR$4),0)*(DR$4&gt;In_COD)</f>
        <v>25</v>
      </c>
      <c r="DS20" s="42" t="n">
        <f aca="false">ROUNDUP(YEARFRAC(In_COD,DS$4),0)*(DS$4&gt;In_COD)</f>
        <v>25</v>
      </c>
      <c r="DT20" s="42" t="n">
        <f aca="false">ROUNDUP(YEARFRAC(In_COD,DT$4),0)*(DT$4&gt;In_COD)</f>
        <v>25</v>
      </c>
      <c r="DU20" s="42" t="n">
        <f aca="false">ROUNDUP(YEARFRAC(In_COD,DU$4),0)*(DU$4&gt;In_COD)</f>
        <v>25</v>
      </c>
      <c r="DV20" s="42" t="n">
        <f aca="false">ROUNDUP(YEARFRAC(In_COD,DV$4),0)*(DV$4&gt;In_COD)</f>
        <v>26</v>
      </c>
      <c r="DW20" s="42" t="n">
        <f aca="false">ROUNDUP(YEARFRAC(In_COD,DW$4),0)*(DW$4&gt;In_COD)</f>
        <v>26</v>
      </c>
      <c r="DX20" s="42" t="n">
        <f aca="false">ROUNDUP(YEARFRAC(In_COD,DX$4),0)*(DX$4&gt;In_COD)</f>
        <v>26</v>
      </c>
      <c r="DY20" s="42" t="n">
        <f aca="false">ROUNDUP(YEARFRAC(In_COD,DY$4),0)*(DY$4&gt;In_COD)</f>
        <v>26</v>
      </c>
      <c r="DZ20" s="42" t="n">
        <f aca="false">ROUNDUP(YEARFRAC(In_COD,DZ$4),0)*(DZ$4&gt;In_COD)</f>
        <v>27</v>
      </c>
      <c r="EA20" s="42" t="n">
        <f aca="false">ROUNDUP(YEARFRAC(In_COD,EA$4),0)*(EA$4&gt;In_COD)</f>
        <v>27</v>
      </c>
      <c r="EB20" s="42" t="n">
        <f aca="false">ROUNDUP(YEARFRAC(In_COD,EB$4),0)*(EB$4&gt;In_COD)</f>
        <v>27</v>
      </c>
      <c r="EC20" s="42" t="n">
        <f aca="false">ROUNDUP(YEARFRAC(In_COD,EC$4),0)*(EC$4&gt;In_COD)</f>
        <v>27</v>
      </c>
      <c r="ED20" s="42" t="n">
        <f aca="false">ROUNDUP(YEARFRAC(In_COD,ED$4),0)*(ED$4&gt;In_COD)</f>
        <v>28</v>
      </c>
      <c r="EE20" s="42" t="n">
        <f aca="false">ROUNDUP(YEARFRAC(In_COD,EE$4),0)*(EE$4&gt;In_COD)</f>
        <v>28</v>
      </c>
      <c r="EF20" s="42" t="n">
        <f aca="false">ROUNDUP(YEARFRAC(In_COD,EF$4),0)*(EF$4&gt;In_COD)</f>
        <v>28</v>
      </c>
      <c r="EG20" s="42" t="n">
        <f aca="false">ROUNDUP(YEARFRAC(In_COD,EG$4),0)*(EG$4&gt;In_COD)</f>
        <v>28</v>
      </c>
      <c r="EH20" s="42" t="n">
        <f aca="false">ROUNDUP(YEARFRAC(In_COD,EH$4),0)*(EH$4&gt;In_COD)</f>
        <v>29</v>
      </c>
      <c r="EI20" s="42" t="n">
        <f aca="false">ROUNDUP(YEARFRAC(In_COD,EI$4),0)*(EI$4&gt;In_COD)</f>
        <v>29</v>
      </c>
      <c r="EJ20" s="42" t="n">
        <f aca="false">ROUNDUP(YEARFRAC(In_COD,EJ$4),0)*(EJ$4&gt;In_COD)</f>
        <v>29</v>
      </c>
      <c r="EK20" s="42" t="n">
        <f aca="false">ROUNDUP(YEARFRAC(In_COD,EK$4),0)*(EK$4&gt;In_COD)</f>
        <v>29</v>
      </c>
      <c r="EL20" s="42" t="n">
        <f aca="false">ROUNDUP(YEARFRAC(In_COD,EL$4),0)*(EL$4&gt;In_COD)</f>
        <v>30</v>
      </c>
      <c r="EM20" s="42" t="n">
        <f aca="false">ROUNDUP(YEARFRAC(In_COD,EM$4),0)*(EM$4&gt;In_COD)</f>
        <v>30</v>
      </c>
      <c r="EN20" s="42" t="n">
        <f aca="false">ROUNDUP(YEARFRAC(In_COD,EN$4),0)*(EN$4&gt;In_COD)</f>
        <v>30</v>
      </c>
      <c r="EO20" s="42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360</v>
      </c>
      <c r="D21" s="11" t="s">
        <v>348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361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362</v>
      </c>
      <c r="D24" s="11" t="s">
        <v>55</v>
      </c>
      <c r="E24" s="35" t="n">
        <f aca="false">In_MVA*(1+INDEX(Dash_Overbuild,1,$A$1))</f>
        <v>60</v>
      </c>
      <c r="F24" s="35" t="n">
        <f aca="false">In_MVA*(1+In_Overbuild_Built)</f>
        <v>55</v>
      </c>
    </row>
    <row r="25" customFormat="false" ht="15" hidden="false" customHeight="false" outlineLevel="0" collapsed="false">
      <c r="C25" s="0" t="s">
        <v>363</v>
      </c>
      <c r="D25" s="11" t="s">
        <v>27</v>
      </c>
      <c r="E25" s="55" t="n">
        <f aca="false">($F24-In_MVA)/$F24*In_Bottleneck_Loss</f>
        <v>0.00454545454545455</v>
      </c>
    </row>
    <row r="26" customFormat="false" ht="15" hidden="false" customHeight="false" outlineLevel="0" collapsed="false">
      <c r="C26" s="0" t="s">
        <v>59</v>
      </c>
      <c r="D26" s="11" t="s">
        <v>27</v>
      </c>
      <c r="E26" s="47" t="n">
        <f aca="false">MAX(0,1-$F24/$E24)</f>
        <v>0.0833333333333333</v>
      </c>
    </row>
    <row r="28" customFormat="false" ht="15" hidden="false" customHeight="false" outlineLevel="0" collapsed="false">
      <c r="A28" s="9" t="s">
        <v>13</v>
      </c>
      <c r="B28" s="9"/>
      <c r="C28" s="9" t="s">
        <v>364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</row>
    <row r="29" customFormat="false" ht="15" hidden="false" customHeight="false" outlineLevel="0" collapsed="false">
      <c r="C29" s="0" t="s">
        <v>365</v>
      </c>
      <c r="D29" s="11" t="s">
        <v>19</v>
      </c>
      <c r="E29" s="31" t="n">
        <f aca="false">INDEX(Dash_Municipal,1,$A$1)</f>
        <v>35</v>
      </c>
      <c r="F29" s="31" t="n">
        <f aca="false">INDEX(Osz1_Pts,1+SUMPRODUCT((Osz1_LB&lt;$E29)+(Osz1_LB=$E29)*Osz1_Incl))*Osz1_W</f>
        <v>11</v>
      </c>
    </row>
    <row r="30" customFormat="false" ht="15" hidden="false" customHeight="false" outlineLevel="0" collapsed="false">
      <c r="C30" s="0" t="s">
        <v>366</v>
      </c>
      <c r="D30" s="11" t="s">
        <v>24</v>
      </c>
      <c r="E30" s="31" t="n">
        <f aca="false">INDEX(Dash_Community,1,$A$1)</f>
        <v>2.5</v>
      </c>
      <c r="F30" s="31" t="n">
        <f aca="false">INDEX(Osz2_Pts,1+SUMPRODUCT((Osz2_LB&lt;$E30)+(Osz2_LB=$E30)*Osz2_Incl))*Osz2_W</f>
        <v>6</v>
      </c>
    </row>
    <row r="31" customFormat="false" ht="15" hidden="false" customHeight="false" outlineLevel="0" collapsed="false">
      <c r="C31" s="0" t="s">
        <v>367</v>
      </c>
      <c r="D31" s="11" t="s">
        <v>27</v>
      </c>
      <c r="E31" s="47" t="n">
        <f aca="false">INDEX(Dash_Overbuild,1,$A$1)</f>
        <v>0.2</v>
      </c>
      <c r="F31" s="31" t="n">
        <f aca="false">INDEX(Osz3_Pts,1+SUMPRODUCT((Osz3_LB&lt;$E31)+(Osz3_LB=$E31)*Osz3_Incl))*Osz3_W</f>
        <v>5</v>
      </c>
    </row>
    <row r="32" customFormat="false" ht="15" hidden="false" customHeight="false" outlineLevel="0" collapsed="false">
      <c r="C32" s="0" t="s">
        <v>368</v>
      </c>
      <c r="D32" s="11" t="s">
        <v>35</v>
      </c>
      <c r="E32" s="48" t="n">
        <f aca="false">INDEX(Dash_Partial,1,$A$1)</f>
        <v>0</v>
      </c>
      <c r="F32" s="31" t="n">
        <f aca="false">$E32*Osz5_Pts*Osz5_W</f>
        <v>0</v>
      </c>
    </row>
    <row r="33" customFormat="false" ht="15" hidden="false" customHeight="false" outlineLevel="0" collapsed="false">
      <c r="C33" s="0" t="s">
        <v>369</v>
      </c>
      <c r="D33" s="11" t="s">
        <v>13</v>
      </c>
      <c r="E33" s="52" t="n">
        <f aca="false">INDEX(Dash_PB_Mult,1,$A$1)</f>
        <v>1</v>
      </c>
      <c r="F33" s="31" t="n">
        <f aca="false">INDEX(Osz6_Pts,1+SUMPRODUCT((Osz6_LB&lt;$E33)+(Osz6_LB=$E33)*Osz6_Incl))*Osz6_W</f>
        <v>0</v>
      </c>
    </row>
    <row r="34" customFormat="false" ht="15" hidden="false" customHeight="false" outlineLevel="0" collapsed="false">
      <c r="C34" s="0" t="s">
        <v>370</v>
      </c>
      <c r="D34" s="11" t="s">
        <v>35</v>
      </c>
      <c r="E34" s="48" t="n">
        <f aca="false">INDEX(Dash_Shared,1,$A$1)</f>
        <v>0</v>
      </c>
      <c r="F34" s="31" t="n">
        <f aca="false">$E34*Osz8_Pts*Osz8_W</f>
        <v>0</v>
      </c>
    </row>
    <row r="35" customFormat="false" ht="15" hidden="false" customHeight="false" outlineLevel="0" collapsed="false">
      <c r="C35" s="0" t="s">
        <v>371</v>
      </c>
      <c r="D35" s="11" t="s">
        <v>35</v>
      </c>
      <c r="E35" s="48" t="n">
        <f aca="false">INDEX(Dash_EU_Turbine,1,$A$1)</f>
        <v>1</v>
      </c>
      <c r="F35" s="31" t="n">
        <f aca="false">$E35*Osz9a_Pts*Osz9_W</f>
        <v>12</v>
      </c>
    </row>
    <row r="36" customFormat="false" ht="15" hidden="false" customHeight="false" outlineLevel="0" collapsed="false">
      <c r="C36" s="0" t="s">
        <v>372</v>
      </c>
      <c r="D36" s="11" t="s">
        <v>35</v>
      </c>
      <c r="E36" s="48" t="n">
        <f aca="false">INDEX(Dash_EU_Transformer,1,$A$1)</f>
        <v>0</v>
      </c>
      <c r="F36" s="31" t="n">
        <f aca="false">$E36*Osz9b_Pts*Osz9_W</f>
        <v>0</v>
      </c>
    </row>
    <row r="37" customFormat="false" ht="15" hidden="false" customHeight="false" outlineLevel="0" collapsed="false">
      <c r="C37" s="24" t="s">
        <v>45</v>
      </c>
      <c r="D37" s="11" t="s">
        <v>46</v>
      </c>
      <c r="E37" s="25" t="n">
        <f aca="false">ROUND(SUM($F29:$F36),Points_Decimals)</f>
        <v>34</v>
      </c>
    </row>
    <row r="38" customFormat="false" ht="15" hidden="false" customHeight="false" outlineLevel="0" collapsed="false">
      <c r="C38" s="0" t="s">
        <v>373</v>
      </c>
      <c r="D38" s="11" t="s">
        <v>131</v>
      </c>
      <c r="E38" s="42" t="n">
        <f aca="false">($E29&lt;&gt;0)*($E29&lt;Osz1_Min)+($E29&gt;Osz1_Max)+($E30&lt;&gt;0)*($E30&lt;Osz2_Min)+($E30&gt;Osz2_Max)</f>
        <v>0</v>
      </c>
      <c r="F38" s="42" t="n">
        <f aca="false">N($E33&lt;1)</f>
        <v>0</v>
      </c>
    </row>
    <row r="40" customFormat="false" ht="15" hidden="false" customHeight="false" outlineLevel="0" collapsed="false">
      <c r="A40" s="9" t="s">
        <v>13</v>
      </c>
      <c r="B40" s="9"/>
      <c r="C40" s="9" t="s">
        <v>374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</row>
    <row r="41" customFormat="false" ht="15" hidden="false" customHeight="false" outlineLevel="0" collapsed="false">
      <c r="C41" s="0" t="s">
        <v>32</v>
      </c>
      <c r="D41" s="11" t="s">
        <v>33</v>
      </c>
      <c r="E41" s="19" t="n">
        <f aca="false">In_Purchase_Price</f>
        <v>4500</v>
      </c>
      <c r="F41" s="21" t="n">
        <f aca="false">In_Closing</f>
        <v>46387</v>
      </c>
      <c r="I41" s="46" t="n">
        <f aca="false">SUM(J41:EO41)</f>
        <v>-4500</v>
      </c>
      <c r="J41" s="46" t="n">
        <f aca="false">-$E41*N(AND(J$3&lt;=$F41,J$4&gt;=$F41))</f>
        <v>-4500</v>
      </c>
      <c r="K41" s="46" t="n">
        <f aca="false">-$E41*N(AND(K$3&lt;=$F41,K$4&gt;=$F41))</f>
        <v>-0</v>
      </c>
      <c r="L41" s="46" t="n">
        <f aca="false">-$E41*N(AND(L$3&lt;=$F41,L$4&gt;=$F41))</f>
        <v>-0</v>
      </c>
      <c r="M41" s="46" t="n">
        <f aca="false">-$E41*N(AND(M$3&lt;=$F41,M$4&gt;=$F41))</f>
        <v>-0</v>
      </c>
      <c r="N41" s="46" t="n">
        <f aca="false">-$E41*N(AND(N$3&lt;=$F41,N$4&gt;=$F41))</f>
        <v>-0</v>
      </c>
      <c r="O41" s="46" t="n">
        <f aca="false">-$E41*N(AND(O$3&lt;=$F41,O$4&gt;=$F41))</f>
        <v>-0</v>
      </c>
      <c r="P41" s="46" t="n">
        <f aca="false">-$E41*N(AND(P$3&lt;=$F41,P$4&gt;=$F41))</f>
        <v>-0</v>
      </c>
      <c r="Q41" s="46" t="n">
        <f aca="false">-$E41*N(AND(Q$3&lt;=$F41,Q$4&gt;=$F41))</f>
        <v>-0</v>
      </c>
      <c r="R41" s="46" t="n">
        <f aca="false">-$E41*N(AND(R$3&lt;=$F41,R$4&gt;=$F41))</f>
        <v>-0</v>
      </c>
      <c r="S41" s="46" t="n">
        <f aca="false">-$E41*N(AND(S$3&lt;=$F41,S$4&gt;=$F41))</f>
        <v>-0</v>
      </c>
      <c r="T41" s="46" t="n">
        <f aca="false">-$E41*N(AND(T$3&lt;=$F41,T$4&gt;=$F41))</f>
        <v>-0</v>
      </c>
      <c r="U41" s="46" t="n">
        <f aca="false">-$E41*N(AND(U$3&lt;=$F41,U$4&gt;=$F41))</f>
        <v>-0</v>
      </c>
      <c r="V41" s="46" t="n">
        <f aca="false">-$E41*N(AND(V$3&lt;=$F41,V$4&gt;=$F41))</f>
        <v>-0</v>
      </c>
      <c r="W41" s="46" t="n">
        <f aca="false">-$E41*N(AND(W$3&lt;=$F41,W$4&gt;=$F41))</f>
        <v>-0</v>
      </c>
      <c r="X41" s="46" t="n">
        <f aca="false">-$E41*N(AND(X$3&lt;=$F41,X$4&gt;=$F41))</f>
        <v>-0</v>
      </c>
      <c r="Y41" s="46" t="n">
        <f aca="false">-$E41*N(AND(Y$3&lt;=$F41,Y$4&gt;=$F41))</f>
        <v>-0</v>
      </c>
      <c r="Z41" s="46" t="n">
        <f aca="false">-$E41*N(AND(Z$3&lt;=$F41,Z$4&gt;=$F41))</f>
        <v>-0</v>
      </c>
      <c r="AA41" s="46" t="n">
        <f aca="false">-$E41*N(AND(AA$3&lt;=$F41,AA$4&gt;=$F41))</f>
        <v>-0</v>
      </c>
      <c r="AB41" s="46" t="n">
        <f aca="false">-$E41*N(AND(AB$3&lt;=$F41,AB$4&gt;=$F41))</f>
        <v>-0</v>
      </c>
      <c r="AC41" s="46" t="n">
        <f aca="false">-$E41*N(AND(AC$3&lt;=$F41,AC$4&gt;=$F41))</f>
        <v>-0</v>
      </c>
      <c r="AD41" s="46" t="n">
        <f aca="false">-$E41*N(AND(AD$3&lt;=$F41,AD$4&gt;=$F41))</f>
        <v>-0</v>
      </c>
      <c r="AE41" s="46" t="n">
        <f aca="false">-$E41*N(AND(AE$3&lt;=$F41,AE$4&gt;=$F41))</f>
        <v>-0</v>
      </c>
      <c r="AF41" s="46" t="n">
        <f aca="false">-$E41*N(AND(AF$3&lt;=$F41,AF$4&gt;=$F41))</f>
        <v>-0</v>
      </c>
      <c r="AG41" s="46" t="n">
        <f aca="false">-$E41*N(AND(AG$3&lt;=$F41,AG$4&gt;=$F41))</f>
        <v>-0</v>
      </c>
      <c r="AH41" s="46" t="n">
        <f aca="false">-$E41*N(AND(AH$3&lt;=$F41,AH$4&gt;=$F41))</f>
        <v>-0</v>
      </c>
      <c r="AI41" s="46" t="n">
        <f aca="false">-$E41*N(AND(AI$3&lt;=$F41,AI$4&gt;=$F41))</f>
        <v>-0</v>
      </c>
      <c r="AJ41" s="46" t="n">
        <f aca="false">-$E41*N(AND(AJ$3&lt;=$F41,AJ$4&gt;=$F41))</f>
        <v>-0</v>
      </c>
      <c r="AK41" s="46" t="n">
        <f aca="false">-$E41*N(AND(AK$3&lt;=$F41,AK$4&gt;=$F41))</f>
        <v>-0</v>
      </c>
      <c r="AL41" s="46" t="n">
        <f aca="false">-$E41*N(AND(AL$3&lt;=$F41,AL$4&gt;=$F41))</f>
        <v>-0</v>
      </c>
      <c r="AM41" s="46" t="n">
        <f aca="false">-$E41*N(AND(AM$3&lt;=$F41,AM$4&gt;=$F41))</f>
        <v>-0</v>
      </c>
      <c r="AN41" s="46" t="n">
        <f aca="false">-$E41*N(AND(AN$3&lt;=$F41,AN$4&gt;=$F41))</f>
        <v>-0</v>
      </c>
      <c r="AO41" s="46" t="n">
        <f aca="false">-$E41*N(AND(AO$3&lt;=$F41,AO$4&gt;=$F41))</f>
        <v>-0</v>
      </c>
      <c r="AP41" s="46" t="n">
        <f aca="false">-$E41*N(AND(AP$3&lt;=$F41,AP$4&gt;=$F41))</f>
        <v>-0</v>
      </c>
      <c r="AQ41" s="46" t="n">
        <f aca="false">-$E41*N(AND(AQ$3&lt;=$F41,AQ$4&gt;=$F41))</f>
        <v>-0</v>
      </c>
      <c r="AR41" s="46" t="n">
        <f aca="false">-$E41*N(AND(AR$3&lt;=$F41,AR$4&gt;=$F41))</f>
        <v>-0</v>
      </c>
      <c r="AS41" s="46" t="n">
        <f aca="false">-$E41*N(AND(AS$3&lt;=$F41,AS$4&gt;=$F41))</f>
        <v>-0</v>
      </c>
      <c r="AT41" s="46" t="n">
        <f aca="false">-$E41*N(AND(AT$3&lt;=$F41,AT$4&gt;=$F41))</f>
        <v>-0</v>
      </c>
      <c r="AU41" s="46" t="n">
        <f aca="false">-$E41*N(AND(AU$3&lt;=$F41,AU$4&gt;=$F41))</f>
        <v>-0</v>
      </c>
      <c r="AV41" s="46" t="n">
        <f aca="false">-$E41*N(AND(AV$3&lt;=$F41,AV$4&gt;=$F41))</f>
        <v>-0</v>
      </c>
      <c r="AW41" s="46" t="n">
        <f aca="false">-$E41*N(AND(AW$3&lt;=$F41,AW$4&gt;=$F41))</f>
        <v>-0</v>
      </c>
      <c r="AX41" s="46" t="n">
        <f aca="false">-$E41*N(AND(AX$3&lt;=$F41,AX$4&gt;=$F41))</f>
        <v>-0</v>
      </c>
      <c r="AY41" s="46" t="n">
        <f aca="false">-$E41*N(AND(AY$3&lt;=$F41,AY$4&gt;=$F41))</f>
        <v>-0</v>
      </c>
      <c r="AZ41" s="46" t="n">
        <f aca="false">-$E41*N(AND(AZ$3&lt;=$F41,AZ$4&gt;=$F41))</f>
        <v>-0</v>
      </c>
      <c r="BA41" s="46" t="n">
        <f aca="false">-$E41*N(AND(BA$3&lt;=$F41,BA$4&gt;=$F41))</f>
        <v>-0</v>
      </c>
      <c r="BB41" s="46" t="n">
        <f aca="false">-$E41*N(AND(BB$3&lt;=$F41,BB$4&gt;=$F41))</f>
        <v>-0</v>
      </c>
      <c r="BC41" s="46" t="n">
        <f aca="false">-$E41*N(AND(BC$3&lt;=$F41,BC$4&gt;=$F41))</f>
        <v>-0</v>
      </c>
      <c r="BD41" s="46" t="n">
        <f aca="false">-$E41*N(AND(BD$3&lt;=$F41,BD$4&gt;=$F41))</f>
        <v>-0</v>
      </c>
      <c r="BE41" s="46" t="n">
        <f aca="false">-$E41*N(AND(BE$3&lt;=$F41,BE$4&gt;=$F41))</f>
        <v>-0</v>
      </c>
      <c r="BF41" s="46" t="n">
        <f aca="false">-$E41*N(AND(BF$3&lt;=$F41,BF$4&gt;=$F41))</f>
        <v>-0</v>
      </c>
      <c r="BG41" s="46" t="n">
        <f aca="false">-$E41*N(AND(BG$3&lt;=$F41,BG$4&gt;=$F41))</f>
        <v>-0</v>
      </c>
      <c r="BH41" s="46" t="n">
        <f aca="false">-$E41*N(AND(BH$3&lt;=$F41,BH$4&gt;=$F41))</f>
        <v>-0</v>
      </c>
      <c r="BI41" s="46" t="n">
        <f aca="false">-$E41*N(AND(BI$3&lt;=$F41,BI$4&gt;=$F41))</f>
        <v>-0</v>
      </c>
      <c r="BJ41" s="46" t="n">
        <f aca="false">-$E41*N(AND(BJ$3&lt;=$F41,BJ$4&gt;=$F41))</f>
        <v>-0</v>
      </c>
      <c r="BK41" s="46" t="n">
        <f aca="false">-$E41*N(AND(BK$3&lt;=$F41,BK$4&gt;=$F41))</f>
        <v>-0</v>
      </c>
      <c r="BL41" s="46" t="n">
        <f aca="false">-$E41*N(AND(BL$3&lt;=$F41,BL$4&gt;=$F41))</f>
        <v>-0</v>
      </c>
      <c r="BM41" s="46" t="n">
        <f aca="false">-$E41*N(AND(BM$3&lt;=$F41,BM$4&gt;=$F41))</f>
        <v>-0</v>
      </c>
      <c r="BN41" s="46" t="n">
        <f aca="false">-$E41*N(AND(BN$3&lt;=$F41,BN$4&gt;=$F41))</f>
        <v>-0</v>
      </c>
      <c r="BO41" s="46" t="n">
        <f aca="false">-$E41*N(AND(BO$3&lt;=$F41,BO$4&gt;=$F41))</f>
        <v>-0</v>
      </c>
      <c r="BP41" s="46" t="n">
        <f aca="false">-$E41*N(AND(BP$3&lt;=$F41,BP$4&gt;=$F41))</f>
        <v>-0</v>
      </c>
      <c r="BQ41" s="46" t="n">
        <f aca="false">-$E41*N(AND(BQ$3&lt;=$F41,BQ$4&gt;=$F41))</f>
        <v>-0</v>
      </c>
      <c r="BR41" s="46" t="n">
        <f aca="false">-$E41*N(AND(BR$3&lt;=$F41,BR$4&gt;=$F41))</f>
        <v>-0</v>
      </c>
      <c r="BS41" s="46" t="n">
        <f aca="false">-$E41*N(AND(BS$3&lt;=$F41,BS$4&gt;=$F41))</f>
        <v>-0</v>
      </c>
      <c r="BT41" s="46" t="n">
        <f aca="false">-$E41*N(AND(BT$3&lt;=$F41,BT$4&gt;=$F41))</f>
        <v>-0</v>
      </c>
      <c r="BU41" s="46" t="n">
        <f aca="false">-$E41*N(AND(BU$3&lt;=$F41,BU$4&gt;=$F41))</f>
        <v>-0</v>
      </c>
      <c r="BV41" s="46" t="n">
        <f aca="false">-$E41*N(AND(BV$3&lt;=$F41,BV$4&gt;=$F41))</f>
        <v>-0</v>
      </c>
      <c r="BW41" s="46" t="n">
        <f aca="false">-$E41*N(AND(BW$3&lt;=$F41,BW$4&gt;=$F41))</f>
        <v>-0</v>
      </c>
      <c r="BX41" s="46" t="n">
        <f aca="false">-$E41*N(AND(BX$3&lt;=$F41,BX$4&gt;=$F41))</f>
        <v>-0</v>
      </c>
      <c r="BY41" s="46" t="n">
        <f aca="false">-$E41*N(AND(BY$3&lt;=$F41,BY$4&gt;=$F41))</f>
        <v>-0</v>
      </c>
      <c r="BZ41" s="46" t="n">
        <f aca="false">-$E41*N(AND(BZ$3&lt;=$F41,BZ$4&gt;=$F41))</f>
        <v>-0</v>
      </c>
      <c r="CA41" s="46" t="n">
        <f aca="false">-$E41*N(AND(CA$3&lt;=$F41,CA$4&gt;=$F41))</f>
        <v>-0</v>
      </c>
      <c r="CB41" s="46" t="n">
        <f aca="false">-$E41*N(AND(CB$3&lt;=$F41,CB$4&gt;=$F41))</f>
        <v>-0</v>
      </c>
      <c r="CC41" s="46" t="n">
        <f aca="false">-$E41*N(AND(CC$3&lt;=$F41,CC$4&gt;=$F41))</f>
        <v>-0</v>
      </c>
      <c r="CD41" s="46" t="n">
        <f aca="false">-$E41*N(AND(CD$3&lt;=$F41,CD$4&gt;=$F41))</f>
        <v>-0</v>
      </c>
      <c r="CE41" s="46" t="n">
        <f aca="false">-$E41*N(AND(CE$3&lt;=$F41,CE$4&gt;=$F41))</f>
        <v>-0</v>
      </c>
      <c r="CF41" s="46" t="n">
        <f aca="false">-$E41*N(AND(CF$3&lt;=$F41,CF$4&gt;=$F41))</f>
        <v>-0</v>
      </c>
      <c r="CG41" s="46" t="n">
        <f aca="false">-$E41*N(AND(CG$3&lt;=$F41,CG$4&gt;=$F41))</f>
        <v>-0</v>
      </c>
      <c r="CH41" s="46" t="n">
        <f aca="false">-$E41*N(AND(CH$3&lt;=$F41,CH$4&gt;=$F41))</f>
        <v>-0</v>
      </c>
      <c r="CI41" s="46" t="n">
        <f aca="false">-$E41*N(AND(CI$3&lt;=$F41,CI$4&gt;=$F41))</f>
        <v>-0</v>
      </c>
      <c r="CJ41" s="46" t="n">
        <f aca="false">-$E41*N(AND(CJ$3&lt;=$F41,CJ$4&gt;=$F41))</f>
        <v>-0</v>
      </c>
      <c r="CK41" s="46" t="n">
        <f aca="false">-$E41*N(AND(CK$3&lt;=$F41,CK$4&gt;=$F41))</f>
        <v>-0</v>
      </c>
      <c r="CL41" s="46" t="n">
        <f aca="false">-$E41*N(AND(CL$3&lt;=$F41,CL$4&gt;=$F41))</f>
        <v>-0</v>
      </c>
      <c r="CM41" s="46" t="n">
        <f aca="false">-$E41*N(AND(CM$3&lt;=$F41,CM$4&gt;=$F41))</f>
        <v>-0</v>
      </c>
      <c r="CN41" s="46" t="n">
        <f aca="false">-$E41*N(AND(CN$3&lt;=$F41,CN$4&gt;=$F41))</f>
        <v>-0</v>
      </c>
      <c r="CO41" s="46" t="n">
        <f aca="false">-$E41*N(AND(CO$3&lt;=$F41,CO$4&gt;=$F41))</f>
        <v>-0</v>
      </c>
      <c r="CP41" s="46" t="n">
        <f aca="false">-$E41*N(AND(CP$3&lt;=$F41,CP$4&gt;=$F41))</f>
        <v>-0</v>
      </c>
      <c r="CQ41" s="46" t="n">
        <f aca="false">-$E41*N(AND(CQ$3&lt;=$F41,CQ$4&gt;=$F41))</f>
        <v>-0</v>
      </c>
      <c r="CR41" s="46" t="n">
        <f aca="false">-$E41*N(AND(CR$3&lt;=$F41,CR$4&gt;=$F41))</f>
        <v>-0</v>
      </c>
      <c r="CS41" s="46" t="n">
        <f aca="false">-$E41*N(AND(CS$3&lt;=$F41,CS$4&gt;=$F41))</f>
        <v>-0</v>
      </c>
      <c r="CT41" s="46" t="n">
        <f aca="false">-$E41*N(AND(CT$3&lt;=$F41,CT$4&gt;=$F41))</f>
        <v>-0</v>
      </c>
      <c r="CU41" s="46" t="n">
        <f aca="false">-$E41*N(AND(CU$3&lt;=$F41,CU$4&gt;=$F41))</f>
        <v>-0</v>
      </c>
      <c r="CV41" s="46" t="n">
        <f aca="false">-$E41*N(AND(CV$3&lt;=$F41,CV$4&gt;=$F41))</f>
        <v>-0</v>
      </c>
      <c r="CW41" s="46" t="n">
        <f aca="false">-$E41*N(AND(CW$3&lt;=$F41,CW$4&gt;=$F41))</f>
        <v>-0</v>
      </c>
      <c r="CX41" s="46" t="n">
        <f aca="false">-$E41*N(AND(CX$3&lt;=$F41,CX$4&gt;=$F41))</f>
        <v>-0</v>
      </c>
      <c r="CY41" s="46" t="n">
        <f aca="false">-$E41*N(AND(CY$3&lt;=$F41,CY$4&gt;=$F41))</f>
        <v>-0</v>
      </c>
      <c r="CZ41" s="46" t="n">
        <f aca="false">-$E41*N(AND(CZ$3&lt;=$F41,CZ$4&gt;=$F41))</f>
        <v>-0</v>
      </c>
      <c r="DA41" s="46" t="n">
        <f aca="false">-$E41*N(AND(DA$3&lt;=$F41,DA$4&gt;=$F41))</f>
        <v>-0</v>
      </c>
      <c r="DB41" s="46" t="n">
        <f aca="false">-$E41*N(AND(DB$3&lt;=$F41,DB$4&gt;=$F41))</f>
        <v>-0</v>
      </c>
      <c r="DC41" s="46" t="n">
        <f aca="false">-$E41*N(AND(DC$3&lt;=$F41,DC$4&gt;=$F41))</f>
        <v>-0</v>
      </c>
      <c r="DD41" s="46" t="n">
        <f aca="false">-$E41*N(AND(DD$3&lt;=$F41,DD$4&gt;=$F41))</f>
        <v>-0</v>
      </c>
      <c r="DE41" s="46" t="n">
        <f aca="false">-$E41*N(AND(DE$3&lt;=$F41,DE$4&gt;=$F41))</f>
        <v>-0</v>
      </c>
      <c r="DF41" s="46" t="n">
        <f aca="false">-$E41*N(AND(DF$3&lt;=$F41,DF$4&gt;=$F41))</f>
        <v>-0</v>
      </c>
      <c r="DG41" s="46" t="n">
        <f aca="false">-$E41*N(AND(DG$3&lt;=$F41,DG$4&gt;=$F41))</f>
        <v>-0</v>
      </c>
      <c r="DH41" s="46" t="n">
        <f aca="false">-$E41*N(AND(DH$3&lt;=$F41,DH$4&gt;=$F41))</f>
        <v>-0</v>
      </c>
      <c r="DI41" s="46" t="n">
        <f aca="false">-$E41*N(AND(DI$3&lt;=$F41,DI$4&gt;=$F41))</f>
        <v>-0</v>
      </c>
      <c r="DJ41" s="46" t="n">
        <f aca="false">-$E41*N(AND(DJ$3&lt;=$F41,DJ$4&gt;=$F41))</f>
        <v>-0</v>
      </c>
      <c r="DK41" s="46" t="n">
        <f aca="false">-$E41*N(AND(DK$3&lt;=$F41,DK$4&gt;=$F41))</f>
        <v>-0</v>
      </c>
      <c r="DL41" s="46" t="n">
        <f aca="false">-$E41*N(AND(DL$3&lt;=$F41,DL$4&gt;=$F41))</f>
        <v>-0</v>
      </c>
      <c r="DM41" s="46" t="n">
        <f aca="false">-$E41*N(AND(DM$3&lt;=$F41,DM$4&gt;=$F41))</f>
        <v>-0</v>
      </c>
      <c r="DN41" s="46" t="n">
        <f aca="false">-$E41*N(AND(DN$3&lt;=$F41,DN$4&gt;=$F41))</f>
        <v>-0</v>
      </c>
      <c r="DO41" s="46" t="n">
        <f aca="false">-$E41*N(AND(DO$3&lt;=$F41,DO$4&gt;=$F41))</f>
        <v>-0</v>
      </c>
      <c r="DP41" s="46" t="n">
        <f aca="false">-$E41*N(AND(DP$3&lt;=$F41,DP$4&gt;=$F41))</f>
        <v>-0</v>
      </c>
      <c r="DQ41" s="46" t="n">
        <f aca="false">-$E41*N(AND(DQ$3&lt;=$F41,DQ$4&gt;=$F41))</f>
        <v>-0</v>
      </c>
      <c r="DR41" s="46" t="n">
        <f aca="false">-$E41*N(AND(DR$3&lt;=$F41,DR$4&gt;=$F41))</f>
        <v>-0</v>
      </c>
      <c r="DS41" s="46" t="n">
        <f aca="false">-$E41*N(AND(DS$3&lt;=$F41,DS$4&gt;=$F41))</f>
        <v>-0</v>
      </c>
      <c r="DT41" s="46" t="n">
        <f aca="false">-$E41*N(AND(DT$3&lt;=$F41,DT$4&gt;=$F41))</f>
        <v>-0</v>
      </c>
      <c r="DU41" s="46" t="n">
        <f aca="false">-$E41*N(AND(DU$3&lt;=$F41,DU$4&gt;=$F41))</f>
        <v>-0</v>
      </c>
      <c r="DV41" s="46" t="n">
        <f aca="false">-$E41*N(AND(DV$3&lt;=$F41,DV$4&gt;=$F41))</f>
        <v>-0</v>
      </c>
      <c r="DW41" s="46" t="n">
        <f aca="false">-$E41*N(AND(DW$3&lt;=$F41,DW$4&gt;=$F41))</f>
        <v>-0</v>
      </c>
      <c r="DX41" s="46" t="n">
        <f aca="false">-$E41*N(AND(DX$3&lt;=$F41,DX$4&gt;=$F41))</f>
        <v>-0</v>
      </c>
      <c r="DY41" s="46" t="n">
        <f aca="false">-$E41*N(AND(DY$3&lt;=$F41,DY$4&gt;=$F41))</f>
        <v>-0</v>
      </c>
      <c r="DZ41" s="46" t="n">
        <f aca="false">-$E41*N(AND(DZ$3&lt;=$F41,DZ$4&gt;=$F41))</f>
        <v>-0</v>
      </c>
      <c r="EA41" s="46" t="n">
        <f aca="false">-$E41*N(AND(EA$3&lt;=$F41,EA$4&gt;=$F41))</f>
        <v>-0</v>
      </c>
      <c r="EB41" s="46" t="n">
        <f aca="false">-$E41*N(AND(EB$3&lt;=$F41,EB$4&gt;=$F41))</f>
        <v>-0</v>
      </c>
      <c r="EC41" s="46" t="n">
        <f aca="false">-$E41*N(AND(EC$3&lt;=$F41,EC$4&gt;=$F41))</f>
        <v>-0</v>
      </c>
      <c r="ED41" s="46" t="n">
        <f aca="false">-$E41*N(AND(ED$3&lt;=$F41,ED$4&gt;=$F41))</f>
        <v>-0</v>
      </c>
      <c r="EE41" s="46" t="n">
        <f aca="false">-$E41*N(AND(EE$3&lt;=$F41,EE$4&gt;=$F41))</f>
        <v>-0</v>
      </c>
      <c r="EF41" s="46" t="n">
        <f aca="false">-$E41*N(AND(EF$3&lt;=$F41,EF$4&gt;=$F41))</f>
        <v>-0</v>
      </c>
      <c r="EG41" s="46" t="n">
        <f aca="false">-$E41*N(AND(EG$3&lt;=$F41,EG$4&gt;=$F41))</f>
        <v>-0</v>
      </c>
      <c r="EH41" s="46" t="n">
        <f aca="false">-$E41*N(AND(EH$3&lt;=$F41,EH$4&gt;=$F41))</f>
        <v>-0</v>
      </c>
      <c r="EI41" s="46" t="n">
        <f aca="false">-$E41*N(AND(EI$3&lt;=$F41,EI$4&gt;=$F41))</f>
        <v>-0</v>
      </c>
      <c r="EJ41" s="46" t="n">
        <f aca="false">-$E41*N(AND(EJ$3&lt;=$F41,EJ$4&gt;=$F41))</f>
        <v>-0</v>
      </c>
      <c r="EK41" s="46" t="n">
        <f aca="false">-$E41*N(AND(EK$3&lt;=$F41,EK$4&gt;=$F41))</f>
        <v>-0</v>
      </c>
      <c r="EL41" s="46" t="n">
        <f aca="false">-$E41*N(AND(EL$3&lt;=$F41,EL$4&gt;=$F41))</f>
        <v>-0</v>
      </c>
      <c r="EM41" s="46" t="n">
        <f aca="false">-$E41*N(AND(EM$3&lt;=$F41,EM$4&gt;=$F41))</f>
        <v>-0</v>
      </c>
      <c r="EN41" s="46" t="n">
        <f aca="false">-$E41*N(AND(EN$3&lt;=$F41,EN$4&gt;=$F41))</f>
        <v>-0</v>
      </c>
      <c r="EO41" s="46" t="n">
        <f aca="false">-$E41*N(AND(EO$3&lt;=$F41,EO$4&gt;=$F41))</f>
        <v>-0</v>
      </c>
    </row>
    <row r="42" customFormat="false" ht="15" hidden="false" customHeight="false" outlineLevel="0" collapsed="false">
      <c r="C42" s="0" t="s">
        <v>203</v>
      </c>
      <c r="D42" s="11" t="s">
        <v>33</v>
      </c>
      <c r="E42" s="19" t="n">
        <f aca="false">In_DD</f>
        <v>150</v>
      </c>
      <c r="F42" s="21" t="n">
        <f aca="false">In_Bid_Date</f>
        <v>46325</v>
      </c>
      <c r="I42" s="46" t="n">
        <f aca="false">SUM(J42:EO42)</f>
        <v>-150</v>
      </c>
      <c r="J42" s="46" t="n">
        <f aca="false">-$E42*N(AND(J$3&lt;=$F42,J$4&gt;=$F42))</f>
        <v>-150</v>
      </c>
      <c r="K42" s="46" t="n">
        <f aca="false">-$E42*N(AND(K$3&lt;=$F42,K$4&gt;=$F42))</f>
        <v>-0</v>
      </c>
      <c r="L42" s="46" t="n">
        <f aca="false">-$E42*N(AND(L$3&lt;=$F42,L$4&gt;=$F42))</f>
        <v>-0</v>
      </c>
      <c r="M42" s="46" t="n">
        <f aca="false">-$E42*N(AND(M$3&lt;=$F42,M$4&gt;=$F42))</f>
        <v>-0</v>
      </c>
      <c r="N42" s="46" t="n">
        <f aca="false">-$E42*N(AND(N$3&lt;=$F42,N$4&gt;=$F42))</f>
        <v>-0</v>
      </c>
      <c r="O42" s="46" t="n">
        <f aca="false">-$E42*N(AND(O$3&lt;=$F42,O$4&gt;=$F42))</f>
        <v>-0</v>
      </c>
      <c r="P42" s="46" t="n">
        <f aca="false">-$E42*N(AND(P$3&lt;=$F42,P$4&gt;=$F42))</f>
        <v>-0</v>
      </c>
      <c r="Q42" s="46" t="n">
        <f aca="false">-$E42*N(AND(Q$3&lt;=$F42,Q$4&gt;=$F42))</f>
        <v>-0</v>
      </c>
      <c r="R42" s="46" t="n">
        <f aca="false">-$E42*N(AND(R$3&lt;=$F42,R$4&gt;=$F42))</f>
        <v>-0</v>
      </c>
      <c r="S42" s="46" t="n">
        <f aca="false">-$E42*N(AND(S$3&lt;=$F42,S$4&gt;=$F42))</f>
        <v>-0</v>
      </c>
      <c r="T42" s="46" t="n">
        <f aca="false">-$E42*N(AND(T$3&lt;=$F42,T$4&gt;=$F42))</f>
        <v>-0</v>
      </c>
      <c r="U42" s="46" t="n">
        <f aca="false">-$E42*N(AND(U$3&lt;=$F42,U$4&gt;=$F42))</f>
        <v>-0</v>
      </c>
      <c r="V42" s="46" t="n">
        <f aca="false">-$E42*N(AND(V$3&lt;=$F42,V$4&gt;=$F42))</f>
        <v>-0</v>
      </c>
      <c r="W42" s="46" t="n">
        <f aca="false">-$E42*N(AND(W$3&lt;=$F42,W$4&gt;=$F42))</f>
        <v>-0</v>
      </c>
      <c r="X42" s="46" t="n">
        <f aca="false">-$E42*N(AND(X$3&lt;=$F42,X$4&gt;=$F42))</f>
        <v>-0</v>
      </c>
      <c r="Y42" s="46" t="n">
        <f aca="false">-$E42*N(AND(Y$3&lt;=$F42,Y$4&gt;=$F42))</f>
        <v>-0</v>
      </c>
      <c r="Z42" s="46" t="n">
        <f aca="false">-$E42*N(AND(Z$3&lt;=$F42,Z$4&gt;=$F42))</f>
        <v>-0</v>
      </c>
      <c r="AA42" s="46" t="n">
        <f aca="false">-$E42*N(AND(AA$3&lt;=$F42,AA$4&gt;=$F42))</f>
        <v>-0</v>
      </c>
      <c r="AB42" s="46" t="n">
        <f aca="false">-$E42*N(AND(AB$3&lt;=$F42,AB$4&gt;=$F42))</f>
        <v>-0</v>
      </c>
      <c r="AC42" s="46" t="n">
        <f aca="false">-$E42*N(AND(AC$3&lt;=$F42,AC$4&gt;=$F42))</f>
        <v>-0</v>
      </c>
      <c r="AD42" s="46" t="n">
        <f aca="false">-$E42*N(AND(AD$3&lt;=$F42,AD$4&gt;=$F42))</f>
        <v>-0</v>
      </c>
      <c r="AE42" s="46" t="n">
        <f aca="false">-$E42*N(AND(AE$3&lt;=$F42,AE$4&gt;=$F42))</f>
        <v>-0</v>
      </c>
      <c r="AF42" s="46" t="n">
        <f aca="false">-$E42*N(AND(AF$3&lt;=$F42,AF$4&gt;=$F42))</f>
        <v>-0</v>
      </c>
      <c r="AG42" s="46" t="n">
        <f aca="false">-$E42*N(AND(AG$3&lt;=$F42,AG$4&gt;=$F42))</f>
        <v>-0</v>
      </c>
      <c r="AH42" s="46" t="n">
        <f aca="false">-$E42*N(AND(AH$3&lt;=$F42,AH$4&gt;=$F42))</f>
        <v>-0</v>
      </c>
      <c r="AI42" s="46" t="n">
        <f aca="false">-$E42*N(AND(AI$3&lt;=$F42,AI$4&gt;=$F42))</f>
        <v>-0</v>
      </c>
      <c r="AJ42" s="46" t="n">
        <f aca="false">-$E42*N(AND(AJ$3&lt;=$F42,AJ$4&gt;=$F42))</f>
        <v>-0</v>
      </c>
      <c r="AK42" s="46" t="n">
        <f aca="false">-$E42*N(AND(AK$3&lt;=$F42,AK$4&gt;=$F42))</f>
        <v>-0</v>
      </c>
      <c r="AL42" s="46" t="n">
        <f aca="false">-$E42*N(AND(AL$3&lt;=$F42,AL$4&gt;=$F42))</f>
        <v>-0</v>
      </c>
      <c r="AM42" s="46" t="n">
        <f aca="false">-$E42*N(AND(AM$3&lt;=$F42,AM$4&gt;=$F42))</f>
        <v>-0</v>
      </c>
      <c r="AN42" s="46" t="n">
        <f aca="false">-$E42*N(AND(AN$3&lt;=$F42,AN$4&gt;=$F42))</f>
        <v>-0</v>
      </c>
      <c r="AO42" s="46" t="n">
        <f aca="false">-$E42*N(AND(AO$3&lt;=$F42,AO$4&gt;=$F42))</f>
        <v>-0</v>
      </c>
      <c r="AP42" s="46" t="n">
        <f aca="false">-$E42*N(AND(AP$3&lt;=$F42,AP$4&gt;=$F42))</f>
        <v>-0</v>
      </c>
      <c r="AQ42" s="46" t="n">
        <f aca="false">-$E42*N(AND(AQ$3&lt;=$F42,AQ$4&gt;=$F42))</f>
        <v>-0</v>
      </c>
      <c r="AR42" s="46" t="n">
        <f aca="false">-$E42*N(AND(AR$3&lt;=$F42,AR$4&gt;=$F42))</f>
        <v>-0</v>
      </c>
      <c r="AS42" s="46" t="n">
        <f aca="false">-$E42*N(AND(AS$3&lt;=$F42,AS$4&gt;=$F42))</f>
        <v>-0</v>
      </c>
      <c r="AT42" s="46" t="n">
        <f aca="false">-$E42*N(AND(AT$3&lt;=$F42,AT$4&gt;=$F42))</f>
        <v>-0</v>
      </c>
      <c r="AU42" s="46" t="n">
        <f aca="false">-$E42*N(AND(AU$3&lt;=$F42,AU$4&gt;=$F42))</f>
        <v>-0</v>
      </c>
      <c r="AV42" s="46" t="n">
        <f aca="false">-$E42*N(AND(AV$3&lt;=$F42,AV$4&gt;=$F42))</f>
        <v>-0</v>
      </c>
      <c r="AW42" s="46" t="n">
        <f aca="false">-$E42*N(AND(AW$3&lt;=$F42,AW$4&gt;=$F42))</f>
        <v>-0</v>
      </c>
      <c r="AX42" s="46" t="n">
        <f aca="false">-$E42*N(AND(AX$3&lt;=$F42,AX$4&gt;=$F42))</f>
        <v>-0</v>
      </c>
      <c r="AY42" s="46" t="n">
        <f aca="false">-$E42*N(AND(AY$3&lt;=$F42,AY$4&gt;=$F42))</f>
        <v>-0</v>
      </c>
      <c r="AZ42" s="46" t="n">
        <f aca="false">-$E42*N(AND(AZ$3&lt;=$F42,AZ$4&gt;=$F42))</f>
        <v>-0</v>
      </c>
      <c r="BA42" s="46" t="n">
        <f aca="false">-$E42*N(AND(BA$3&lt;=$F42,BA$4&gt;=$F42))</f>
        <v>-0</v>
      </c>
      <c r="BB42" s="46" t="n">
        <f aca="false">-$E42*N(AND(BB$3&lt;=$F42,BB$4&gt;=$F42))</f>
        <v>-0</v>
      </c>
      <c r="BC42" s="46" t="n">
        <f aca="false">-$E42*N(AND(BC$3&lt;=$F42,BC$4&gt;=$F42))</f>
        <v>-0</v>
      </c>
      <c r="BD42" s="46" t="n">
        <f aca="false">-$E42*N(AND(BD$3&lt;=$F42,BD$4&gt;=$F42))</f>
        <v>-0</v>
      </c>
      <c r="BE42" s="46" t="n">
        <f aca="false">-$E42*N(AND(BE$3&lt;=$F42,BE$4&gt;=$F42))</f>
        <v>-0</v>
      </c>
      <c r="BF42" s="46" t="n">
        <f aca="false">-$E42*N(AND(BF$3&lt;=$F42,BF$4&gt;=$F42))</f>
        <v>-0</v>
      </c>
      <c r="BG42" s="46" t="n">
        <f aca="false">-$E42*N(AND(BG$3&lt;=$F42,BG$4&gt;=$F42))</f>
        <v>-0</v>
      </c>
      <c r="BH42" s="46" t="n">
        <f aca="false">-$E42*N(AND(BH$3&lt;=$F42,BH$4&gt;=$F42))</f>
        <v>-0</v>
      </c>
      <c r="BI42" s="46" t="n">
        <f aca="false">-$E42*N(AND(BI$3&lt;=$F42,BI$4&gt;=$F42))</f>
        <v>-0</v>
      </c>
      <c r="BJ42" s="46" t="n">
        <f aca="false">-$E42*N(AND(BJ$3&lt;=$F42,BJ$4&gt;=$F42))</f>
        <v>-0</v>
      </c>
      <c r="BK42" s="46" t="n">
        <f aca="false">-$E42*N(AND(BK$3&lt;=$F42,BK$4&gt;=$F42))</f>
        <v>-0</v>
      </c>
      <c r="BL42" s="46" t="n">
        <f aca="false">-$E42*N(AND(BL$3&lt;=$F42,BL$4&gt;=$F42))</f>
        <v>-0</v>
      </c>
      <c r="BM42" s="46" t="n">
        <f aca="false">-$E42*N(AND(BM$3&lt;=$F42,BM$4&gt;=$F42))</f>
        <v>-0</v>
      </c>
      <c r="BN42" s="46" t="n">
        <f aca="false">-$E42*N(AND(BN$3&lt;=$F42,BN$4&gt;=$F42))</f>
        <v>-0</v>
      </c>
      <c r="BO42" s="46" t="n">
        <f aca="false">-$E42*N(AND(BO$3&lt;=$F42,BO$4&gt;=$F42))</f>
        <v>-0</v>
      </c>
      <c r="BP42" s="46" t="n">
        <f aca="false">-$E42*N(AND(BP$3&lt;=$F42,BP$4&gt;=$F42))</f>
        <v>-0</v>
      </c>
      <c r="BQ42" s="46" t="n">
        <f aca="false">-$E42*N(AND(BQ$3&lt;=$F42,BQ$4&gt;=$F42))</f>
        <v>-0</v>
      </c>
      <c r="BR42" s="46" t="n">
        <f aca="false">-$E42*N(AND(BR$3&lt;=$F42,BR$4&gt;=$F42))</f>
        <v>-0</v>
      </c>
      <c r="BS42" s="46" t="n">
        <f aca="false">-$E42*N(AND(BS$3&lt;=$F42,BS$4&gt;=$F42))</f>
        <v>-0</v>
      </c>
      <c r="BT42" s="46" t="n">
        <f aca="false">-$E42*N(AND(BT$3&lt;=$F42,BT$4&gt;=$F42))</f>
        <v>-0</v>
      </c>
      <c r="BU42" s="46" t="n">
        <f aca="false">-$E42*N(AND(BU$3&lt;=$F42,BU$4&gt;=$F42))</f>
        <v>-0</v>
      </c>
      <c r="BV42" s="46" t="n">
        <f aca="false">-$E42*N(AND(BV$3&lt;=$F42,BV$4&gt;=$F42))</f>
        <v>-0</v>
      </c>
      <c r="BW42" s="46" t="n">
        <f aca="false">-$E42*N(AND(BW$3&lt;=$F42,BW$4&gt;=$F42))</f>
        <v>-0</v>
      </c>
      <c r="BX42" s="46" t="n">
        <f aca="false">-$E42*N(AND(BX$3&lt;=$F42,BX$4&gt;=$F42))</f>
        <v>-0</v>
      </c>
      <c r="BY42" s="46" t="n">
        <f aca="false">-$E42*N(AND(BY$3&lt;=$F42,BY$4&gt;=$F42))</f>
        <v>-0</v>
      </c>
      <c r="BZ42" s="46" t="n">
        <f aca="false">-$E42*N(AND(BZ$3&lt;=$F42,BZ$4&gt;=$F42))</f>
        <v>-0</v>
      </c>
      <c r="CA42" s="46" t="n">
        <f aca="false">-$E42*N(AND(CA$3&lt;=$F42,CA$4&gt;=$F42))</f>
        <v>-0</v>
      </c>
      <c r="CB42" s="46" t="n">
        <f aca="false">-$E42*N(AND(CB$3&lt;=$F42,CB$4&gt;=$F42))</f>
        <v>-0</v>
      </c>
      <c r="CC42" s="46" t="n">
        <f aca="false">-$E42*N(AND(CC$3&lt;=$F42,CC$4&gt;=$F42))</f>
        <v>-0</v>
      </c>
      <c r="CD42" s="46" t="n">
        <f aca="false">-$E42*N(AND(CD$3&lt;=$F42,CD$4&gt;=$F42))</f>
        <v>-0</v>
      </c>
      <c r="CE42" s="46" t="n">
        <f aca="false">-$E42*N(AND(CE$3&lt;=$F42,CE$4&gt;=$F42))</f>
        <v>-0</v>
      </c>
      <c r="CF42" s="46" t="n">
        <f aca="false">-$E42*N(AND(CF$3&lt;=$F42,CF$4&gt;=$F42))</f>
        <v>-0</v>
      </c>
      <c r="CG42" s="46" t="n">
        <f aca="false">-$E42*N(AND(CG$3&lt;=$F42,CG$4&gt;=$F42))</f>
        <v>-0</v>
      </c>
      <c r="CH42" s="46" t="n">
        <f aca="false">-$E42*N(AND(CH$3&lt;=$F42,CH$4&gt;=$F42))</f>
        <v>-0</v>
      </c>
      <c r="CI42" s="46" t="n">
        <f aca="false">-$E42*N(AND(CI$3&lt;=$F42,CI$4&gt;=$F42))</f>
        <v>-0</v>
      </c>
      <c r="CJ42" s="46" t="n">
        <f aca="false">-$E42*N(AND(CJ$3&lt;=$F42,CJ$4&gt;=$F42))</f>
        <v>-0</v>
      </c>
      <c r="CK42" s="46" t="n">
        <f aca="false">-$E42*N(AND(CK$3&lt;=$F42,CK$4&gt;=$F42))</f>
        <v>-0</v>
      </c>
      <c r="CL42" s="46" t="n">
        <f aca="false">-$E42*N(AND(CL$3&lt;=$F42,CL$4&gt;=$F42))</f>
        <v>-0</v>
      </c>
      <c r="CM42" s="46" t="n">
        <f aca="false">-$E42*N(AND(CM$3&lt;=$F42,CM$4&gt;=$F42))</f>
        <v>-0</v>
      </c>
      <c r="CN42" s="46" t="n">
        <f aca="false">-$E42*N(AND(CN$3&lt;=$F42,CN$4&gt;=$F42))</f>
        <v>-0</v>
      </c>
      <c r="CO42" s="46" t="n">
        <f aca="false">-$E42*N(AND(CO$3&lt;=$F42,CO$4&gt;=$F42))</f>
        <v>-0</v>
      </c>
      <c r="CP42" s="46" t="n">
        <f aca="false">-$E42*N(AND(CP$3&lt;=$F42,CP$4&gt;=$F42))</f>
        <v>-0</v>
      </c>
      <c r="CQ42" s="46" t="n">
        <f aca="false">-$E42*N(AND(CQ$3&lt;=$F42,CQ$4&gt;=$F42))</f>
        <v>-0</v>
      </c>
      <c r="CR42" s="46" t="n">
        <f aca="false">-$E42*N(AND(CR$3&lt;=$F42,CR$4&gt;=$F42))</f>
        <v>-0</v>
      </c>
      <c r="CS42" s="46" t="n">
        <f aca="false">-$E42*N(AND(CS$3&lt;=$F42,CS$4&gt;=$F42))</f>
        <v>-0</v>
      </c>
      <c r="CT42" s="46" t="n">
        <f aca="false">-$E42*N(AND(CT$3&lt;=$F42,CT$4&gt;=$F42))</f>
        <v>-0</v>
      </c>
      <c r="CU42" s="46" t="n">
        <f aca="false">-$E42*N(AND(CU$3&lt;=$F42,CU$4&gt;=$F42))</f>
        <v>-0</v>
      </c>
      <c r="CV42" s="46" t="n">
        <f aca="false">-$E42*N(AND(CV$3&lt;=$F42,CV$4&gt;=$F42))</f>
        <v>-0</v>
      </c>
      <c r="CW42" s="46" t="n">
        <f aca="false">-$E42*N(AND(CW$3&lt;=$F42,CW$4&gt;=$F42))</f>
        <v>-0</v>
      </c>
      <c r="CX42" s="46" t="n">
        <f aca="false">-$E42*N(AND(CX$3&lt;=$F42,CX$4&gt;=$F42))</f>
        <v>-0</v>
      </c>
      <c r="CY42" s="46" t="n">
        <f aca="false">-$E42*N(AND(CY$3&lt;=$F42,CY$4&gt;=$F42))</f>
        <v>-0</v>
      </c>
      <c r="CZ42" s="46" t="n">
        <f aca="false">-$E42*N(AND(CZ$3&lt;=$F42,CZ$4&gt;=$F42))</f>
        <v>-0</v>
      </c>
      <c r="DA42" s="46" t="n">
        <f aca="false">-$E42*N(AND(DA$3&lt;=$F42,DA$4&gt;=$F42))</f>
        <v>-0</v>
      </c>
      <c r="DB42" s="46" t="n">
        <f aca="false">-$E42*N(AND(DB$3&lt;=$F42,DB$4&gt;=$F42))</f>
        <v>-0</v>
      </c>
      <c r="DC42" s="46" t="n">
        <f aca="false">-$E42*N(AND(DC$3&lt;=$F42,DC$4&gt;=$F42))</f>
        <v>-0</v>
      </c>
      <c r="DD42" s="46" t="n">
        <f aca="false">-$E42*N(AND(DD$3&lt;=$F42,DD$4&gt;=$F42))</f>
        <v>-0</v>
      </c>
      <c r="DE42" s="46" t="n">
        <f aca="false">-$E42*N(AND(DE$3&lt;=$F42,DE$4&gt;=$F42))</f>
        <v>-0</v>
      </c>
      <c r="DF42" s="46" t="n">
        <f aca="false">-$E42*N(AND(DF$3&lt;=$F42,DF$4&gt;=$F42))</f>
        <v>-0</v>
      </c>
      <c r="DG42" s="46" t="n">
        <f aca="false">-$E42*N(AND(DG$3&lt;=$F42,DG$4&gt;=$F42))</f>
        <v>-0</v>
      </c>
      <c r="DH42" s="46" t="n">
        <f aca="false">-$E42*N(AND(DH$3&lt;=$F42,DH$4&gt;=$F42))</f>
        <v>-0</v>
      </c>
      <c r="DI42" s="46" t="n">
        <f aca="false">-$E42*N(AND(DI$3&lt;=$F42,DI$4&gt;=$F42))</f>
        <v>-0</v>
      </c>
      <c r="DJ42" s="46" t="n">
        <f aca="false">-$E42*N(AND(DJ$3&lt;=$F42,DJ$4&gt;=$F42))</f>
        <v>-0</v>
      </c>
      <c r="DK42" s="46" t="n">
        <f aca="false">-$E42*N(AND(DK$3&lt;=$F42,DK$4&gt;=$F42))</f>
        <v>-0</v>
      </c>
      <c r="DL42" s="46" t="n">
        <f aca="false">-$E42*N(AND(DL$3&lt;=$F42,DL$4&gt;=$F42))</f>
        <v>-0</v>
      </c>
      <c r="DM42" s="46" t="n">
        <f aca="false">-$E42*N(AND(DM$3&lt;=$F42,DM$4&gt;=$F42))</f>
        <v>-0</v>
      </c>
      <c r="DN42" s="46" t="n">
        <f aca="false">-$E42*N(AND(DN$3&lt;=$F42,DN$4&gt;=$F42))</f>
        <v>-0</v>
      </c>
      <c r="DO42" s="46" t="n">
        <f aca="false">-$E42*N(AND(DO$3&lt;=$F42,DO$4&gt;=$F42))</f>
        <v>-0</v>
      </c>
      <c r="DP42" s="46" t="n">
        <f aca="false">-$E42*N(AND(DP$3&lt;=$F42,DP$4&gt;=$F42))</f>
        <v>-0</v>
      </c>
      <c r="DQ42" s="46" t="n">
        <f aca="false">-$E42*N(AND(DQ$3&lt;=$F42,DQ$4&gt;=$F42))</f>
        <v>-0</v>
      </c>
      <c r="DR42" s="46" t="n">
        <f aca="false">-$E42*N(AND(DR$3&lt;=$F42,DR$4&gt;=$F42))</f>
        <v>-0</v>
      </c>
      <c r="DS42" s="46" t="n">
        <f aca="false">-$E42*N(AND(DS$3&lt;=$F42,DS$4&gt;=$F42))</f>
        <v>-0</v>
      </c>
      <c r="DT42" s="46" t="n">
        <f aca="false">-$E42*N(AND(DT$3&lt;=$F42,DT$4&gt;=$F42))</f>
        <v>-0</v>
      </c>
      <c r="DU42" s="46" t="n">
        <f aca="false">-$E42*N(AND(DU$3&lt;=$F42,DU$4&gt;=$F42))</f>
        <v>-0</v>
      </c>
      <c r="DV42" s="46" t="n">
        <f aca="false">-$E42*N(AND(DV$3&lt;=$F42,DV$4&gt;=$F42))</f>
        <v>-0</v>
      </c>
      <c r="DW42" s="46" t="n">
        <f aca="false">-$E42*N(AND(DW$3&lt;=$F42,DW$4&gt;=$F42))</f>
        <v>-0</v>
      </c>
      <c r="DX42" s="46" t="n">
        <f aca="false">-$E42*N(AND(DX$3&lt;=$F42,DX$4&gt;=$F42))</f>
        <v>-0</v>
      </c>
      <c r="DY42" s="46" t="n">
        <f aca="false">-$E42*N(AND(DY$3&lt;=$F42,DY$4&gt;=$F42))</f>
        <v>-0</v>
      </c>
      <c r="DZ42" s="46" t="n">
        <f aca="false">-$E42*N(AND(DZ$3&lt;=$F42,DZ$4&gt;=$F42))</f>
        <v>-0</v>
      </c>
      <c r="EA42" s="46" t="n">
        <f aca="false">-$E42*N(AND(EA$3&lt;=$F42,EA$4&gt;=$F42))</f>
        <v>-0</v>
      </c>
      <c r="EB42" s="46" t="n">
        <f aca="false">-$E42*N(AND(EB$3&lt;=$F42,EB$4&gt;=$F42))</f>
        <v>-0</v>
      </c>
      <c r="EC42" s="46" t="n">
        <f aca="false">-$E42*N(AND(EC$3&lt;=$F42,EC$4&gt;=$F42))</f>
        <v>-0</v>
      </c>
      <c r="ED42" s="46" t="n">
        <f aca="false">-$E42*N(AND(ED$3&lt;=$F42,ED$4&gt;=$F42))</f>
        <v>-0</v>
      </c>
      <c r="EE42" s="46" t="n">
        <f aca="false">-$E42*N(AND(EE$3&lt;=$F42,EE$4&gt;=$F42))</f>
        <v>-0</v>
      </c>
      <c r="EF42" s="46" t="n">
        <f aca="false">-$E42*N(AND(EF$3&lt;=$F42,EF$4&gt;=$F42))</f>
        <v>-0</v>
      </c>
      <c r="EG42" s="46" t="n">
        <f aca="false">-$E42*N(AND(EG$3&lt;=$F42,EG$4&gt;=$F42))</f>
        <v>-0</v>
      </c>
      <c r="EH42" s="46" t="n">
        <f aca="false">-$E42*N(AND(EH$3&lt;=$F42,EH$4&gt;=$F42))</f>
        <v>-0</v>
      </c>
      <c r="EI42" s="46" t="n">
        <f aca="false">-$E42*N(AND(EI$3&lt;=$F42,EI$4&gt;=$F42))</f>
        <v>-0</v>
      </c>
      <c r="EJ42" s="46" t="n">
        <f aca="false">-$E42*N(AND(EJ$3&lt;=$F42,EJ$4&gt;=$F42))</f>
        <v>-0</v>
      </c>
      <c r="EK42" s="46" t="n">
        <f aca="false">-$E42*N(AND(EK$3&lt;=$F42,EK$4&gt;=$F42))</f>
        <v>-0</v>
      </c>
      <c r="EL42" s="46" t="n">
        <f aca="false">-$E42*N(AND(EL$3&lt;=$F42,EL$4&gt;=$F42))</f>
        <v>-0</v>
      </c>
      <c r="EM42" s="46" t="n">
        <f aca="false">-$E42*N(AND(EM$3&lt;=$F42,EM$4&gt;=$F42))</f>
        <v>-0</v>
      </c>
      <c r="EN42" s="46" t="n">
        <f aca="false">-$E42*N(AND(EN$3&lt;=$F42,EN$4&gt;=$F42))</f>
        <v>-0</v>
      </c>
      <c r="EO42" s="46" t="n">
        <f aca="false">-$E42*N(AND(EO$3&lt;=$F42,EO$4&gt;=$F42))</f>
        <v>-0</v>
      </c>
    </row>
    <row r="43" customFormat="false" ht="15" hidden="false" customHeight="false" outlineLevel="0" collapsed="false">
      <c r="C43" s="0" t="s">
        <v>375</v>
      </c>
      <c r="D43" s="11" t="s">
        <v>33</v>
      </c>
      <c r="I43" s="46" t="n">
        <f aca="false">SUM(J43:EO43)</f>
        <v>-500</v>
      </c>
      <c r="J43" s="46" t="n">
        <f aca="false">-In_Devex*J13</f>
        <v>-0</v>
      </c>
      <c r="K43" s="46" t="n">
        <f aca="false">-In_Devex*K13</f>
        <v>-70.4225352112676</v>
      </c>
      <c r="L43" s="46" t="n">
        <f aca="false">-In_Devex*L13</f>
        <v>-71.2050078247261</v>
      </c>
      <c r="M43" s="46" t="n">
        <f aca="false">-In_Devex*M13</f>
        <v>-71.9874804381847</v>
      </c>
      <c r="N43" s="46" t="n">
        <f aca="false">-In_Devex*N13</f>
        <v>-71.9874804381847</v>
      </c>
      <c r="O43" s="46" t="n">
        <f aca="false">-In_Devex*O13</f>
        <v>-71.2050078247261</v>
      </c>
      <c r="P43" s="46" t="n">
        <f aca="false">-In_Devex*P13</f>
        <v>-71.2050078247261</v>
      </c>
      <c r="Q43" s="46" t="n">
        <f aca="false">-In_Devex*Q13</f>
        <v>-71.9874804381847</v>
      </c>
      <c r="R43" s="46" t="n">
        <f aca="false">-In_Devex*R13</f>
        <v>-0</v>
      </c>
      <c r="S43" s="46" t="n">
        <f aca="false">-In_Devex*S13</f>
        <v>-0</v>
      </c>
      <c r="T43" s="46" t="n">
        <f aca="false">-In_Devex*T13</f>
        <v>-0</v>
      </c>
      <c r="U43" s="46" t="n">
        <f aca="false">-In_Devex*U13</f>
        <v>-0</v>
      </c>
      <c r="V43" s="46" t="n">
        <f aca="false">-In_Devex*V13</f>
        <v>-0</v>
      </c>
      <c r="W43" s="46" t="n">
        <f aca="false">-In_Devex*W13</f>
        <v>-0</v>
      </c>
      <c r="X43" s="46" t="n">
        <f aca="false">-In_Devex*X13</f>
        <v>-0</v>
      </c>
      <c r="Y43" s="46" t="n">
        <f aca="false">-In_Devex*Y13</f>
        <v>-0</v>
      </c>
      <c r="Z43" s="46" t="n">
        <f aca="false">-In_Devex*Z13</f>
        <v>-0</v>
      </c>
      <c r="AA43" s="46" t="n">
        <f aca="false">-In_Devex*AA13</f>
        <v>-0</v>
      </c>
      <c r="AB43" s="46" t="n">
        <f aca="false">-In_Devex*AB13</f>
        <v>-0</v>
      </c>
      <c r="AC43" s="46" t="n">
        <f aca="false">-In_Devex*AC13</f>
        <v>-0</v>
      </c>
      <c r="AD43" s="46" t="n">
        <f aca="false">-In_Devex*AD13</f>
        <v>-0</v>
      </c>
      <c r="AE43" s="46" t="n">
        <f aca="false">-In_Devex*AE13</f>
        <v>-0</v>
      </c>
      <c r="AF43" s="46" t="n">
        <f aca="false">-In_Devex*AF13</f>
        <v>-0</v>
      </c>
      <c r="AG43" s="46" t="n">
        <f aca="false">-In_Devex*AG13</f>
        <v>-0</v>
      </c>
      <c r="AH43" s="46" t="n">
        <f aca="false">-In_Devex*AH13</f>
        <v>-0</v>
      </c>
      <c r="AI43" s="46" t="n">
        <f aca="false">-In_Devex*AI13</f>
        <v>-0</v>
      </c>
      <c r="AJ43" s="46" t="n">
        <f aca="false">-In_Devex*AJ13</f>
        <v>-0</v>
      </c>
      <c r="AK43" s="46" t="n">
        <f aca="false">-In_Devex*AK13</f>
        <v>-0</v>
      </c>
      <c r="AL43" s="46" t="n">
        <f aca="false">-In_Devex*AL13</f>
        <v>-0</v>
      </c>
      <c r="AM43" s="46" t="n">
        <f aca="false">-In_Devex*AM13</f>
        <v>-0</v>
      </c>
      <c r="AN43" s="46" t="n">
        <f aca="false">-In_Devex*AN13</f>
        <v>-0</v>
      </c>
      <c r="AO43" s="46" t="n">
        <f aca="false">-In_Devex*AO13</f>
        <v>-0</v>
      </c>
      <c r="AP43" s="46" t="n">
        <f aca="false">-In_Devex*AP13</f>
        <v>-0</v>
      </c>
      <c r="AQ43" s="46" t="n">
        <f aca="false">-In_Devex*AQ13</f>
        <v>-0</v>
      </c>
      <c r="AR43" s="46" t="n">
        <f aca="false">-In_Devex*AR13</f>
        <v>-0</v>
      </c>
      <c r="AS43" s="46" t="n">
        <f aca="false">-In_Devex*AS13</f>
        <v>-0</v>
      </c>
      <c r="AT43" s="46" t="n">
        <f aca="false">-In_Devex*AT13</f>
        <v>-0</v>
      </c>
      <c r="AU43" s="46" t="n">
        <f aca="false">-In_Devex*AU13</f>
        <v>-0</v>
      </c>
      <c r="AV43" s="46" t="n">
        <f aca="false">-In_Devex*AV13</f>
        <v>-0</v>
      </c>
      <c r="AW43" s="46" t="n">
        <f aca="false">-In_Devex*AW13</f>
        <v>-0</v>
      </c>
      <c r="AX43" s="46" t="n">
        <f aca="false">-In_Devex*AX13</f>
        <v>-0</v>
      </c>
      <c r="AY43" s="46" t="n">
        <f aca="false">-In_Devex*AY13</f>
        <v>-0</v>
      </c>
      <c r="AZ43" s="46" t="n">
        <f aca="false">-In_Devex*AZ13</f>
        <v>-0</v>
      </c>
      <c r="BA43" s="46" t="n">
        <f aca="false">-In_Devex*BA13</f>
        <v>-0</v>
      </c>
      <c r="BB43" s="46" t="n">
        <f aca="false">-In_Devex*BB13</f>
        <v>-0</v>
      </c>
      <c r="BC43" s="46" t="n">
        <f aca="false">-In_Devex*BC13</f>
        <v>-0</v>
      </c>
      <c r="BD43" s="46" t="n">
        <f aca="false">-In_Devex*BD13</f>
        <v>-0</v>
      </c>
      <c r="BE43" s="46" t="n">
        <f aca="false">-In_Devex*BE13</f>
        <v>-0</v>
      </c>
      <c r="BF43" s="46" t="n">
        <f aca="false">-In_Devex*BF13</f>
        <v>-0</v>
      </c>
      <c r="BG43" s="46" t="n">
        <f aca="false">-In_Devex*BG13</f>
        <v>-0</v>
      </c>
      <c r="BH43" s="46" t="n">
        <f aca="false">-In_Devex*BH13</f>
        <v>-0</v>
      </c>
      <c r="BI43" s="46" t="n">
        <f aca="false">-In_Devex*BI13</f>
        <v>-0</v>
      </c>
      <c r="BJ43" s="46" t="n">
        <f aca="false">-In_Devex*BJ13</f>
        <v>-0</v>
      </c>
      <c r="BK43" s="46" t="n">
        <f aca="false">-In_Devex*BK13</f>
        <v>-0</v>
      </c>
      <c r="BL43" s="46" t="n">
        <f aca="false">-In_Devex*BL13</f>
        <v>-0</v>
      </c>
      <c r="BM43" s="46" t="n">
        <f aca="false">-In_Devex*BM13</f>
        <v>-0</v>
      </c>
      <c r="BN43" s="46" t="n">
        <f aca="false">-In_Devex*BN13</f>
        <v>-0</v>
      </c>
      <c r="BO43" s="46" t="n">
        <f aca="false">-In_Devex*BO13</f>
        <v>-0</v>
      </c>
      <c r="BP43" s="46" t="n">
        <f aca="false">-In_Devex*BP13</f>
        <v>-0</v>
      </c>
      <c r="BQ43" s="46" t="n">
        <f aca="false">-In_Devex*BQ13</f>
        <v>-0</v>
      </c>
      <c r="BR43" s="46" t="n">
        <f aca="false">-In_Devex*BR13</f>
        <v>-0</v>
      </c>
      <c r="BS43" s="46" t="n">
        <f aca="false">-In_Devex*BS13</f>
        <v>-0</v>
      </c>
      <c r="BT43" s="46" t="n">
        <f aca="false">-In_Devex*BT13</f>
        <v>-0</v>
      </c>
      <c r="BU43" s="46" t="n">
        <f aca="false">-In_Devex*BU13</f>
        <v>-0</v>
      </c>
      <c r="BV43" s="46" t="n">
        <f aca="false">-In_Devex*BV13</f>
        <v>-0</v>
      </c>
      <c r="BW43" s="46" t="n">
        <f aca="false">-In_Devex*BW13</f>
        <v>-0</v>
      </c>
      <c r="BX43" s="46" t="n">
        <f aca="false">-In_Devex*BX13</f>
        <v>-0</v>
      </c>
      <c r="BY43" s="46" t="n">
        <f aca="false">-In_Devex*BY13</f>
        <v>-0</v>
      </c>
      <c r="BZ43" s="46" t="n">
        <f aca="false">-In_Devex*BZ13</f>
        <v>-0</v>
      </c>
      <c r="CA43" s="46" t="n">
        <f aca="false">-In_Devex*CA13</f>
        <v>-0</v>
      </c>
      <c r="CB43" s="46" t="n">
        <f aca="false">-In_Devex*CB13</f>
        <v>-0</v>
      </c>
      <c r="CC43" s="46" t="n">
        <f aca="false">-In_Devex*CC13</f>
        <v>-0</v>
      </c>
      <c r="CD43" s="46" t="n">
        <f aca="false">-In_Devex*CD13</f>
        <v>-0</v>
      </c>
      <c r="CE43" s="46" t="n">
        <f aca="false">-In_Devex*CE13</f>
        <v>-0</v>
      </c>
      <c r="CF43" s="46" t="n">
        <f aca="false">-In_Devex*CF13</f>
        <v>-0</v>
      </c>
      <c r="CG43" s="46" t="n">
        <f aca="false">-In_Devex*CG13</f>
        <v>-0</v>
      </c>
      <c r="CH43" s="46" t="n">
        <f aca="false">-In_Devex*CH13</f>
        <v>-0</v>
      </c>
      <c r="CI43" s="46" t="n">
        <f aca="false">-In_Devex*CI13</f>
        <v>-0</v>
      </c>
      <c r="CJ43" s="46" t="n">
        <f aca="false">-In_Devex*CJ13</f>
        <v>-0</v>
      </c>
      <c r="CK43" s="46" t="n">
        <f aca="false">-In_Devex*CK13</f>
        <v>-0</v>
      </c>
      <c r="CL43" s="46" t="n">
        <f aca="false">-In_Devex*CL13</f>
        <v>-0</v>
      </c>
      <c r="CM43" s="46" t="n">
        <f aca="false">-In_Devex*CM13</f>
        <v>-0</v>
      </c>
      <c r="CN43" s="46" t="n">
        <f aca="false">-In_Devex*CN13</f>
        <v>-0</v>
      </c>
      <c r="CO43" s="46" t="n">
        <f aca="false">-In_Devex*CO13</f>
        <v>-0</v>
      </c>
      <c r="CP43" s="46" t="n">
        <f aca="false">-In_Devex*CP13</f>
        <v>-0</v>
      </c>
      <c r="CQ43" s="46" t="n">
        <f aca="false">-In_Devex*CQ13</f>
        <v>-0</v>
      </c>
      <c r="CR43" s="46" t="n">
        <f aca="false">-In_Devex*CR13</f>
        <v>-0</v>
      </c>
      <c r="CS43" s="46" t="n">
        <f aca="false">-In_Devex*CS13</f>
        <v>-0</v>
      </c>
      <c r="CT43" s="46" t="n">
        <f aca="false">-In_Devex*CT13</f>
        <v>-0</v>
      </c>
      <c r="CU43" s="46" t="n">
        <f aca="false">-In_Devex*CU13</f>
        <v>-0</v>
      </c>
      <c r="CV43" s="46" t="n">
        <f aca="false">-In_Devex*CV13</f>
        <v>-0</v>
      </c>
      <c r="CW43" s="46" t="n">
        <f aca="false">-In_Devex*CW13</f>
        <v>-0</v>
      </c>
      <c r="CX43" s="46" t="n">
        <f aca="false">-In_Devex*CX13</f>
        <v>-0</v>
      </c>
      <c r="CY43" s="46" t="n">
        <f aca="false">-In_Devex*CY13</f>
        <v>-0</v>
      </c>
      <c r="CZ43" s="46" t="n">
        <f aca="false">-In_Devex*CZ13</f>
        <v>-0</v>
      </c>
      <c r="DA43" s="46" t="n">
        <f aca="false">-In_Devex*DA13</f>
        <v>-0</v>
      </c>
      <c r="DB43" s="46" t="n">
        <f aca="false">-In_Devex*DB13</f>
        <v>-0</v>
      </c>
      <c r="DC43" s="46" t="n">
        <f aca="false">-In_Devex*DC13</f>
        <v>-0</v>
      </c>
      <c r="DD43" s="46" t="n">
        <f aca="false">-In_Devex*DD13</f>
        <v>-0</v>
      </c>
      <c r="DE43" s="46" t="n">
        <f aca="false">-In_Devex*DE13</f>
        <v>-0</v>
      </c>
      <c r="DF43" s="46" t="n">
        <f aca="false">-In_Devex*DF13</f>
        <v>-0</v>
      </c>
      <c r="DG43" s="46" t="n">
        <f aca="false">-In_Devex*DG13</f>
        <v>-0</v>
      </c>
      <c r="DH43" s="46" t="n">
        <f aca="false">-In_Devex*DH13</f>
        <v>-0</v>
      </c>
      <c r="DI43" s="46" t="n">
        <f aca="false">-In_Devex*DI13</f>
        <v>-0</v>
      </c>
      <c r="DJ43" s="46" t="n">
        <f aca="false">-In_Devex*DJ13</f>
        <v>-0</v>
      </c>
      <c r="DK43" s="46" t="n">
        <f aca="false">-In_Devex*DK13</f>
        <v>-0</v>
      </c>
      <c r="DL43" s="46" t="n">
        <f aca="false">-In_Devex*DL13</f>
        <v>-0</v>
      </c>
      <c r="DM43" s="46" t="n">
        <f aca="false">-In_Devex*DM13</f>
        <v>-0</v>
      </c>
      <c r="DN43" s="46" t="n">
        <f aca="false">-In_Devex*DN13</f>
        <v>-0</v>
      </c>
      <c r="DO43" s="46" t="n">
        <f aca="false">-In_Devex*DO13</f>
        <v>-0</v>
      </c>
      <c r="DP43" s="46" t="n">
        <f aca="false">-In_Devex*DP13</f>
        <v>-0</v>
      </c>
      <c r="DQ43" s="46" t="n">
        <f aca="false">-In_Devex*DQ13</f>
        <v>-0</v>
      </c>
      <c r="DR43" s="46" t="n">
        <f aca="false">-In_Devex*DR13</f>
        <v>-0</v>
      </c>
      <c r="DS43" s="46" t="n">
        <f aca="false">-In_Devex*DS13</f>
        <v>-0</v>
      </c>
      <c r="DT43" s="46" t="n">
        <f aca="false">-In_Devex*DT13</f>
        <v>-0</v>
      </c>
      <c r="DU43" s="46" t="n">
        <f aca="false">-In_Devex*DU13</f>
        <v>-0</v>
      </c>
      <c r="DV43" s="46" t="n">
        <f aca="false">-In_Devex*DV13</f>
        <v>-0</v>
      </c>
      <c r="DW43" s="46" t="n">
        <f aca="false">-In_Devex*DW13</f>
        <v>-0</v>
      </c>
      <c r="DX43" s="46" t="n">
        <f aca="false">-In_Devex*DX13</f>
        <v>-0</v>
      </c>
      <c r="DY43" s="46" t="n">
        <f aca="false">-In_Devex*DY13</f>
        <v>-0</v>
      </c>
      <c r="DZ43" s="46" t="n">
        <f aca="false">-In_Devex*DZ13</f>
        <v>-0</v>
      </c>
      <c r="EA43" s="46" t="n">
        <f aca="false">-In_Devex*EA13</f>
        <v>-0</v>
      </c>
      <c r="EB43" s="46" t="n">
        <f aca="false">-In_Devex*EB13</f>
        <v>-0</v>
      </c>
      <c r="EC43" s="46" t="n">
        <f aca="false">-In_Devex*EC13</f>
        <v>-0</v>
      </c>
      <c r="ED43" s="46" t="n">
        <f aca="false">-In_Devex*ED13</f>
        <v>-0</v>
      </c>
      <c r="EE43" s="46" t="n">
        <f aca="false">-In_Devex*EE13</f>
        <v>-0</v>
      </c>
      <c r="EF43" s="46" t="n">
        <f aca="false">-In_Devex*EF13</f>
        <v>-0</v>
      </c>
      <c r="EG43" s="46" t="n">
        <f aca="false">-In_Devex*EG13</f>
        <v>-0</v>
      </c>
      <c r="EH43" s="46" t="n">
        <f aca="false">-In_Devex*EH13</f>
        <v>-0</v>
      </c>
      <c r="EI43" s="46" t="n">
        <f aca="false">-In_Devex*EI13</f>
        <v>-0</v>
      </c>
      <c r="EJ43" s="46" t="n">
        <f aca="false">-In_Devex*EJ13</f>
        <v>-0</v>
      </c>
      <c r="EK43" s="46" t="n">
        <f aca="false">-In_Devex*EK13</f>
        <v>-0</v>
      </c>
      <c r="EL43" s="46" t="n">
        <f aca="false">-In_Devex*EL13</f>
        <v>-0</v>
      </c>
      <c r="EM43" s="46" t="n">
        <f aca="false">-In_Devex*EM13</f>
        <v>-0</v>
      </c>
      <c r="EN43" s="46" t="n">
        <f aca="false">-In_Devex*EN13</f>
        <v>-0</v>
      </c>
      <c r="EO43" s="46" t="n">
        <f aca="false">-In_Devex*EO13</f>
        <v>-0</v>
      </c>
    </row>
    <row r="44" customFormat="false" ht="15" hidden="false" customHeight="false" outlineLevel="0" collapsed="false">
      <c r="C44" s="0" t="s">
        <v>376</v>
      </c>
      <c r="D44" s="11" t="s">
        <v>245</v>
      </c>
      <c r="E44" s="46" t="n">
        <f aca="false">$E24*In_Bench_Wind</f>
        <v>24360</v>
      </c>
    </row>
    <row r="45" customFormat="false" ht="15" hidden="false" customHeight="false" outlineLevel="0" collapsed="false">
      <c r="C45" s="0" t="s">
        <v>377</v>
      </c>
      <c r="D45" s="11" t="s">
        <v>33</v>
      </c>
      <c r="E45" s="46" t="n">
        <f aca="false">In_Part_Fee*Thousand/In_FX</f>
        <v>8.21917808219178</v>
      </c>
      <c r="F45" s="21" t="n">
        <f aca="false">In_Bid_Date</f>
        <v>46325</v>
      </c>
      <c r="I45" s="46" t="n">
        <f aca="false">SUM(J45:EO45)</f>
        <v>-8.21917808219178</v>
      </c>
      <c r="J45" s="46" t="n">
        <f aca="false">-$E45*N(AND(J$3&lt;=$F45,J$4&gt;=$F45))</f>
        <v>-8.21917808219178</v>
      </c>
      <c r="K45" s="46" t="n">
        <f aca="false">-$E45*N(AND(K$3&lt;=$F45,K$4&gt;=$F45))</f>
        <v>-0</v>
      </c>
      <c r="L45" s="46" t="n">
        <f aca="false">-$E45*N(AND(L$3&lt;=$F45,L$4&gt;=$F45))</f>
        <v>-0</v>
      </c>
      <c r="M45" s="46" t="n">
        <f aca="false">-$E45*N(AND(M$3&lt;=$F45,M$4&gt;=$F45))</f>
        <v>-0</v>
      </c>
      <c r="N45" s="46" t="n">
        <f aca="false">-$E45*N(AND(N$3&lt;=$F45,N$4&gt;=$F45))</f>
        <v>-0</v>
      </c>
      <c r="O45" s="46" t="n">
        <f aca="false">-$E45*N(AND(O$3&lt;=$F45,O$4&gt;=$F45))</f>
        <v>-0</v>
      </c>
      <c r="P45" s="46" t="n">
        <f aca="false">-$E45*N(AND(P$3&lt;=$F45,P$4&gt;=$F45))</f>
        <v>-0</v>
      </c>
      <c r="Q45" s="46" t="n">
        <f aca="false">-$E45*N(AND(Q$3&lt;=$F45,Q$4&gt;=$F45))</f>
        <v>-0</v>
      </c>
      <c r="R45" s="46" t="n">
        <f aca="false">-$E45*N(AND(R$3&lt;=$F45,R$4&gt;=$F45))</f>
        <v>-0</v>
      </c>
      <c r="S45" s="46" t="n">
        <f aca="false">-$E45*N(AND(S$3&lt;=$F45,S$4&gt;=$F45))</f>
        <v>-0</v>
      </c>
      <c r="T45" s="46" t="n">
        <f aca="false">-$E45*N(AND(T$3&lt;=$F45,T$4&gt;=$F45))</f>
        <v>-0</v>
      </c>
      <c r="U45" s="46" t="n">
        <f aca="false">-$E45*N(AND(U$3&lt;=$F45,U$4&gt;=$F45))</f>
        <v>-0</v>
      </c>
      <c r="V45" s="46" t="n">
        <f aca="false">-$E45*N(AND(V$3&lt;=$F45,V$4&gt;=$F45))</f>
        <v>-0</v>
      </c>
      <c r="W45" s="46" t="n">
        <f aca="false">-$E45*N(AND(W$3&lt;=$F45,W$4&gt;=$F45))</f>
        <v>-0</v>
      </c>
      <c r="X45" s="46" t="n">
        <f aca="false">-$E45*N(AND(X$3&lt;=$F45,X$4&gt;=$F45))</f>
        <v>-0</v>
      </c>
      <c r="Y45" s="46" t="n">
        <f aca="false">-$E45*N(AND(Y$3&lt;=$F45,Y$4&gt;=$F45))</f>
        <v>-0</v>
      </c>
      <c r="Z45" s="46" t="n">
        <f aca="false">-$E45*N(AND(Z$3&lt;=$F45,Z$4&gt;=$F45))</f>
        <v>-0</v>
      </c>
      <c r="AA45" s="46" t="n">
        <f aca="false">-$E45*N(AND(AA$3&lt;=$F45,AA$4&gt;=$F45))</f>
        <v>-0</v>
      </c>
      <c r="AB45" s="46" t="n">
        <f aca="false">-$E45*N(AND(AB$3&lt;=$F45,AB$4&gt;=$F45))</f>
        <v>-0</v>
      </c>
      <c r="AC45" s="46" t="n">
        <f aca="false">-$E45*N(AND(AC$3&lt;=$F45,AC$4&gt;=$F45))</f>
        <v>-0</v>
      </c>
      <c r="AD45" s="46" t="n">
        <f aca="false">-$E45*N(AND(AD$3&lt;=$F45,AD$4&gt;=$F45))</f>
        <v>-0</v>
      </c>
      <c r="AE45" s="46" t="n">
        <f aca="false">-$E45*N(AND(AE$3&lt;=$F45,AE$4&gt;=$F45))</f>
        <v>-0</v>
      </c>
      <c r="AF45" s="46" t="n">
        <f aca="false">-$E45*N(AND(AF$3&lt;=$F45,AF$4&gt;=$F45))</f>
        <v>-0</v>
      </c>
      <c r="AG45" s="46" t="n">
        <f aca="false">-$E45*N(AND(AG$3&lt;=$F45,AG$4&gt;=$F45))</f>
        <v>-0</v>
      </c>
      <c r="AH45" s="46" t="n">
        <f aca="false">-$E45*N(AND(AH$3&lt;=$F45,AH$4&gt;=$F45))</f>
        <v>-0</v>
      </c>
      <c r="AI45" s="46" t="n">
        <f aca="false">-$E45*N(AND(AI$3&lt;=$F45,AI$4&gt;=$F45))</f>
        <v>-0</v>
      </c>
      <c r="AJ45" s="46" t="n">
        <f aca="false">-$E45*N(AND(AJ$3&lt;=$F45,AJ$4&gt;=$F45))</f>
        <v>-0</v>
      </c>
      <c r="AK45" s="46" t="n">
        <f aca="false">-$E45*N(AND(AK$3&lt;=$F45,AK$4&gt;=$F45))</f>
        <v>-0</v>
      </c>
      <c r="AL45" s="46" t="n">
        <f aca="false">-$E45*N(AND(AL$3&lt;=$F45,AL$4&gt;=$F45))</f>
        <v>-0</v>
      </c>
      <c r="AM45" s="46" t="n">
        <f aca="false">-$E45*N(AND(AM$3&lt;=$F45,AM$4&gt;=$F45))</f>
        <v>-0</v>
      </c>
      <c r="AN45" s="46" t="n">
        <f aca="false">-$E45*N(AND(AN$3&lt;=$F45,AN$4&gt;=$F45))</f>
        <v>-0</v>
      </c>
      <c r="AO45" s="46" t="n">
        <f aca="false">-$E45*N(AND(AO$3&lt;=$F45,AO$4&gt;=$F45))</f>
        <v>-0</v>
      </c>
      <c r="AP45" s="46" t="n">
        <f aca="false">-$E45*N(AND(AP$3&lt;=$F45,AP$4&gt;=$F45))</f>
        <v>-0</v>
      </c>
      <c r="AQ45" s="46" t="n">
        <f aca="false">-$E45*N(AND(AQ$3&lt;=$F45,AQ$4&gt;=$F45))</f>
        <v>-0</v>
      </c>
      <c r="AR45" s="46" t="n">
        <f aca="false">-$E45*N(AND(AR$3&lt;=$F45,AR$4&gt;=$F45))</f>
        <v>-0</v>
      </c>
      <c r="AS45" s="46" t="n">
        <f aca="false">-$E45*N(AND(AS$3&lt;=$F45,AS$4&gt;=$F45))</f>
        <v>-0</v>
      </c>
      <c r="AT45" s="46" t="n">
        <f aca="false">-$E45*N(AND(AT$3&lt;=$F45,AT$4&gt;=$F45))</f>
        <v>-0</v>
      </c>
      <c r="AU45" s="46" t="n">
        <f aca="false">-$E45*N(AND(AU$3&lt;=$F45,AU$4&gt;=$F45))</f>
        <v>-0</v>
      </c>
      <c r="AV45" s="46" t="n">
        <f aca="false">-$E45*N(AND(AV$3&lt;=$F45,AV$4&gt;=$F45))</f>
        <v>-0</v>
      </c>
      <c r="AW45" s="46" t="n">
        <f aca="false">-$E45*N(AND(AW$3&lt;=$F45,AW$4&gt;=$F45))</f>
        <v>-0</v>
      </c>
      <c r="AX45" s="46" t="n">
        <f aca="false">-$E45*N(AND(AX$3&lt;=$F45,AX$4&gt;=$F45))</f>
        <v>-0</v>
      </c>
      <c r="AY45" s="46" t="n">
        <f aca="false">-$E45*N(AND(AY$3&lt;=$F45,AY$4&gt;=$F45))</f>
        <v>-0</v>
      </c>
      <c r="AZ45" s="46" t="n">
        <f aca="false">-$E45*N(AND(AZ$3&lt;=$F45,AZ$4&gt;=$F45))</f>
        <v>-0</v>
      </c>
      <c r="BA45" s="46" t="n">
        <f aca="false">-$E45*N(AND(BA$3&lt;=$F45,BA$4&gt;=$F45))</f>
        <v>-0</v>
      </c>
      <c r="BB45" s="46" t="n">
        <f aca="false">-$E45*N(AND(BB$3&lt;=$F45,BB$4&gt;=$F45))</f>
        <v>-0</v>
      </c>
      <c r="BC45" s="46" t="n">
        <f aca="false">-$E45*N(AND(BC$3&lt;=$F45,BC$4&gt;=$F45))</f>
        <v>-0</v>
      </c>
      <c r="BD45" s="46" t="n">
        <f aca="false">-$E45*N(AND(BD$3&lt;=$F45,BD$4&gt;=$F45))</f>
        <v>-0</v>
      </c>
      <c r="BE45" s="46" t="n">
        <f aca="false">-$E45*N(AND(BE$3&lt;=$F45,BE$4&gt;=$F45))</f>
        <v>-0</v>
      </c>
      <c r="BF45" s="46" t="n">
        <f aca="false">-$E45*N(AND(BF$3&lt;=$F45,BF$4&gt;=$F45))</f>
        <v>-0</v>
      </c>
      <c r="BG45" s="46" t="n">
        <f aca="false">-$E45*N(AND(BG$3&lt;=$F45,BG$4&gt;=$F45))</f>
        <v>-0</v>
      </c>
      <c r="BH45" s="46" t="n">
        <f aca="false">-$E45*N(AND(BH$3&lt;=$F45,BH$4&gt;=$F45))</f>
        <v>-0</v>
      </c>
      <c r="BI45" s="46" t="n">
        <f aca="false">-$E45*N(AND(BI$3&lt;=$F45,BI$4&gt;=$F45))</f>
        <v>-0</v>
      </c>
      <c r="BJ45" s="46" t="n">
        <f aca="false">-$E45*N(AND(BJ$3&lt;=$F45,BJ$4&gt;=$F45))</f>
        <v>-0</v>
      </c>
      <c r="BK45" s="46" t="n">
        <f aca="false">-$E45*N(AND(BK$3&lt;=$F45,BK$4&gt;=$F45))</f>
        <v>-0</v>
      </c>
      <c r="BL45" s="46" t="n">
        <f aca="false">-$E45*N(AND(BL$3&lt;=$F45,BL$4&gt;=$F45))</f>
        <v>-0</v>
      </c>
      <c r="BM45" s="46" t="n">
        <f aca="false">-$E45*N(AND(BM$3&lt;=$F45,BM$4&gt;=$F45))</f>
        <v>-0</v>
      </c>
      <c r="BN45" s="46" t="n">
        <f aca="false">-$E45*N(AND(BN$3&lt;=$F45,BN$4&gt;=$F45))</f>
        <v>-0</v>
      </c>
      <c r="BO45" s="46" t="n">
        <f aca="false">-$E45*N(AND(BO$3&lt;=$F45,BO$4&gt;=$F45))</f>
        <v>-0</v>
      </c>
      <c r="BP45" s="46" t="n">
        <f aca="false">-$E45*N(AND(BP$3&lt;=$F45,BP$4&gt;=$F45))</f>
        <v>-0</v>
      </c>
      <c r="BQ45" s="46" t="n">
        <f aca="false">-$E45*N(AND(BQ$3&lt;=$F45,BQ$4&gt;=$F45))</f>
        <v>-0</v>
      </c>
      <c r="BR45" s="46" t="n">
        <f aca="false">-$E45*N(AND(BR$3&lt;=$F45,BR$4&gt;=$F45))</f>
        <v>-0</v>
      </c>
      <c r="BS45" s="46" t="n">
        <f aca="false">-$E45*N(AND(BS$3&lt;=$F45,BS$4&gt;=$F45))</f>
        <v>-0</v>
      </c>
      <c r="BT45" s="46" t="n">
        <f aca="false">-$E45*N(AND(BT$3&lt;=$F45,BT$4&gt;=$F45))</f>
        <v>-0</v>
      </c>
      <c r="BU45" s="46" t="n">
        <f aca="false">-$E45*N(AND(BU$3&lt;=$F45,BU$4&gt;=$F45))</f>
        <v>-0</v>
      </c>
      <c r="BV45" s="46" t="n">
        <f aca="false">-$E45*N(AND(BV$3&lt;=$F45,BV$4&gt;=$F45))</f>
        <v>-0</v>
      </c>
      <c r="BW45" s="46" t="n">
        <f aca="false">-$E45*N(AND(BW$3&lt;=$F45,BW$4&gt;=$F45))</f>
        <v>-0</v>
      </c>
      <c r="BX45" s="46" t="n">
        <f aca="false">-$E45*N(AND(BX$3&lt;=$F45,BX$4&gt;=$F45))</f>
        <v>-0</v>
      </c>
      <c r="BY45" s="46" t="n">
        <f aca="false">-$E45*N(AND(BY$3&lt;=$F45,BY$4&gt;=$F45))</f>
        <v>-0</v>
      </c>
      <c r="BZ45" s="46" t="n">
        <f aca="false">-$E45*N(AND(BZ$3&lt;=$F45,BZ$4&gt;=$F45))</f>
        <v>-0</v>
      </c>
      <c r="CA45" s="46" t="n">
        <f aca="false">-$E45*N(AND(CA$3&lt;=$F45,CA$4&gt;=$F45))</f>
        <v>-0</v>
      </c>
      <c r="CB45" s="46" t="n">
        <f aca="false">-$E45*N(AND(CB$3&lt;=$F45,CB$4&gt;=$F45))</f>
        <v>-0</v>
      </c>
      <c r="CC45" s="46" t="n">
        <f aca="false">-$E45*N(AND(CC$3&lt;=$F45,CC$4&gt;=$F45))</f>
        <v>-0</v>
      </c>
      <c r="CD45" s="46" t="n">
        <f aca="false">-$E45*N(AND(CD$3&lt;=$F45,CD$4&gt;=$F45))</f>
        <v>-0</v>
      </c>
      <c r="CE45" s="46" t="n">
        <f aca="false">-$E45*N(AND(CE$3&lt;=$F45,CE$4&gt;=$F45))</f>
        <v>-0</v>
      </c>
      <c r="CF45" s="46" t="n">
        <f aca="false">-$E45*N(AND(CF$3&lt;=$F45,CF$4&gt;=$F45))</f>
        <v>-0</v>
      </c>
      <c r="CG45" s="46" t="n">
        <f aca="false">-$E45*N(AND(CG$3&lt;=$F45,CG$4&gt;=$F45))</f>
        <v>-0</v>
      </c>
      <c r="CH45" s="46" t="n">
        <f aca="false">-$E45*N(AND(CH$3&lt;=$F45,CH$4&gt;=$F45))</f>
        <v>-0</v>
      </c>
      <c r="CI45" s="46" t="n">
        <f aca="false">-$E45*N(AND(CI$3&lt;=$F45,CI$4&gt;=$F45))</f>
        <v>-0</v>
      </c>
      <c r="CJ45" s="46" t="n">
        <f aca="false">-$E45*N(AND(CJ$3&lt;=$F45,CJ$4&gt;=$F45))</f>
        <v>-0</v>
      </c>
      <c r="CK45" s="46" t="n">
        <f aca="false">-$E45*N(AND(CK$3&lt;=$F45,CK$4&gt;=$F45))</f>
        <v>-0</v>
      </c>
      <c r="CL45" s="46" t="n">
        <f aca="false">-$E45*N(AND(CL$3&lt;=$F45,CL$4&gt;=$F45))</f>
        <v>-0</v>
      </c>
      <c r="CM45" s="46" t="n">
        <f aca="false">-$E45*N(AND(CM$3&lt;=$F45,CM$4&gt;=$F45))</f>
        <v>-0</v>
      </c>
      <c r="CN45" s="46" t="n">
        <f aca="false">-$E45*N(AND(CN$3&lt;=$F45,CN$4&gt;=$F45))</f>
        <v>-0</v>
      </c>
      <c r="CO45" s="46" t="n">
        <f aca="false">-$E45*N(AND(CO$3&lt;=$F45,CO$4&gt;=$F45))</f>
        <v>-0</v>
      </c>
      <c r="CP45" s="46" t="n">
        <f aca="false">-$E45*N(AND(CP$3&lt;=$F45,CP$4&gt;=$F45))</f>
        <v>-0</v>
      </c>
      <c r="CQ45" s="46" t="n">
        <f aca="false">-$E45*N(AND(CQ$3&lt;=$F45,CQ$4&gt;=$F45))</f>
        <v>-0</v>
      </c>
      <c r="CR45" s="46" t="n">
        <f aca="false">-$E45*N(AND(CR$3&lt;=$F45,CR$4&gt;=$F45))</f>
        <v>-0</v>
      </c>
      <c r="CS45" s="46" t="n">
        <f aca="false">-$E45*N(AND(CS$3&lt;=$F45,CS$4&gt;=$F45))</f>
        <v>-0</v>
      </c>
      <c r="CT45" s="46" t="n">
        <f aca="false">-$E45*N(AND(CT$3&lt;=$F45,CT$4&gt;=$F45))</f>
        <v>-0</v>
      </c>
      <c r="CU45" s="46" t="n">
        <f aca="false">-$E45*N(AND(CU$3&lt;=$F45,CU$4&gt;=$F45))</f>
        <v>-0</v>
      </c>
      <c r="CV45" s="46" t="n">
        <f aca="false">-$E45*N(AND(CV$3&lt;=$F45,CV$4&gt;=$F45))</f>
        <v>-0</v>
      </c>
      <c r="CW45" s="46" t="n">
        <f aca="false">-$E45*N(AND(CW$3&lt;=$F45,CW$4&gt;=$F45))</f>
        <v>-0</v>
      </c>
      <c r="CX45" s="46" t="n">
        <f aca="false">-$E45*N(AND(CX$3&lt;=$F45,CX$4&gt;=$F45))</f>
        <v>-0</v>
      </c>
      <c r="CY45" s="46" t="n">
        <f aca="false">-$E45*N(AND(CY$3&lt;=$F45,CY$4&gt;=$F45))</f>
        <v>-0</v>
      </c>
      <c r="CZ45" s="46" t="n">
        <f aca="false">-$E45*N(AND(CZ$3&lt;=$F45,CZ$4&gt;=$F45))</f>
        <v>-0</v>
      </c>
      <c r="DA45" s="46" t="n">
        <f aca="false">-$E45*N(AND(DA$3&lt;=$F45,DA$4&gt;=$F45))</f>
        <v>-0</v>
      </c>
      <c r="DB45" s="46" t="n">
        <f aca="false">-$E45*N(AND(DB$3&lt;=$F45,DB$4&gt;=$F45))</f>
        <v>-0</v>
      </c>
      <c r="DC45" s="46" t="n">
        <f aca="false">-$E45*N(AND(DC$3&lt;=$F45,DC$4&gt;=$F45))</f>
        <v>-0</v>
      </c>
      <c r="DD45" s="46" t="n">
        <f aca="false">-$E45*N(AND(DD$3&lt;=$F45,DD$4&gt;=$F45))</f>
        <v>-0</v>
      </c>
      <c r="DE45" s="46" t="n">
        <f aca="false">-$E45*N(AND(DE$3&lt;=$F45,DE$4&gt;=$F45))</f>
        <v>-0</v>
      </c>
      <c r="DF45" s="46" t="n">
        <f aca="false">-$E45*N(AND(DF$3&lt;=$F45,DF$4&gt;=$F45))</f>
        <v>-0</v>
      </c>
      <c r="DG45" s="46" t="n">
        <f aca="false">-$E45*N(AND(DG$3&lt;=$F45,DG$4&gt;=$F45))</f>
        <v>-0</v>
      </c>
      <c r="DH45" s="46" t="n">
        <f aca="false">-$E45*N(AND(DH$3&lt;=$F45,DH$4&gt;=$F45))</f>
        <v>-0</v>
      </c>
      <c r="DI45" s="46" t="n">
        <f aca="false">-$E45*N(AND(DI$3&lt;=$F45,DI$4&gt;=$F45))</f>
        <v>-0</v>
      </c>
      <c r="DJ45" s="46" t="n">
        <f aca="false">-$E45*N(AND(DJ$3&lt;=$F45,DJ$4&gt;=$F45))</f>
        <v>-0</v>
      </c>
      <c r="DK45" s="46" t="n">
        <f aca="false">-$E45*N(AND(DK$3&lt;=$F45,DK$4&gt;=$F45))</f>
        <v>-0</v>
      </c>
      <c r="DL45" s="46" t="n">
        <f aca="false">-$E45*N(AND(DL$3&lt;=$F45,DL$4&gt;=$F45))</f>
        <v>-0</v>
      </c>
      <c r="DM45" s="46" t="n">
        <f aca="false">-$E45*N(AND(DM$3&lt;=$F45,DM$4&gt;=$F45))</f>
        <v>-0</v>
      </c>
      <c r="DN45" s="46" t="n">
        <f aca="false">-$E45*N(AND(DN$3&lt;=$F45,DN$4&gt;=$F45))</f>
        <v>-0</v>
      </c>
      <c r="DO45" s="46" t="n">
        <f aca="false">-$E45*N(AND(DO$3&lt;=$F45,DO$4&gt;=$F45))</f>
        <v>-0</v>
      </c>
      <c r="DP45" s="46" t="n">
        <f aca="false">-$E45*N(AND(DP$3&lt;=$F45,DP$4&gt;=$F45))</f>
        <v>-0</v>
      </c>
      <c r="DQ45" s="46" t="n">
        <f aca="false">-$E45*N(AND(DQ$3&lt;=$F45,DQ$4&gt;=$F45))</f>
        <v>-0</v>
      </c>
      <c r="DR45" s="46" t="n">
        <f aca="false">-$E45*N(AND(DR$3&lt;=$F45,DR$4&gt;=$F45))</f>
        <v>-0</v>
      </c>
      <c r="DS45" s="46" t="n">
        <f aca="false">-$E45*N(AND(DS$3&lt;=$F45,DS$4&gt;=$F45))</f>
        <v>-0</v>
      </c>
      <c r="DT45" s="46" t="n">
        <f aca="false">-$E45*N(AND(DT$3&lt;=$F45,DT$4&gt;=$F45))</f>
        <v>-0</v>
      </c>
      <c r="DU45" s="46" t="n">
        <f aca="false">-$E45*N(AND(DU$3&lt;=$F45,DU$4&gt;=$F45))</f>
        <v>-0</v>
      </c>
      <c r="DV45" s="46" t="n">
        <f aca="false">-$E45*N(AND(DV$3&lt;=$F45,DV$4&gt;=$F45))</f>
        <v>-0</v>
      </c>
      <c r="DW45" s="46" t="n">
        <f aca="false">-$E45*N(AND(DW$3&lt;=$F45,DW$4&gt;=$F45))</f>
        <v>-0</v>
      </c>
      <c r="DX45" s="46" t="n">
        <f aca="false">-$E45*N(AND(DX$3&lt;=$F45,DX$4&gt;=$F45))</f>
        <v>-0</v>
      </c>
      <c r="DY45" s="46" t="n">
        <f aca="false">-$E45*N(AND(DY$3&lt;=$F45,DY$4&gt;=$F45))</f>
        <v>-0</v>
      </c>
      <c r="DZ45" s="46" t="n">
        <f aca="false">-$E45*N(AND(DZ$3&lt;=$F45,DZ$4&gt;=$F45))</f>
        <v>-0</v>
      </c>
      <c r="EA45" s="46" t="n">
        <f aca="false">-$E45*N(AND(EA$3&lt;=$F45,EA$4&gt;=$F45))</f>
        <v>-0</v>
      </c>
      <c r="EB45" s="46" t="n">
        <f aca="false">-$E45*N(AND(EB$3&lt;=$F45,EB$4&gt;=$F45))</f>
        <v>-0</v>
      </c>
      <c r="EC45" s="46" t="n">
        <f aca="false">-$E45*N(AND(EC$3&lt;=$F45,EC$4&gt;=$F45))</f>
        <v>-0</v>
      </c>
      <c r="ED45" s="46" t="n">
        <f aca="false">-$E45*N(AND(ED$3&lt;=$F45,ED$4&gt;=$F45))</f>
        <v>-0</v>
      </c>
      <c r="EE45" s="46" t="n">
        <f aca="false">-$E45*N(AND(EE$3&lt;=$F45,EE$4&gt;=$F45))</f>
        <v>-0</v>
      </c>
      <c r="EF45" s="46" t="n">
        <f aca="false">-$E45*N(AND(EF$3&lt;=$F45,EF$4&gt;=$F45))</f>
        <v>-0</v>
      </c>
      <c r="EG45" s="46" t="n">
        <f aca="false">-$E45*N(AND(EG$3&lt;=$F45,EG$4&gt;=$F45))</f>
        <v>-0</v>
      </c>
      <c r="EH45" s="46" t="n">
        <f aca="false">-$E45*N(AND(EH$3&lt;=$F45,EH$4&gt;=$F45))</f>
        <v>-0</v>
      </c>
      <c r="EI45" s="46" t="n">
        <f aca="false">-$E45*N(AND(EI$3&lt;=$F45,EI$4&gt;=$F45))</f>
        <v>-0</v>
      </c>
      <c r="EJ45" s="46" t="n">
        <f aca="false">-$E45*N(AND(EJ$3&lt;=$F45,EJ$4&gt;=$F45))</f>
        <v>-0</v>
      </c>
      <c r="EK45" s="46" t="n">
        <f aca="false">-$E45*N(AND(EK$3&lt;=$F45,EK$4&gt;=$F45))</f>
        <v>-0</v>
      </c>
      <c r="EL45" s="46" t="n">
        <f aca="false">-$E45*N(AND(EL$3&lt;=$F45,EL$4&gt;=$F45))</f>
        <v>-0</v>
      </c>
      <c r="EM45" s="46" t="n">
        <f aca="false">-$E45*N(AND(EM$3&lt;=$F45,EM$4&gt;=$F45))</f>
        <v>-0</v>
      </c>
      <c r="EN45" s="46" t="n">
        <f aca="false">-$E45*N(AND(EN$3&lt;=$F45,EN$4&gt;=$F45))</f>
        <v>-0</v>
      </c>
      <c r="EO45" s="46" t="n">
        <f aca="false">-$E45*N(AND(EO$3&lt;=$F45,EO$4&gt;=$F45))</f>
        <v>-0</v>
      </c>
    </row>
    <row r="46" customFormat="false" ht="15" hidden="false" customHeight="false" outlineLevel="0" collapsed="false">
      <c r="C46" s="0" t="s">
        <v>378</v>
      </c>
      <c r="D46" s="11" t="s">
        <v>33</v>
      </c>
      <c r="E46" s="46" t="n">
        <f aca="false">In_Bid_Rate*$E44*Thousand/In_FX</f>
        <v>333.698630136986</v>
      </c>
      <c r="F46" s="21" t="n">
        <f aca="false">In_Bid_Date</f>
        <v>46325</v>
      </c>
      <c r="J46" s="46" t="n">
        <f aca="false">$E46*MAX(0,(MIN(In_Decision_Date+In_PB_Days-1,J$4)-MAX($F46,J$3)+1)/J$5)</f>
        <v>228.511018463371</v>
      </c>
      <c r="K46" s="46" t="n">
        <f aca="false">$E46*MAX(0,(MIN(In_Decision_Date+In_PB_Days-1,K$4)-MAX($F46,K$3)+1)/K$5)</f>
        <v>166.849315068493</v>
      </c>
      <c r="L46" s="46" t="n">
        <f aca="false">$E46*MAX(0,(MIN(In_Decision_Date+In_PB_Days-1,L$4)-MAX($F46,L$3)+1)/L$5)</f>
        <v>0</v>
      </c>
      <c r="M46" s="46" t="n">
        <f aca="false">$E46*MAX(0,(MIN(In_Decision_Date+In_PB_Days-1,M$4)-MAX($F46,M$3)+1)/M$5)</f>
        <v>0</v>
      </c>
      <c r="N46" s="46" t="n">
        <f aca="false">$E46*MAX(0,(MIN(In_Decision_Date+In_PB_Days-1,N$4)-MAX($F46,N$3)+1)/N$5)</f>
        <v>0</v>
      </c>
      <c r="O46" s="46" t="n">
        <f aca="false">$E46*MAX(0,(MIN(In_Decision_Date+In_PB_Days-1,O$4)-MAX($F46,O$3)+1)/O$5)</f>
        <v>0</v>
      </c>
      <c r="P46" s="46" t="n">
        <f aca="false">$E46*MAX(0,(MIN(In_Decision_Date+In_PB_Days-1,P$4)-MAX($F46,P$3)+1)/P$5)</f>
        <v>0</v>
      </c>
      <c r="Q46" s="46" t="n">
        <f aca="false">$E46*MAX(0,(MIN(In_Decision_Date+In_PB_Days-1,Q$4)-MAX($F46,Q$3)+1)/Q$5)</f>
        <v>0</v>
      </c>
      <c r="R46" s="46" t="n">
        <f aca="false">$E46*MAX(0,(MIN(In_Decision_Date+In_PB_Days-1,R$4)-MAX($F46,R$3)+1)/R$5)</f>
        <v>0</v>
      </c>
      <c r="S46" s="46" t="n">
        <f aca="false">$E46*MAX(0,(MIN(In_Decision_Date+In_PB_Days-1,S$4)-MAX($F46,S$3)+1)/S$5)</f>
        <v>0</v>
      </c>
      <c r="T46" s="46" t="n">
        <f aca="false">$E46*MAX(0,(MIN(In_Decision_Date+In_PB_Days-1,T$4)-MAX($F46,T$3)+1)/T$5)</f>
        <v>0</v>
      </c>
      <c r="U46" s="46" t="n">
        <f aca="false">$E46*MAX(0,(MIN(In_Decision_Date+In_PB_Days-1,U$4)-MAX($F46,U$3)+1)/U$5)</f>
        <v>0</v>
      </c>
      <c r="V46" s="46" t="n">
        <f aca="false">$E46*MAX(0,(MIN(In_Decision_Date+In_PB_Days-1,V$4)-MAX($F46,V$3)+1)/V$5)</f>
        <v>0</v>
      </c>
      <c r="W46" s="46" t="n">
        <f aca="false">$E46*MAX(0,(MIN(In_Decision_Date+In_PB_Days-1,W$4)-MAX($F46,W$3)+1)/W$5)</f>
        <v>0</v>
      </c>
      <c r="X46" s="46" t="n">
        <f aca="false">$E46*MAX(0,(MIN(In_Decision_Date+In_PB_Days-1,X$4)-MAX($F46,X$3)+1)/X$5)</f>
        <v>0</v>
      </c>
      <c r="Y46" s="46" t="n">
        <f aca="false">$E46*MAX(0,(MIN(In_Decision_Date+In_PB_Days-1,Y$4)-MAX($F46,Y$3)+1)/Y$5)</f>
        <v>0</v>
      </c>
      <c r="Z46" s="46" t="n">
        <f aca="false">$E46*MAX(0,(MIN(In_Decision_Date+In_PB_Days-1,Z$4)-MAX($F46,Z$3)+1)/Z$5)</f>
        <v>0</v>
      </c>
      <c r="AA46" s="46" t="n">
        <f aca="false">$E46*MAX(0,(MIN(In_Decision_Date+In_PB_Days-1,AA$4)-MAX($F46,AA$3)+1)/AA$5)</f>
        <v>0</v>
      </c>
      <c r="AB46" s="46" t="n">
        <f aca="false">$E46*MAX(0,(MIN(In_Decision_Date+In_PB_Days-1,AB$4)-MAX($F46,AB$3)+1)/AB$5)</f>
        <v>0</v>
      </c>
      <c r="AC46" s="46" t="n">
        <f aca="false">$E46*MAX(0,(MIN(In_Decision_Date+In_PB_Days-1,AC$4)-MAX($F46,AC$3)+1)/AC$5)</f>
        <v>0</v>
      </c>
      <c r="AD46" s="46" t="n">
        <f aca="false">$E46*MAX(0,(MIN(In_Decision_Date+In_PB_Days-1,AD$4)-MAX($F46,AD$3)+1)/AD$5)</f>
        <v>0</v>
      </c>
      <c r="AE46" s="46" t="n">
        <f aca="false">$E46*MAX(0,(MIN(In_Decision_Date+In_PB_Days-1,AE$4)-MAX($F46,AE$3)+1)/AE$5)</f>
        <v>0</v>
      </c>
      <c r="AF46" s="46" t="n">
        <f aca="false">$E46*MAX(0,(MIN(In_Decision_Date+In_PB_Days-1,AF$4)-MAX($F46,AF$3)+1)/AF$5)</f>
        <v>0</v>
      </c>
      <c r="AG46" s="46" t="n">
        <f aca="false">$E46*MAX(0,(MIN(In_Decision_Date+In_PB_Days-1,AG$4)-MAX($F46,AG$3)+1)/AG$5)</f>
        <v>0</v>
      </c>
      <c r="AH46" s="46" t="n">
        <f aca="false">$E46*MAX(0,(MIN(In_Decision_Date+In_PB_Days-1,AH$4)-MAX($F46,AH$3)+1)/AH$5)</f>
        <v>0</v>
      </c>
      <c r="AI46" s="46" t="n">
        <f aca="false">$E46*MAX(0,(MIN(In_Decision_Date+In_PB_Days-1,AI$4)-MAX($F46,AI$3)+1)/AI$5)</f>
        <v>0</v>
      </c>
      <c r="AJ46" s="46" t="n">
        <f aca="false">$E46*MAX(0,(MIN(In_Decision_Date+In_PB_Days-1,AJ$4)-MAX($F46,AJ$3)+1)/AJ$5)</f>
        <v>0</v>
      </c>
      <c r="AK46" s="46" t="n">
        <f aca="false">$E46*MAX(0,(MIN(In_Decision_Date+In_PB_Days-1,AK$4)-MAX($F46,AK$3)+1)/AK$5)</f>
        <v>0</v>
      </c>
      <c r="AL46" s="46" t="n">
        <f aca="false">$E46*MAX(0,(MIN(In_Decision_Date+In_PB_Days-1,AL$4)-MAX($F46,AL$3)+1)/AL$5)</f>
        <v>0</v>
      </c>
      <c r="AM46" s="46" t="n">
        <f aca="false">$E46*MAX(0,(MIN(In_Decision_Date+In_PB_Days-1,AM$4)-MAX($F46,AM$3)+1)/AM$5)</f>
        <v>0</v>
      </c>
      <c r="AN46" s="46" t="n">
        <f aca="false">$E46*MAX(0,(MIN(In_Decision_Date+In_PB_Days-1,AN$4)-MAX($F46,AN$3)+1)/AN$5)</f>
        <v>0</v>
      </c>
      <c r="AO46" s="46" t="n">
        <f aca="false">$E46*MAX(0,(MIN(In_Decision_Date+In_PB_Days-1,AO$4)-MAX($F46,AO$3)+1)/AO$5)</f>
        <v>0</v>
      </c>
      <c r="AP46" s="46" t="n">
        <f aca="false">$E46*MAX(0,(MIN(In_Decision_Date+In_PB_Days-1,AP$4)-MAX($F46,AP$3)+1)/AP$5)</f>
        <v>0</v>
      </c>
      <c r="AQ46" s="46" t="n">
        <f aca="false">$E46*MAX(0,(MIN(In_Decision_Date+In_PB_Days-1,AQ$4)-MAX($F46,AQ$3)+1)/AQ$5)</f>
        <v>0</v>
      </c>
      <c r="AR46" s="46" t="n">
        <f aca="false">$E46*MAX(0,(MIN(In_Decision_Date+In_PB_Days-1,AR$4)-MAX($F46,AR$3)+1)/AR$5)</f>
        <v>0</v>
      </c>
      <c r="AS46" s="46" t="n">
        <f aca="false">$E46*MAX(0,(MIN(In_Decision_Date+In_PB_Days-1,AS$4)-MAX($F46,AS$3)+1)/AS$5)</f>
        <v>0</v>
      </c>
      <c r="AT46" s="46" t="n">
        <f aca="false">$E46*MAX(0,(MIN(In_Decision_Date+In_PB_Days-1,AT$4)-MAX($F46,AT$3)+1)/AT$5)</f>
        <v>0</v>
      </c>
      <c r="AU46" s="46" t="n">
        <f aca="false">$E46*MAX(0,(MIN(In_Decision_Date+In_PB_Days-1,AU$4)-MAX($F46,AU$3)+1)/AU$5)</f>
        <v>0</v>
      </c>
      <c r="AV46" s="46" t="n">
        <f aca="false">$E46*MAX(0,(MIN(In_Decision_Date+In_PB_Days-1,AV$4)-MAX($F46,AV$3)+1)/AV$5)</f>
        <v>0</v>
      </c>
      <c r="AW46" s="46" t="n">
        <f aca="false">$E46*MAX(0,(MIN(In_Decision_Date+In_PB_Days-1,AW$4)-MAX($F46,AW$3)+1)/AW$5)</f>
        <v>0</v>
      </c>
      <c r="AX46" s="46" t="n">
        <f aca="false">$E46*MAX(0,(MIN(In_Decision_Date+In_PB_Days-1,AX$4)-MAX($F46,AX$3)+1)/AX$5)</f>
        <v>0</v>
      </c>
      <c r="AY46" s="46" t="n">
        <f aca="false">$E46*MAX(0,(MIN(In_Decision_Date+In_PB_Days-1,AY$4)-MAX($F46,AY$3)+1)/AY$5)</f>
        <v>0</v>
      </c>
      <c r="AZ46" s="46" t="n">
        <f aca="false">$E46*MAX(0,(MIN(In_Decision_Date+In_PB_Days-1,AZ$4)-MAX($F46,AZ$3)+1)/AZ$5)</f>
        <v>0</v>
      </c>
      <c r="BA46" s="46" t="n">
        <f aca="false">$E46*MAX(0,(MIN(In_Decision_Date+In_PB_Days-1,BA$4)-MAX($F46,BA$3)+1)/BA$5)</f>
        <v>0</v>
      </c>
      <c r="BB46" s="46" t="n">
        <f aca="false">$E46*MAX(0,(MIN(In_Decision_Date+In_PB_Days-1,BB$4)-MAX($F46,BB$3)+1)/BB$5)</f>
        <v>0</v>
      </c>
      <c r="BC46" s="46" t="n">
        <f aca="false">$E46*MAX(0,(MIN(In_Decision_Date+In_PB_Days-1,BC$4)-MAX($F46,BC$3)+1)/BC$5)</f>
        <v>0</v>
      </c>
      <c r="BD46" s="46" t="n">
        <f aca="false">$E46*MAX(0,(MIN(In_Decision_Date+In_PB_Days-1,BD$4)-MAX($F46,BD$3)+1)/BD$5)</f>
        <v>0</v>
      </c>
      <c r="BE46" s="46" t="n">
        <f aca="false">$E46*MAX(0,(MIN(In_Decision_Date+In_PB_Days-1,BE$4)-MAX($F46,BE$3)+1)/BE$5)</f>
        <v>0</v>
      </c>
      <c r="BF46" s="46" t="n">
        <f aca="false">$E46*MAX(0,(MIN(In_Decision_Date+In_PB_Days-1,BF$4)-MAX($F46,BF$3)+1)/BF$5)</f>
        <v>0</v>
      </c>
      <c r="BG46" s="46" t="n">
        <f aca="false">$E46*MAX(0,(MIN(In_Decision_Date+In_PB_Days-1,BG$4)-MAX($F46,BG$3)+1)/BG$5)</f>
        <v>0</v>
      </c>
      <c r="BH46" s="46" t="n">
        <f aca="false">$E46*MAX(0,(MIN(In_Decision_Date+In_PB_Days-1,BH$4)-MAX($F46,BH$3)+1)/BH$5)</f>
        <v>0</v>
      </c>
      <c r="BI46" s="46" t="n">
        <f aca="false">$E46*MAX(0,(MIN(In_Decision_Date+In_PB_Days-1,BI$4)-MAX($F46,BI$3)+1)/BI$5)</f>
        <v>0</v>
      </c>
      <c r="BJ46" s="46" t="n">
        <f aca="false">$E46*MAX(0,(MIN(In_Decision_Date+In_PB_Days-1,BJ$4)-MAX($F46,BJ$3)+1)/BJ$5)</f>
        <v>0</v>
      </c>
      <c r="BK46" s="46" t="n">
        <f aca="false">$E46*MAX(0,(MIN(In_Decision_Date+In_PB_Days-1,BK$4)-MAX($F46,BK$3)+1)/BK$5)</f>
        <v>0</v>
      </c>
      <c r="BL46" s="46" t="n">
        <f aca="false">$E46*MAX(0,(MIN(In_Decision_Date+In_PB_Days-1,BL$4)-MAX($F46,BL$3)+1)/BL$5)</f>
        <v>0</v>
      </c>
      <c r="BM46" s="46" t="n">
        <f aca="false">$E46*MAX(0,(MIN(In_Decision_Date+In_PB_Days-1,BM$4)-MAX($F46,BM$3)+1)/BM$5)</f>
        <v>0</v>
      </c>
      <c r="BN46" s="46" t="n">
        <f aca="false">$E46*MAX(0,(MIN(In_Decision_Date+In_PB_Days-1,BN$4)-MAX($F46,BN$3)+1)/BN$5)</f>
        <v>0</v>
      </c>
      <c r="BO46" s="46" t="n">
        <f aca="false">$E46*MAX(0,(MIN(In_Decision_Date+In_PB_Days-1,BO$4)-MAX($F46,BO$3)+1)/BO$5)</f>
        <v>0</v>
      </c>
      <c r="BP46" s="46" t="n">
        <f aca="false">$E46*MAX(0,(MIN(In_Decision_Date+In_PB_Days-1,BP$4)-MAX($F46,BP$3)+1)/BP$5)</f>
        <v>0</v>
      </c>
      <c r="BQ46" s="46" t="n">
        <f aca="false">$E46*MAX(0,(MIN(In_Decision_Date+In_PB_Days-1,BQ$4)-MAX($F46,BQ$3)+1)/BQ$5)</f>
        <v>0</v>
      </c>
      <c r="BR46" s="46" t="n">
        <f aca="false">$E46*MAX(0,(MIN(In_Decision_Date+In_PB_Days-1,BR$4)-MAX($F46,BR$3)+1)/BR$5)</f>
        <v>0</v>
      </c>
      <c r="BS46" s="46" t="n">
        <f aca="false">$E46*MAX(0,(MIN(In_Decision_Date+In_PB_Days-1,BS$4)-MAX($F46,BS$3)+1)/BS$5)</f>
        <v>0</v>
      </c>
      <c r="BT46" s="46" t="n">
        <f aca="false">$E46*MAX(0,(MIN(In_Decision_Date+In_PB_Days-1,BT$4)-MAX($F46,BT$3)+1)/BT$5)</f>
        <v>0</v>
      </c>
      <c r="BU46" s="46" t="n">
        <f aca="false">$E46*MAX(0,(MIN(In_Decision_Date+In_PB_Days-1,BU$4)-MAX($F46,BU$3)+1)/BU$5)</f>
        <v>0</v>
      </c>
      <c r="BV46" s="46" t="n">
        <f aca="false">$E46*MAX(0,(MIN(In_Decision_Date+In_PB_Days-1,BV$4)-MAX($F46,BV$3)+1)/BV$5)</f>
        <v>0</v>
      </c>
      <c r="BW46" s="46" t="n">
        <f aca="false">$E46*MAX(0,(MIN(In_Decision_Date+In_PB_Days-1,BW$4)-MAX($F46,BW$3)+1)/BW$5)</f>
        <v>0</v>
      </c>
      <c r="BX46" s="46" t="n">
        <f aca="false">$E46*MAX(0,(MIN(In_Decision_Date+In_PB_Days-1,BX$4)-MAX($F46,BX$3)+1)/BX$5)</f>
        <v>0</v>
      </c>
      <c r="BY46" s="46" t="n">
        <f aca="false">$E46*MAX(0,(MIN(In_Decision_Date+In_PB_Days-1,BY$4)-MAX($F46,BY$3)+1)/BY$5)</f>
        <v>0</v>
      </c>
      <c r="BZ46" s="46" t="n">
        <f aca="false">$E46*MAX(0,(MIN(In_Decision_Date+In_PB_Days-1,BZ$4)-MAX($F46,BZ$3)+1)/BZ$5)</f>
        <v>0</v>
      </c>
      <c r="CA46" s="46" t="n">
        <f aca="false">$E46*MAX(0,(MIN(In_Decision_Date+In_PB_Days-1,CA$4)-MAX($F46,CA$3)+1)/CA$5)</f>
        <v>0</v>
      </c>
      <c r="CB46" s="46" t="n">
        <f aca="false">$E46*MAX(0,(MIN(In_Decision_Date+In_PB_Days-1,CB$4)-MAX($F46,CB$3)+1)/CB$5)</f>
        <v>0</v>
      </c>
      <c r="CC46" s="46" t="n">
        <f aca="false">$E46*MAX(0,(MIN(In_Decision_Date+In_PB_Days-1,CC$4)-MAX($F46,CC$3)+1)/CC$5)</f>
        <v>0</v>
      </c>
      <c r="CD46" s="46" t="n">
        <f aca="false">$E46*MAX(0,(MIN(In_Decision_Date+In_PB_Days-1,CD$4)-MAX($F46,CD$3)+1)/CD$5)</f>
        <v>0</v>
      </c>
      <c r="CE46" s="46" t="n">
        <f aca="false">$E46*MAX(0,(MIN(In_Decision_Date+In_PB_Days-1,CE$4)-MAX($F46,CE$3)+1)/CE$5)</f>
        <v>0</v>
      </c>
      <c r="CF46" s="46" t="n">
        <f aca="false">$E46*MAX(0,(MIN(In_Decision_Date+In_PB_Days-1,CF$4)-MAX($F46,CF$3)+1)/CF$5)</f>
        <v>0</v>
      </c>
      <c r="CG46" s="46" t="n">
        <f aca="false">$E46*MAX(0,(MIN(In_Decision_Date+In_PB_Days-1,CG$4)-MAX($F46,CG$3)+1)/CG$5)</f>
        <v>0</v>
      </c>
      <c r="CH46" s="46" t="n">
        <f aca="false">$E46*MAX(0,(MIN(In_Decision_Date+In_PB_Days-1,CH$4)-MAX($F46,CH$3)+1)/CH$5)</f>
        <v>0</v>
      </c>
      <c r="CI46" s="46" t="n">
        <f aca="false">$E46*MAX(0,(MIN(In_Decision_Date+In_PB_Days-1,CI$4)-MAX($F46,CI$3)+1)/CI$5)</f>
        <v>0</v>
      </c>
      <c r="CJ46" s="46" t="n">
        <f aca="false">$E46*MAX(0,(MIN(In_Decision_Date+In_PB_Days-1,CJ$4)-MAX($F46,CJ$3)+1)/CJ$5)</f>
        <v>0</v>
      </c>
      <c r="CK46" s="46" t="n">
        <f aca="false">$E46*MAX(0,(MIN(In_Decision_Date+In_PB_Days-1,CK$4)-MAX($F46,CK$3)+1)/CK$5)</f>
        <v>0</v>
      </c>
      <c r="CL46" s="46" t="n">
        <f aca="false">$E46*MAX(0,(MIN(In_Decision_Date+In_PB_Days-1,CL$4)-MAX($F46,CL$3)+1)/CL$5)</f>
        <v>0</v>
      </c>
      <c r="CM46" s="46" t="n">
        <f aca="false">$E46*MAX(0,(MIN(In_Decision_Date+In_PB_Days-1,CM$4)-MAX($F46,CM$3)+1)/CM$5)</f>
        <v>0</v>
      </c>
      <c r="CN46" s="46" t="n">
        <f aca="false">$E46*MAX(0,(MIN(In_Decision_Date+In_PB_Days-1,CN$4)-MAX($F46,CN$3)+1)/CN$5)</f>
        <v>0</v>
      </c>
      <c r="CO46" s="46" t="n">
        <f aca="false">$E46*MAX(0,(MIN(In_Decision_Date+In_PB_Days-1,CO$4)-MAX($F46,CO$3)+1)/CO$5)</f>
        <v>0</v>
      </c>
      <c r="CP46" s="46" t="n">
        <f aca="false">$E46*MAX(0,(MIN(In_Decision_Date+In_PB_Days-1,CP$4)-MAX($F46,CP$3)+1)/CP$5)</f>
        <v>0</v>
      </c>
      <c r="CQ46" s="46" t="n">
        <f aca="false">$E46*MAX(0,(MIN(In_Decision_Date+In_PB_Days-1,CQ$4)-MAX($F46,CQ$3)+1)/CQ$5)</f>
        <v>0</v>
      </c>
      <c r="CR46" s="46" t="n">
        <f aca="false">$E46*MAX(0,(MIN(In_Decision_Date+In_PB_Days-1,CR$4)-MAX($F46,CR$3)+1)/CR$5)</f>
        <v>0</v>
      </c>
      <c r="CS46" s="46" t="n">
        <f aca="false">$E46*MAX(0,(MIN(In_Decision_Date+In_PB_Days-1,CS$4)-MAX($F46,CS$3)+1)/CS$5)</f>
        <v>0</v>
      </c>
      <c r="CT46" s="46" t="n">
        <f aca="false">$E46*MAX(0,(MIN(In_Decision_Date+In_PB_Days-1,CT$4)-MAX($F46,CT$3)+1)/CT$5)</f>
        <v>0</v>
      </c>
      <c r="CU46" s="46" t="n">
        <f aca="false">$E46*MAX(0,(MIN(In_Decision_Date+In_PB_Days-1,CU$4)-MAX($F46,CU$3)+1)/CU$5)</f>
        <v>0</v>
      </c>
      <c r="CV46" s="46" t="n">
        <f aca="false">$E46*MAX(0,(MIN(In_Decision_Date+In_PB_Days-1,CV$4)-MAX($F46,CV$3)+1)/CV$5)</f>
        <v>0</v>
      </c>
      <c r="CW46" s="46" t="n">
        <f aca="false">$E46*MAX(0,(MIN(In_Decision_Date+In_PB_Days-1,CW$4)-MAX($F46,CW$3)+1)/CW$5)</f>
        <v>0</v>
      </c>
      <c r="CX46" s="46" t="n">
        <f aca="false">$E46*MAX(0,(MIN(In_Decision_Date+In_PB_Days-1,CX$4)-MAX($F46,CX$3)+1)/CX$5)</f>
        <v>0</v>
      </c>
      <c r="CY46" s="46" t="n">
        <f aca="false">$E46*MAX(0,(MIN(In_Decision_Date+In_PB_Days-1,CY$4)-MAX($F46,CY$3)+1)/CY$5)</f>
        <v>0</v>
      </c>
      <c r="CZ46" s="46" t="n">
        <f aca="false">$E46*MAX(0,(MIN(In_Decision_Date+In_PB_Days-1,CZ$4)-MAX($F46,CZ$3)+1)/CZ$5)</f>
        <v>0</v>
      </c>
      <c r="DA46" s="46" t="n">
        <f aca="false">$E46*MAX(0,(MIN(In_Decision_Date+In_PB_Days-1,DA$4)-MAX($F46,DA$3)+1)/DA$5)</f>
        <v>0</v>
      </c>
      <c r="DB46" s="46" t="n">
        <f aca="false">$E46*MAX(0,(MIN(In_Decision_Date+In_PB_Days-1,DB$4)-MAX($F46,DB$3)+1)/DB$5)</f>
        <v>0</v>
      </c>
      <c r="DC46" s="46" t="n">
        <f aca="false">$E46*MAX(0,(MIN(In_Decision_Date+In_PB_Days-1,DC$4)-MAX($F46,DC$3)+1)/DC$5)</f>
        <v>0</v>
      </c>
      <c r="DD46" s="46" t="n">
        <f aca="false">$E46*MAX(0,(MIN(In_Decision_Date+In_PB_Days-1,DD$4)-MAX($F46,DD$3)+1)/DD$5)</f>
        <v>0</v>
      </c>
      <c r="DE46" s="46" t="n">
        <f aca="false">$E46*MAX(0,(MIN(In_Decision_Date+In_PB_Days-1,DE$4)-MAX($F46,DE$3)+1)/DE$5)</f>
        <v>0</v>
      </c>
      <c r="DF46" s="46" t="n">
        <f aca="false">$E46*MAX(0,(MIN(In_Decision_Date+In_PB_Days-1,DF$4)-MAX($F46,DF$3)+1)/DF$5)</f>
        <v>0</v>
      </c>
      <c r="DG46" s="46" t="n">
        <f aca="false">$E46*MAX(0,(MIN(In_Decision_Date+In_PB_Days-1,DG$4)-MAX($F46,DG$3)+1)/DG$5)</f>
        <v>0</v>
      </c>
      <c r="DH46" s="46" t="n">
        <f aca="false">$E46*MAX(0,(MIN(In_Decision_Date+In_PB_Days-1,DH$4)-MAX($F46,DH$3)+1)/DH$5)</f>
        <v>0</v>
      </c>
      <c r="DI46" s="46" t="n">
        <f aca="false">$E46*MAX(0,(MIN(In_Decision_Date+In_PB_Days-1,DI$4)-MAX($F46,DI$3)+1)/DI$5)</f>
        <v>0</v>
      </c>
      <c r="DJ46" s="46" t="n">
        <f aca="false">$E46*MAX(0,(MIN(In_Decision_Date+In_PB_Days-1,DJ$4)-MAX($F46,DJ$3)+1)/DJ$5)</f>
        <v>0</v>
      </c>
      <c r="DK46" s="46" t="n">
        <f aca="false">$E46*MAX(0,(MIN(In_Decision_Date+In_PB_Days-1,DK$4)-MAX($F46,DK$3)+1)/DK$5)</f>
        <v>0</v>
      </c>
      <c r="DL46" s="46" t="n">
        <f aca="false">$E46*MAX(0,(MIN(In_Decision_Date+In_PB_Days-1,DL$4)-MAX($F46,DL$3)+1)/DL$5)</f>
        <v>0</v>
      </c>
      <c r="DM46" s="46" t="n">
        <f aca="false">$E46*MAX(0,(MIN(In_Decision_Date+In_PB_Days-1,DM$4)-MAX($F46,DM$3)+1)/DM$5)</f>
        <v>0</v>
      </c>
      <c r="DN46" s="46" t="n">
        <f aca="false">$E46*MAX(0,(MIN(In_Decision_Date+In_PB_Days-1,DN$4)-MAX($F46,DN$3)+1)/DN$5)</f>
        <v>0</v>
      </c>
      <c r="DO46" s="46" t="n">
        <f aca="false">$E46*MAX(0,(MIN(In_Decision_Date+In_PB_Days-1,DO$4)-MAX($F46,DO$3)+1)/DO$5)</f>
        <v>0</v>
      </c>
      <c r="DP46" s="46" t="n">
        <f aca="false">$E46*MAX(0,(MIN(In_Decision_Date+In_PB_Days-1,DP$4)-MAX($F46,DP$3)+1)/DP$5)</f>
        <v>0</v>
      </c>
      <c r="DQ46" s="46" t="n">
        <f aca="false">$E46*MAX(0,(MIN(In_Decision_Date+In_PB_Days-1,DQ$4)-MAX($F46,DQ$3)+1)/DQ$5)</f>
        <v>0</v>
      </c>
      <c r="DR46" s="46" t="n">
        <f aca="false">$E46*MAX(0,(MIN(In_Decision_Date+In_PB_Days-1,DR$4)-MAX($F46,DR$3)+1)/DR$5)</f>
        <v>0</v>
      </c>
      <c r="DS46" s="46" t="n">
        <f aca="false">$E46*MAX(0,(MIN(In_Decision_Date+In_PB_Days-1,DS$4)-MAX($F46,DS$3)+1)/DS$5)</f>
        <v>0</v>
      </c>
      <c r="DT46" s="46" t="n">
        <f aca="false">$E46*MAX(0,(MIN(In_Decision_Date+In_PB_Days-1,DT$4)-MAX($F46,DT$3)+1)/DT$5)</f>
        <v>0</v>
      </c>
      <c r="DU46" s="46" t="n">
        <f aca="false">$E46*MAX(0,(MIN(In_Decision_Date+In_PB_Days-1,DU$4)-MAX($F46,DU$3)+1)/DU$5)</f>
        <v>0</v>
      </c>
      <c r="DV46" s="46" t="n">
        <f aca="false">$E46*MAX(0,(MIN(In_Decision_Date+In_PB_Days-1,DV$4)-MAX($F46,DV$3)+1)/DV$5)</f>
        <v>0</v>
      </c>
      <c r="DW46" s="46" t="n">
        <f aca="false">$E46*MAX(0,(MIN(In_Decision_Date+In_PB_Days-1,DW$4)-MAX($F46,DW$3)+1)/DW$5)</f>
        <v>0</v>
      </c>
      <c r="DX46" s="46" t="n">
        <f aca="false">$E46*MAX(0,(MIN(In_Decision_Date+In_PB_Days-1,DX$4)-MAX($F46,DX$3)+1)/DX$5)</f>
        <v>0</v>
      </c>
      <c r="DY46" s="46" t="n">
        <f aca="false">$E46*MAX(0,(MIN(In_Decision_Date+In_PB_Days-1,DY$4)-MAX($F46,DY$3)+1)/DY$5)</f>
        <v>0</v>
      </c>
      <c r="DZ46" s="46" t="n">
        <f aca="false">$E46*MAX(0,(MIN(In_Decision_Date+In_PB_Days-1,DZ$4)-MAX($F46,DZ$3)+1)/DZ$5)</f>
        <v>0</v>
      </c>
      <c r="EA46" s="46" t="n">
        <f aca="false">$E46*MAX(0,(MIN(In_Decision_Date+In_PB_Days-1,EA$4)-MAX($F46,EA$3)+1)/EA$5)</f>
        <v>0</v>
      </c>
      <c r="EB46" s="46" t="n">
        <f aca="false">$E46*MAX(0,(MIN(In_Decision_Date+In_PB_Days-1,EB$4)-MAX($F46,EB$3)+1)/EB$5)</f>
        <v>0</v>
      </c>
      <c r="EC46" s="46" t="n">
        <f aca="false">$E46*MAX(0,(MIN(In_Decision_Date+In_PB_Days-1,EC$4)-MAX($F46,EC$3)+1)/EC$5)</f>
        <v>0</v>
      </c>
      <c r="ED46" s="46" t="n">
        <f aca="false">$E46*MAX(0,(MIN(In_Decision_Date+In_PB_Days-1,ED$4)-MAX($F46,ED$3)+1)/ED$5)</f>
        <v>0</v>
      </c>
      <c r="EE46" s="46" t="n">
        <f aca="false">$E46*MAX(0,(MIN(In_Decision_Date+In_PB_Days-1,EE$4)-MAX($F46,EE$3)+1)/EE$5)</f>
        <v>0</v>
      </c>
      <c r="EF46" s="46" t="n">
        <f aca="false">$E46*MAX(0,(MIN(In_Decision_Date+In_PB_Days-1,EF$4)-MAX($F46,EF$3)+1)/EF$5)</f>
        <v>0</v>
      </c>
      <c r="EG46" s="46" t="n">
        <f aca="false">$E46*MAX(0,(MIN(In_Decision_Date+In_PB_Days-1,EG$4)-MAX($F46,EG$3)+1)/EG$5)</f>
        <v>0</v>
      </c>
      <c r="EH46" s="46" t="n">
        <f aca="false">$E46*MAX(0,(MIN(In_Decision_Date+In_PB_Days-1,EH$4)-MAX($F46,EH$3)+1)/EH$5)</f>
        <v>0</v>
      </c>
      <c r="EI46" s="46" t="n">
        <f aca="false">$E46*MAX(0,(MIN(In_Decision_Date+In_PB_Days-1,EI$4)-MAX($F46,EI$3)+1)/EI$5)</f>
        <v>0</v>
      </c>
      <c r="EJ46" s="46" t="n">
        <f aca="false">$E46*MAX(0,(MIN(In_Decision_Date+In_PB_Days-1,EJ$4)-MAX($F46,EJ$3)+1)/EJ$5)</f>
        <v>0</v>
      </c>
      <c r="EK46" s="46" t="n">
        <f aca="false">$E46*MAX(0,(MIN(In_Decision_Date+In_PB_Days-1,EK$4)-MAX($F46,EK$3)+1)/EK$5)</f>
        <v>0</v>
      </c>
      <c r="EL46" s="46" t="n">
        <f aca="false">$E46*MAX(0,(MIN(In_Decision_Date+In_PB_Days-1,EL$4)-MAX($F46,EL$3)+1)/EL$5)</f>
        <v>0</v>
      </c>
      <c r="EM46" s="46" t="n">
        <f aca="false">$E46*MAX(0,(MIN(In_Decision_Date+In_PB_Days-1,EM$4)-MAX($F46,EM$3)+1)/EM$5)</f>
        <v>0</v>
      </c>
      <c r="EN46" s="46" t="n">
        <f aca="false">$E46*MAX(0,(MIN(In_Decision_Date+In_PB_Days-1,EN$4)-MAX($F46,EN$3)+1)/EN$5)</f>
        <v>0</v>
      </c>
      <c r="EO46" s="46" t="n">
        <f aca="false">$E46*MAX(0,(MIN(In_Decision_Date+In_PB_Days-1,EO$4)-MAX($F46,EO$3)+1)/EO$5)</f>
        <v>0</v>
      </c>
    </row>
    <row r="47" customFormat="false" ht="15" hidden="false" customHeight="false" outlineLevel="0" collapsed="false">
      <c r="C47" s="0" t="s">
        <v>379</v>
      </c>
      <c r="D47" s="11" t="s">
        <v>33</v>
      </c>
      <c r="E47" s="46" t="n">
        <f aca="false">In_PB_Rate*$E33*$E44*Thousand/In_FX</f>
        <v>1668.49315068493</v>
      </c>
      <c r="F47" s="44" t="n">
        <f aca="false">In_Decision_Date+In_PB_Days</f>
        <v>46433</v>
      </c>
      <c r="J47" s="46" t="n">
        <f aca="false">$E47*MAX(0,(MIN(In_PB_Release,J$4)-MAX($F47,J$3)+1)/J$5)</f>
        <v>0</v>
      </c>
      <c r="K47" s="46" t="n">
        <f aca="false">$E47*MAX(0,(MIN(In_PB_Release,K$4)-MAX($F47,K$3)+1)/K$5)</f>
        <v>834.246575342466</v>
      </c>
      <c r="L47" s="46" t="n">
        <f aca="false">$E47*MAX(0,(MIN(In_PB_Release,L$4)-MAX($F47,L$3)+1)/L$5)</f>
        <v>1668.49315068493</v>
      </c>
      <c r="M47" s="46" t="n">
        <f aca="false">$E47*MAX(0,(MIN(In_PB_Release,M$4)-MAX($F47,M$3)+1)/M$5)</f>
        <v>1668.49315068493</v>
      </c>
      <c r="N47" s="46" t="n">
        <f aca="false">$E47*MAX(0,(MIN(In_PB_Release,N$4)-MAX($F47,N$3)+1)/N$5)</f>
        <v>1668.49315068493</v>
      </c>
      <c r="O47" s="46" t="n">
        <f aca="false">$E47*MAX(0,(MIN(In_PB_Release,O$4)-MAX($F47,O$3)+1)/O$5)</f>
        <v>1668.49315068493</v>
      </c>
      <c r="P47" s="46" t="n">
        <f aca="false">$E47*MAX(0,(MIN(In_PB_Release,P$4)-MAX($F47,P$3)+1)/P$5)</f>
        <v>1668.49315068493</v>
      </c>
      <c r="Q47" s="46" t="n">
        <f aca="false">$E47*MAX(0,(MIN(In_PB_Release,Q$4)-MAX($F47,Q$3)+1)/Q$5)</f>
        <v>1668.49315068493</v>
      </c>
      <c r="R47" s="46" t="n">
        <f aca="false">$E47*MAX(0,(MIN(In_PB_Release,R$4)-MAX($F47,R$3)+1)/R$5)</f>
        <v>1668.49315068493</v>
      </c>
      <c r="S47" s="46" t="n">
        <f aca="false">$E47*MAX(0,(MIN(In_PB_Release,S$4)-MAX($F47,S$3)+1)/S$5)</f>
        <v>1668.49315068493</v>
      </c>
      <c r="T47" s="46" t="n">
        <f aca="false">$E47*MAX(0,(MIN(In_PB_Release,T$4)-MAX($F47,T$3)+1)/T$5)</f>
        <v>1668.49315068493</v>
      </c>
      <c r="U47" s="46" t="n">
        <f aca="false">$E47*MAX(0,(MIN(In_PB_Release,U$4)-MAX($F47,U$3)+1)/U$5)</f>
        <v>1668.49315068493</v>
      </c>
      <c r="V47" s="46" t="n">
        <f aca="false">$E47*MAX(0,(MIN(In_PB_Release,V$4)-MAX($F47,V$3)+1)/V$5)</f>
        <v>1668.49315068493</v>
      </c>
      <c r="W47" s="46" t="n">
        <f aca="false">$E47*MAX(0,(MIN(In_PB_Release,W$4)-MAX($F47,W$3)+1)/W$5)</f>
        <v>1668.49315068493</v>
      </c>
      <c r="X47" s="46" t="n">
        <f aca="false">$E47*MAX(0,(MIN(In_PB_Release,X$4)-MAX($F47,X$3)+1)/X$5)</f>
        <v>1668.49315068493</v>
      </c>
      <c r="Y47" s="46" t="n">
        <f aca="false">$E47*MAX(0,(MIN(In_PB_Release,Y$4)-MAX($F47,Y$3)+1)/Y$5)</f>
        <v>1668.49315068493</v>
      </c>
      <c r="Z47" s="46" t="n">
        <f aca="false">$E47*MAX(0,(MIN(In_PB_Release,Z$4)-MAX($F47,Z$3)+1)/Z$5)</f>
        <v>1668.49315068493</v>
      </c>
      <c r="AA47" s="46" t="n">
        <f aca="false">$E47*MAX(0,(MIN(In_PB_Release,AA$4)-MAX($F47,AA$3)+1)/AA$5)</f>
        <v>1668.49315068493</v>
      </c>
      <c r="AB47" s="46" t="n">
        <f aca="false">$E47*MAX(0,(MIN(In_PB_Release,AB$4)-MAX($F47,AB$3)+1)/AB$5)</f>
        <v>1668.49315068493</v>
      </c>
      <c r="AC47" s="46" t="n">
        <f aca="false">$E47*MAX(0,(MIN(In_PB_Release,AC$4)-MAX($F47,AC$3)+1)/AC$5)</f>
        <v>1668.49315068493</v>
      </c>
      <c r="AD47" s="46" t="n">
        <f aca="false">$E47*MAX(0,(MIN(In_PB_Release,AD$4)-MAX($F47,AD$3)+1)/AD$5)</f>
        <v>1668.49315068493</v>
      </c>
      <c r="AE47" s="46" t="n">
        <f aca="false">$E47*MAX(0,(MIN(In_PB_Release,AE$4)-MAX($F47,AE$3)+1)/AE$5)</f>
        <v>1668.49315068493</v>
      </c>
      <c r="AF47" s="46" t="n">
        <f aca="false">$E47*MAX(0,(MIN(In_PB_Release,AF$4)-MAX($F47,AF$3)+1)/AF$5)</f>
        <v>1668.49315068493</v>
      </c>
      <c r="AG47" s="46" t="n">
        <f aca="false">$E47*MAX(0,(MIN(In_PB_Release,AG$4)-MAX($F47,AG$3)+1)/AG$5)</f>
        <v>1668.49315068493</v>
      </c>
      <c r="AH47" s="46" t="n">
        <f aca="false">$E47*MAX(0,(MIN(In_PB_Release,AH$4)-MAX($F47,AH$3)+1)/AH$5)</f>
        <v>1668.49315068493</v>
      </c>
      <c r="AI47" s="46" t="n">
        <f aca="false">$E47*MAX(0,(MIN(In_PB_Release,AI$4)-MAX($F47,AI$3)+1)/AI$5)</f>
        <v>1668.49315068493</v>
      </c>
      <c r="AJ47" s="46" t="n">
        <f aca="false">$E47*MAX(0,(MIN(In_PB_Release,AJ$4)-MAX($F47,AJ$3)+1)/AJ$5)</f>
        <v>0</v>
      </c>
      <c r="AK47" s="46" t="n">
        <f aca="false">$E47*MAX(0,(MIN(In_PB_Release,AK$4)-MAX($F47,AK$3)+1)/AK$5)</f>
        <v>0</v>
      </c>
      <c r="AL47" s="46" t="n">
        <f aca="false">$E47*MAX(0,(MIN(In_PB_Release,AL$4)-MAX($F47,AL$3)+1)/AL$5)</f>
        <v>0</v>
      </c>
      <c r="AM47" s="46" t="n">
        <f aca="false">$E47*MAX(0,(MIN(In_PB_Release,AM$4)-MAX($F47,AM$3)+1)/AM$5)</f>
        <v>0</v>
      </c>
      <c r="AN47" s="46" t="n">
        <f aca="false">$E47*MAX(0,(MIN(In_PB_Release,AN$4)-MAX($F47,AN$3)+1)/AN$5)</f>
        <v>0</v>
      </c>
      <c r="AO47" s="46" t="n">
        <f aca="false">$E47*MAX(0,(MIN(In_PB_Release,AO$4)-MAX($F47,AO$3)+1)/AO$5)</f>
        <v>0</v>
      </c>
      <c r="AP47" s="46" t="n">
        <f aca="false">$E47*MAX(0,(MIN(In_PB_Release,AP$4)-MAX($F47,AP$3)+1)/AP$5)</f>
        <v>0</v>
      </c>
      <c r="AQ47" s="46" t="n">
        <f aca="false">$E47*MAX(0,(MIN(In_PB_Release,AQ$4)-MAX($F47,AQ$3)+1)/AQ$5)</f>
        <v>0</v>
      </c>
      <c r="AR47" s="46" t="n">
        <f aca="false">$E47*MAX(0,(MIN(In_PB_Release,AR$4)-MAX($F47,AR$3)+1)/AR$5)</f>
        <v>0</v>
      </c>
      <c r="AS47" s="46" t="n">
        <f aca="false">$E47*MAX(0,(MIN(In_PB_Release,AS$4)-MAX($F47,AS$3)+1)/AS$5)</f>
        <v>0</v>
      </c>
      <c r="AT47" s="46" t="n">
        <f aca="false">$E47*MAX(0,(MIN(In_PB_Release,AT$4)-MAX($F47,AT$3)+1)/AT$5)</f>
        <v>0</v>
      </c>
      <c r="AU47" s="46" t="n">
        <f aca="false">$E47*MAX(0,(MIN(In_PB_Release,AU$4)-MAX($F47,AU$3)+1)/AU$5)</f>
        <v>0</v>
      </c>
      <c r="AV47" s="46" t="n">
        <f aca="false">$E47*MAX(0,(MIN(In_PB_Release,AV$4)-MAX($F47,AV$3)+1)/AV$5)</f>
        <v>0</v>
      </c>
      <c r="AW47" s="46" t="n">
        <f aca="false">$E47*MAX(0,(MIN(In_PB_Release,AW$4)-MAX($F47,AW$3)+1)/AW$5)</f>
        <v>0</v>
      </c>
      <c r="AX47" s="46" t="n">
        <f aca="false">$E47*MAX(0,(MIN(In_PB_Release,AX$4)-MAX($F47,AX$3)+1)/AX$5)</f>
        <v>0</v>
      </c>
      <c r="AY47" s="46" t="n">
        <f aca="false">$E47*MAX(0,(MIN(In_PB_Release,AY$4)-MAX($F47,AY$3)+1)/AY$5)</f>
        <v>0</v>
      </c>
      <c r="AZ47" s="46" t="n">
        <f aca="false">$E47*MAX(0,(MIN(In_PB_Release,AZ$4)-MAX($F47,AZ$3)+1)/AZ$5)</f>
        <v>0</v>
      </c>
      <c r="BA47" s="46" t="n">
        <f aca="false">$E47*MAX(0,(MIN(In_PB_Release,BA$4)-MAX($F47,BA$3)+1)/BA$5)</f>
        <v>0</v>
      </c>
      <c r="BB47" s="46" t="n">
        <f aca="false">$E47*MAX(0,(MIN(In_PB_Release,BB$4)-MAX($F47,BB$3)+1)/BB$5)</f>
        <v>0</v>
      </c>
      <c r="BC47" s="46" t="n">
        <f aca="false">$E47*MAX(0,(MIN(In_PB_Release,BC$4)-MAX($F47,BC$3)+1)/BC$5)</f>
        <v>0</v>
      </c>
      <c r="BD47" s="46" t="n">
        <f aca="false">$E47*MAX(0,(MIN(In_PB_Release,BD$4)-MAX($F47,BD$3)+1)/BD$5)</f>
        <v>0</v>
      </c>
      <c r="BE47" s="46" t="n">
        <f aca="false">$E47*MAX(0,(MIN(In_PB_Release,BE$4)-MAX($F47,BE$3)+1)/BE$5)</f>
        <v>0</v>
      </c>
      <c r="BF47" s="46" t="n">
        <f aca="false">$E47*MAX(0,(MIN(In_PB_Release,BF$4)-MAX($F47,BF$3)+1)/BF$5)</f>
        <v>0</v>
      </c>
      <c r="BG47" s="46" t="n">
        <f aca="false">$E47*MAX(0,(MIN(In_PB_Release,BG$4)-MAX($F47,BG$3)+1)/BG$5)</f>
        <v>0</v>
      </c>
      <c r="BH47" s="46" t="n">
        <f aca="false">$E47*MAX(0,(MIN(In_PB_Release,BH$4)-MAX($F47,BH$3)+1)/BH$5)</f>
        <v>0</v>
      </c>
      <c r="BI47" s="46" t="n">
        <f aca="false">$E47*MAX(0,(MIN(In_PB_Release,BI$4)-MAX($F47,BI$3)+1)/BI$5)</f>
        <v>0</v>
      </c>
      <c r="BJ47" s="46" t="n">
        <f aca="false">$E47*MAX(0,(MIN(In_PB_Release,BJ$4)-MAX($F47,BJ$3)+1)/BJ$5)</f>
        <v>0</v>
      </c>
      <c r="BK47" s="46" t="n">
        <f aca="false">$E47*MAX(0,(MIN(In_PB_Release,BK$4)-MAX($F47,BK$3)+1)/BK$5)</f>
        <v>0</v>
      </c>
      <c r="BL47" s="46" t="n">
        <f aca="false">$E47*MAX(0,(MIN(In_PB_Release,BL$4)-MAX($F47,BL$3)+1)/BL$5)</f>
        <v>0</v>
      </c>
      <c r="BM47" s="46" t="n">
        <f aca="false">$E47*MAX(0,(MIN(In_PB_Release,BM$4)-MAX($F47,BM$3)+1)/BM$5)</f>
        <v>0</v>
      </c>
      <c r="BN47" s="46" t="n">
        <f aca="false">$E47*MAX(0,(MIN(In_PB_Release,BN$4)-MAX($F47,BN$3)+1)/BN$5)</f>
        <v>0</v>
      </c>
      <c r="BO47" s="46" t="n">
        <f aca="false">$E47*MAX(0,(MIN(In_PB_Release,BO$4)-MAX($F47,BO$3)+1)/BO$5)</f>
        <v>0</v>
      </c>
      <c r="BP47" s="46" t="n">
        <f aca="false">$E47*MAX(0,(MIN(In_PB_Release,BP$4)-MAX($F47,BP$3)+1)/BP$5)</f>
        <v>0</v>
      </c>
      <c r="BQ47" s="46" t="n">
        <f aca="false">$E47*MAX(0,(MIN(In_PB_Release,BQ$4)-MAX($F47,BQ$3)+1)/BQ$5)</f>
        <v>0</v>
      </c>
      <c r="BR47" s="46" t="n">
        <f aca="false">$E47*MAX(0,(MIN(In_PB_Release,BR$4)-MAX($F47,BR$3)+1)/BR$5)</f>
        <v>0</v>
      </c>
      <c r="BS47" s="46" t="n">
        <f aca="false">$E47*MAX(0,(MIN(In_PB_Release,BS$4)-MAX($F47,BS$3)+1)/BS$5)</f>
        <v>0</v>
      </c>
      <c r="BT47" s="46" t="n">
        <f aca="false">$E47*MAX(0,(MIN(In_PB_Release,BT$4)-MAX($F47,BT$3)+1)/BT$5)</f>
        <v>0</v>
      </c>
      <c r="BU47" s="46" t="n">
        <f aca="false">$E47*MAX(0,(MIN(In_PB_Release,BU$4)-MAX($F47,BU$3)+1)/BU$5)</f>
        <v>0</v>
      </c>
      <c r="BV47" s="46" t="n">
        <f aca="false">$E47*MAX(0,(MIN(In_PB_Release,BV$4)-MAX($F47,BV$3)+1)/BV$5)</f>
        <v>0</v>
      </c>
      <c r="BW47" s="46" t="n">
        <f aca="false">$E47*MAX(0,(MIN(In_PB_Release,BW$4)-MAX($F47,BW$3)+1)/BW$5)</f>
        <v>0</v>
      </c>
      <c r="BX47" s="46" t="n">
        <f aca="false">$E47*MAX(0,(MIN(In_PB_Release,BX$4)-MAX($F47,BX$3)+1)/BX$5)</f>
        <v>0</v>
      </c>
      <c r="BY47" s="46" t="n">
        <f aca="false">$E47*MAX(0,(MIN(In_PB_Release,BY$4)-MAX($F47,BY$3)+1)/BY$5)</f>
        <v>0</v>
      </c>
      <c r="BZ47" s="46" t="n">
        <f aca="false">$E47*MAX(0,(MIN(In_PB_Release,BZ$4)-MAX($F47,BZ$3)+1)/BZ$5)</f>
        <v>0</v>
      </c>
      <c r="CA47" s="46" t="n">
        <f aca="false">$E47*MAX(0,(MIN(In_PB_Release,CA$4)-MAX($F47,CA$3)+1)/CA$5)</f>
        <v>0</v>
      </c>
      <c r="CB47" s="46" t="n">
        <f aca="false">$E47*MAX(0,(MIN(In_PB_Release,CB$4)-MAX($F47,CB$3)+1)/CB$5)</f>
        <v>0</v>
      </c>
      <c r="CC47" s="46" t="n">
        <f aca="false">$E47*MAX(0,(MIN(In_PB_Release,CC$4)-MAX($F47,CC$3)+1)/CC$5)</f>
        <v>0</v>
      </c>
      <c r="CD47" s="46" t="n">
        <f aca="false">$E47*MAX(0,(MIN(In_PB_Release,CD$4)-MAX($F47,CD$3)+1)/CD$5)</f>
        <v>0</v>
      </c>
      <c r="CE47" s="46" t="n">
        <f aca="false">$E47*MAX(0,(MIN(In_PB_Release,CE$4)-MAX($F47,CE$3)+1)/CE$5)</f>
        <v>0</v>
      </c>
      <c r="CF47" s="46" t="n">
        <f aca="false">$E47*MAX(0,(MIN(In_PB_Release,CF$4)-MAX($F47,CF$3)+1)/CF$5)</f>
        <v>0</v>
      </c>
      <c r="CG47" s="46" t="n">
        <f aca="false">$E47*MAX(0,(MIN(In_PB_Release,CG$4)-MAX($F47,CG$3)+1)/CG$5)</f>
        <v>0</v>
      </c>
      <c r="CH47" s="46" t="n">
        <f aca="false">$E47*MAX(0,(MIN(In_PB_Release,CH$4)-MAX($F47,CH$3)+1)/CH$5)</f>
        <v>0</v>
      </c>
      <c r="CI47" s="46" t="n">
        <f aca="false">$E47*MAX(0,(MIN(In_PB_Release,CI$4)-MAX($F47,CI$3)+1)/CI$5)</f>
        <v>0</v>
      </c>
      <c r="CJ47" s="46" t="n">
        <f aca="false">$E47*MAX(0,(MIN(In_PB_Release,CJ$4)-MAX($F47,CJ$3)+1)/CJ$5)</f>
        <v>0</v>
      </c>
      <c r="CK47" s="46" t="n">
        <f aca="false">$E47*MAX(0,(MIN(In_PB_Release,CK$4)-MAX($F47,CK$3)+1)/CK$5)</f>
        <v>0</v>
      </c>
      <c r="CL47" s="46" t="n">
        <f aca="false">$E47*MAX(0,(MIN(In_PB_Release,CL$4)-MAX($F47,CL$3)+1)/CL$5)</f>
        <v>0</v>
      </c>
      <c r="CM47" s="46" t="n">
        <f aca="false">$E47*MAX(0,(MIN(In_PB_Release,CM$4)-MAX($F47,CM$3)+1)/CM$5)</f>
        <v>0</v>
      </c>
      <c r="CN47" s="46" t="n">
        <f aca="false">$E47*MAX(0,(MIN(In_PB_Release,CN$4)-MAX($F47,CN$3)+1)/CN$5)</f>
        <v>0</v>
      </c>
      <c r="CO47" s="46" t="n">
        <f aca="false">$E47*MAX(0,(MIN(In_PB_Release,CO$4)-MAX($F47,CO$3)+1)/CO$5)</f>
        <v>0</v>
      </c>
      <c r="CP47" s="46" t="n">
        <f aca="false">$E47*MAX(0,(MIN(In_PB_Release,CP$4)-MAX($F47,CP$3)+1)/CP$5)</f>
        <v>0</v>
      </c>
      <c r="CQ47" s="46" t="n">
        <f aca="false">$E47*MAX(0,(MIN(In_PB_Release,CQ$4)-MAX($F47,CQ$3)+1)/CQ$5)</f>
        <v>0</v>
      </c>
      <c r="CR47" s="46" t="n">
        <f aca="false">$E47*MAX(0,(MIN(In_PB_Release,CR$4)-MAX($F47,CR$3)+1)/CR$5)</f>
        <v>0</v>
      </c>
      <c r="CS47" s="46" t="n">
        <f aca="false">$E47*MAX(0,(MIN(In_PB_Release,CS$4)-MAX($F47,CS$3)+1)/CS$5)</f>
        <v>0</v>
      </c>
      <c r="CT47" s="46" t="n">
        <f aca="false">$E47*MAX(0,(MIN(In_PB_Release,CT$4)-MAX($F47,CT$3)+1)/CT$5)</f>
        <v>0</v>
      </c>
      <c r="CU47" s="46" t="n">
        <f aca="false">$E47*MAX(0,(MIN(In_PB_Release,CU$4)-MAX($F47,CU$3)+1)/CU$5)</f>
        <v>0</v>
      </c>
      <c r="CV47" s="46" t="n">
        <f aca="false">$E47*MAX(0,(MIN(In_PB_Release,CV$4)-MAX($F47,CV$3)+1)/CV$5)</f>
        <v>0</v>
      </c>
      <c r="CW47" s="46" t="n">
        <f aca="false">$E47*MAX(0,(MIN(In_PB_Release,CW$4)-MAX($F47,CW$3)+1)/CW$5)</f>
        <v>0</v>
      </c>
      <c r="CX47" s="46" t="n">
        <f aca="false">$E47*MAX(0,(MIN(In_PB_Release,CX$4)-MAX($F47,CX$3)+1)/CX$5)</f>
        <v>0</v>
      </c>
      <c r="CY47" s="46" t="n">
        <f aca="false">$E47*MAX(0,(MIN(In_PB_Release,CY$4)-MAX($F47,CY$3)+1)/CY$5)</f>
        <v>0</v>
      </c>
      <c r="CZ47" s="46" t="n">
        <f aca="false">$E47*MAX(0,(MIN(In_PB_Release,CZ$4)-MAX($F47,CZ$3)+1)/CZ$5)</f>
        <v>0</v>
      </c>
      <c r="DA47" s="46" t="n">
        <f aca="false">$E47*MAX(0,(MIN(In_PB_Release,DA$4)-MAX($F47,DA$3)+1)/DA$5)</f>
        <v>0</v>
      </c>
      <c r="DB47" s="46" t="n">
        <f aca="false">$E47*MAX(0,(MIN(In_PB_Release,DB$4)-MAX($F47,DB$3)+1)/DB$5)</f>
        <v>0</v>
      </c>
      <c r="DC47" s="46" t="n">
        <f aca="false">$E47*MAX(0,(MIN(In_PB_Release,DC$4)-MAX($F47,DC$3)+1)/DC$5)</f>
        <v>0</v>
      </c>
      <c r="DD47" s="46" t="n">
        <f aca="false">$E47*MAX(0,(MIN(In_PB_Release,DD$4)-MAX($F47,DD$3)+1)/DD$5)</f>
        <v>0</v>
      </c>
      <c r="DE47" s="46" t="n">
        <f aca="false">$E47*MAX(0,(MIN(In_PB_Release,DE$4)-MAX($F47,DE$3)+1)/DE$5)</f>
        <v>0</v>
      </c>
      <c r="DF47" s="46" t="n">
        <f aca="false">$E47*MAX(0,(MIN(In_PB_Release,DF$4)-MAX($F47,DF$3)+1)/DF$5)</f>
        <v>0</v>
      </c>
      <c r="DG47" s="46" t="n">
        <f aca="false">$E47*MAX(0,(MIN(In_PB_Release,DG$4)-MAX($F47,DG$3)+1)/DG$5)</f>
        <v>0</v>
      </c>
      <c r="DH47" s="46" t="n">
        <f aca="false">$E47*MAX(0,(MIN(In_PB_Release,DH$4)-MAX($F47,DH$3)+1)/DH$5)</f>
        <v>0</v>
      </c>
      <c r="DI47" s="46" t="n">
        <f aca="false">$E47*MAX(0,(MIN(In_PB_Release,DI$4)-MAX($F47,DI$3)+1)/DI$5)</f>
        <v>0</v>
      </c>
      <c r="DJ47" s="46" t="n">
        <f aca="false">$E47*MAX(0,(MIN(In_PB_Release,DJ$4)-MAX($F47,DJ$3)+1)/DJ$5)</f>
        <v>0</v>
      </c>
      <c r="DK47" s="46" t="n">
        <f aca="false">$E47*MAX(0,(MIN(In_PB_Release,DK$4)-MAX($F47,DK$3)+1)/DK$5)</f>
        <v>0</v>
      </c>
      <c r="DL47" s="46" t="n">
        <f aca="false">$E47*MAX(0,(MIN(In_PB_Release,DL$4)-MAX($F47,DL$3)+1)/DL$5)</f>
        <v>0</v>
      </c>
      <c r="DM47" s="46" t="n">
        <f aca="false">$E47*MAX(0,(MIN(In_PB_Release,DM$4)-MAX($F47,DM$3)+1)/DM$5)</f>
        <v>0</v>
      </c>
      <c r="DN47" s="46" t="n">
        <f aca="false">$E47*MAX(0,(MIN(In_PB_Release,DN$4)-MAX($F47,DN$3)+1)/DN$5)</f>
        <v>0</v>
      </c>
      <c r="DO47" s="46" t="n">
        <f aca="false">$E47*MAX(0,(MIN(In_PB_Release,DO$4)-MAX($F47,DO$3)+1)/DO$5)</f>
        <v>0</v>
      </c>
      <c r="DP47" s="46" t="n">
        <f aca="false">$E47*MAX(0,(MIN(In_PB_Release,DP$4)-MAX($F47,DP$3)+1)/DP$5)</f>
        <v>0</v>
      </c>
      <c r="DQ47" s="46" t="n">
        <f aca="false">$E47*MAX(0,(MIN(In_PB_Release,DQ$4)-MAX($F47,DQ$3)+1)/DQ$5)</f>
        <v>0</v>
      </c>
      <c r="DR47" s="46" t="n">
        <f aca="false">$E47*MAX(0,(MIN(In_PB_Release,DR$4)-MAX($F47,DR$3)+1)/DR$5)</f>
        <v>0</v>
      </c>
      <c r="DS47" s="46" t="n">
        <f aca="false">$E47*MAX(0,(MIN(In_PB_Release,DS$4)-MAX($F47,DS$3)+1)/DS$5)</f>
        <v>0</v>
      </c>
      <c r="DT47" s="46" t="n">
        <f aca="false">$E47*MAX(0,(MIN(In_PB_Release,DT$4)-MAX($F47,DT$3)+1)/DT$5)</f>
        <v>0</v>
      </c>
      <c r="DU47" s="46" t="n">
        <f aca="false">$E47*MAX(0,(MIN(In_PB_Release,DU$4)-MAX($F47,DU$3)+1)/DU$5)</f>
        <v>0</v>
      </c>
      <c r="DV47" s="46" t="n">
        <f aca="false">$E47*MAX(0,(MIN(In_PB_Release,DV$4)-MAX($F47,DV$3)+1)/DV$5)</f>
        <v>0</v>
      </c>
      <c r="DW47" s="46" t="n">
        <f aca="false">$E47*MAX(0,(MIN(In_PB_Release,DW$4)-MAX($F47,DW$3)+1)/DW$5)</f>
        <v>0</v>
      </c>
      <c r="DX47" s="46" t="n">
        <f aca="false">$E47*MAX(0,(MIN(In_PB_Release,DX$4)-MAX($F47,DX$3)+1)/DX$5)</f>
        <v>0</v>
      </c>
      <c r="DY47" s="46" t="n">
        <f aca="false">$E47*MAX(0,(MIN(In_PB_Release,DY$4)-MAX($F47,DY$3)+1)/DY$5)</f>
        <v>0</v>
      </c>
      <c r="DZ47" s="46" t="n">
        <f aca="false">$E47*MAX(0,(MIN(In_PB_Release,DZ$4)-MAX($F47,DZ$3)+1)/DZ$5)</f>
        <v>0</v>
      </c>
      <c r="EA47" s="46" t="n">
        <f aca="false">$E47*MAX(0,(MIN(In_PB_Release,EA$4)-MAX($F47,EA$3)+1)/EA$5)</f>
        <v>0</v>
      </c>
      <c r="EB47" s="46" t="n">
        <f aca="false">$E47*MAX(0,(MIN(In_PB_Release,EB$4)-MAX($F47,EB$3)+1)/EB$5)</f>
        <v>0</v>
      </c>
      <c r="EC47" s="46" t="n">
        <f aca="false">$E47*MAX(0,(MIN(In_PB_Release,EC$4)-MAX($F47,EC$3)+1)/EC$5)</f>
        <v>0</v>
      </c>
      <c r="ED47" s="46" t="n">
        <f aca="false">$E47*MAX(0,(MIN(In_PB_Release,ED$4)-MAX($F47,ED$3)+1)/ED$5)</f>
        <v>0</v>
      </c>
      <c r="EE47" s="46" t="n">
        <f aca="false">$E47*MAX(0,(MIN(In_PB_Release,EE$4)-MAX($F47,EE$3)+1)/EE$5)</f>
        <v>0</v>
      </c>
      <c r="EF47" s="46" t="n">
        <f aca="false">$E47*MAX(0,(MIN(In_PB_Release,EF$4)-MAX($F47,EF$3)+1)/EF$5)</f>
        <v>0</v>
      </c>
      <c r="EG47" s="46" t="n">
        <f aca="false">$E47*MAX(0,(MIN(In_PB_Release,EG$4)-MAX($F47,EG$3)+1)/EG$5)</f>
        <v>0</v>
      </c>
      <c r="EH47" s="46" t="n">
        <f aca="false">$E47*MAX(0,(MIN(In_PB_Release,EH$4)-MAX($F47,EH$3)+1)/EH$5)</f>
        <v>0</v>
      </c>
      <c r="EI47" s="46" t="n">
        <f aca="false">$E47*MAX(0,(MIN(In_PB_Release,EI$4)-MAX($F47,EI$3)+1)/EI$5)</f>
        <v>0</v>
      </c>
      <c r="EJ47" s="46" t="n">
        <f aca="false">$E47*MAX(0,(MIN(In_PB_Release,EJ$4)-MAX($F47,EJ$3)+1)/EJ$5)</f>
        <v>0</v>
      </c>
      <c r="EK47" s="46" t="n">
        <f aca="false">$E47*MAX(0,(MIN(In_PB_Release,EK$4)-MAX($F47,EK$3)+1)/EK$5)</f>
        <v>0</v>
      </c>
      <c r="EL47" s="46" t="n">
        <f aca="false">$E47*MAX(0,(MIN(In_PB_Release,EL$4)-MAX($F47,EL$3)+1)/EL$5)</f>
        <v>0</v>
      </c>
      <c r="EM47" s="46" t="n">
        <f aca="false">$E47*MAX(0,(MIN(In_PB_Release,EM$4)-MAX($F47,EM$3)+1)/EM$5)</f>
        <v>0</v>
      </c>
      <c r="EN47" s="46" t="n">
        <f aca="false">$E47*MAX(0,(MIN(In_PB_Release,EN$4)-MAX($F47,EN$3)+1)/EN$5)</f>
        <v>0</v>
      </c>
      <c r="EO47" s="46" t="n">
        <f aca="false">$E47*MAX(0,(MIN(In_PB_Release,EO$4)-MAX($F47,EO$3)+1)/EO$5)</f>
        <v>0</v>
      </c>
    </row>
    <row r="48" customFormat="false" ht="15" hidden="false" customHeight="false" outlineLevel="0" collapsed="false">
      <c r="C48" s="0" t="s">
        <v>380</v>
      </c>
      <c r="D48" s="11" t="s">
        <v>33</v>
      </c>
      <c r="E48" s="46" t="n">
        <f aca="false">In_TSO_Security*In_MVA*Thousand/In_FX</f>
        <v>616.438356164384</v>
      </c>
      <c r="F48" s="44" t="n">
        <f aca="false">In_Decision_Date+In_PB_Days</f>
        <v>46433</v>
      </c>
      <c r="I48" s="46" t="n">
        <f aca="false">SUM(J48:EO48)</f>
        <v>-616.438356164384</v>
      </c>
      <c r="J48" s="46" t="n">
        <f aca="false">-$E48*N(AND(J$3&lt;=$F48,J$4&gt;=$F48))</f>
        <v>-0</v>
      </c>
      <c r="K48" s="46" t="n">
        <f aca="false">-$E48*N(AND(K$3&lt;=$F48,K$4&gt;=$F48))</f>
        <v>-616.438356164384</v>
      </c>
      <c r="L48" s="46" t="n">
        <f aca="false">-$E48*N(AND(L$3&lt;=$F48,L$4&gt;=$F48))</f>
        <v>-0</v>
      </c>
      <c r="M48" s="46" t="n">
        <f aca="false">-$E48*N(AND(M$3&lt;=$F48,M$4&gt;=$F48))</f>
        <v>-0</v>
      </c>
      <c r="N48" s="46" t="n">
        <f aca="false">-$E48*N(AND(N$3&lt;=$F48,N$4&gt;=$F48))</f>
        <v>-0</v>
      </c>
      <c r="O48" s="46" t="n">
        <f aca="false">-$E48*N(AND(O$3&lt;=$F48,O$4&gt;=$F48))</f>
        <v>-0</v>
      </c>
      <c r="P48" s="46" t="n">
        <f aca="false">-$E48*N(AND(P$3&lt;=$F48,P$4&gt;=$F48))</f>
        <v>-0</v>
      </c>
      <c r="Q48" s="46" t="n">
        <f aca="false">-$E48*N(AND(Q$3&lt;=$F48,Q$4&gt;=$F48))</f>
        <v>-0</v>
      </c>
      <c r="R48" s="46" t="n">
        <f aca="false">-$E48*N(AND(R$3&lt;=$F48,R$4&gt;=$F48))</f>
        <v>-0</v>
      </c>
      <c r="S48" s="46" t="n">
        <f aca="false">-$E48*N(AND(S$3&lt;=$F48,S$4&gt;=$F48))</f>
        <v>-0</v>
      </c>
      <c r="T48" s="46" t="n">
        <f aca="false">-$E48*N(AND(T$3&lt;=$F48,T$4&gt;=$F48))</f>
        <v>-0</v>
      </c>
      <c r="U48" s="46" t="n">
        <f aca="false">-$E48*N(AND(U$3&lt;=$F48,U$4&gt;=$F48))</f>
        <v>-0</v>
      </c>
      <c r="V48" s="46" t="n">
        <f aca="false">-$E48*N(AND(V$3&lt;=$F48,V$4&gt;=$F48))</f>
        <v>-0</v>
      </c>
      <c r="W48" s="46" t="n">
        <f aca="false">-$E48*N(AND(W$3&lt;=$F48,W$4&gt;=$F48))</f>
        <v>-0</v>
      </c>
      <c r="X48" s="46" t="n">
        <f aca="false">-$E48*N(AND(X$3&lt;=$F48,X$4&gt;=$F48))</f>
        <v>-0</v>
      </c>
      <c r="Y48" s="46" t="n">
        <f aca="false">-$E48*N(AND(Y$3&lt;=$F48,Y$4&gt;=$F48))</f>
        <v>-0</v>
      </c>
      <c r="Z48" s="46" t="n">
        <f aca="false">-$E48*N(AND(Z$3&lt;=$F48,Z$4&gt;=$F48))</f>
        <v>-0</v>
      </c>
      <c r="AA48" s="46" t="n">
        <f aca="false">-$E48*N(AND(AA$3&lt;=$F48,AA$4&gt;=$F48))</f>
        <v>-0</v>
      </c>
      <c r="AB48" s="46" t="n">
        <f aca="false">-$E48*N(AND(AB$3&lt;=$F48,AB$4&gt;=$F48))</f>
        <v>-0</v>
      </c>
      <c r="AC48" s="46" t="n">
        <f aca="false">-$E48*N(AND(AC$3&lt;=$F48,AC$4&gt;=$F48))</f>
        <v>-0</v>
      </c>
      <c r="AD48" s="46" t="n">
        <f aca="false">-$E48*N(AND(AD$3&lt;=$F48,AD$4&gt;=$F48))</f>
        <v>-0</v>
      </c>
      <c r="AE48" s="46" t="n">
        <f aca="false">-$E48*N(AND(AE$3&lt;=$F48,AE$4&gt;=$F48))</f>
        <v>-0</v>
      </c>
      <c r="AF48" s="46" t="n">
        <f aca="false">-$E48*N(AND(AF$3&lt;=$F48,AF$4&gt;=$F48))</f>
        <v>-0</v>
      </c>
      <c r="AG48" s="46" t="n">
        <f aca="false">-$E48*N(AND(AG$3&lt;=$F48,AG$4&gt;=$F48))</f>
        <v>-0</v>
      </c>
      <c r="AH48" s="46" t="n">
        <f aca="false">-$E48*N(AND(AH$3&lt;=$F48,AH$4&gt;=$F48))</f>
        <v>-0</v>
      </c>
      <c r="AI48" s="46" t="n">
        <f aca="false">-$E48*N(AND(AI$3&lt;=$F48,AI$4&gt;=$F48))</f>
        <v>-0</v>
      </c>
      <c r="AJ48" s="46" t="n">
        <f aca="false">-$E48*N(AND(AJ$3&lt;=$F48,AJ$4&gt;=$F48))</f>
        <v>-0</v>
      </c>
      <c r="AK48" s="46" t="n">
        <f aca="false">-$E48*N(AND(AK$3&lt;=$F48,AK$4&gt;=$F48))</f>
        <v>-0</v>
      </c>
      <c r="AL48" s="46" t="n">
        <f aca="false">-$E48*N(AND(AL$3&lt;=$F48,AL$4&gt;=$F48))</f>
        <v>-0</v>
      </c>
      <c r="AM48" s="46" t="n">
        <f aca="false">-$E48*N(AND(AM$3&lt;=$F48,AM$4&gt;=$F48))</f>
        <v>-0</v>
      </c>
      <c r="AN48" s="46" t="n">
        <f aca="false">-$E48*N(AND(AN$3&lt;=$F48,AN$4&gt;=$F48))</f>
        <v>-0</v>
      </c>
      <c r="AO48" s="46" t="n">
        <f aca="false">-$E48*N(AND(AO$3&lt;=$F48,AO$4&gt;=$F48))</f>
        <v>-0</v>
      </c>
      <c r="AP48" s="46" t="n">
        <f aca="false">-$E48*N(AND(AP$3&lt;=$F48,AP$4&gt;=$F48))</f>
        <v>-0</v>
      </c>
      <c r="AQ48" s="46" t="n">
        <f aca="false">-$E48*N(AND(AQ$3&lt;=$F48,AQ$4&gt;=$F48))</f>
        <v>-0</v>
      </c>
      <c r="AR48" s="46" t="n">
        <f aca="false">-$E48*N(AND(AR$3&lt;=$F48,AR$4&gt;=$F48))</f>
        <v>-0</v>
      </c>
      <c r="AS48" s="46" t="n">
        <f aca="false">-$E48*N(AND(AS$3&lt;=$F48,AS$4&gt;=$F48))</f>
        <v>-0</v>
      </c>
      <c r="AT48" s="46" t="n">
        <f aca="false">-$E48*N(AND(AT$3&lt;=$F48,AT$4&gt;=$F48))</f>
        <v>-0</v>
      </c>
      <c r="AU48" s="46" t="n">
        <f aca="false">-$E48*N(AND(AU$3&lt;=$F48,AU$4&gt;=$F48))</f>
        <v>-0</v>
      </c>
      <c r="AV48" s="46" t="n">
        <f aca="false">-$E48*N(AND(AV$3&lt;=$F48,AV$4&gt;=$F48))</f>
        <v>-0</v>
      </c>
      <c r="AW48" s="46" t="n">
        <f aca="false">-$E48*N(AND(AW$3&lt;=$F48,AW$4&gt;=$F48))</f>
        <v>-0</v>
      </c>
      <c r="AX48" s="46" t="n">
        <f aca="false">-$E48*N(AND(AX$3&lt;=$F48,AX$4&gt;=$F48))</f>
        <v>-0</v>
      </c>
      <c r="AY48" s="46" t="n">
        <f aca="false">-$E48*N(AND(AY$3&lt;=$F48,AY$4&gt;=$F48))</f>
        <v>-0</v>
      </c>
      <c r="AZ48" s="46" t="n">
        <f aca="false">-$E48*N(AND(AZ$3&lt;=$F48,AZ$4&gt;=$F48))</f>
        <v>-0</v>
      </c>
      <c r="BA48" s="46" t="n">
        <f aca="false">-$E48*N(AND(BA$3&lt;=$F48,BA$4&gt;=$F48))</f>
        <v>-0</v>
      </c>
      <c r="BB48" s="46" t="n">
        <f aca="false">-$E48*N(AND(BB$3&lt;=$F48,BB$4&gt;=$F48))</f>
        <v>-0</v>
      </c>
      <c r="BC48" s="46" t="n">
        <f aca="false">-$E48*N(AND(BC$3&lt;=$F48,BC$4&gt;=$F48))</f>
        <v>-0</v>
      </c>
      <c r="BD48" s="46" t="n">
        <f aca="false">-$E48*N(AND(BD$3&lt;=$F48,BD$4&gt;=$F48))</f>
        <v>-0</v>
      </c>
      <c r="BE48" s="46" t="n">
        <f aca="false">-$E48*N(AND(BE$3&lt;=$F48,BE$4&gt;=$F48))</f>
        <v>-0</v>
      </c>
      <c r="BF48" s="46" t="n">
        <f aca="false">-$E48*N(AND(BF$3&lt;=$F48,BF$4&gt;=$F48))</f>
        <v>-0</v>
      </c>
      <c r="BG48" s="46" t="n">
        <f aca="false">-$E48*N(AND(BG$3&lt;=$F48,BG$4&gt;=$F48))</f>
        <v>-0</v>
      </c>
      <c r="BH48" s="46" t="n">
        <f aca="false">-$E48*N(AND(BH$3&lt;=$F48,BH$4&gt;=$F48))</f>
        <v>-0</v>
      </c>
      <c r="BI48" s="46" t="n">
        <f aca="false">-$E48*N(AND(BI$3&lt;=$F48,BI$4&gt;=$F48))</f>
        <v>-0</v>
      </c>
      <c r="BJ48" s="46" t="n">
        <f aca="false">-$E48*N(AND(BJ$3&lt;=$F48,BJ$4&gt;=$F48))</f>
        <v>-0</v>
      </c>
      <c r="BK48" s="46" t="n">
        <f aca="false">-$E48*N(AND(BK$3&lt;=$F48,BK$4&gt;=$F48))</f>
        <v>-0</v>
      </c>
      <c r="BL48" s="46" t="n">
        <f aca="false">-$E48*N(AND(BL$3&lt;=$F48,BL$4&gt;=$F48))</f>
        <v>-0</v>
      </c>
      <c r="BM48" s="46" t="n">
        <f aca="false">-$E48*N(AND(BM$3&lt;=$F48,BM$4&gt;=$F48))</f>
        <v>-0</v>
      </c>
      <c r="BN48" s="46" t="n">
        <f aca="false">-$E48*N(AND(BN$3&lt;=$F48,BN$4&gt;=$F48))</f>
        <v>-0</v>
      </c>
      <c r="BO48" s="46" t="n">
        <f aca="false">-$E48*N(AND(BO$3&lt;=$F48,BO$4&gt;=$F48))</f>
        <v>-0</v>
      </c>
      <c r="BP48" s="46" t="n">
        <f aca="false">-$E48*N(AND(BP$3&lt;=$F48,BP$4&gt;=$F48))</f>
        <v>-0</v>
      </c>
      <c r="BQ48" s="46" t="n">
        <f aca="false">-$E48*N(AND(BQ$3&lt;=$F48,BQ$4&gt;=$F48))</f>
        <v>-0</v>
      </c>
      <c r="BR48" s="46" t="n">
        <f aca="false">-$E48*N(AND(BR$3&lt;=$F48,BR$4&gt;=$F48))</f>
        <v>-0</v>
      </c>
      <c r="BS48" s="46" t="n">
        <f aca="false">-$E48*N(AND(BS$3&lt;=$F48,BS$4&gt;=$F48))</f>
        <v>-0</v>
      </c>
      <c r="BT48" s="46" t="n">
        <f aca="false">-$E48*N(AND(BT$3&lt;=$F48,BT$4&gt;=$F48))</f>
        <v>-0</v>
      </c>
      <c r="BU48" s="46" t="n">
        <f aca="false">-$E48*N(AND(BU$3&lt;=$F48,BU$4&gt;=$F48))</f>
        <v>-0</v>
      </c>
      <c r="BV48" s="46" t="n">
        <f aca="false">-$E48*N(AND(BV$3&lt;=$F48,BV$4&gt;=$F48))</f>
        <v>-0</v>
      </c>
      <c r="BW48" s="46" t="n">
        <f aca="false">-$E48*N(AND(BW$3&lt;=$F48,BW$4&gt;=$F48))</f>
        <v>-0</v>
      </c>
      <c r="BX48" s="46" t="n">
        <f aca="false">-$E48*N(AND(BX$3&lt;=$F48,BX$4&gt;=$F48))</f>
        <v>-0</v>
      </c>
      <c r="BY48" s="46" t="n">
        <f aca="false">-$E48*N(AND(BY$3&lt;=$F48,BY$4&gt;=$F48))</f>
        <v>-0</v>
      </c>
      <c r="BZ48" s="46" t="n">
        <f aca="false">-$E48*N(AND(BZ$3&lt;=$F48,BZ$4&gt;=$F48))</f>
        <v>-0</v>
      </c>
      <c r="CA48" s="46" t="n">
        <f aca="false">-$E48*N(AND(CA$3&lt;=$F48,CA$4&gt;=$F48))</f>
        <v>-0</v>
      </c>
      <c r="CB48" s="46" t="n">
        <f aca="false">-$E48*N(AND(CB$3&lt;=$F48,CB$4&gt;=$F48))</f>
        <v>-0</v>
      </c>
      <c r="CC48" s="46" t="n">
        <f aca="false">-$E48*N(AND(CC$3&lt;=$F48,CC$4&gt;=$F48))</f>
        <v>-0</v>
      </c>
      <c r="CD48" s="46" t="n">
        <f aca="false">-$E48*N(AND(CD$3&lt;=$F48,CD$4&gt;=$F48))</f>
        <v>-0</v>
      </c>
      <c r="CE48" s="46" t="n">
        <f aca="false">-$E48*N(AND(CE$3&lt;=$F48,CE$4&gt;=$F48))</f>
        <v>-0</v>
      </c>
      <c r="CF48" s="46" t="n">
        <f aca="false">-$E48*N(AND(CF$3&lt;=$F48,CF$4&gt;=$F48))</f>
        <v>-0</v>
      </c>
      <c r="CG48" s="46" t="n">
        <f aca="false">-$E48*N(AND(CG$3&lt;=$F48,CG$4&gt;=$F48))</f>
        <v>-0</v>
      </c>
      <c r="CH48" s="46" t="n">
        <f aca="false">-$E48*N(AND(CH$3&lt;=$F48,CH$4&gt;=$F48))</f>
        <v>-0</v>
      </c>
      <c r="CI48" s="46" t="n">
        <f aca="false">-$E48*N(AND(CI$3&lt;=$F48,CI$4&gt;=$F48))</f>
        <v>-0</v>
      </c>
      <c r="CJ48" s="46" t="n">
        <f aca="false">-$E48*N(AND(CJ$3&lt;=$F48,CJ$4&gt;=$F48))</f>
        <v>-0</v>
      </c>
      <c r="CK48" s="46" t="n">
        <f aca="false">-$E48*N(AND(CK$3&lt;=$F48,CK$4&gt;=$F48))</f>
        <v>-0</v>
      </c>
      <c r="CL48" s="46" t="n">
        <f aca="false">-$E48*N(AND(CL$3&lt;=$F48,CL$4&gt;=$F48))</f>
        <v>-0</v>
      </c>
      <c r="CM48" s="46" t="n">
        <f aca="false">-$E48*N(AND(CM$3&lt;=$F48,CM$4&gt;=$F48))</f>
        <v>-0</v>
      </c>
      <c r="CN48" s="46" t="n">
        <f aca="false">-$E48*N(AND(CN$3&lt;=$F48,CN$4&gt;=$F48))</f>
        <v>-0</v>
      </c>
      <c r="CO48" s="46" t="n">
        <f aca="false">-$E48*N(AND(CO$3&lt;=$F48,CO$4&gt;=$F48))</f>
        <v>-0</v>
      </c>
      <c r="CP48" s="46" t="n">
        <f aca="false">-$E48*N(AND(CP$3&lt;=$F48,CP$4&gt;=$F48))</f>
        <v>-0</v>
      </c>
      <c r="CQ48" s="46" t="n">
        <f aca="false">-$E48*N(AND(CQ$3&lt;=$F48,CQ$4&gt;=$F48))</f>
        <v>-0</v>
      </c>
      <c r="CR48" s="46" t="n">
        <f aca="false">-$E48*N(AND(CR$3&lt;=$F48,CR$4&gt;=$F48))</f>
        <v>-0</v>
      </c>
      <c r="CS48" s="46" t="n">
        <f aca="false">-$E48*N(AND(CS$3&lt;=$F48,CS$4&gt;=$F48))</f>
        <v>-0</v>
      </c>
      <c r="CT48" s="46" t="n">
        <f aca="false">-$E48*N(AND(CT$3&lt;=$F48,CT$4&gt;=$F48))</f>
        <v>-0</v>
      </c>
      <c r="CU48" s="46" t="n">
        <f aca="false">-$E48*N(AND(CU$3&lt;=$F48,CU$4&gt;=$F48))</f>
        <v>-0</v>
      </c>
      <c r="CV48" s="46" t="n">
        <f aca="false">-$E48*N(AND(CV$3&lt;=$F48,CV$4&gt;=$F48))</f>
        <v>-0</v>
      </c>
      <c r="CW48" s="46" t="n">
        <f aca="false">-$E48*N(AND(CW$3&lt;=$F48,CW$4&gt;=$F48))</f>
        <v>-0</v>
      </c>
      <c r="CX48" s="46" t="n">
        <f aca="false">-$E48*N(AND(CX$3&lt;=$F48,CX$4&gt;=$F48))</f>
        <v>-0</v>
      </c>
      <c r="CY48" s="46" t="n">
        <f aca="false">-$E48*N(AND(CY$3&lt;=$F48,CY$4&gt;=$F48))</f>
        <v>-0</v>
      </c>
      <c r="CZ48" s="46" t="n">
        <f aca="false">-$E48*N(AND(CZ$3&lt;=$F48,CZ$4&gt;=$F48))</f>
        <v>-0</v>
      </c>
      <c r="DA48" s="46" t="n">
        <f aca="false">-$E48*N(AND(DA$3&lt;=$F48,DA$4&gt;=$F48))</f>
        <v>-0</v>
      </c>
      <c r="DB48" s="46" t="n">
        <f aca="false">-$E48*N(AND(DB$3&lt;=$F48,DB$4&gt;=$F48))</f>
        <v>-0</v>
      </c>
      <c r="DC48" s="46" t="n">
        <f aca="false">-$E48*N(AND(DC$3&lt;=$F48,DC$4&gt;=$F48))</f>
        <v>-0</v>
      </c>
      <c r="DD48" s="46" t="n">
        <f aca="false">-$E48*N(AND(DD$3&lt;=$F48,DD$4&gt;=$F48))</f>
        <v>-0</v>
      </c>
      <c r="DE48" s="46" t="n">
        <f aca="false">-$E48*N(AND(DE$3&lt;=$F48,DE$4&gt;=$F48))</f>
        <v>-0</v>
      </c>
      <c r="DF48" s="46" t="n">
        <f aca="false">-$E48*N(AND(DF$3&lt;=$F48,DF$4&gt;=$F48))</f>
        <v>-0</v>
      </c>
      <c r="DG48" s="46" t="n">
        <f aca="false">-$E48*N(AND(DG$3&lt;=$F48,DG$4&gt;=$F48))</f>
        <v>-0</v>
      </c>
      <c r="DH48" s="46" t="n">
        <f aca="false">-$E48*N(AND(DH$3&lt;=$F48,DH$4&gt;=$F48))</f>
        <v>-0</v>
      </c>
      <c r="DI48" s="46" t="n">
        <f aca="false">-$E48*N(AND(DI$3&lt;=$F48,DI$4&gt;=$F48))</f>
        <v>-0</v>
      </c>
      <c r="DJ48" s="46" t="n">
        <f aca="false">-$E48*N(AND(DJ$3&lt;=$F48,DJ$4&gt;=$F48))</f>
        <v>-0</v>
      </c>
      <c r="DK48" s="46" t="n">
        <f aca="false">-$E48*N(AND(DK$3&lt;=$F48,DK$4&gt;=$F48))</f>
        <v>-0</v>
      </c>
      <c r="DL48" s="46" t="n">
        <f aca="false">-$E48*N(AND(DL$3&lt;=$F48,DL$4&gt;=$F48))</f>
        <v>-0</v>
      </c>
      <c r="DM48" s="46" t="n">
        <f aca="false">-$E48*N(AND(DM$3&lt;=$F48,DM$4&gt;=$F48))</f>
        <v>-0</v>
      </c>
      <c r="DN48" s="46" t="n">
        <f aca="false">-$E48*N(AND(DN$3&lt;=$F48,DN$4&gt;=$F48))</f>
        <v>-0</v>
      </c>
      <c r="DO48" s="46" t="n">
        <f aca="false">-$E48*N(AND(DO$3&lt;=$F48,DO$4&gt;=$F48))</f>
        <v>-0</v>
      </c>
      <c r="DP48" s="46" t="n">
        <f aca="false">-$E48*N(AND(DP$3&lt;=$F48,DP$4&gt;=$F48))</f>
        <v>-0</v>
      </c>
      <c r="DQ48" s="46" t="n">
        <f aca="false">-$E48*N(AND(DQ$3&lt;=$F48,DQ$4&gt;=$F48))</f>
        <v>-0</v>
      </c>
      <c r="DR48" s="46" t="n">
        <f aca="false">-$E48*N(AND(DR$3&lt;=$F48,DR$4&gt;=$F48))</f>
        <v>-0</v>
      </c>
      <c r="DS48" s="46" t="n">
        <f aca="false">-$E48*N(AND(DS$3&lt;=$F48,DS$4&gt;=$F48))</f>
        <v>-0</v>
      </c>
      <c r="DT48" s="46" t="n">
        <f aca="false">-$E48*N(AND(DT$3&lt;=$F48,DT$4&gt;=$F48))</f>
        <v>-0</v>
      </c>
      <c r="DU48" s="46" t="n">
        <f aca="false">-$E48*N(AND(DU$3&lt;=$F48,DU$4&gt;=$F48))</f>
        <v>-0</v>
      </c>
      <c r="DV48" s="46" t="n">
        <f aca="false">-$E48*N(AND(DV$3&lt;=$F48,DV$4&gt;=$F48))</f>
        <v>-0</v>
      </c>
      <c r="DW48" s="46" t="n">
        <f aca="false">-$E48*N(AND(DW$3&lt;=$F48,DW$4&gt;=$F48))</f>
        <v>-0</v>
      </c>
      <c r="DX48" s="46" t="n">
        <f aca="false">-$E48*N(AND(DX$3&lt;=$F48,DX$4&gt;=$F48))</f>
        <v>-0</v>
      </c>
      <c r="DY48" s="46" t="n">
        <f aca="false">-$E48*N(AND(DY$3&lt;=$F48,DY$4&gt;=$F48))</f>
        <v>-0</v>
      </c>
      <c r="DZ48" s="46" t="n">
        <f aca="false">-$E48*N(AND(DZ$3&lt;=$F48,DZ$4&gt;=$F48))</f>
        <v>-0</v>
      </c>
      <c r="EA48" s="46" t="n">
        <f aca="false">-$E48*N(AND(EA$3&lt;=$F48,EA$4&gt;=$F48))</f>
        <v>-0</v>
      </c>
      <c r="EB48" s="46" t="n">
        <f aca="false">-$E48*N(AND(EB$3&lt;=$F48,EB$4&gt;=$F48))</f>
        <v>-0</v>
      </c>
      <c r="EC48" s="46" t="n">
        <f aca="false">-$E48*N(AND(EC$3&lt;=$F48,EC$4&gt;=$F48))</f>
        <v>-0</v>
      </c>
      <c r="ED48" s="46" t="n">
        <f aca="false">-$E48*N(AND(ED$3&lt;=$F48,ED$4&gt;=$F48))</f>
        <v>-0</v>
      </c>
      <c r="EE48" s="46" t="n">
        <f aca="false">-$E48*N(AND(EE$3&lt;=$F48,EE$4&gt;=$F48))</f>
        <v>-0</v>
      </c>
      <c r="EF48" s="46" t="n">
        <f aca="false">-$E48*N(AND(EF$3&lt;=$F48,EF$4&gt;=$F48))</f>
        <v>-0</v>
      </c>
      <c r="EG48" s="46" t="n">
        <f aca="false">-$E48*N(AND(EG$3&lt;=$F48,EG$4&gt;=$F48))</f>
        <v>-0</v>
      </c>
      <c r="EH48" s="46" t="n">
        <f aca="false">-$E48*N(AND(EH$3&lt;=$F48,EH$4&gt;=$F48))</f>
        <v>-0</v>
      </c>
      <c r="EI48" s="46" t="n">
        <f aca="false">-$E48*N(AND(EI$3&lt;=$F48,EI$4&gt;=$F48))</f>
        <v>-0</v>
      </c>
      <c r="EJ48" s="46" t="n">
        <f aca="false">-$E48*N(AND(EJ$3&lt;=$F48,EJ$4&gt;=$F48))</f>
        <v>-0</v>
      </c>
      <c r="EK48" s="46" t="n">
        <f aca="false">-$E48*N(AND(EK$3&lt;=$F48,EK$4&gt;=$F48))</f>
        <v>-0</v>
      </c>
      <c r="EL48" s="46" t="n">
        <f aca="false">-$E48*N(AND(EL$3&lt;=$F48,EL$4&gt;=$F48))</f>
        <v>-0</v>
      </c>
      <c r="EM48" s="46" t="n">
        <f aca="false">-$E48*N(AND(EM$3&lt;=$F48,EM$4&gt;=$F48))</f>
        <v>-0</v>
      </c>
      <c r="EN48" s="46" t="n">
        <f aca="false">-$E48*N(AND(EN$3&lt;=$F48,EN$4&gt;=$F48))</f>
        <v>-0</v>
      </c>
      <c r="EO48" s="46" t="n">
        <f aca="false">-$E48*N(AND(EO$3&lt;=$F48,EO$4&gt;=$F48))</f>
        <v>-0</v>
      </c>
    </row>
    <row r="49" customFormat="false" ht="15" hidden="false" customHeight="false" outlineLevel="0" collapsed="false">
      <c r="C49" s="0" t="s">
        <v>381</v>
      </c>
      <c r="D49" s="11" t="s">
        <v>33</v>
      </c>
      <c r="E49" s="46" t="n">
        <f aca="false">In_Direct_Fee*Thousand/In_FX</f>
        <v>1260.27397260274</v>
      </c>
      <c r="F49" s="21" t="n">
        <f aca="false">In_HCSSZ_Date</f>
        <v>47126</v>
      </c>
      <c r="I49" s="46" t="n">
        <f aca="false">SUM(J49:EO49)</f>
        <v>-1260.27397260274</v>
      </c>
      <c r="J49" s="46" t="n">
        <f aca="false">-$E49*N(AND(J$3&lt;=$F49,J$4&gt;=$F49))</f>
        <v>-0</v>
      </c>
      <c r="K49" s="46" t="n">
        <f aca="false">-$E49*N(AND(K$3&lt;=$F49,K$4&gt;=$F49))</f>
        <v>-0</v>
      </c>
      <c r="L49" s="46" t="n">
        <f aca="false">-$E49*N(AND(L$3&lt;=$F49,L$4&gt;=$F49))</f>
        <v>-0</v>
      </c>
      <c r="M49" s="46" t="n">
        <f aca="false">-$E49*N(AND(M$3&lt;=$F49,M$4&gt;=$F49))</f>
        <v>-0</v>
      </c>
      <c r="N49" s="46" t="n">
        <f aca="false">-$E49*N(AND(N$3&lt;=$F49,N$4&gt;=$F49))</f>
        <v>-0</v>
      </c>
      <c r="O49" s="46" t="n">
        <f aca="false">-$E49*N(AND(O$3&lt;=$F49,O$4&gt;=$F49))</f>
        <v>-0</v>
      </c>
      <c r="P49" s="46" t="n">
        <f aca="false">-$E49*N(AND(P$3&lt;=$F49,P$4&gt;=$F49))</f>
        <v>-0</v>
      </c>
      <c r="Q49" s="46" t="n">
        <f aca="false">-$E49*N(AND(Q$3&lt;=$F49,Q$4&gt;=$F49))</f>
        <v>-0</v>
      </c>
      <c r="R49" s="46" t="n">
        <f aca="false">-$E49*N(AND(R$3&lt;=$F49,R$4&gt;=$F49))</f>
        <v>-0</v>
      </c>
      <c r="S49" s="46" t="n">
        <f aca="false">-$E49*N(AND(S$3&lt;=$F49,S$4&gt;=$F49))</f>
        <v>-1260.27397260274</v>
      </c>
      <c r="T49" s="46" t="n">
        <f aca="false">-$E49*N(AND(T$3&lt;=$F49,T$4&gt;=$F49))</f>
        <v>-0</v>
      </c>
      <c r="U49" s="46" t="n">
        <f aca="false">-$E49*N(AND(U$3&lt;=$F49,U$4&gt;=$F49))</f>
        <v>-0</v>
      </c>
      <c r="V49" s="46" t="n">
        <f aca="false">-$E49*N(AND(V$3&lt;=$F49,V$4&gt;=$F49))</f>
        <v>-0</v>
      </c>
      <c r="W49" s="46" t="n">
        <f aca="false">-$E49*N(AND(W$3&lt;=$F49,W$4&gt;=$F49))</f>
        <v>-0</v>
      </c>
      <c r="X49" s="46" t="n">
        <f aca="false">-$E49*N(AND(X$3&lt;=$F49,X$4&gt;=$F49))</f>
        <v>-0</v>
      </c>
      <c r="Y49" s="46" t="n">
        <f aca="false">-$E49*N(AND(Y$3&lt;=$F49,Y$4&gt;=$F49))</f>
        <v>-0</v>
      </c>
      <c r="Z49" s="46" t="n">
        <f aca="false">-$E49*N(AND(Z$3&lt;=$F49,Z$4&gt;=$F49))</f>
        <v>-0</v>
      </c>
      <c r="AA49" s="46" t="n">
        <f aca="false">-$E49*N(AND(AA$3&lt;=$F49,AA$4&gt;=$F49))</f>
        <v>-0</v>
      </c>
      <c r="AB49" s="46" t="n">
        <f aca="false">-$E49*N(AND(AB$3&lt;=$F49,AB$4&gt;=$F49))</f>
        <v>-0</v>
      </c>
      <c r="AC49" s="46" t="n">
        <f aca="false">-$E49*N(AND(AC$3&lt;=$F49,AC$4&gt;=$F49))</f>
        <v>-0</v>
      </c>
      <c r="AD49" s="46" t="n">
        <f aca="false">-$E49*N(AND(AD$3&lt;=$F49,AD$4&gt;=$F49))</f>
        <v>-0</v>
      </c>
      <c r="AE49" s="46" t="n">
        <f aca="false">-$E49*N(AND(AE$3&lt;=$F49,AE$4&gt;=$F49))</f>
        <v>-0</v>
      </c>
      <c r="AF49" s="46" t="n">
        <f aca="false">-$E49*N(AND(AF$3&lt;=$F49,AF$4&gt;=$F49))</f>
        <v>-0</v>
      </c>
      <c r="AG49" s="46" t="n">
        <f aca="false">-$E49*N(AND(AG$3&lt;=$F49,AG$4&gt;=$F49))</f>
        <v>-0</v>
      </c>
      <c r="AH49" s="46" t="n">
        <f aca="false">-$E49*N(AND(AH$3&lt;=$F49,AH$4&gt;=$F49))</f>
        <v>-0</v>
      </c>
      <c r="AI49" s="46" t="n">
        <f aca="false">-$E49*N(AND(AI$3&lt;=$F49,AI$4&gt;=$F49))</f>
        <v>-0</v>
      </c>
      <c r="AJ49" s="46" t="n">
        <f aca="false">-$E49*N(AND(AJ$3&lt;=$F49,AJ$4&gt;=$F49))</f>
        <v>-0</v>
      </c>
      <c r="AK49" s="46" t="n">
        <f aca="false">-$E49*N(AND(AK$3&lt;=$F49,AK$4&gt;=$F49))</f>
        <v>-0</v>
      </c>
      <c r="AL49" s="46" t="n">
        <f aca="false">-$E49*N(AND(AL$3&lt;=$F49,AL$4&gt;=$F49))</f>
        <v>-0</v>
      </c>
      <c r="AM49" s="46" t="n">
        <f aca="false">-$E49*N(AND(AM$3&lt;=$F49,AM$4&gt;=$F49))</f>
        <v>-0</v>
      </c>
      <c r="AN49" s="46" t="n">
        <f aca="false">-$E49*N(AND(AN$3&lt;=$F49,AN$4&gt;=$F49))</f>
        <v>-0</v>
      </c>
      <c r="AO49" s="46" t="n">
        <f aca="false">-$E49*N(AND(AO$3&lt;=$F49,AO$4&gt;=$F49))</f>
        <v>-0</v>
      </c>
      <c r="AP49" s="46" t="n">
        <f aca="false">-$E49*N(AND(AP$3&lt;=$F49,AP$4&gt;=$F49))</f>
        <v>-0</v>
      </c>
      <c r="AQ49" s="46" t="n">
        <f aca="false">-$E49*N(AND(AQ$3&lt;=$F49,AQ$4&gt;=$F49))</f>
        <v>-0</v>
      </c>
      <c r="AR49" s="46" t="n">
        <f aca="false">-$E49*N(AND(AR$3&lt;=$F49,AR$4&gt;=$F49))</f>
        <v>-0</v>
      </c>
      <c r="AS49" s="46" t="n">
        <f aca="false">-$E49*N(AND(AS$3&lt;=$F49,AS$4&gt;=$F49))</f>
        <v>-0</v>
      </c>
      <c r="AT49" s="46" t="n">
        <f aca="false">-$E49*N(AND(AT$3&lt;=$F49,AT$4&gt;=$F49))</f>
        <v>-0</v>
      </c>
      <c r="AU49" s="46" t="n">
        <f aca="false">-$E49*N(AND(AU$3&lt;=$F49,AU$4&gt;=$F49))</f>
        <v>-0</v>
      </c>
      <c r="AV49" s="46" t="n">
        <f aca="false">-$E49*N(AND(AV$3&lt;=$F49,AV$4&gt;=$F49))</f>
        <v>-0</v>
      </c>
      <c r="AW49" s="46" t="n">
        <f aca="false">-$E49*N(AND(AW$3&lt;=$F49,AW$4&gt;=$F49))</f>
        <v>-0</v>
      </c>
      <c r="AX49" s="46" t="n">
        <f aca="false">-$E49*N(AND(AX$3&lt;=$F49,AX$4&gt;=$F49))</f>
        <v>-0</v>
      </c>
      <c r="AY49" s="46" t="n">
        <f aca="false">-$E49*N(AND(AY$3&lt;=$F49,AY$4&gt;=$F49))</f>
        <v>-0</v>
      </c>
      <c r="AZ49" s="46" t="n">
        <f aca="false">-$E49*N(AND(AZ$3&lt;=$F49,AZ$4&gt;=$F49))</f>
        <v>-0</v>
      </c>
      <c r="BA49" s="46" t="n">
        <f aca="false">-$E49*N(AND(BA$3&lt;=$F49,BA$4&gt;=$F49))</f>
        <v>-0</v>
      </c>
      <c r="BB49" s="46" t="n">
        <f aca="false">-$E49*N(AND(BB$3&lt;=$F49,BB$4&gt;=$F49))</f>
        <v>-0</v>
      </c>
      <c r="BC49" s="46" t="n">
        <f aca="false">-$E49*N(AND(BC$3&lt;=$F49,BC$4&gt;=$F49))</f>
        <v>-0</v>
      </c>
      <c r="BD49" s="46" t="n">
        <f aca="false">-$E49*N(AND(BD$3&lt;=$F49,BD$4&gt;=$F49))</f>
        <v>-0</v>
      </c>
      <c r="BE49" s="46" t="n">
        <f aca="false">-$E49*N(AND(BE$3&lt;=$F49,BE$4&gt;=$F49))</f>
        <v>-0</v>
      </c>
      <c r="BF49" s="46" t="n">
        <f aca="false">-$E49*N(AND(BF$3&lt;=$F49,BF$4&gt;=$F49))</f>
        <v>-0</v>
      </c>
      <c r="BG49" s="46" t="n">
        <f aca="false">-$E49*N(AND(BG$3&lt;=$F49,BG$4&gt;=$F49))</f>
        <v>-0</v>
      </c>
      <c r="BH49" s="46" t="n">
        <f aca="false">-$E49*N(AND(BH$3&lt;=$F49,BH$4&gt;=$F49))</f>
        <v>-0</v>
      </c>
      <c r="BI49" s="46" t="n">
        <f aca="false">-$E49*N(AND(BI$3&lt;=$F49,BI$4&gt;=$F49))</f>
        <v>-0</v>
      </c>
      <c r="BJ49" s="46" t="n">
        <f aca="false">-$E49*N(AND(BJ$3&lt;=$F49,BJ$4&gt;=$F49))</f>
        <v>-0</v>
      </c>
      <c r="BK49" s="46" t="n">
        <f aca="false">-$E49*N(AND(BK$3&lt;=$F49,BK$4&gt;=$F49))</f>
        <v>-0</v>
      </c>
      <c r="BL49" s="46" t="n">
        <f aca="false">-$E49*N(AND(BL$3&lt;=$F49,BL$4&gt;=$F49))</f>
        <v>-0</v>
      </c>
      <c r="BM49" s="46" t="n">
        <f aca="false">-$E49*N(AND(BM$3&lt;=$F49,BM$4&gt;=$F49))</f>
        <v>-0</v>
      </c>
      <c r="BN49" s="46" t="n">
        <f aca="false">-$E49*N(AND(BN$3&lt;=$F49,BN$4&gt;=$F49))</f>
        <v>-0</v>
      </c>
      <c r="BO49" s="46" t="n">
        <f aca="false">-$E49*N(AND(BO$3&lt;=$F49,BO$4&gt;=$F49))</f>
        <v>-0</v>
      </c>
      <c r="BP49" s="46" t="n">
        <f aca="false">-$E49*N(AND(BP$3&lt;=$F49,BP$4&gt;=$F49))</f>
        <v>-0</v>
      </c>
      <c r="BQ49" s="46" t="n">
        <f aca="false">-$E49*N(AND(BQ$3&lt;=$F49,BQ$4&gt;=$F49))</f>
        <v>-0</v>
      </c>
      <c r="BR49" s="46" t="n">
        <f aca="false">-$E49*N(AND(BR$3&lt;=$F49,BR$4&gt;=$F49))</f>
        <v>-0</v>
      </c>
      <c r="BS49" s="46" t="n">
        <f aca="false">-$E49*N(AND(BS$3&lt;=$F49,BS$4&gt;=$F49))</f>
        <v>-0</v>
      </c>
      <c r="BT49" s="46" t="n">
        <f aca="false">-$E49*N(AND(BT$3&lt;=$F49,BT$4&gt;=$F49))</f>
        <v>-0</v>
      </c>
      <c r="BU49" s="46" t="n">
        <f aca="false">-$E49*N(AND(BU$3&lt;=$F49,BU$4&gt;=$F49))</f>
        <v>-0</v>
      </c>
      <c r="BV49" s="46" t="n">
        <f aca="false">-$E49*N(AND(BV$3&lt;=$F49,BV$4&gt;=$F49))</f>
        <v>-0</v>
      </c>
      <c r="BW49" s="46" t="n">
        <f aca="false">-$E49*N(AND(BW$3&lt;=$F49,BW$4&gt;=$F49))</f>
        <v>-0</v>
      </c>
      <c r="BX49" s="46" t="n">
        <f aca="false">-$E49*N(AND(BX$3&lt;=$F49,BX$4&gt;=$F49))</f>
        <v>-0</v>
      </c>
      <c r="BY49" s="46" t="n">
        <f aca="false">-$E49*N(AND(BY$3&lt;=$F49,BY$4&gt;=$F49))</f>
        <v>-0</v>
      </c>
      <c r="BZ49" s="46" t="n">
        <f aca="false">-$E49*N(AND(BZ$3&lt;=$F49,BZ$4&gt;=$F49))</f>
        <v>-0</v>
      </c>
      <c r="CA49" s="46" t="n">
        <f aca="false">-$E49*N(AND(CA$3&lt;=$F49,CA$4&gt;=$F49))</f>
        <v>-0</v>
      </c>
      <c r="CB49" s="46" t="n">
        <f aca="false">-$E49*N(AND(CB$3&lt;=$F49,CB$4&gt;=$F49))</f>
        <v>-0</v>
      </c>
      <c r="CC49" s="46" t="n">
        <f aca="false">-$E49*N(AND(CC$3&lt;=$F49,CC$4&gt;=$F49))</f>
        <v>-0</v>
      </c>
      <c r="CD49" s="46" t="n">
        <f aca="false">-$E49*N(AND(CD$3&lt;=$F49,CD$4&gt;=$F49))</f>
        <v>-0</v>
      </c>
      <c r="CE49" s="46" t="n">
        <f aca="false">-$E49*N(AND(CE$3&lt;=$F49,CE$4&gt;=$F49))</f>
        <v>-0</v>
      </c>
      <c r="CF49" s="46" t="n">
        <f aca="false">-$E49*N(AND(CF$3&lt;=$F49,CF$4&gt;=$F49))</f>
        <v>-0</v>
      </c>
      <c r="CG49" s="46" t="n">
        <f aca="false">-$E49*N(AND(CG$3&lt;=$F49,CG$4&gt;=$F49))</f>
        <v>-0</v>
      </c>
      <c r="CH49" s="46" t="n">
        <f aca="false">-$E49*N(AND(CH$3&lt;=$F49,CH$4&gt;=$F49))</f>
        <v>-0</v>
      </c>
      <c r="CI49" s="46" t="n">
        <f aca="false">-$E49*N(AND(CI$3&lt;=$F49,CI$4&gt;=$F49))</f>
        <v>-0</v>
      </c>
      <c r="CJ49" s="46" t="n">
        <f aca="false">-$E49*N(AND(CJ$3&lt;=$F49,CJ$4&gt;=$F49))</f>
        <v>-0</v>
      </c>
      <c r="CK49" s="46" t="n">
        <f aca="false">-$E49*N(AND(CK$3&lt;=$F49,CK$4&gt;=$F49))</f>
        <v>-0</v>
      </c>
      <c r="CL49" s="46" t="n">
        <f aca="false">-$E49*N(AND(CL$3&lt;=$F49,CL$4&gt;=$F49))</f>
        <v>-0</v>
      </c>
      <c r="CM49" s="46" t="n">
        <f aca="false">-$E49*N(AND(CM$3&lt;=$F49,CM$4&gt;=$F49))</f>
        <v>-0</v>
      </c>
      <c r="CN49" s="46" t="n">
        <f aca="false">-$E49*N(AND(CN$3&lt;=$F49,CN$4&gt;=$F49))</f>
        <v>-0</v>
      </c>
      <c r="CO49" s="46" t="n">
        <f aca="false">-$E49*N(AND(CO$3&lt;=$F49,CO$4&gt;=$F49))</f>
        <v>-0</v>
      </c>
      <c r="CP49" s="46" t="n">
        <f aca="false">-$E49*N(AND(CP$3&lt;=$F49,CP$4&gt;=$F49))</f>
        <v>-0</v>
      </c>
      <c r="CQ49" s="46" t="n">
        <f aca="false">-$E49*N(AND(CQ$3&lt;=$F49,CQ$4&gt;=$F49))</f>
        <v>-0</v>
      </c>
      <c r="CR49" s="46" t="n">
        <f aca="false">-$E49*N(AND(CR$3&lt;=$F49,CR$4&gt;=$F49))</f>
        <v>-0</v>
      </c>
      <c r="CS49" s="46" t="n">
        <f aca="false">-$E49*N(AND(CS$3&lt;=$F49,CS$4&gt;=$F49))</f>
        <v>-0</v>
      </c>
      <c r="CT49" s="46" t="n">
        <f aca="false">-$E49*N(AND(CT$3&lt;=$F49,CT$4&gt;=$F49))</f>
        <v>-0</v>
      </c>
      <c r="CU49" s="46" t="n">
        <f aca="false">-$E49*N(AND(CU$3&lt;=$F49,CU$4&gt;=$F49))</f>
        <v>-0</v>
      </c>
      <c r="CV49" s="46" t="n">
        <f aca="false">-$E49*N(AND(CV$3&lt;=$F49,CV$4&gt;=$F49))</f>
        <v>-0</v>
      </c>
      <c r="CW49" s="46" t="n">
        <f aca="false">-$E49*N(AND(CW$3&lt;=$F49,CW$4&gt;=$F49))</f>
        <v>-0</v>
      </c>
      <c r="CX49" s="46" t="n">
        <f aca="false">-$E49*N(AND(CX$3&lt;=$F49,CX$4&gt;=$F49))</f>
        <v>-0</v>
      </c>
      <c r="CY49" s="46" t="n">
        <f aca="false">-$E49*N(AND(CY$3&lt;=$F49,CY$4&gt;=$F49))</f>
        <v>-0</v>
      </c>
      <c r="CZ49" s="46" t="n">
        <f aca="false">-$E49*N(AND(CZ$3&lt;=$F49,CZ$4&gt;=$F49))</f>
        <v>-0</v>
      </c>
      <c r="DA49" s="46" t="n">
        <f aca="false">-$E49*N(AND(DA$3&lt;=$F49,DA$4&gt;=$F49))</f>
        <v>-0</v>
      </c>
      <c r="DB49" s="46" t="n">
        <f aca="false">-$E49*N(AND(DB$3&lt;=$F49,DB$4&gt;=$F49))</f>
        <v>-0</v>
      </c>
      <c r="DC49" s="46" t="n">
        <f aca="false">-$E49*N(AND(DC$3&lt;=$F49,DC$4&gt;=$F49))</f>
        <v>-0</v>
      </c>
      <c r="DD49" s="46" t="n">
        <f aca="false">-$E49*N(AND(DD$3&lt;=$F49,DD$4&gt;=$F49))</f>
        <v>-0</v>
      </c>
      <c r="DE49" s="46" t="n">
        <f aca="false">-$E49*N(AND(DE$3&lt;=$F49,DE$4&gt;=$F49))</f>
        <v>-0</v>
      </c>
      <c r="DF49" s="46" t="n">
        <f aca="false">-$E49*N(AND(DF$3&lt;=$F49,DF$4&gt;=$F49))</f>
        <v>-0</v>
      </c>
      <c r="DG49" s="46" t="n">
        <f aca="false">-$E49*N(AND(DG$3&lt;=$F49,DG$4&gt;=$F49))</f>
        <v>-0</v>
      </c>
      <c r="DH49" s="46" t="n">
        <f aca="false">-$E49*N(AND(DH$3&lt;=$F49,DH$4&gt;=$F49))</f>
        <v>-0</v>
      </c>
      <c r="DI49" s="46" t="n">
        <f aca="false">-$E49*N(AND(DI$3&lt;=$F49,DI$4&gt;=$F49))</f>
        <v>-0</v>
      </c>
      <c r="DJ49" s="46" t="n">
        <f aca="false">-$E49*N(AND(DJ$3&lt;=$F49,DJ$4&gt;=$F49))</f>
        <v>-0</v>
      </c>
      <c r="DK49" s="46" t="n">
        <f aca="false">-$E49*N(AND(DK$3&lt;=$F49,DK$4&gt;=$F49))</f>
        <v>-0</v>
      </c>
      <c r="DL49" s="46" t="n">
        <f aca="false">-$E49*N(AND(DL$3&lt;=$F49,DL$4&gt;=$F49))</f>
        <v>-0</v>
      </c>
      <c r="DM49" s="46" t="n">
        <f aca="false">-$E49*N(AND(DM$3&lt;=$F49,DM$4&gt;=$F49))</f>
        <v>-0</v>
      </c>
      <c r="DN49" s="46" t="n">
        <f aca="false">-$E49*N(AND(DN$3&lt;=$F49,DN$4&gt;=$F49))</f>
        <v>-0</v>
      </c>
      <c r="DO49" s="46" t="n">
        <f aca="false">-$E49*N(AND(DO$3&lt;=$F49,DO$4&gt;=$F49))</f>
        <v>-0</v>
      </c>
      <c r="DP49" s="46" t="n">
        <f aca="false">-$E49*N(AND(DP$3&lt;=$F49,DP$4&gt;=$F49))</f>
        <v>-0</v>
      </c>
      <c r="DQ49" s="46" t="n">
        <f aca="false">-$E49*N(AND(DQ$3&lt;=$F49,DQ$4&gt;=$F49))</f>
        <v>-0</v>
      </c>
      <c r="DR49" s="46" t="n">
        <f aca="false">-$E49*N(AND(DR$3&lt;=$F49,DR$4&gt;=$F49))</f>
        <v>-0</v>
      </c>
      <c r="DS49" s="46" t="n">
        <f aca="false">-$E49*N(AND(DS$3&lt;=$F49,DS$4&gt;=$F49))</f>
        <v>-0</v>
      </c>
      <c r="DT49" s="46" t="n">
        <f aca="false">-$E49*N(AND(DT$3&lt;=$F49,DT$4&gt;=$F49))</f>
        <v>-0</v>
      </c>
      <c r="DU49" s="46" t="n">
        <f aca="false">-$E49*N(AND(DU$3&lt;=$F49,DU$4&gt;=$F49))</f>
        <v>-0</v>
      </c>
      <c r="DV49" s="46" t="n">
        <f aca="false">-$E49*N(AND(DV$3&lt;=$F49,DV$4&gt;=$F49))</f>
        <v>-0</v>
      </c>
      <c r="DW49" s="46" t="n">
        <f aca="false">-$E49*N(AND(DW$3&lt;=$F49,DW$4&gt;=$F49))</f>
        <v>-0</v>
      </c>
      <c r="DX49" s="46" t="n">
        <f aca="false">-$E49*N(AND(DX$3&lt;=$F49,DX$4&gt;=$F49))</f>
        <v>-0</v>
      </c>
      <c r="DY49" s="46" t="n">
        <f aca="false">-$E49*N(AND(DY$3&lt;=$F49,DY$4&gt;=$F49))</f>
        <v>-0</v>
      </c>
      <c r="DZ49" s="46" t="n">
        <f aca="false">-$E49*N(AND(DZ$3&lt;=$F49,DZ$4&gt;=$F49))</f>
        <v>-0</v>
      </c>
      <c r="EA49" s="46" t="n">
        <f aca="false">-$E49*N(AND(EA$3&lt;=$F49,EA$4&gt;=$F49))</f>
        <v>-0</v>
      </c>
      <c r="EB49" s="46" t="n">
        <f aca="false">-$E49*N(AND(EB$3&lt;=$F49,EB$4&gt;=$F49))</f>
        <v>-0</v>
      </c>
      <c r="EC49" s="46" t="n">
        <f aca="false">-$E49*N(AND(EC$3&lt;=$F49,EC$4&gt;=$F49))</f>
        <v>-0</v>
      </c>
      <c r="ED49" s="46" t="n">
        <f aca="false">-$E49*N(AND(ED$3&lt;=$F49,ED$4&gt;=$F49))</f>
        <v>-0</v>
      </c>
      <c r="EE49" s="46" t="n">
        <f aca="false">-$E49*N(AND(EE$3&lt;=$F49,EE$4&gt;=$F49))</f>
        <v>-0</v>
      </c>
      <c r="EF49" s="46" t="n">
        <f aca="false">-$E49*N(AND(EF$3&lt;=$F49,EF$4&gt;=$F49))</f>
        <v>-0</v>
      </c>
      <c r="EG49" s="46" t="n">
        <f aca="false">-$E49*N(AND(EG$3&lt;=$F49,EG$4&gt;=$F49))</f>
        <v>-0</v>
      </c>
      <c r="EH49" s="46" t="n">
        <f aca="false">-$E49*N(AND(EH$3&lt;=$F49,EH$4&gt;=$F49))</f>
        <v>-0</v>
      </c>
      <c r="EI49" s="46" t="n">
        <f aca="false">-$E49*N(AND(EI$3&lt;=$F49,EI$4&gt;=$F49))</f>
        <v>-0</v>
      </c>
      <c r="EJ49" s="46" t="n">
        <f aca="false">-$E49*N(AND(EJ$3&lt;=$F49,EJ$4&gt;=$F49))</f>
        <v>-0</v>
      </c>
      <c r="EK49" s="46" t="n">
        <f aca="false">-$E49*N(AND(EK$3&lt;=$F49,EK$4&gt;=$F49))</f>
        <v>-0</v>
      </c>
      <c r="EL49" s="46" t="n">
        <f aca="false">-$E49*N(AND(EL$3&lt;=$F49,EL$4&gt;=$F49))</f>
        <v>-0</v>
      </c>
      <c r="EM49" s="46" t="n">
        <f aca="false">-$E49*N(AND(EM$3&lt;=$F49,EM$4&gt;=$F49))</f>
        <v>-0</v>
      </c>
      <c r="EN49" s="46" t="n">
        <f aca="false">-$E49*N(AND(EN$3&lt;=$F49,EN$4&gt;=$F49))</f>
        <v>-0</v>
      </c>
      <c r="EO49" s="46" t="n">
        <f aca="false">-$E49*N(AND(EO$3&lt;=$F49,EO$4&gt;=$F49))</f>
        <v>-0</v>
      </c>
    </row>
    <row r="50" customFormat="false" ht="15" hidden="false" customHeight="false" outlineLevel="0" collapsed="false">
      <c r="C50" s="0" t="s">
        <v>382</v>
      </c>
      <c r="D50" s="11" t="s">
        <v>33</v>
      </c>
      <c r="E50" s="46" t="n">
        <f aca="false">(In_Indirect_Fee-In_TSO_Security)*In_MVA*Thousand/In_FX</f>
        <v>6894.54917808219</v>
      </c>
      <c r="F50" s="21" t="n">
        <f aca="false">In_HCSSZ_Date</f>
        <v>47126</v>
      </c>
      <c r="I50" s="46" t="n">
        <f aca="false">SUM(J50:EO50)</f>
        <v>-6894.54917808219</v>
      </c>
      <c r="J50" s="46" t="n">
        <f aca="false">-$E50*N(AND(J$3&lt;=$F50,J$4&gt;=$F50))</f>
        <v>-0</v>
      </c>
      <c r="K50" s="46" t="n">
        <f aca="false">-$E50*N(AND(K$3&lt;=$F50,K$4&gt;=$F50))</f>
        <v>-0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-6894.54917808219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</row>
    <row r="51" customFormat="false" ht="15" hidden="false" customHeight="false" outlineLevel="0" collapsed="false">
      <c r="C51" s="0" t="s">
        <v>383</v>
      </c>
      <c r="D51" s="11" t="s">
        <v>33</v>
      </c>
      <c r="I51" s="46" t="n">
        <f aca="false">SUM(J51:EO51)</f>
        <v>-8154.82315068493</v>
      </c>
      <c r="J51" s="46" t="n">
        <f aca="false">J49+J50</f>
        <v>-0</v>
      </c>
      <c r="K51" s="46" t="n">
        <f aca="false">K49+K50</f>
        <v>-0</v>
      </c>
      <c r="L51" s="46" t="n">
        <f aca="false">L49+L50</f>
        <v>-0</v>
      </c>
      <c r="M51" s="46" t="n">
        <f aca="false">M49+M50</f>
        <v>-0</v>
      </c>
      <c r="N51" s="46" t="n">
        <f aca="false">N49+N50</f>
        <v>-0</v>
      </c>
      <c r="O51" s="46" t="n">
        <f aca="false">O49+O50</f>
        <v>-0</v>
      </c>
      <c r="P51" s="46" t="n">
        <f aca="false">P49+P50</f>
        <v>-0</v>
      </c>
      <c r="Q51" s="46" t="n">
        <f aca="false">Q49+Q50</f>
        <v>-0</v>
      </c>
      <c r="R51" s="46" t="n">
        <f aca="false">R49+R50</f>
        <v>-0</v>
      </c>
      <c r="S51" s="46" t="n">
        <f aca="false">S49+S50</f>
        <v>-8154.82315068493</v>
      </c>
      <c r="T51" s="46" t="n">
        <f aca="false">T49+T50</f>
        <v>-0</v>
      </c>
      <c r="U51" s="46" t="n">
        <f aca="false">U49+U50</f>
        <v>-0</v>
      </c>
      <c r="V51" s="46" t="n">
        <f aca="false">V49+V50</f>
        <v>-0</v>
      </c>
      <c r="W51" s="46" t="n">
        <f aca="false">W49+W50</f>
        <v>-0</v>
      </c>
      <c r="X51" s="46" t="n">
        <f aca="false">X49+X50</f>
        <v>-0</v>
      </c>
      <c r="Y51" s="46" t="n">
        <f aca="false">Y49+Y50</f>
        <v>-0</v>
      </c>
      <c r="Z51" s="46" t="n">
        <f aca="false">Z49+Z50</f>
        <v>-0</v>
      </c>
      <c r="AA51" s="46" t="n">
        <f aca="false">AA49+AA50</f>
        <v>-0</v>
      </c>
      <c r="AB51" s="46" t="n">
        <f aca="false">AB49+AB50</f>
        <v>-0</v>
      </c>
      <c r="AC51" s="46" t="n">
        <f aca="false">AC49+AC50</f>
        <v>-0</v>
      </c>
      <c r="AD51" s="46" t="n">
        <f aca="false">AD49+AD50</f>
        <v>-0</v>
      </c>
      <c r="AE51" s="46" t="n">
        <f aca="false">AE49+AE50</f>
        <v>-0</v>
      </c>
      <c r="AF51" s="46" t="n">
        <f aca="false">AF49+AF50</f>
        <v>-0</v>
      </c>
      <c r="AG51" s="46" t="n">
        <f aca="false">AG49+AG50</f>
        <v>-0</v>
      </c>
      <c r="AH51" s="46" t="n">
        <f aca="false">AH49+AH50</f>
        <v>-0</v>
      </c>
      <c r="AI51" s="46" t="n">
        <f aca="false">AI49+AI50</f>
        <v>-0</v>
      </c>
      <c r="AJ51" s="46" t="n">
        <f aca="false">AJ49+AJ50</f>
        <v>-0</v>
      </c>
      <c r="AK51" s="46" t="n">
        <f aca="false">AK49+AK50</f>
        <v>-0</v>
      </c>
      <c r="AL51" s="46" t="n">
        <f aca="false">AL49+AL50</f>
        <v>-0</v>
      </c>
      <c r="AM51" s="46" t="n">
        <f aca="false">AM49+AM50</f>
        <v>-0</v>
      </c>
      <c r="AN51" s="46" t="n">
        <f aca="false">AN49+AN50</f>
        <v>-0</v>
      </c>
      <c r="AO51" s="46" t="n">
        <f aca="false">AO49+AO50</f>
        <v>-0</v>
      </c>
      <c r="AP51" s="46" t="n">
        <f aca="false">AP49+AP50</f>
        <v>-0</v>
      </c>
      <c r="AQ51" s="46" t="n">
        <f aca="false">AQ49+AQ50</f>
        <v>-0</v>
      </c>
      <c r="AR51" s="46" t="n">
        <f aca="false">AR49+AR50</f>
        <v>-0</v>
      </c>
      <c r="AS51" s="46" t="n">
        <f aca="false">AS49+AS50</f>
        <v>-0</v>
      </c>
      <c r="AT51" s="46" t="n">
        <f aca="false">AT49+AT50</f>
        <v>-0</v>
      </c>
      <c r="AU51" s="46" t="n">
        <f aca="false">AU49+AU50</f>
        <v>-0</v>
      </c>
      <c r="AV51" s="46" t="n">
        <f aca="false">AV49+AV50</f>
        <v>-0</v>
      </c>
      <c r="AW51" s="46" t="n">
        <f aca="false">AW49+AW50</f>
        <v>-0</v>
      </c>
      <c r="AX51" s="46" t="n">
        <f aca="false">AX49+AX50</f>
        <v>-0</v>
      </c>
      <c r="AY51" s="46" t="n">
        <f aca="false">AY49+AY50</f>
        <v>-0</v>
      </c>
      <c r="AZ51" s="46" t="n">
        <f aca="false">AZ49+AZ50</f>
        <v>-0</v>
      </c>
      <c r="BA51" s="46" t="n">
        <f aca="false">BA49+BA50</f>
        <v>-0</v>
      </c>
      <c r="BB51" s="46" t="n">
        <f aca="false">BB49+BB50</f>
        <v>-0</v>
      </c>
      <c r="BC51" s="46" t="n">
        <f aca="false">BC49+BC50</f>
        <v>-0</v>
      </c>
      <c r="BD51" s="46" t="n">
        <f aca="false">BD49+BD50</f>
        <v>-0</v>
      </c>
      <c r="BE51" s="46" t="n">
        <f aca="false">BE49+BE50</f>
        <v>-0</v>
      </c>
      <c r="BF51" s="46" t="n">
        <f aca="false">BF49+BF50</f>
        <v>-0</v>
      </c>
      <c r="BG51" s="46" t="n">
        <f aca="false">BG49+BG50</f>
        <v>-0</v>
      </c>
      <c r="BH51" s="46" t="n">
        <f aca="false">BH49+BH50</f>
        <v>-0</v>
      </c>
      <c r="BI51" s="46" t="n">
        <f aca="false">BI49+BI50</f>
        <v>-0</v>
      </c>
      <c r="BJ51" s="46" t="n">
        <f aca="false">BJ49+BJ50</f>
        <v>-0</v>
      </c>
      <c r="BK51" s="46" t="n">
        <f aca="false">BK49+BK50</f>
        <v>-0</v>
      </c>
      <c r="BL51" s="46" t="n">
        <f aca="false">BL49+BL50</f>
        <v>-0</v>
      </c>
      <c r="BM51" s="46" t="n">
        <f aca="false">BM49+BM50</f>
        <v>-0</v>
      </c>
      <c r="BN51" s="46" t="n">
        <f aca="false">BN49+BN50</f>
        <v>-0</v>
      </c>
      <c r="BO51" s="46" t="n">
        <f aca="false">BO49+BO50</f>
        <v>-0</v>
      </c>
      <c r="BP51" s="46" t="n">
        <f aca="false">BP49+BP50</f>
        <v>-0</v>
      </c>
      <c r="BQ51" s="46" t="n">
        <f aca="false">BQ49+BQ50</f>
        <v>-0</v>
      </c>
      <c r="BR51" s="46" t="n">
        <f aca="false">BR49+BR50</f>
        <v>-0</v>
      </c>
      <c r="BS51" s="46" t="n">
        <f aca="false">BS49+BS50</f>
        <v>-0</v>
      </c>
      <c r="BT51" s="46" t="n">
        <f aca="false">BT49+BT50</f>
        <v>-0</v>
      </c>
      <c r="BU51" s="46" t="n">
        <f aca="false">BU49+BU50</f>
        <v>-0</v>
      </c>
      <c r="BV51" s="46" t="n">
        <f aca="false">BV49+BV50</f>
        <v>-0</v>
      </c>
      <c r="BW51" s="46" t="n">
        <f aca="false">BW49+BW50</f>
        <v>-0</v>
      </c>
      <c r="BX51" s="46" t="n">
        <f aca="false">BX49+BX50</f>
        <v>-0</v>
      </c>
      <c r="BY51" s="46" t="n">
        <f aca="false">BY49+BY50</f>
        <v>-0</v>
      </c>
      <c r="BZ51" s="46" t="n">
        <f aca="false">BZ49+BZ50</f>
        <v>-0</v>
      </c>
      <c r="CA51" s="46" t="n">
        <f aca="false">CA49+CA50</f>
        <v>-0</v>
      </c>
      <c r="CB51" s="46" t="n">
        <f aca="false">CB49+CB50</f>
        <v>-0</v>
      </c>
      <c r="CC51" s="46" t="n">
        <f aca="false">CC49+CC50</f>
        <v>-0</v>
      </c>
      <c r="CD51" s="46" t="n">
        <f aca="false">CD49+CD50</f>
        <v>-0</v>
      </c>
      <c r="CE51" s="46" t="n">
        <f aca="false">CE49+CE50</f>
        <v>-0</v>
      </c>
      <c r="CF51" s="46" t="n">
        <f aca="false">CF49+CF50</f>
        <v>-0</v>
      </c>
      <c r="CG51" s="46" t="n">
        <f aca="false">CG49+CG50</f>
        <v>-0</v>
      </c>
      <c r="CH51" s="46" t="n">
        <f aca="false">CH49+CH50</f>
        <v>-0</v>
      </c>
      <c r="CI51" s="46" t="n">
        <f aca="false">CI49+CI50</f>
        <v>-0</v>
      </c>
      <c r="CJ51" s="46" t="n">
        <f aca="false">CJ49+CJ50</f>
        <v>-0</v>
      </c>
      <c r="CK51" s="46" t="n">
        <f aca="false">CK49+CK50</f>
        <v>-0</v>
      </c>
      <c r="CL51" s="46" t="n">
        <f aca="false">CL49+CL50</f>
        <v>-0</v>
      </c>
      <c r="CM51" s="46" t="n">
        <f aca="false">CM49+CM50</f>
        <v>-0</v>
      </c>
      <c r="CN51" s="46" t="n">
        <f aca="false">CN49+CN50</f>
        <v>-0</v>
      </c>
      <c r="CO51" s="46" t="n">
        <f aca="false">CO49+CO50</f>
        <v>-0</v>
      </c>
      <c r="CP51" s="46" t="n">
        <f aca="false">CP49+CP50</f>
        <v>-0</v>
      </c>
      <c r="CQ51" s="46" t="n">
        <f aca="false">CQ49+CQ50</f>
        <v>-0</v>
      </c>
      <c r="CR51" s="46" t="n">
        <f aca="false">CR49+CR50</f>
        <v>-0</v>
      </c>
      <c r="CS51" s="46" t="n">
        <f aca="false">CS49+CS50</f>
        <v>-0</v>
      </c>
      <c r="CT51" s="46" t="n">
        <f aca="false">CT49+CT50</f>
        <v>-0</v>
      </c>
      <c r="CU51" s="46" t="n">
        <f aca="false">CU49+CU50</f>
        <v>-0</v>
      </c>
      <c r="CV51" s="46" t="n">
        <f aca="false">CV49+CV50</f>
        <v>-0</v>
      </c>
      <c r="CW51" s="46" t="n">
        <f aca="false">CW49+CW50</f>
        <v>-0</v>
      </c>
      <c r="CX51" s="46" t="n">
        <f aca="false">CX49+CX50</f>
        <v>-0</v>
      </c>
      <c r="CY51" s="46" t="n">
        <f aca="false">CY49+CY50</f>
        <v>-0</v>
      </c>
      <c r="CZ51" s="46" t="n">
        <f aca="false">CZ49+CZ50</f>
        <v>-0</v>
      </c>
      <c r="DA51" s="46" t="n">
        <f aca="false">DA49+DA50</f>
        <v>-0</v>
      </c>
      <c r="DB51" s="46" t="n">
        <f aca="false">DB49+DB50</f>
        <v>-0</v>
      </c>
      <c r="DC51" s="46" t="n">
        <f aca="false">DC49+DC50</f>
        <v>-0</v>
      </c>
      <c r="DD51" s="46" t="n">
        <f aca="false">DD49+DD50</f>
        <v>-0</v>
      </c>
      <c r="DE51" s="46" t="n">
        <f aca="false">DE49+DE50</f>
        <v>-0</v>
      </c>
      <c r="DF51" s="46" t="n">
        <f aca="false">DF49+DF50</f>
        <v>-0</v>
      </c>
      <c r="DG51" s="46" t="n">
        <f aca="false">DG49+DG50</f>
        <v>-0</v>
      </c>
      <c r="DH51" s="46" t="n">
        <f aca="false">DH49+DH50</f>
        <v>-0</v>
      </c>
      <c r="DI51" s="46" t="n">
        <f aca="false">DI49+DI50</f>
        <v>-0</v>
      </c>
      <c r="DJ51" s="46" t="n">
        <f aca="false">DJ49+DJ50</f>
        <v>-0</v>
      </c>
      <c r="DK51" s="46" t="n">
        <f aca="false">DK49+DK50</f>
        <v>-0</v>
      </c>
      <c r="DL51" s="46" t="n">
        <f aca="false">DL49+DL50</f>
        <v>-0</v>
      </c>
      <c r="DM51" s="46" t="n">
        <f aca="false">DM49+DM50</f>
        <v>-0</v>
      </c>
      <c r="DN51" s="46" t="n">
        <f aca="false">DN49+DN50</f>
        <v>-0</v>
      </c>
      <c r="DO51" s="46" t="n">
        <f aca="false">DO49+DO50</f>
        <v>-0</v>
      </c>
      <c r="DP51" s="46" t="n">
        <f aca="false">DP49+DP50</f>
        <v>-0</v>
      </c>
      <c r="DQ51" s="46" t="n">
        <f aca="false">DQ49+DQ50</f>
        <v>-0</v>
      </c>
      <c r="DR51" s="46" t="n">
        <f aca="false">DR49+DR50</f>
        <v>-0</v>
      </c>
      <c r="DS51" s="46" t="n">
        <f aca="false">DS49+DS50</f>
        <v>-0</v>
      </c>
      <c r="DT51" s="46" t="n">
        <f aca="false">DT49+DT50</f>
        <v>-0</v>
      </c>
      <c r="DU51" s="46" t="n">
        <f aca="false">DU49+DU50</f>
        <v>-0</v>
      </c>
      <c r="DV51" s="46" t="n">
        <f aca="false">DV49+DV50</f>
        <v>-0</v>
      </c>
      <c r="DW51" s="46" t="n">
        <f aca="false">DW49+DW50</f>
        <v>-0</v>
      </c>
      <c r="DX51" s="46" t="n">
        <f aca="false">DX49+DX50</f>
        <v>-0</v>
      </c>
      <c r="DY51" s="46" t="n">
        <f aca="false">DY49+DY50</f>
        <v>-0</v>
      </c>
      <c r="DZ51" s="46" t="n">
        <f aca="false">DZ49+DZ50</f>
        <v>-0</v>
      </c>
      <c r="EA51" s="46" t="n">
        <f aca="false">EA49+EA50</f>
        <v>-0</v>
      </c>
      <c r="EB51" s="46" t="n">
        <f aca="false">EB49+EB50</f>
        <v>-0</v>
      </c>
      <c r="EC51" s="46" t="n">
        <f aca="false">EC49+EC50</f>
        <v>-0</v>
      </c>
      <c r="ED51" s="46" t="n">
        <f aca="false">ED49+ED50</f>
        <v>-0</v>
      </c>
      <c r="EE51" s="46" t="n">
        <f aca="false">EE49+EE50</f>
        <v>-0</v>
      </c>
      <c r="EF51" s="46" t="n">
        <f aca="false">EF49+EF50</f>
        <v>-0</v>
      </c>
      <c r="EG51" s="46" t="n">
        <f aca="false">EG49+EG50</f>
        <v>-0</v>
      </c>
      <c r="EH51" s="46" t="n">
        <f aca="false">EH49+EH50</f>
        <v>-0</v>
      </c>
      <c r="EI51" s="46" t="n">
        <f aca="false">EI49+EI50</f>
        <v>-0</v>
      </c>
      <c r="EJ51" s="46" t="n">
        <f aca="false">EJ49+EJ50</f>
        <v>-0</v>
      </c>
      <c r="EK51" s="46" t="n">
        <f aca="false">EK49+EK50</f>
        <v>-0</v>
      </c>
      <c r="EL51" s="46" t="n">
        <f aca="false">EL49+EL50</f>
        <v>-0</v>
      </c>
      <c r="EM51" s="46" t="n">
        <f aca="false">EM49+EM50</f>
        <v>-0</v>
      </c>
      <c r="EN51" s="46" t="n">
        <f aca="false">EN49+EN50</f>
        <v>-0</v>
      </c>
      <c r="EO51" s="46" t="n">
        <f aca="false">EO49+EO50</f>
        <v>-0</v>
      </c>
    </row>
    <row r="52" customFormat="false" ht="15" hidden="false" customHeight="false" outlineLevel="0" collapsed="false">
      <c r="C52" s="0" t="s">
        <v>384</v>
      </c>
      <c r="D52" s="11" t="s">
        <v>33</v>
      </c>
      <c r="E52" s="46" t="n">
        <f aca="false">SUMIF($J$4:$EO$4,"&lt;="&amp;In_COD,$J52:$EO52)</f>
        <v>-369.061542503284</v>
      </c>
      <c r="I52" s="46" t="n">
        <f aca="false">SUM(J52:EO52)</f>
        <v>-619.472651529368</v>
      </c>
      <c r="J52" s="46" t="n">
        <f aca="false">-(J46+J47)*In_Guarantee_Fee*J$5/Days_In_Year</f>
        <v>-3.45583786826797</v>
      </c>
      <c r="K52" s="46" t="n">
        <f aca="false">-(K46+K47)*In_Guarantee_Fee*K$5/Days_In_Year</f>
        <v>-14.8107337211484</v>
      </c>
      <c r="L52" s="46" t="n">
        <f aca="false">-(L46+L47)*In_Guarantee_Fee*L$5/Days_In_Year</f>
        <v>-24.958829048602</v>
      </c>
      <c r="M52" s="46" t="n">
        <f aca="false">-(M46+M47)*In_Guarantee_Fee*M$5/Days_In_Year</f>
        <v>-25.2331018952899</v>
      </c>
      <c r="N52" s="46" t="n">
        <f aca="false">-(N46+N47)*In_Guarantee_Fee*N$5/Days_In_Year</f>
        <v>-25.2331018952899</v>
      </c>
      <c r="O52" s="46" t="n">
        <f aca="false">-(O46+O47)*In_Guarantee_Fee*O$5/Days_In_Year</f>
        <v>-24.958829048602</v>
      </c>
      <c r="P52" s="46" t="n">
        <f aca="false">-(P46+P47)*In_Guarantee_Fee*P$5/Days_In_Year</f>
        <v>-24.958829048602</v>
      </c>
      <c r="Q52" s="46" t="n">
        <f aca="false">-(Q46+Q47)*In_Guarantee_Fee*Q$5/Days_In_Year</f>
        <v>-25.2331018952899</v>
      </c>
      <c r="R52" s="46" t="n">
        <f aca="false">-(R46+R47)*In_Guarantee_Fee*R$5/Days_In_Year</f>
        <v>-25.2331018952899</v>
      </c>
      <c r="S52" s="46" t="n">
        <f aca="false">-(S46+S47)*In_Guarantee_Fee*S$5/Days_In_Year</f>
        <v>-24.6845562019141</v>
      </c>
      <c r="T52" s="46" t="n">
        <f aca="false">-(T46+T47)*In_Guarantee_Fee*T$5/Days_In_Year</f>
        <v>-24.958829048602</v>
      </c>
      <c r="U52" s="46" t="n">
        <f aca="false">-(U46+U47)*In_Guarantee_Fee*U$5/Days_In_Year</f>
        <v>-25.2331018952899</v>
      </c>
      <c r="V52" s="46" t="n">
        <f aca="false">-(V46+V47)*In_Guarantee_Fee*V$5/Days_In_Year</f>
        <v>-25.2331018952899</v>
      </c>
      <c r="W52" s="46" t="n">
        <f aca="false">-(W46+W47)*In_Guarantee_Fee*W$5/Days_In_Year</f>
        <v>-24.6845562019141</v>
      </c>
      <c r="X52" s="46" t="n">
        <f aca="false">-(X46+X47)*In_Guarantee_Fee*X$5/Days_In_Year</f>
        <v>-24.958829048602</v>
      </c>
      <c r="Y52" s="46" t="n">
        <f aca="false">-(Y46+Y47)*In_Guarantee_Fee*Y$5/Days_In_Year</f>
        <v>-25.2331018952899</v>
      </c>
      <c r="Z52" s="46" t="n">
        <f aca="false">-(Z46+Z47)*In_Guarantee_Fee*Z$5/Days_In_Year</f>
        <v>-25.2331018952899</v>
      </c>
      <c r="AA52" s="46" t="n">
        <f aca="false">-(AA46+AA47)*In_Guarantee_Fee*AA$5/Days_In_Year</f>
        <v>-24.6845562019141</v>
      </c>
      <c r="AB52" s="46" t="n">
        <f aca="false">-(AB46+AB47)*In_Guarantee_Fee*AB$5/Days_In_Year</f>
        <v>-24.958829048602</v>
      </c>
      <c r="AC52" s="46" t="n">
        <f aca="false">-(AC46+AC47)*In_Guarantee_Fee*AC$5/Days_In_Year</f>
        <v>-25.2331018952899</v>
      </c>
      <c r="AD52" s="46" t="n">
        <f aca="false">-(AD46+AD47)*In_Guarantee_Fee*AD$5/Days_In_Year</f>
        <v>-25.2331018952899</v>
      </c>
      <c r="AE52" s="46" t="n">
        <f aca="false">-(AE46+AE47)*In_Guarantee_Fee*AE$5/Days_In_Year</f>
        <v>-24.958829048602</v>
      </c>
      <c r="AF52" s="46" t="n">
        <f aca="false">-(AF46+AF47)*In_Guarantee_Fee*AF$5/Days_In_Year</f>
        <v>-24.958829048602</v>
      </c>
      <c r="AG52" s="46" t="n">
        <f aca="false">-(AG46+AG47)*In_Guarantee_Fee*AG$5/Days_In_Year</f>
        <v>-25.2331018952899</v>
      </c>
      <c r="AH52" s="46" t="n">
        <f aca="false">-(AH46+AH47)*In_Guarantee_Fee*AH$5/Days_In_Year</f>
        <v>-25.2331018952899</v>
      </c>
      <c r="AI52" s="46" t="n">
        <f aca="false">-(AI46+AI47)*In_Guarantee_Fee*AI$5/Days_In_Year</f>
        <v>-24.6845562019141</v>
      </c>
      <c r="AJ52" s="46" t="n">
        <f aca="false">-(AJ46+AJ47)*In_Guarantee_Fee*AJ$5/Days_In_Year</f>
        <v>-0</v>
      </c>
      <c r="AK52" s="46" t="n">
        <f aca="false">-(AK46+AK47)*In_Guarantee_Fee*AK$5/Days_In_Year</f>
        <v>-0</v>
      </c>
      <c r="AL52" s="46" t="n">
        <f aca="false">-(AL46+AL47)*In_Guarantee_Fee*AL$5/Days_In_Year</f>
        <v>-0</v>
      </c>
      <c r="AM52" s="46" t="n">
        <f aca="false">-(AM46+AM47)*In_Guarantee_Fee*AM$5/Days_In_Year</f>
        <v>-0</v>
      </c>
      <c r="AN52" s="46" t="n">
        <f aca="false">-(AN46+AN47)*In_Guarantee_Fee*AN$5/Days_In_Year</f>
        <v>-0</v>
      </c>
      <c r="AO52" s="46" t="n">
        <f aca="false">-(AO46+AO47)*In_Guarantee_Fee*AO$5/Days_In_Year</f>
        <v>-0</v>
      </c>
      <c r="AP52" s="46" t="n">
        <f aca="false">-(AP46+AP47)*In_Guarantee_Fee*AP$5/Days_In_Year</f>
        <v>-0</v>
      </c>
      <c r="AQ52" s="46" t="n">
        <f aca="false">-(AQ46+AQ47)*In_Guarantee_Fee*AQ$5/Days_In_Year</f>
        <v>-0</v>
      </c>
      <c r="AR52" s="46" t="n">
        <f aca="false">-(AR46+AR47)*In_Guarantee_Fee*AR$5/Days_In_Year</f>
        <v>-0</v>
      </c>
      <c r="AS52" s="46" t="n">
        <f aca="false">-(AS46+AS47)*In_Guarantee_Fee*AS$5/Days_In_Year</f>
        <v>-0</v>
      </c>
      <c r="AT52" s="46" t="n">
        <f aca="false">-(AT46+AT47)*In_Guarantee_Fee*AT$5/Days_In_Year</f>
        <v>-0</v>
      </c>
      <c r="AU52" s="46" t="n">
        <f aca="false">-(AU46+AU47)*In_Guarantee_Fee*AU$5/Days_In_Year</f>
        <v>-0</v>
      </c>
      <c r="AV52" s="46" t="n">
        <f aca="false">-(AV46+AV47)*In_Guarantee_Fee*AV$5/Days_In_Year</f>
        <v>-0</v>
      </c>
      <c r="AW52" s="46" t="n">
        <f aca="false">-(AW46+AW47)*In_Guarantee_Fee*AW$5/Days_In_Year</f>
        <v>-0</v>
      </c>
      <c r="AX52" s="46" t="n">
        <f aca="false">-(AX46+AX47)*In_Guarantee_Fee*AX$5/Days_In_Year</f>
        <v>-0</v>
      </c>
      <c r="AY52" s="46" t="n">
        <f aca="false">-(AY46+AY47)*In_Guarantee_Fee*AY$5/Days_In_Year</f>
        <v>-0</v>
      </c>
      <c r="AZ52" s="46" t="n">
        <f aca="false">-(AZ46+AZ47)*In_Guarantee_Fee*AZ$5/Days_In_Year</f>
        <v>-0</v>
      </c>
      <c r="BA52" s="46" t="n">
        <f aca="false">-(BA46+BA47)*In_Guarantee_Fee*BA$5/Days_In_Year</f>
        <v>-0</v>
      </c>
      <c r="BB52" s="46" t="n">
        <f aca="false">-(BB46+BB47)*In_Guarantee_Fee*BB$5/Days_In_Year</f>
        <v>-0</v>
      </c>
      <c r="BC52" s="46" t="n">
        <f aca="false">-(BC46+BC47)*In_Guarantee_Fee*BC$5/Days_In_Year</f>
        <v>-0</v>
      </c>
      <c r="BD52" s="46" t="n">
        <f aca="false">-(BD46+BD47)*In_Guarantee_Fee*BD$5/Days_In_Year</f>
        <v>-0</v>
      </c>
      <c r="BE52" s="46" t="n">
        <f aca="false">-(BE46+BE47)*In_Guarantee_Fee*BE$5/Days_In_Year</f>
        <v>-0</v>
      </c>
      <c r="BF52" s="46" t="n">
        <f aca="false">-(BF46+BF47)*In_Guarantee_Fee*BF$5/Days_In_Year</f>
        <v>-0</v>
      </c>
      <c r="BG52" s="46" t="n">
        <f aca="false">-(BG46+BG47)*In_Guarantee_Fee*BG$5/Days_In_Year</f>
        <v>-0</v>
      </c>
      <c r="BH52" s="46" t="n">
        <f aca="false">-(BH46+BH47)*In_Guarantee_Fee*BH$5/Days_In_Year</f>
        <v>-0</v>
      </c>
      <c r="BI52" s="46" t="n">
        <f aca="false">-(BI46+BI47)*In_Guarantee_Fee*BI$5/Days_In_Year</f>
        <v>-0</v>
      </c>
      <c r="BJ52" s="46" t="n">
        <f aca="false">-(BJ46+BJ47)*In_Guarantee_Fee*BJ$5/Days_In_Year</f>
        <v>-0</v>
      </c>
      <c r="BK52" s="46" t="n">
        <f aca="false">-(BK46+BK47)*In_Guarantee_Fee*BK$5/Days_In_Year</f>
        <v>-0</v>
      </c>
      <c r="BL52" s="46" t="n">
        <f aca="false">-(BL46+BL47)*In_Guarantee_Fee*BL$5/Days_In_Year</f>
        <v>-0</v>
      </c>
      <c r="BM52" s="46" t="n">
        <f aca="false">-(BM46+BM47)*In_Guarantee_Fee*BM$5/Days_In_Year</f>
        <v>-0</v>
      </c>
      <c r="BN52" s="46" t="n">
        <f aca="false">-(BN46+BN47)*In_Guarantee_Fee*BN$5/Days_In_Year</f>
        <v>-0</v>
      </c>
      <c r="BO52" s="46" t="n">
        <f aca="false">-(BO46+BO47)*In_Guarantee_Fee*BO$5/Days_In_Year</f>
        <v>-0</v>
      </c>
      <c r="BP52" s="46" t="n">
        <f aca="false">-(BP46+BP47)*In_Guarantee_Fee*BP$5/Days_In_Year</f>
        <v>-0</v>
      </c>
      <c r="BQ52" s="46" t="n">
        <f aca="false">-(BQ46+BQ47)*In_Guarantee_Fee*BQ$5/Days_In_Year</f>
        <v>-0</v>
      </c>
      <c r="BR52" s="46" t="n">
        <f aca="false">-(BR46+BR47)*In_Guarantee_Fee*BR$5/Days_In_Year</f>
        <v>-0</v>
      </c>
      <c r="BS52" s="46" t="n">
        <f aca="false">-(BS46+BS47)*In_Guarantee_Fee*BS$5/Days_In_Year</f>
        <v>-0</v>
      </c>
      <c r="BT52" s="46" t="n">
        <f aca="false">-(BT46+BT47)*In_Guarantee_Fee*BT$5/Days_In_Year</f>
        <v>-0</v>
      </c>
      <c r="BU52" s="46" t="n">
        <f aca="false">-(BU46+BU47)*In_Guarantee_Fee*BU$5/Days_In_Year</f>
        <v>-0</v>
      </c>
      <c r="BV52" s="46" t="n">
        <f aca="false">-(BV46+BV47)*In_Guarantee_Fee*BV$5/Days_In_Year</f>
        <v>-0</v>
      </c>
      <c r="BW52" s="46" t="n">
        <f aca="false">-(BW46+BW47)*In_Guarantee_Fee*BW$5/Days_In_Year</f>
        <v>-0</v>
      </c>
      <c r="BX52" s="46" t="n">
        <f aca="false">-(BX46+BX47)*In_Guarantee_Fee*BX$5/Days_In_Year</f>
        <v>-0</v>
      </c>
      <c r="BY52" s="46" t="n">
        <f aca="false">-(BY46+BY47)*In_Guarantee_Fee*BY$5/Days_In_Year</f>
        <v>-0</v>
      </c>
      <c r="BZ52" s="46" t="n">
        <f aca="false">-(BZ46+BZ47)*In_Guarantee_Fee*BZ$5/Days_In_Year</f>
        <v>-0</v>
      </c>
      <c r="CA52" s="46" t="n">
        <f aca="false">-(CA46+CA47)*In_Guarantee_Fee*CA$5/Days_In_Year</f>
        <v>-0</v>
      </c>
      <c r="CB52" s="46" t="n">
        <f aca="false">-(CB46+CB47)*In_Guarantee_Fee*CB$5/Days_In_Year</f>
        <v>-0</v>
      </c>
      <c r="CC52" s="46" t="n">
        <f aca="false">-(CC46+CC47)*In_Guarantee_Fee*CC$5/Days_In_Year</f>
        <v>-0</v>
      </c>
      <c r="CD52" s="46" t="n">
        <f aca="false">-(CD46+CD47)*In_Guarantee_Fee*CD$5/Days_In_Year</f>
        <v>-0</v>
      </c>
      <c r="CE52" s="46" t="n">
        <f aca="false">-(CE46+CE47)*In_Guarantee_Fee*CE$5/Days_In_Year</f>
        <v>-0</v>
      </c>
      <c r="CF52" s="46" t="n">
        <f aca="false">-(CF46+CF47)*In_Guarantee_Fee*CF$5/Days_In_Year</f>
        <v>-0</v>
      </c>
      <c r="CG52" s="46" t="n">
        <f aca="false">-(CG46+CG47)*In_Guarantee_Fee*CG$5/Days_In_Year</f>
        <v>-0</v>
      </c>
      <c r="CH52" s="46" t="n">
        <f aca="false">-(CH46+CH47)*In_Guarantee_Fee*CH$5/Days_In_Year</f>
        <v>-0</v>
      </c>
      <c r="CI52" s="46" t="n">
        <f aca="false">-(CI46+CI47)*In_Guarantee_Fee*CI$5/Days_In_Year</f>
        <v>-0</v>
      </c>
      <c r="CJ52" s="46" t="n">
        <f aca="false">-(CJ46+CJ47)*In_Guarantee_Fee*CJ$5/Days_In_Year</f>
        <v>-0</v>
      </c>
      <c r="CK52" s="46" t="n">
        <f aca="false">-(CK46+CK47)*In_Guarantee_Fee*CK$5/Days_In_Year</f>
        <v>-0</v>
      </c>
      <c r="CL52" s="46" t="n">
        <f aca="false">-(CL46+CL47)*In_Guarantee_Fee*CL$5/Days_In_Year</f>
        <v>-0</v>
      </c>
      <c r="CM52" s="46" t="n">
        <f aca="false">-(CM46+CM47)*In_Guarantee_Fee*CM$5/Days_In_Year</f>
        <v>-0</v>
      </c>
      <c r="CN52" s="46" t="n">
        <f aca="false">-(CN46+CN47)*In_Guarantee_Fee*CN$5/Days_In_Year</f>
        <v>-0</v>
      </c>
      <c r="CO52" s="46" t="n">
        <f aca="false">-(CO46+CO47)*In_Guarantee_Fee*CO$5/Days_In_Year</f>
        <v>-0</v>
      </c>
      <c r="CP52" s="46" t="n">
        <f aca="false">-(CP46+CP47)*In_Guarantee_Fee*CP$5/Days_In_Year</f>
        <v>-0</v>
      </c>
      <c r="CQ52" s="46" t="n">
        <f aca="false">-(CQ46+CQ47)*In_Guarantee_Fee*CQ$5/Days_In_Year</f>
        <v>-0</v>
      </c>
      <c r="CR52" s="46" t="n">
        <f aca="false">-(CR46+CR47)*In_Guarantee_Fee*CR$5/Days_In_Year</f>
        <v>-0</v>
      </c>
      <c r="CS52" s="46" t="n">
        <f aca="false">-(CS46+CS47)*In_Guarantee_Fee*CS$5/Days_In_Year</f>
        <v>-0</v>
      </c>
      <c r="CT52" s="46" t="n">
        <f aca="false">-(CT46+CT47)*In_Guarantee_Fee*CT$5/Days_In_Year</f>
        <v>-0</v>
      </c>
      <c r="CU52" s="46" t="n">
        <f aca="false">-(CU46+CU47)*In_Guarantee_Fee*CU$5/Days_In_Year</f>
        <v>-0</v>
      </c>
      <c r="CV52" s="46" t="n">
        <f aca="false">-(CV46+CV47)*In_Guarantee_Fee*CV$5/Days_In_Year</f>
        <v>-0</v>
      </c>
      <c r="CW52" s="46" t="n">
        <f aca="false">-(CW46+CW47)*In_Guarantee_Fee*CW$5/Days_In_Year</f>
        <v>-0</v>
      </c>
      <c r="CX52" s="46" t="n">
        <f aca="false">-(CX46+CX47)*In_Guarantee_Fee*CX$5/Days_In_Year</f>
        <v>-0</v>
      </c>
      <c r="CY52" s="46" t="n">
        <f aca="false">-(CY46+CY47)*In_Guarantee_Fee*CY$5/Days_In_Year</f>
        <v>-0</v>
      </c>
      <c r="CZ52" s="46" t="n">
        <f aca="false">-(CZ46+CZ47)*In_Guarantee_Fee*CZ$5/Days_In_Year</f>
        <v>-0</v>
      </c>
      <c r="DA52" s="46" t="n">
        <f aca="false">-(DA46+DA47)*In_Guarantee_Fee*DA$5/Days_In_Year</f>
        <v>-0</v>
      </c>
      <c r="DB52" s="46" t="n">
        <f aca="false">-(DB46+DB47)*In_Guarantee_Fee*DB$5/Days_In_Year</f>
        <v>-0</v>
      </c>
      <c r="DC52" s="46" t="n">
        <f aca="false">-(DC46+DC47)*In_Guarantee_Fee*DC$5/Days_In_Year</f>
        <v>-0</v>
      </c>
      <c r="DD52" s="46" t="n">
        <f aca="false">-(DD46+DD47)*In_Guarantee_Fee*DD$5/Days_In_Year</f>
        <v>-0</v>
      </c>
      <c r="DE52" s="46" t="n">
        <f aca="false">-(DE46+DE47)*In_Guarantee_Fee*DE$5/Days_In_Year</f>
        <v>-0</v>
      </c>
      <c r="DF52" s="46" t="n">
        <f aca="false">-(DF46+DF47)*In_Guarantee_Fee*DF$5/Days_In_Year</f>
        <v>-0</v>
      </c>
      <c r="DG52" s="46" t="n">
        <f aca="false">-(DG46+DG47)*In_Guarantee_Fee*DG$5/Days_In_Year</f>
        <v>-0</v>
      </c>
      <c r="DH52" s="46" t="n">
        <f aca="false">-(DH46+DH47)*In_Guarantee_Fee*DH$5/Days_In_Year</f>
        <v>-0</v>
      </c>
      <c r="DI52" s="46" t="n">
        <f aca="false">-(DI46+DI47)*In_Guarantee_Fee*DI$5/Days_In_Year</f>
        <v>-0</v>
      </c>
      <c r="DJ52" s="46" t="n">
        <f aca="false">-(DJ46+DJ47)*In_Guarantee_Fee*DJ$5/Days_In_Year</f>
        <v>-0</v>
      </c>
      <c r="DK52" s="46" t="n">
        <f aca="false">-(DK46+DK47)*In_Guarantee_Fee*DK$5/Days_In_Year</f>
        <v>-0</v>
      </c>
      <c r="DL52" s="46" t="n">
        <f aca="false">-(DL46+DL47)*In_Guarantee_Fee*DL$5/Days_In_Year</f>
        <v>-0</v>
      </c>
      <c r="DM52" s="46" t="n">
        <f aca="false">-(DM46+DM47)*In_Guarantee_Fee*DM$5/Days_In_Year</f>
        <v>-0</v>
      </c>
      <c r="DN52" s="46" t="n">
        <f aca="false">-(DN46+DN47)*In_Guarantee_Fee*DN$5/Days_In_Year</f>
        <v>-0</v>
      </c>
      <c r="DO52" s="46" t="n">
        <f aca="false">-(DO46+DO47)*In_Guarantee_Fee*DO$5/Days_In_Year</f>
        <v>-0</v>
      </c>
      <c r="DP52" s="46" t="n">
        <f aca="false">-(DP46+DP47)*In_Guarantee_Fee*DP$5/Days_In_Year</f>
        <v>-0</v>
      </c>
      <c r="DQ52" s="46" t="n">
        <f aca="false">-(DQ46+DQ47)*In_Guarantee_Fee*DQ$5/Days_In_Year</f>
        <v>-0</v>
      </c>
      <c r="DR52" s="46" t="n">
        <f aca="false">-(DR46+DR47)*In_Guarantee_Fee*DR$5/Days_In_Year</f>
        <v>-0</v>
      </c>
      <c r="DS52" s="46" t="n">
        <f aca="false">-(DS46+DS47)*In_Guarantee_Fee*DS$5/Days_In_Year</f>
        <v>-0</v>
      </c>
      <c r="DT52" s="46" t="n">
        <f aca="false">-(DT46+DT47)*In_Guarantee_Fee*DT$5/Days_In_Year</f>
        <v>-0</v>
      </c>
      <c r="DU52" s="46" t="n">
        <f aca="false">-(DU46+DU47)*In_Guarantee_Fee*DU$5/Days_In_Year</f>
        <v>-0</v>
      </c>
      <c r="DV52" s="46" t="n">
        <f aca="false">-(DV46+DV47)*In_Guarantee_Fee*DV$5/Days_In_Year</f>
        <v>-0</v>
      </c>
      <c r="DW52" s="46" t="n">
        <f aca="false">-(DW46+DW47)*In_Guarantee_Fee*DW$5/Days_In_Year</f>
        <v>-0</v>
      </c>
      <c r="DX52" s="46" t="n">
        <f aca="false">-(DX46+DX47)*In_Guarantee_Fee*DX$5/Days_In_Year</f>
        <v>-0</v>
      </c>
      <c r="DY52" s="46" t="n">
        <f aca="false">-(DY46+DY47)*In_Guarantee_Fee*DY$5/Days_In_Year</f>
        <v>-0</v>
      </c>
      <c r="DZ52" s="46" t="n">
        <f aca="false">-(DZ46+DZ47)*In_Guarantee_Fee*DZ$5/Days_In_Year</f>
        <v>-0</v>
      </c>
      <c r="EA52" s="46" t="n">
        <f aca="false">-(EA46+EA47)*In_Guarantee_Fee*EA$5/Days_In_Year</f>
        <v>-0</v>
      </c>
      <c r="EB52" s="46" t="n">
        <f aca="false">-(EB46+EB47)*In_Guarantee_Fee*EB$5/Days_In_Year</f>
        <v>-0</v>
      </c>
      <c r="EC52" s="46" t="n">
        <f aca="false">-(EC46+EC47)*In_Guarantee_Fee*EC$5/Days_In_Year</f>
        <v>-0</v>
      </c>
      <c r="ED52" s="46" t="n">
        <f aca="false">-(ED46+ED47)*In_Guarantee_Fee*ED$5/Days_In_Year</f>
        <v>-0</v>
      </c>
      <c r="EE52" s="46" t="n">
        <f aca="false">-(EE46+EE47)*In_Guarantee_Fee*EE$5/Days_In_Year</f>
        <v>-0</v>
      </c>
      <c r="EF52" s="46" t="n">
        <f aca="false">-(EF46+EF47)*In_Guarantee_Fee*EF$5/Days_In_Year</f>
        <v>-0</v>
      </c>
      <c r="EG52" s="46" t="n">
        <f aca="false">-(EG46+EG47)*In_Guarantee_Fee*EG$5/Days_In_Year</f>
        <v>-0</v>
      </c>
      <c r="EH52" s="46" t="n">
        <f aca="false">-(EH46+EH47)*In_Guarantee_Fee*EH$5/Days_In_Year</f>
        <v>-0</v>
      </c>
      <c r="EI52" s="46" t="n">
        <f aca="false">-(EI46+EI47)*In_Guarantee_Fee*EI$5/Days_In_Year</f>
        <v>-0</v>
      </c>
      <c r="EJ52" s="46" t="n">
        <f aca="false">-(EJ46+EJ47)*In_Guarantee_Fee*EJ$5/Days_In_Year</f>
        <v>-0</v>
      </c>
      <c r="EK52" s="46" t="n">
        <f aca="false">-(EK46+EK47)*In_Guarantee_Fee*EK$5/Days_In_Year</f>
        <v>-0</v>
      </c>
      <c r="EL52" s="46" t="n">
        <f aca="false">-(EL46+EL47)*In_Guarantee_Fee*EL$5/Days_In_Year</f>
        <v>-0</v>
      </c>
      <c r="EM52" s="46" t="n">
        <f aca="false">-(EM46+EM47)*In_Guarantee_Fee*EM$5/Days_In_Year</f>
        <v>-0</v>
      </c>
      <c r="EN52" s="46" t="n">
        <f aca="false">-(EN46+EN47)*In_Guarantee_Fee*EN$5/Days_In_Year</f>
        <v>-0</v>
      </c>
      <c r="EO52" s="46" t="n">
        <f aca="false">-(EO46+EO47)*In_Guarantee_Fee*EO$5/Days_In_Year</f>
        <v>-0</v>
      </c>
    </row>
    <row r="53" customFormat="false" ht="15" hidden="false" customHeight="false" outlineLevel="0" collapsed="false">
      <c r="C53" s="0" t="s">
        <v>385</v>
      </c>
      <c r="D53" s="11" t="s">
        <v>33</v>
      </c>
      <c r="E53" s="46" t="n">
        <f aca="false">($E26&gt;In_Tolerance_Cap)*$E26*$E47</f>
        <v>0</v>
      </c>
      <c r="F53" s="46" t="n">
        <f aca="false">($E26&gt;0)*$E47</f>
        <v>1668.49315068493</v>
      </c>
    </row>
    <row r="54" customFormat="false" ht="15" hidden="false" customHeight="false" outlineLevel="0" collapsed="false">
      <c r="C54" s="0" t="s">
        <v>386</v>
      </c>
      <c r="D54" s="11" t="s">
        <v>33</v>
      </c>
      <c r="E54" s="44" t="n">
        <f aca="false">EDATE(In_COD,In_Sanction_Lag)</f>
        <v>47937</v>
      </c>
      <c r="I54" s="46" t="n">
        <f aca="false">SUM(J54:EO54)</f>
        <v>0</v>
      </c>
      <c r="J54" s="46" t="n">
        <f aca="false">-CHOOSE(In_Sanction_Regime,$E53,$F53)*N(AND(J$3&lt;=$E54,J$4&gt;=$E54))</f>
        <v>-0</v>
      </c>
      <c r="K54" s="46" t="n">
        <f aca="false">-CHOOSE(In_Sanction_Regime,$E53,$F53)*N(AND(K$3&lt;=$E54,K$4&gt;=$E54))</f>
        <v>-0</v>
      </c>
      <c r="L54" s="46" t="n">
        <f aca="false">-CHOOSE(In_Sanction_Regime,$E53,$F53)*N(AND(L$3&lt;=$E54,L$4&gt;=$E54))</f>
        <v>-0</v>
      </c>
      <c r="M54" s="46" t="n">
        <f aca="false">-CHOOSE(In_Sanction_Regime,$E53,$F53)*N(AND(M$3&lt;=$E54,M$4&gt;=$E54))</f>
        <v>-0</v>
      </c>
      <c r="N54" s="46" t="n">
        <f aca="false">-CHOOSE(In_Sanction_Regime,$E53,$F53)*N(AND(N$3&lt;=$E54,N$4&gt;=$E54))</f>
        <v>-0</v>
      </c>
      <c r="O54" s="46" t="n">
        <f aca="false">-CHOOSE(In_Sanction_Regime,$E53,$F53)*N(AND(O$3&lt;=$E54,O$4&gt;=$E54))</f>
        <v>-0</v>
      </c>
      <c r="P54" s="46" t="n">
        <f aca="false">-CHOOSE(In_Sanction_Regime,$E53,$F53)*N(AND(P$3&lt;=$E54,P$4&gt;=$E54))</f>
        <v>-0</v>
      </c>
      <c r="Q54" s="46" t="n">
        <f aca="false">-CHOOSE(In_Sanction_Regime,$E53,$F53)*N(AND(Q$3&lt;=$E54,Q$4&gt;=$E54))</f>
        <v>-0</v>
      </c>
      <c r="R54" s="46" t="n">
        <f aca="false">-CHOOSE(In_Sanction_Regime,$E53,$F53)*N(AND(R$3&lt;=$E54,R$4&gt;=$E54))</f>
        <v>-0</v>
      </c>
      <c r="S54" s="46" t="n">
        <f aca="false">-CHOOSE(In_Sanction_Regime,$E53,$F53)*N(AND(S$3&lt;=$E54,S$4&gt;=$E54))</f>
        <v>-0</v>
      </c>
      <c r="T54" s="46" t="n">
        <f aca="false">-CHOOSE(In_Sanction_Regime,$E53,$F53)*N(AND(T$3&lt;=$E54,T$4&gt;=$E54))</f>
        <v>-0</v>
      </c>
      <c r="U54" s="46" t="n">
        <f aca="false">-CHOOSE(In_Sanction_Regime,$E53,$F53)*N(AND(U$3&lt;=$E54,U$4&gt;=$E54))</f>
        <v>-0</v>
      </c>
      <c r="V54" s="46" t="n">
        <f aca="false">-CHOOSE(In_Sanction_Regime,$E53,$F53)*N(AND(V$3&lt;=$E54,V$4&gt;=$E54))</f>
        <v>-0</v>
      </c>
      <c r="W54" s="46" t="n">
        <f aca="false">-CHOOSE(In_Sanction_Regime,$E53,$F53)*N(AND(W$3&lt;=$E54,W$4&gt;=$E54))</f>
        <v>-0</v>
      </c>
      <c r="X54" s="46" t="n">
        <f aca="false">-CHOOSE(In_Sanction_Regime,$E53,$F53)*N(AND(X$3&lt;=$E54,X$4&gt;=$E54))</f>
        <v>-0</v>
      </c>
      <c r="Y54" s="46" t="n">
        <f aca="false">-CHOOSE(In_Sanction_Regime,$E53,$F53)*N(AND(Y$3&lt;=$E54,Y$4&gt;=$E54))</f>
        <v>-0</v>
      </c>
      <c r="Z54" s="46" t="n">
        <f aca="false">-CHOOSE(In_Sanction_Regime,$E53,$F53)*N(AND(Z$3&lt;=$E54,Z$4&gt;=$E54))</f>
        <v>-0</v>
      </c>
      <c r="AA54" s="46" t="n">
        <f aca="false">-CHOOSE(In_Sanction_Regime,$E53,$F53)*N(AND(AA$3&lt;=$E54,AA$4&gt;=$E54))</f>
        <v>-0</v>
      </c>
      <c r="AB54" s="46" t="n">
        <f aca="false">-CHOOSE(In_Sanction_Regime,$E53,$F53)*N(AND(AB$3&lt;=$E54,AB$4&gt;=$E54))</f>
        <v>-0</v>
      </c>
      <c r="AC54" s="46" t="n">
        <f aca="false">-CHOOSE(In_Sanction_Regime,$E53,$F53)*N(AND(AC$3&lt;=$E54,AC$4&gt;=$E54))</f>
        <v>-0</v>
      </c>
      <c r="AD54" s="46" t="n">
        <f aca="false">-CHOOSE(In_Sanction_Regime,$E53,$F53)*N(AND(AD$3&lt;=$E54,AD$4&gt;=$E54))</f>
        <v>-0</v>
      </c>
      <c r="AE54" s="46" t="n">
        <f aca="false">-CHOOSE(In_Sanction_Regime,$E53,$F53)*N(AND(AE$3&lt;=$E54,AE$4&gt;=$E54))</f>
        <v>-0</v>
      </c>
      <c r="AF54" s="46" t="n">
        <f aca="false">-CHOOSE(In_Sanction_Regime,$E53,$F53)*N(AND(AF$3&lt;=$E54,AF$4&gt;=$E54))</f>
        <v>-0</v>
      </c>
      <c r="AG54" s="46" t="n">
        <f aca="false">-CHOOSE(In_Sanction_Regime,$E53,$F53)*N(AND(AG$3&lt;=$E54,AG$4&gt;=$E54))</f>
        <v>-0</v>
      </c>
      <c r="AH54" s="46" t="n">
        <f aca="false">-CHOOSE(In_Sanction_Regime,$E53,$F53)*N(AND(AH$3&lt;=$E54,AH$4&gt;=$E54))</f>
        <v>-0</v>
      </c>
      <c r="AI54" s="46" t="n">
        <f aca="false">-CHOOSE(In_Sanction_Regime,$E53,$F53)*N(AND(AI$3&lt;=$E54,AI$4&gt;=$E54))</f>
        <v>-0</v>
      </c>
      <c r="AJ54" s="46" t="n">
        <f aca="false">-CHOOSE(In_Sanction_Regime,$E53,$F53)*N(AND(AJ$3&lt;=$E54,AJ$4&gt;=$E54))</f>
        <v>-0</v>
      </c>
      <c r="AK54" s="46" t="n">
        <f aca="false">-CHOOSE(In_Sanction_Regime,$E53,$F53)*N(AND(AK$3&lt;=$E54,AK$4&gt;=$E54))</f>
        <v>-0</v>
      </c>
      <c r="AL54" s="46" t="n">
        <f aca="false">-CHOOSE(In_Sanction_Regime,$E53,$F53)*N(AND(AL$3&lt;=$E54,AL$4&gt;=$E54))</f>
        <v>-0</v>
      </c>
      <c r="AM54" s="46" t="n">
        <f aca="false">-CHOOSE(In_Sanction_Regime,$E53,$F53)*N(AND(AM$3&lt;=$E54,AM$4&gt;=$E54))</f>
        <v>-0</v>
      </c>
      <c r="AN54" s="46" t="n">
        <f aca="false">-CHOOSE(In_Sanction_Regime,$E53,$F53)*N(AND(AN$3&lt;=$E54,AN$4&gt;=$E54))</f>
        <v>-0</v>
      </c>
      <c r="AO54" s="46" t="n">
        <f aca="false">-CHOOSE(In_Sanction_Regime,$E53,$F53)*N(AND(AO$3&lt;=$E54,AO$4&gt;=$E54))</f>
        <v>-0</v>
      </c>
      <c r="AP54" s="46" t="n">
        <f aca="false">-CHOOSE(In_Sanction_Regime,$E53,$F53)*N(AND(AP$3&lt;=$E54,AP$4&gt;=$E54))</f>
        <v>-0</v>
      </c>
      <c r="AQ54" s="46" t="n">
        <f aca="false">-CHOOSE(In_Sanction_Regime,$E53,$F53)*N(AND(AQ$3&lt;=$E54,AQ$4&gt;=$E54))</f>
        <v>-0</v>
      </c>
      <c r="AR54" s="46" t="n">
        <f aca="false">-CHOOSE(In_Sanction_Regime,$E53,$F53)*N(AND(AR$3&lt;=$E54,AR$4&gt;=$E54))</f>
        <v>-0</v>
      </c>
      <c r="AS54" s="46" t="n">
        <f aca="false">-CHOOSE(In_Sanction_Regime,$E53,$F53)*N(AND(AS$3&lt;=$E54,AS$4&gt;=$E54))</f>
        <v>-0</v>
      </c>
      <c r="AT54" s="46" t="n">
        <f aca="false">-CHOOSE(In_Sanction_Regime,$E53,$F53)*N(AND(AT$3&lt;=$E54,AT$4&gt;=$E54))</f>
        <v>-0</v>
      </c>
      <c r="AU54" s="46" t="n">
        <f aca="false">-CHOOSE(In_Sanction_Regime,$E53,$F53)*N(AND(AU$3&lt;=$E54,AU$4&gt;=$E54))</f>
        <v>-0</v>
      </c>
      <c r="AV54" s="46" t="n">
        <f aca="false">-CHOOSE(In_Sanction_Regime,$E53,$F53)*N(AND(AV$3&lt;=$E54,AV$4&gt;=$E54))</f>
        <v>-0</v>
      </c>
      <c r="AW54" s="46" t="n">
        <f aca="false">-CHOOSE(In_Sanction_Regime,$E53,$F53)*N(AND(AW$3&lt;=$E54,AW$4&gt;=$E54))</f>
        <v>-0</v>
      </c>
      <c r="AX54" s="46" t="n">
        <f aca="false">-CHOOSE(In_Sanction_Regime,$E53,$F53)*N(AND(AX$3&lt;=$E54,AX$4&gt;=$E54))</f>
        <v>-0</v>
      </c>
      <c r="AY54" s="46" t="n">
        <f aca="false">-CHOOSE(In_Sanction_Regime,$E53,$F53)*N(AND(AY$3&lt;=$E54,AY$4&gt;=$E54))</f>
        <v>-0</v>
      </c>
      <c r="AZ54" s="46" t="n">
        <f aca="false">-CHOOSE(In_Sanction_Regime,$E53,$F53)*N(AND(AZ$3&lt;=$E54,AZ$4&gt;=$E54))</f>
        <v>-0</v>
      </c>
      <c r="BA54" s="46" t="n">
        <f aca="false">-CHOOSE(In_Sanction_Regime,$E53,$F53)*N(AND(BA$3&lt;=$E54,BA$4&gt;=$E54))</f>
        <v>-0</v>
      </c>
      <c r="BB54" s="46" t="n">
        <f aca="false">-CHOOSE(In_Sanction_Regime,$E53,$F53)*N(AND(BB$3&lt;=$E54,BB$4&gt;=$E54))</f>
        <v>-0</v>
      </c>
      <c r="BC54" s="46" t="n">
        <f aca="false">-CHOOSE(In_Sanction_Regime,$E53,$F53)*N(AND(BC$3&lt;=$E54,BC$4&gt;=$E54))</f>
        <v>-0</v>
      </c>
      <c r="BD54" s="46" t="n">
        <f aca="false">-CHOOSE(In_Sanction_Regime,$E53,$F53)*N(AND(BD$3&lt;=$E54,BD$4&gt;=$E54))</f>
        <v>-0</v>
      </c>
      <c r="BE54" s="46" t="n">
        <f aca="false">-CHOOSE(In_Sanction_Regime,$E53,$F53)*N(AND(BE$3&lt;=$E54,BE$4&gt;=$E54))</f>
        <v>-0</v>
      </c>
      <c r="BF54" s="46" t="n">
        <f aca="false">-CHOOSE(In_Sanction_Regime,$E53,$F53)*N(AND(BF$3&lt;=$E54,BF$4&gt;=$E54))</f>
        <v>-0</v>
      </c>
      <c r="BG54" s="46" t="n">
        <f aca="false">-CHOOSE(In_Sanction_Regime,$E53,$F53)*N(AND(BG$3&lt;=$E54,BG$4&gt;=$E54))</f>
        <v>-0</v>
      </c>
      <c r="BH54" s="46" t="n">
        <f aca="false">-CHOOSE(In_Sanction_Regime,$E53,$F53)*N(AND(BH$3&lt;=$E54,BH$4&gt;=$E54))</f>
        <v>-0</v>
      </c>
      <c r="BI54" s="46" t="n">
        <f aca="false">-CHOOSE(In_Sanction_Regime,$E53,$F53)*N(AND(BI$3&lt;=$E54,BI$4&gt;=$E54))</f>
        <v>-0</v>
      </c>
      <c r="BJ54" s="46" t="n">
        <f aca="false">-CHOOSE(In_Sanction_Regime,$E53,$F53)*N(AND(BJ$3&lt;=$E54,BJ$4&gt;=$E54))</f>
        <v>-0</v>
      </c>
      <c r="BK54" s="46" t="n">
        <f aca="false">-CHOOSE(In_Sanction_Regime,$E53,$F53)*N(AND(BK$3&lt;=$E54,BK$4&gt;=$E54))</f>
        <v>-0</v>
      </c>
      <c r="BL54" s="46" t="n">
        <f aca="false">-CHOOSE(In_Sanction_Regime,$E53,$F53)*N(AND(BL$3&lt;=$E54,BL$4&gt;=$E54))</f>
        <v>-0</v>
      </c>
      <c r="BM54" s="46" t="n">
        <f aca="false">-CHOOSE(In_Sanction_Regime,$E53,$F53)*N(AND(BM$3&lt;=$E54,BM$4&gt;=$E54))</f>
        <v>-0</v>
      </c>
      <c r="BN54" s="46" t="n">
        <f aca="false">-CHOOSE(In_Sanction_Regime,$E53,$F53)*N(AND(BN$3&lt;=$E54,BN$4&gt;=$E54))</f>
        <v>-0</v>
      </c>
      <c r="BO54" s="46" t="n">
        <f aca="false">-CHOOSE(In_Sanction_Regime,$E53,$F53)*N(AND(BO$3&lt;=$E54,BO$4&gt;=$E54))</f>
        <v>-0</v>
      </c>
      <c r="BP54" s="46" t="n">
        <f aca="false">-CHOOSE(In_Sanction_Regime,$E53,$F53)*N(AND(BP$3&lt;=$E54,BP$4&gt;=$E54))</f>
        <v>-0</v>
      </c>
      <c r="BQ54" s="46" t="n">
        <f aca="false">-CHOOSE(In_Sanction_Regime,$E53,$F53)*N(AND(BQ$3&lt;=$E54,BQ$4&gt;=$E54))</f>
        <v>-0</v>
      </c>
      <c r="BR54" s="46" t="n">
        <f aca="false">-CHOOSE(In_Sanction_Regime,$E53,$F53)*N(AND(BR$3&lt;=$E54,BR$4&gt;=$E54))</f>
        <v>-0</v>
      </c>
      <c r="BS54" s="46" t="n">
        <f aca="false">-CHOOSE(In_Sanction_Regime,$E53,$F53)*N(AND(BS$3&lt;=$E54,BS$4&gt;=$E54))</f>
        <v>-0</v>
      </c>
      <c r="BT54" s="46" t="n">
        <f aca="false">-CHOOSE(In_Sanction_Regime,$E53,$F53)*N(AND(BT$3&lt;=$E54,BT$4&gt;=$E54))</f>
        <v>-0</v>
      </c>
      <c r="BU54" s="46" t="n">
        <f aca="false">-CHOOSE(In_Sanction_Regime,$E53,$F53)*N(AND(BU$3&lt;=$E54,BU$4&gt;=$E54))</f>
        <v>-0</v>
      </c>
      <c r="BV54" s="46" t="n">
        <f aca="false">-CHOOSE(In_Sanction_Regime,$E53,$F53)*N(AND(BV$3&lt;=$E54,BV$4&gt;=$E54))</f>
        <v>-0</v>
      </c>
      <c r="BW54" s="46" t="n">
        <f aca="false">-CHOOSE(In_Sanction_Regime,$E53,$F53)*N(AND(BW$3&lt;=$E54,BW$4&gt;=$E54))</f>
        <v>-0</v>
      </c>
      <c r="BX54" s="46" t="n">
        <f aca="false">-CHOOSE(In_Sanction_Regime,$E53,$F53)*N(AND(BX$3&lt;=$E54,BX$4&gt;=$E54))</f>
        <v>-0</v>
      </c>
      <c r="BY54" s="46" t="n">
        <f aca="false">-CHOOSE(In_Sanction_Regime,$E53,$F53)*N(AND(BY$3&lt;=$E54,BY$4&gt;=$E54))</f>
        <v>-0</v>
      </c>
      <c r="BZ54" s="46" t="n">
        <f aca="false">-CHOOSE(In_Sanction_Regime,$E53,$F53)*N(AND(BZ$3&lt;=$E54,BZ$4&gt;=$E54))</f>
        <v>-0</v>
      </c>
      <c r="CA54" s="46" t="n">
        <f aca="false">-CHOOSE(In_Sanction_Regime,$E53,$F53)*N(AND(CA$3&lt;=$E54,CA$4&gt;=$E54))</f>
        <v>-0</v>
      </c>
      <c r="CB54" s="46" t="n">
        <f aca="false">-CHOOSE(In_Sanction_Regime,$E53,$F53)*N(AND(CB$3&lt;=$E54,CB$4&gt;=$E54))</f>
        <v>-0</v>
      </c>
      <c r="CC54" s="46" t="n">
        <f aca="false">-CHOOSE(In_Sanction_Regime,$E53,$F53)*N(AND(CC$3&lt;=$E54,CC$4&gt;=$E54))</f>
        <v>-0</v>
      </c>
      <c r="CD54" s="46" t="n">
        <f aca="false">-CHOOSE(In_Sanction_Regime,$E53,$F53)*N(AND(CD$3&lt;=$E54,CD$4&gt;=$E54))</f>
        <v>-0</v>
      </c>
      <c r="CE54" s="46" t="n">
        <f aca="false">-CHOOSE(In_Sanction_Regime,$E53,$F53)*N(AND(CE$3&lt;=$E54,CE$4&gt;=$E54))</f>
        <v>-0</v>
      </c>
      <c r="CF54" s="46" t="n">
        <f aca="false">-CHOOSE(In_Sanction_Regime,$E53,$F53)*N(AND(CF$3&lt;=$E54,CF$4&gt;=$E54))</f>
        <v>-0</v>
      </c>
      <c r="CG54" s="46" t="n">
        <f aca="false">-CHOOSE(In_Sanction_Regime,$E53,$F53)*N(AND(CG$3&lt;=$E54,CG$4&gt;=$E54))</f>
        <v>-0</v>
      </c>
      <c r="CH54" s="46" t="n">
        <f aca="false">-CHOOSE(In_Sanction_Regime,$E53,$F53)*N(AND(CH$3&lt;=$E54,CH$4&gt;=$E54))</f>
        <v>-0</v>
      </c>
      <c r="CI54" s="46" t="n">
        <f aca="false">-CHOOSE(In_Sanction_Regime,$E53,$F53)*N(AND(CI$3&lt;=$E54,CI$4&gt;=$E54))</f>
        <v>-0</v>
      </c>
      <c r="CJ54" s="46" t="n">
        <f aca="false">-CHOOSE(In_Sanction_Regime,$E53,$F53)*N(AND(CJ$3&lt;=$E54,CJ$4&gt;=$E54))</f>
        <v>-0</v>
      </c>
      <c r="CK54" s="46" t="n">
        <f aca="false">-CHOOSE(In_Sanction_Regime,$E53,$F53)*N(AND(CK$3&lt;=$E54,CK$4&gt;=$E54))</f>
        <v>-0</v>
      </c>
      <c r="CL54" s="46" t="n">
        <f aca="false">-CHOOSE(In_Sanction_Regime,$E53,$F53)*N(AND(CL$3&lt;=$E54,CL$4&gt;=$E54))</f>
        <v>-0</v>
      </c>
      <c r="CM54" s="46" t="n">
        <f aca="false">-CHOOSE(In_Sanction_Regime,$E53,$F53)*N(AND(CM$3&lt;=$E54,CM$4&gt;=$E54))</f>
        <v>-0</v>
      </c>
      <c r="CN54" s="46" t="n">
        <f aca="false">-CHOOSE(In_Sanction_Regime,$E53,$F53)*N(AND(CN$3&lt;=$E54,CN$4&gt;=$E54))</f>
        <v>-0</v>
      </c>
      <c r="CO54" s="46" t="n">
        <f aca="false">-CHOOSE(In_Sanction_Regime,$E53,$F53)*N(AND(CO$3&lt;=$E54,CO$4&gt;=$E54))</f>
        <v>-0</v>
      </c>
      <c r="CP54" s="46" t="n">
        <f aca="false">-CHOOSE(In_Sanction_Regime,$E53,$F53)*N(AND(CP$3&lt;=$E54,CP$4&gt;=$E54))</f>
        <v>-0</v>
      </c>
      <c r="CQ54" s="46" t="n">
        <f aca="false">-CHOOSE(In_Sanction_Regime,$E53,$F53)*N(AND(CQ$3&lt;=$E54,CQ$4&gt;=$E54))</f>
        <v>-0</v>
      </c>
      <c r="CR54" s="46" t="n">
        <f aca="false">-CHOOSE(In_Sanction_Regime,$E53,$F53)*N(AND(CR$3&lt;=$E54,CR$4&gt;=$E54))</f>
        <v>-0</v>
      </c>
      <c r="CS54" s="46" t="n">
        <f aca="false">-CHOOSE(In_Sanction_Regime,$E53,$F53)*N(AND(CS$3&lt;=$E54,CS$4&gt;=$E54))</f>
        <v>-0</v>
      </c>
      <c r="CT54" s="46" t="n">
        <f aca="false">-CHOOSE(In_Sanction_Regime,$E53,$F53)*N(AND(CT$3&lt;=$E54,CT$4&gt;=$E54))</f>
        <v>-0</v>
      </c>
      <c r="CU54" s="46" t="n">
        <f aca="false">-CHOOSE(In_Sanction_Regime,$E53,$F53)*N(AND(CU$3&lt;=$E54,CU$4&gt;=$E54))</f>
        <v>-0</v>
      </c>
      <c r="CV54" s="46" t="n">
        <f aca="false">-CHOOSE(In_Sanction_Regime,$E53,$F53)*N(AND(CV$3&lt;=$E54,CV$4&gt;=$E54))</f>
        <v>-0</v>
      </c>
      <c r="CW54" s="46" t="n">
        <f aca="false">-CHOOSE(In_Sanction_Regime,$E53,$F53)*N(AND(CW$3&lt;=$E54,CW$4&gt;=$E54))</f>
        <v>-0</v>
      </c>
      <c r="CX54" s="46" t="n">
        <f aca="false">-CHOOSE(In_Sanction_Regime,$E53,$F53)*N(AND(CX$3&lt;=$E54,CX$4&gt;=$E54))</f>
        <v>-0</v>
      </c>
      <c r="CY54" s="46" t="n">
        <f aca="false">-CHOOSE(In_Sanction_Regime,$E53,$F53)*N(AND(CY$3&lt;=$E54,CY$4&gt;=$E54))</f>
        <v>-0</v>
      </c>
      <c r="CZ54" s="46" t="n">
        <f aca="false">-CHOOSE(In_Sanction_Regime,$E53,$F53)*N(AND(CZ$3&lt;=$E54,CZ$4&gt;=$E54))</f>
        <v>-0</v>
      </c>
      <c r="DA54" s="46" t="n">
        <f aca="false">-CHOOSE(In_Sanction_Regime,$E53,$F53)*N(AND(DA$3&lt;=$E54,DA$4&gt;=$E54))</f>
        <v>-0</v>
      </c>
      <c r="DB54" s="46" t="n">
        <f aca="false">-CHOOSE(In_Sanction_Regime,$E53,$F53)*N(AND(DB$3&lt;=$E54,DB$4&gt;=$E54))</f>
        <v>-0</v>
      </c>
      <c r="DC54" s="46" t="n">
        <f aca="false">-CHOOSE(In_Sanction_Regime,$E53,$F53)*N(AND(DC$3&lt;=$E54,DC$4&gt;=$E54))</f>
        <v>-0</v>
      </c>
      <c r="DD54" s="46" t="n">
        <f aca="false">-CHOOSE(In_Sanction_Regime,$E53,$F53)*N(AND(DD$3&lt;=$E54,DD$4&gt;=$E54))</f>
        <v>-0</v>
      </c>
      <c r="DE54" s="46" t="n">
        <f aca="false">-CHOOSE(In_Sanction_Regime,$E53,$F53)*N(AND(DE$3&lt;=$E54,DE$4&gt;=$E54))</f>
        <v>-0</v>
      </c>
      <c r="DF54" s="46" t="n">
        <f aca="false">-CHOOSE(In_Sanction_Regime,$E53,$F53)*N(AND(DF$3&lt;=$E54,DF$4&gt;=$E54))</f>
        <v>-0</v>
      </c>
      <c r="DG54" s="46" t="n">
        <f aca="false">-CHOOSE(In_Sanction_Regime,$E53,$F53)*N(AND(DG$3&lt;=$E54,DG$4&gt;=$E54))</f>
        <v>-0</v>
      </c>
      <c r="DH54" s="46" t="n">
        <f aca="false">-CHOOSE(In_Sanction_Regime,$E53,$F53)*N(AND(DH$3&lt;=$E54,DH$4&gt;=$E54))</f>
        <v>-0</v>
      </c>
      <c r="DI54" s="46" t="n">
        <f aca="false">-CHOOSE(In_Sanction_Regime,$E53,$F53)*N(AND(DI$3&lt;=$E54,DI$4&gt;=$E54))</f>
        <v>-0</v>
      </c>
      <c r="DJ54" s="46" t="n">
        <f aca="false">-CHOOSE(In_Sanction_Regime,$E53,$F53)*N(AND(DJ$3&lt;=$E54,DJ$4&gt;=$E54))</f>
        <v>-0</v>
      </c>
      <c r="DK54" s="46" t="n">
        <f aca="false">-CHOOSE(In_Sanction_Regime,$E53,$F53)*N(AND(DK$3&lt;=$E54,DK$4&gt;=$E54))</f>
        <v>-0</v>
      </c>
      <c r="DL54" s="46" t="n">
        <f aca="false">-CHOOSE(In_Sanction_Regime,$E53,$F53)*N(AND(DL$3&lt;=$E54,DL$4&gt;=$E54))</f>
        <v>-0</v>
      </c>
      <c r="DM54" s="46" t="n">
        <f aca="false">-CHOOSE(In_Sanction_Regime,$E53,$F53)*N(AND(DM$3&lt;=$E54,DM$4&gt;=$E54))</f>
        <v>-0</v>
      </c>
      <c r="DN54" s="46" t="n">
        <f aca="false">-CHOOSE(In_Sanction_Regime,$E53,$F53)*N(AND(DN$3&lt;=$E54,DN$4&gt;=$E54))</f>
        <v>-0</v>
      </c>
      <c r="DO54" s="46" t="n">
        <f aca="false">-CHOOSE(In_Sanction_Regime,$E53,$F53)*N(AND(DO$3&lt;=$E54,DO$4&gt;=$E54))</f>
        <v>-0</v>
      </c>
      <c r="DP54" s="46" t="n">
        <f aca="false">-CHOOSE(In_Sanction_Regime,$E53,$F53)*N(AND(DP$3&lt;=$E54,DP$4&gt;=$E54))</f>
        <v>-0</v>
      </c>
      <c r="DQ54" s="46" t="n">
        <f aca="false">-CHOOSE(In_Sanction_Regime,$E53,$F53)*N(AND(DQ$3&lt;=$E54,DQ$4&gt;=$E54))</f>
        <v>-0</v>
      </c>
      <c r="DR54" s="46" t="n">
        <f aca="false">-CHOOSE(In_Sanction_Regime,$E53,$F53)*N(AND(DR$3&lt;=$E54,DR$4&gt;=$E54))</f>
        <v>-0</v>
      </c>
      <c r="DS54" s="46" t="n">
        <f aca="false">-CHOOSE(In_Sanction_Regime,$E53,$F53)*N(AND(DS$3&lt;=$E54,DS$4&gt;=$E54))</f>
        <v>-0</v>
      </c>
      <c r="DT54" s="46" t="n">
        <f aca="false">-CHOOSE(In_Sanction_Regime,$E53,$F53)*N(AND(DT$3&lt;=$E54,DT$4&gt;=$E54))</f>
        <v>-0</v>
      </c>
      <c r="DU54" s="46" t="n">
        <f aca="false">-CHOOSE(In_Sanction_Regime,$E53,$F53)*N(AND(DU$3&lt;=$E54,DU$4&gt;=$E54))</f>
        <v>-0</v>
      </c>
      <c r="DV54" s="46" t="n">
        <f aca="false">-CHOOSE(In_Sanction_Regime,$E53,$F53)*N(AND(DV$3&lt;=$E54,DV$4&gt;=$E54))</f>
        <v>-0</v>
      </c>
      <c r="DW54" s="46" t="n">
        <f aca="false">-CHOOSE(In_Sanction_Regime,$E53,$F53)*N(AND(DW$3&lt;=$E54,DW$4&gt;=$E54))</f>
        <v>-0</v>
      </c>
      <c r="DX54" s="46" t="n">
        <f aca="false">-CHOOSE(In_Sanction_Regime,$E53,$F53)*N(AND(DX$3&lt;=$E54,DX$4&gt;=$E54))</f>
        <v>-0</v>
      </c>
      <c r="DY54" s="46" t="n">
        <f aca="false">-CHOOSE(In_Sanction_Regime,$E53,$F53)*N(AND(DY$3&lt;=$E54,DY$4&gt;=$E54))</f>
        <v>-0</v>
      </c>
      <c r="DZ54" s="46" t="n">
        <f aca="false">-CHOOSE(In_Sanction_Regime,$E53,$F53)*N(AND(DZ$3&lt;=$E54,DZ$4&gt;=$E54))</f>
        <v>-0</v>
      </c>
      <c r="EA54" s="46" t="n">
        <f aca="false">-CHOOSE(In_Sanction_Regime,$E53,$F53)*N(AND(EA$3&lt;=$E54,EA$4&gt;=$E54))</f>
        <v>-0</v>
      </c>
      <c r="EB54" s="46" t="n">
        <f aca="false">-CHOOSE(In_Sanction_Regime,$E53,$F53)*N(AND(EB$3&lt;=$E54,EB$4&gt;=$E54))</f>
        <v>-0</v>
      </c>
      <c r="EC54" s="46" t="n">
        <f aca="false">-CHOOSE(In_Sanction_Regime,$E53,$F53)*N(AND(EC$3&lt;=$E54,EC$4&gt;=$E54))</f>
        <v>-0</v>
      </c>
      <c r="ED54" s="46" t="n">
        <f aca="false">-CHOOSE(In_Sanction_Regime,$E53,$F53)*N(AND(ED$3&lt;=$E54,ED$4&gt;=$E54))</f>
        <v>-0</v>
      </c>
      <c r="EE54" s="46" t="n">
        <f aca="false">-CHOOSE(In_Sanction_Regime,$E53,$F53)*N(AND(EE$3&lt;=$E54,EE$4&gt;=$E54))</f>
        <v>-0</v>
      </c>
      <c r="EF54" s="46" t="n">
        <f aca="false">-CHOOSE(In_Sanction_Regime,$E53,$F53)*N(AND(EF$3&lt;=$E54,EF$4&gt;=$E54))</f>
        <v>-0</v>
      </c>
      <c r="EG54" s="46" t="n">
        <f aca="false">-CHOOSE(In_Sanction_Regime,$E53,$F53)*N(AND(EG$3&lt;=$E54,EG$4&gt;=$E54))</f>
        <v>-0</v>
      </c>
      <c r="EH54" s="46" t="n">
        <f aca="false">-CHOOSE(In_Sanction_Regime,$E53,$F53)*N(AND(EH$3&lt;=$E54,EH$4&gt;=$E54))</f>
        <v>-0</v>
      </c>
      <c r="EI54" s="46" t="n">
        <f aca="false">-CHOOSE(In_Sanction_Regime,$E53,$F53)*N(AND(EI$3&lt;=$E54,EI$4&gt;=$E54))</f>
        <v>-0</v>
      </c>
      <c r="EJ54" s="46" t="n">
        <f aca="false">-CHOOSE(In_Sanction_Regime,$E53,$F53)*N(AND(EJ$3&lt;=$E54,EJ$4&gt;=$E54))</f>
        <v>-0</v>
      </c>
      <c r="EK54" s="46" t="n">
        <f aca="false">-CHOOSE(In_Sanction_Regime,$E53,$F53)*N(AND(EK$3&lt;=$E54,EK$4&gt;=$E54))</f>
        <v>-0</v>
      </c>
      <c r="EL54" s="46" t="n">
        <f aca="false">-CHOOSE(In_Sanction_Regime,$E53,$F53)*N(AND(EL$3&lt;=$E54,EL$4&gt;=$E54))</f>
        <v>-0</v>
      </c>
      <c r="EM54" s="46" t="n">
        <f aca="false">-CHOOSE(In_Sanction_Regime,$E53,$F53)*N(AND(EM$3&lt;=$E54,EM$4&gt;=$E54))</f>
        <v>-0</v>
      </c>
      <c r="EN54" s="46" t="n">
        <f aca="false">-CHOOSE(In_Sanction_Regime,$E53,$F53)*N(AND(EN$3&lt;=$E54,EN$4&gt;=$E54))</f>
        <v>-0</v>
      </c>
      <c r="EO54" s="46" t="n">
        <f aca="false">-CHOOSE(In_Sanction_Regime,$E53,$F53)*N(AND(EO$3&lt;=$E54,EO$4&gt;=$E54))</f>
        <v>-0</v>
      </c>
    </row>
    <row r="55" customFormat="false" ht="15" hidden="false" customHeight="false" outlineLevel="0" collapsed="false">
      <c r="C55" s="24" t="s">
        <v>387</v>
      </c>
      <c r="D55" s="11" t="s">
        <v>33</v>
      </c>
      <c r="I55" s="56" t="n">
        <f aca="false">SUM(J55:EO55)</f>
        <v>-6394.13018577594</v>
      </c>
      <c r="J55" s="56" t="n">
        <f aca="false">J41+J42+J43+J45+J48+J52</f>
        <v>-4661.67501595046</v>
      </c>
      <c r="K55" s="56" t="n">
        <f aca="false">K41+K42+K43+K45+K48+K52</f>
        <v>-701.6716250968</v>
      </c>
      <c r="L55" s="56" t="n">
        <f aca="false">L41+L42+L43+L45+L48+L52</f>
        <v>-96.1638368733281</v>
      </c>
      <c r="M55" s="56" t="n">
        <f aca="false">M41+M42+M43+M45+M48+M52</f>
        <v>-97.2205823334746</v>
      </c>
      <c r="N55" s="56" t="n">
        <f aca="false">N41+N42+N43+N45+N48+N52</f>
        <v>-97.2205823334746</v>
      </c>
      <c r="O55" s="56" t="n">
        <f aca="false">O41+O42+O43+O45+O48+O52</f>
        <v>-96.1638368733281</v>
      </c>
      <c r="P55" s="56" t="n">
        <f aca="false">P41+P42+P43+P45+P48+P52</f>
        <v>-96.1638368733281</v>
      </c>
      <c r="Q55" s="56" t="n">
        <f aca="false">Q41+Q42+Q43+Q45+Q48+Q52</f>
        <v>-97.2205823334746</v>
      </c>
      <c r="R55" s="56" t="n">
        <f aca="false">R41+R42+R43+R45+R48+R52</f>
        <v>-25.2331018952899</v>
      </c>
      <c r="S55" s="56" t="n">
        <f aca="false">S41+S42+S43+S45+S48+S52</f>
        <v>-24.6845562019141</v>
      </c>
      <c r="T55" s="56" t="n">
        <f aca="false">T41+T42+T43+T45+T48+T52</f>
        <v>-24.958829048602</v>
      </c>
      <c r="U55" s="56" t="n">
        <f aca="false">U41+U42+U43+U45+U48+U52</f>
        <v>-25.2331018952899</v>
      </c>
      <c r="V55" s="56" t="n">
        <f aca="false">V41+V42+V43+V45+V48+V52</f>
        <v>-25.2331018952899</v>
      </c>
      <c r="W55" s="56" t="n">
        <f aca="false">W41+W42+W43+W45+W48+W52</f>
        <v>-24.6845562019141</v>
      </c>
      <c r="X55" s="56" t="n">
        <f aca="false">X41+X42+X43+X45+X48+X52</f>
        <v>-24.958829048602</v>
      </c>
      <c r="Y55" s="56" t="n">
        <f aca="false">Y41+Y42+Y43+Y45+Y48+Y52</f>
        <v>-25.2331018952899</v>
      </c>
      <c r="Z55" s="56" t="n">
        <f aca="false">Z41+Z42+Z43+Z45+Z48+Z52</f>
        <v>-25.2331018952899</v>
      </c>
      <c r="AA55" s="56" t="n">
        <f aca="false">AA41+AA42+AA43+AA45+AA48+AA52</f>
        <v>-24.6845562019141</v>
      </c>
      <c r="AB55" s="56" t="n">
        <f aca="false">AB41+AB42+AB43+AB45+AB48+AB52</f>
        <v>-24.958829048602</v>
      </c>
      <c r="AC55" s="56" t="n">
        <f aca="false">AC41+AC42+AC43+AC45+AC48+AC52</f>
        <v>-25.2331018952899</v>
      </c>
      <c r="AD55" s="56" t="n">
        <f aca="false">AD41+AD42+AD43+AD45+AD48+AD52</f>
        <v>-25.2331018952899</v>
      </c>
      <c r="AE55" s="56" t="n">
        <f aca="false">AE41+AE42+AE43+AE45+AE48+AE52</f>
        <v>-24.958829048602</v>
      </c>
      <c r="AF55" s="56" t="n">
        <f aca="false">AF41+AF42+AF43+AF45+AF48+AF52</f>
        <v>-24.958829048602</v>
      </c>
      <c r="AG55" s="56" t="n">
        <f aca="false">AG41+AG42+AG43+AG45+AG48+AG52</f>
        <v>-25.2331018952899</v>
      </c>
      <c r="AH55" s="56" t="n">
        <f aca="false">AH41+AH42+AH43+AH45+AH48+AH52</f>
        <v>-25.2331018952899</v>
      </c>
      <c r="AI55" s="56" t="n">
        <f aca="false">AI41+AI42+AI43+AI45+AI48+AI52</f>
        <v>-24.6845562019141</v>
      </c>
      <c r="AJ55" s="56" t="n">
        <f aca="false">AJ41+AJ42+AJ43+AJ45+AJ48+AJ52</f>
        <v>-0</v>
      </c>
      <c r="AK55" s="56" t="n">
        <f aca="false">AK41+AK42+AK43+AK45+AK48+AK52</f>
        <v>-0</v>
      </c>
      <c r="AL55" s="56" t="n">
        <f aca="false">AL41+AL42+AL43+AL45+AL48+AL52</f>
        <v>-0</v>
      </c>
      <c r="AM55" s="56" t="n">
        <f aca="false">AM41+AM42+AM43+AM45+AM48+AM52</f>
        <v>-0</v>
      </c>
      <c r="AN55" s="56" t="n">
        <f aca="false">AN41+AN42+AN43+AN45+AN48+AN52</f>
        <v>-0</v>
      </c>
      <c r="AO55" s="56" t="n">
        <f aca="false">AO41+AO42+AO43+AO45+AO48+AO52</f>
        <v>-0</v>
      </c>
      <c r="AP55" s="56" t="n">
        <f aca="false">AP41+AP42+AP43+AP45+AP48+AP52</f>
        <v>-0</v>
      </c>
      <c r="AQ55" s="56" t="n">
        <f aca="false">AQ41+AQ42+AQ43+AQ45+AQ48+AQ52</f>
        <v>-0</v>
      </c>
      <c r="AR55" s="56" t="n">
        <f aca="false">AR41+AR42+AR43+AR45+AR48+AR52</f>
        <v>-0</v>
      </c>
      <c r="AS55" s="56" t="n">
        <f aca="false">AS41+AS42+AS43+AS45+AS48+AS52</f>
        <v>-0</v>
      </c>
      <c r="AT55" s="56" t="n">
        <f aca="false">AT41+AT42+AT43+AT45+AT48+AT52</f>
        <v>-0</v>
      </c>
      <c r="AU55" s="56" t="n">
        <f aca="false">AU41+AU42+AU43+AU45+AU48+AU52</f>
        <v>-0</v>
      </c>
      <c r="AV55" s="56" t="n">
        <f aca="false">AV41+AV42+AV43+AV45+AV48+AV52</f>
        <v>-0</v>
      </c>
      <c r="AW55" s="56" t="n">
        <f aca="false">AW41+AW42+AW43+AW45+AW48+AW52</f>
        <v>-0</v>
      </c>
      <c r="AX55" s="56" t="n">
        <f aca="false">AX41+AX42+AX43+AX45+AX48+AX52</f>
        <v>-0</v>
      </c>
      <c r="AY55" s="56" t="n">
        <f aca="false">AY41+AY42+AY43+AY45+AY48+AY52</f>
        <v>-0</v>
      </c>
      <c r="AZ55" s="56" t="n">
        <f aca="false">AZ41+AZ42+AZ43+AZ45+AZ48+AZ52</f>
        <v>-0</v>
      </c>
      <c r="BA55" s="56" t="n">
        <f aca="false">BA41+BA42+BA43+BA45+BA48+BA52</f>
        <v>-0</v>
      </c>
      <c r="BB55" s="56" t="n">
        <f aca="false">BB41+BB42+BB43+BB45+BB48+BB52</f>
        <v>-0</v>
      </c>
      <c r="BC55" s="56" t="n">
        <f aca="false">BC41+BC42+BC43+BC45+BC48+BC52</f>
        <v>-0</v>
      </c>
      <c r="BD55" s="56" t="n">
        <f aca="false">BD41+BD42+BD43+BD45+BD48+BD52</f>
        <v>-0</v>
      </c>
      <c r="BE55" s="56" t="n">
        <f aca="false">BE41+BE42+BE43+BE45+BE48+BE52</f>
        <v>-0</v>
      </c>
      <c r="BF55" s="56" t="n">
        <f aca="false">BF41+BF42+BF43+BF45+BF48+BF52</f>
        <v>-0</v>
      </c>
      <c r="BG55" s="56" t="n">
        <f aca="false">BG41+BG42+BG43+BG45+BG48+BG52</f>
        <v>-0</v>
      </c>
      <c r="BH55" s="56" t="n">
        <f aca="false">BH41+BH42+BH43+BH45+BH48+BH52</f>
        <v>-0</v>
      </c>
      <c r="BI55" s="56" t="n">
        <f aca="false">BI41+BI42+BI43+BI45+BI48+BI52</f>
        <v>-0</v>
      </c>
      <c r="BJ55" s="56" t="n">
        <f aca="false">BJ41+BJ42+BJ43+BJ45+BJ48+BJ52</f>
        <v>-0</v>
      </c>
      <c r="BK55" s="56" t="n">
        <f aca="false">BK41+BK42+BK43+BK45+BK48+BK52</f>
        <v>-0</v>
      </c>
      <c r="BL55" s="56" t="n">
        <f aca="false">BL41+BL42+BL43+BL45+BL48+BL52</f>
        <v>-0</v>
      </c>
      <c r="BM55" s="56" t="n">
        <f aca="false">BM41+BM42+BM43+BM45+BM48+BM52</f>
        <v>-0</v>
      </c>
      <c r="BN55" s="56" t="n">
        <f aca="false">BN41+BN42+BN43+BN45+BN48+BN52</f>
        <v>-0</v>
      </c>
      <c r="BO55" s="56" t="n">
        <f aca="false">BO41+BO42+BO43+BO45+BO48+BO52</f>
        <v>-0</v>
      </c>
      <c r="BP55" s="56" t="n">
        <f aca="false">BP41+BP42+BP43+BP45+BP48+BP52</f>
        <v>-0</v>
      </c>
      <c r="BQ55" s="56" t="n">
        <f aca="false">BQ41+BQ42+BQ43+BQ45+BQ48+BQ52</f>
        <v>-0</v>
      </c>
      <c r="BR55" s="56" t="n">
        <f aca="false">BR41+BR42+BR43+BR45+BR48+BR52</f>
        <v>-0</v>
      </c>
      <c r="BS55" s="56" t="n">
        <f aca="false">BS41+BS42+BS43+BS45+BS48+BS52</f>
        <v>-0</v>
      </c>
      <c r="BT55" s="56" t="n">
        <f aca="false">BT41+BT42+BT43+BT45+BT48+BT52</f>
        <v>-0</v>
      </c>
      <c r="BU55" s="56" t="n">
        <f aca="false">BU41+BU42+BU43+BU45+BU48+BU52</f>
        <v>-0</v>
      </c>
      <c r="BV55" s="56" t="n">
        <f aca="false">BV41+BV42+BV43+BV45+BV48+BV52</f>
        <v>-0</v>
      </c>
      <c r="BW55" s="56" t="n">
        <f aca="false">BW41+BW42+BW43+BW45+BW48+BW52</f>
        <v>-0</v>
      </c>
      <c r="BX55" s="56" t="n">
        <f aca="false">BX41+BX42+BX43+BX45+BX48+BX52</f>
        <v>-0</v>
      </c>
      <c r="BY55" s="56" t="n">
        <f aca="false">BY41+BY42+BY43+BY45+BY48+BY52</f>
        <v>-0</v>
      </c>
      <c r="BZ55" s="56" t="n">
        <f aca="false">BZ41+BZ42+BZ43+BZ45+BZ48+BZ52</f>
        <v>-0</v>
      </c>
      <c r="CA55" s="56" t="n">
        <f aca="false">CA41+CA42+CA43+CA45+CA48+CA52</f>
        <v>-0</v>
      </c>
      <c r="CB55" s="56" t="n">
        <f aca="false">CB41+CB42+CB43+CB45+CB48+CB52</f>
        <v>-0</v>
      </c>
      <c r="CC55" s="56" t="n">
        <f aca="false">CC41+CC42+CC43+CC45+CC48+CC52</f>
        <v>-0</v>
      </c>
      <c r="CD55" s="56" t="n">
        <f aca="false">CD41+CD42+CD43+CD45+CD48+CD52</f>
        <v>-0</v>
      </c>
      <c r="CE55" s="56" t="n">
        <f aca="false">CE41+CE42+CE43+CE45+CE48+CE52</f>
        <v>-0</v>
      </c>
      <c r="CF55" s="56" t="n">
        <f aca="false">CF41+CF42+CF43+CF45+CF48+CF52</f>
        <v>-0</v>
      </c>
      <c r="CG55" s="56" t="n">
        <f aca="false">CG41+CG42+CG43+CG45+CG48+CG52</f>
        <v>-0</v>
      </c>
      <c r="CH55" s="56" t="n">
        <f aca="false">CH41+CH42+CH43+CH45+CH48+CH52</f>
        <v>-0</v>
      </c>
      <c r="CI55" s="56" t="n">
        <f aca="false">CI41+CI42+CI43+CI45+CI48+CI52</f>
        <v>-0</v>
      </c>
      <c r="CJ55" s="56" t="n">
        <f aca="false">CJ41+CJ42+CJ43+CJ45+CJ48+CJ52</f>
        <v>-0</v>
      </c>
      <c r="CK55" s="56" t="n">
        <f aca="false">CK41+CK42+CK43+CK45+CK48+CK52</f>
        <v>-0</v>
      </c>
      <c r="CL55" s="56" t="n">
        <f aca="false">CL41+CL42+CL43+CL45+CL48+CL52</f>
        <v>-0</v>
      </c>
      <c r="CM55" s="56" t="n">
        <f aca="false">CM41+CM42+CM43+CM45+CM48+CM52</f>
        <v>-0</v>
      </c>
      <c r="CN55" s="56" t="n">
        <f aca="false">CN41+CN42+CN43+CN45+CN48+CN52</f>
        <v>-0</v>
      </c>
      <c r="CO55" s="56" t="n">
        <f aca="false">CO41+CO42+CO43+CO45+CO48+CO52</f>
        <v>-0</v>
      </c>
      <c r="CP55" s="56" t="n">
        <f aca="false">CP41+CP42+CP43+CP45+CP48+CP52</f>
        <v>-0</v>
      </c>
      <c r="CQ55" s="56" t="n">
        <f aca="false">CQ41+CQ42+CQ43+CQ45+CQ48+CQ52</f>
        <v>-0</v>
      </c>
      <c r="CR55" s="56" t="n">
        <f aca="false">CR41+CR42+CR43+CR45+CR48+CR52</f>
        <v>-0</v>
      </c>
      <c r="CS55" s="56" t="n">
        <f aca="false">CS41+CS42+CS43+CS45+CS48+CS52</f>
        <v>-0</v>
      </c>
      <c r="CT55" s="56" t="n">
        <f aca="false">CT41+CT42+CT43+CT45+CT48+CT52</f>
        <v>-0</v>
      </c>
      <c r="CU55" s="56" t="n">
        <f aca="false">CU41+CU42+CU43+CU45+CU48+CU52</f>
        <v>-0</v>
      </c>
      <c r="CV55" s="56" t="n">
        <f aca="false">CV41+CV42+CV43+CV45+CV48+CV52</f>
        <v>-0</v>
      </c>
      <c r="CW55" s="56" t="n">
        <f aca="false">CW41+CW42+CW43+CW45+CW48+CW52</f>
        <v>-0</v>
      </c>
      <c r="CX55" s="56" t="n">
        <f aca="false">CX41+CX42+CX43+CX45+CX48+CX52</f>
        <v>-0</v>
      </c>
      <c r="CY55" s="56" t="n">
        <f aca="false">CY41+CY42+CY43+CY45+CY48+CY52</f>
        <v>-0</v>
      </c>
      <c r="CZ55" s="56" t="n">
        <f aca="false">CZ41+CZ42+CZ43+CZ45+CZ48+CZ52</f>
        <v>-0</v>
      </c>
      <c r="DA55" s="56" t="n">
        <f aca="false">DA41+DA42+DA43+DA45+DA48+DA52</f>
        <v>-0</v>
      </c>
      <c r="DB55" s="56" t="n">
        <f aca="false">DB41+DB42+DB43+DB45+DB48+DB52</f>
        <v>-0</v>
      </c>
      <c r="DC55" s="56" t="n">
        <f aca="false">DC41+DC42+DC43+DC45+DC48+DC52</f>
        <v>-0</v>
      </c>
      <c r="DD55" s="56" t="n">
        <f aca="false">DD41+DD42+DD43+DD45+DD48+DD52</f>
        <v>-0</v>
      </c>
      <c r="DE55" s="56" t="n">
        <f aca="false">DE41+DE42+DE43+DE45+DE48+DE52</f>
        <v>-0</v>
      </c>
      <c r="DF55" s="56" t="n">
        <f aca="false">DF41+DF42+DF43+DF45+DF48+DF52</f>
        <v>-0</v>
      </c>
      <c r="DG55" s="56" t="n">
        <f aca="false">DG41+DG42+DG43+DG45+DG48+DG52</f>
        <v>-0</v>
      </c>
      <c r="DH55" s="56" t="n">
        <f aca="false">DH41+DH42+DH43+DH45+DH48+DH52</f>
        <v>-0</v>
      </c>
      <c r="DI55" s="56" t="n">
        <f aca="false">DI41+DI42+DI43+DI45+DI48+DI52</f>
        <v>-0</v>
      </c>
      <c r="DJ55" s="56" t="n">
        <f aca="false">DJ41+DJ42+DJ43+DJ45+DJ48+DJ52</f>
        <v>-0</v>
      </c>
      <c r="DK55" s="56" t="n">
        <f aca="false">DK41+DK42+DK43+DK45+DK48+DK52</f>
        <v>-0</v>
      </c>
      <c r="DL55" s="56" t="n">
        <f aca="false">DL41+DL42+DL43+DL45+DL48+DL52</f>
        <v>-0</v>
      </c>
      <c r="DM55" s="56" t="n">
        <f aca="false">DM41+DM42+DM43+DM45+DM48+DM52</f>
        <v>-0</v>
      </c>
      <c r="DN55" s="56" t="n">
        <f aca="false">DN41+DN42+DN43+DN45+DN48+DN52</f>
        <v>-0</v>
      </c>
      <c r="DO55" s="56" t="n">
        <f aca="false">DO41+DO42+DO43+DO45+DO48+DO52</f>
        <v>-0</v>
      </c>
      <c r="DP55" s="56" t="n">
        <f aca="false">DP41+DP42+DP43+DP45+DP48+DP52</f>
        <v>-0</v>
      </c>
      <c r="DQ55" s="56" t="n">
        <f aca="false">DQ41+DQ42+DQ43+DQ45+DQ48+DQ52</f>
        <v>-0</v>
      </c>
      <c r="DR55" s="56" t="n">
        <f aca="false">DR41+DR42+DR43+DR45+DR48+DR52</f>
        <v>-0</v>
      </c>
      <c r="DS55" s="56" t="n">
        <f aca="false">DS41+DS42+DS43+DS45+DS48+DS52</f>
        <v>-0</v>
      </c>
      <c r="DT55" s="56" t="n">
        <f aca="false">DT41+DT42+DT43+DT45+DT48+DT52</f>
        <v>-0</v>
      </c>
      <c r="DU55" s="56" t="n">
        <f aca="false">DU41+DU42+DU43+DU45+DU48+DU52</f>
        <v>-0</v>
      </c>
      <c r="DV55" s="56" t="n">
        <f aca="false">DV41+DV42+DV43+DV45+DV48+DV52</f>
        <v>-0</v>
      </c>
      <c r="DW55" s="56" t="n">
        <f aca="false">DW41+DW42+DW43+DW45+DW48+DW52</f>
        <v>-0</v>
      </c>
      <c r="DX55" s="56" t="n">
        <f aca="false">DX41+DX42+DX43+DX45+DX48+DX52</f>
        <v>-0</v>
      </c>
      <c r="DY55" s="56" t="n">
        <f aca="false">DY41+DY42+DY43+DY45+DY48+DY52</f>
        <v>-0</v>
      </c>
      <c r="DZ55" s="56" t="n">
        <f aca="false">DZ41+DZ42+DZ43+DZ45+DZ48+DZ52</f>
        <v>-0</v>
      </c>
      <c r="EA55" s="56" t="n">
        <f aca="false">EA41+EA42+EA43+EA45+EA48+EA52</f>
        <v>-0</v>
      </c>
      <c r="EB55" s="56" t="n">
        <f aca="false">EB41+EB42+EB43+EB45+EB48+EB52</f>
        <v>-0</v>
      </c>
      <c r="EC55" s="56" t="n">
        <f aca="false">EC41+EC42+EC43+EC45+EC48+EC52</f>
        <v>-0</v>
      </c>
      <c r="ED55" s="56" t="n">
        <f aca="false">ED41+ED42+ED43+ED45+ED48+ED52</f>
        <v>-0</v>
      </c>
      <c r="EE55" s="56" t="n">
        <f aca="false">EE41+EE42+EE43+EE45+EE48+EE52</f>
        <v>-0</v>
      </c>
      <c r="EF55" s="56" t="n">
        <f aca="false">EF41+EF42+EF43+EF45+EF48+EF52</f>
        <v>-0</v>
      </c>
      <c r="EG55" s="56" t="n">
        <f aca="false">EG41+EG42+EG43+EG45+EG48+EG52</f>
        <v>-0</v>
      </c>
      <c r="EH55" s="56" t="n">
        <f aca="false">EH41+EH42+EH43+EH45+EH48+EH52</f>
        <v>-0</v>
      </c>
      <c r="EI55" s="56" t="n">
        <f aca="false">EI41+EI42+EI43+EI45+EI48+EI52</f>
        <v>-0</v>
      </c>
      <c r="EJ55" s="56" t="n">
        <f aca="false">EJ41+EJ42+EJ43+EJ45+EJ48+EJ52</f>
        <v>-0</v>
      </c>
      <c r="EK55" s="56" t="n">
        <f aca="false">EK41+EK42+EK43+EK45+EK48+EK52</f>
        <v>-0</v>
      </c>
      <c r="EL55" s="56" t="n">
        <f aca="false">EL41+EL42+EL43+EL45+EL48+EL52</f>
        <v>-0</v>
      </c>
      <c r="EM55" s="56" t="n">
        <f aca="false">EM41+EM42+EM43+EM45+EM48+EM52</f>
        <v>-0</v>
      </c>
      <c r="EN55" s="56" t="n">
        <f aca="false">EN41+EN42+EN43+EN45+EN48+EN52</f>
        <v>-0</v>
      </c>
      <c r="EO55" s="56" t="n">
        <f aca="false">EO41+EO42+EO43+EO45+EO48+EO52</f>
        <v>-0</v>
      </c>
    </row>
    <row r="57" customFormat="false" ht="15" hidden="false" customHeight="false" outlineLevel="0" collapsed="false">
      <c r="A57" s="9" t="s">
        <v>13</v>
      </c>
      <c r="B57" s="9"/>
      <c r="C57" s="9" t="s">
        <v>388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</row>
    <row r="58" customFormat="false" ht="15" hidden="false" customHeight="false" outlineLevel="0" collapsed="false">
      <c r="C58" s="0" t="s">
        <v>389</v>
      </c>
      <c r="D58" s="11" t="s">
        <v>19</v>
      </c>
      <c r="E58" s="46" t="n">
        <f aca="false">IF($E35=1,In_Turbine,In_Turbine_CN)</f>
        <v>600</v>
      </c>
    </row>
    <row r="59" customFormat="false" ht="15" hidden="false" customHeight="false" outlineLevel="0" collapsed="false">
      <c r="C59" s="0" t="s">
        <v>390</v>
      </c>
      <c r="D59" s="11" t="s">
        <v>33</v>
      </c>
      <c r="E59" s="46" t="n">
        <f aca="false">IF($E35=1,In_Substation,In_Substation_CN)</f>
        <v>12000</v>
      </c>
    </row>
    <row r="60" customFormat="false" ht="15" hidden="false" customHeight="false" outlineLevel="0" collapsed="false">
      <c r="C60" s="0" t="s">
        <v>391</v>
      </c>
      <c r="D60" s="11" t="s">
        <v>33</v>
      </c>
      <c r="E60" s="46" t="n">
        <f aca="false">(($E58+In_Other_Wind)*$F24+$E59)*(1+In_Capex_Contingency)</f>
        <v>67751.25</v>
      </c>
      <c r="I60" s="46" t="n">
        <f aca="false">SUM(J60:EO60)</f>
        <v>-67751.25</v>
      </c>
      <c r="J60" s="46" t="n">
        <f aca="false">-$E60*J12</f>
        <v>-0</v>
      </c>
      <c r="K60" s="46" t="n">
        <f aca="false">-$E60*K12</f>
        <v>-0</v>
      </c>
      <c r="L60" s="46" t="n">
        <f aca="false">-$E60*L12</f>
        <v>-0</v>
      </c>
      <c r="M60" s="46" t="n">
        <f aca="false">-$E60*M12</f>
        <v>-0</v>
      </c>
      <c r="N60" s="46" t="n">
        <f aca="false">-$E60*N12</f>
        <v>-0</v>
      </c>
      <c r="O60" s="46" t="n">
        <f aca="false">-$E60*O12</f>
        <v>-0</v>
      </c>
      <c r="P60" s="46" t="n">
        <f aca="false">-$E60*P12</f>
        <v>-0</v>
      </c>
      <c r="Q60" s="46" t="n">
        <f aca="false">-$E60*Q12</f>
        <v>-0</v>
      </c>
      <c r="R60" s="46" t="n">
        <f aca="false">-$E60*R12</f>
        <v>-8538.51369863014</v>
      </c>
      <c r="S60" s="46" t="n">
        <f aca="false">-$E60*S12</f>
        <v>-8352.89383561644</v>
      </c>
      <c r="T60" s="46" t="n">
        <f aca="false">-$E60*T12</f>
        <v>-8445.70376712329</v>
      </c>
      <c r="U60" s="46" t="n">
        <f aca="false">-$E60*U12</f>
        <v>-8538.51369863014</v>
      </c>
      <c r="V60" s="46" t="n">
        <f aca="false">-$E60*V12</f>
        <v>-8538.51369863014</v>
      </c>
      <c r="W60" s="46" t="n">
        <f aca="false">-$E60*W12</f>
        <v>-8352.89383561644</v>
      </c>
      <c r="X60" s="46" t="n">
        <f aca="false">-$E60*X12</f>
        <v>-8445.70376712329</v>
      </c>
      <c r="Y60" s="46" t="n">
        <f aca="false">-$E60*Y12</f>
        <v>-8538.51369863014</v>
      </c>
      <c r="Z60" s="46" t="n">
        <f aca="false">-$E60*Z12</f>
        <v>-0</v>
      </c>
      <c r="AA60" s="46" t="n">
        <f aca="false">-$E60*AA12</f>
        <v>-0</v>
      </c>
      <c r="AB60" s="46" t="n">
        <f aca="false">-$E60*AB12</f>
        <v>-0</v>
      </c>
      <c r="AC60" s="46" t="n">
        <f aca="false">-$E60*AC12</f>
        <v>-0</v>
      </c>
      <c r="AD60" s="46" t="n">
        <f aca="false">-$E60*AD12</f>
        <v>-0</v>
      </c>
      <c r="AE60" s="46" t="n">
        <f aca="false">-$E60*AE12</f>
        <v>-0</v>
      </c>
      <c r="AF60" s="46" t="n">
        <f aca="false">-$E60*AF12</f>
        <v>-0</v>
      </c>
      <c r="AG60" s="46" t="n">
        <f aca="false">-$E60*AG12</f>
        <v>-0</v>
      </c>
      <c r="AH60" s="46" t="n">
        <f aca="false">-$E60*AH12</f>
        <v>-0</v>
      </c>
      <c r="AI60" s="46" t="n">
        <f aca="false">-$E60*AI12</f>
        <v>-0</v>
      </c>
      <c r="AJ60" s="46" t="n">
        <f aca="false">-$E60*AJ12</f>
        <v>-0</v>
      </c>
      <c r="AK60" s="46" t="n">
        <f aca="false">-$E60*AK12</f>
        <v>-0</v>
      </c>
      <c r="AL60" s="46" t="n">
        <f aca="false">-$E60*AL12</f>
        <v>-0</v>
      </c>
      <c r="AM60" s="46" t="n">
        <f aca="false">-$E60*AM12</f>
        <v>-0</v>
      </c>
      <c r="AN60" s="46" t="n">
        <f aca="false">-$E60*AN12</f>
        <v>-0</v>
      </c>
      <c r="AO60" s="46" t="n">
        <f aca="false">-$E60*AO12</f>
        <v>-0</v>
      </c>
      <c r="AP60" s="46" t="n">
        <f aca="false">-$E60*AP12</f>
        <v>-0</v>
      </c>
      <c r="AQ60" s="46" t="n">
        <f aca="false">-$E60*AQ12</f>
        <v>-0</v>
      </c>
      <c r="AR60" s="46" t="n">
        <f aca="false">-$E60*AR12</f>
        <v>-0</v>
      </c>
      <c r="AS60" s="46" t="n">
        <f aca="false">-$E60*AS12</f>
        <v>-0</v>
      </c>
      <c r="AT60" s="46" t="n">
        <f aca="false">-$E60*AT12</f>
        <v>-0</v>
      </c>
      <c r="AU60" s="46" t="n">
        <f aca="false">-$E60*AU12</f>
        <v>-0</v>
      </c>
      <c r="AV60" s="46" t="n">
        <f aca="false">-$E60*AV12</f>
        <v>-0</v>
      </c>
      <c r="AW60" s="46" t="n">
        <f aca="false">-$E60*AW12</f>
        <v>-0</v>
      </c>
      <c r="AX60" s="46" t="n">
        <f aca="false">-$E60*AX12</f>
        <v>-0</v>
      </c>
      <c r="AY60" s="46" t="n">
        <f aca="false">-$E60*AY12</f>
        <v>-0</v>
      </c>
      <c r="AZ60" s="46" t="n">
        <f aca="false">-$E60*AZ12</f>
        <v>-0</v>
      </c>
      <c r="BA60" s="46" t="n">
        <f aca="false">-$E60*BA12</f>
        <v>-0</v>
      </c>
      <c r="BB60" s="46" t="n">
        <f aca="false">-$E60*BB12</f>
        <v>-0</v>
      </c>
      <c r="BC60" s="46" t="n">
        <f aca="false">-$E60*BC12</f>
        <v>-0</v>
      </c>
      <c r="BD60" s="46" t="n">
        <f aca="false">-$E60*BD12</f>
        <v>-0</v>
      </c>
      <c r="BE60" s="46" t="n">
        <f aca="false">-$E60*BE12</f>
        <v>-0</v>
      </c>
      <c r="BF60" s="46" t="n">
        <f aca="false">-$E60*BF12</f>
        <v>-0</v>
      </c>
      <c r="BG60" s="46" t="n">
        <f aca="false">-$E60*BG12</f>
        <v>-0</v>
      </c>
      <c r="BH60" s="46" t="n">
        <f aca="false">-$E60*BH12</f>
        <v>-0</v>
      </c>
      <c r="BI60" s="46" t="n">
        <f aca="false">-$E60*BI12</f>
        <v>-0</v>
      </c>
      <c r="BJ60" s="46" t="n">
        <f aca="false">-$E60*BJ12</f>
        <v>-0</v>
      </c>
      <c r="BK60" s="46" t="n">
        <f aca="false">-$E60*BK12</f>
        <v>-0</v>
      </c>
      <c r="BL60" s="46" t="n">
        <f aca="false">-$E60*BL12</f>
        <v>-0</v>
      </c>
      <c r="BM60" s="46" t="n">
        <f aca="false">-$E60*BM12</f>
        <v>-0</v>
      </c>
      <c r="BN60" s="46" t="n">
        <f aca="false">-$E60*BN12</f>
        <v>-0</v>
      </c>
      <c r="BO60" s="46" t="n">
        <f aca="false">-$E60*BO12</f>
        <v>-0</v>
      </c>
      <c r="BP60" s="46" t="n">
        <f aca="false">-$E60*BP12</f>
        <v>-0</v>
      </c>
      <c r="BQ60" s="46" t="n">
        <f aca="false">-$E60*BQ12</f>
        <v>-0</v>
      </c>
      <c r="BR60" s="46" t="n">
        <f aca="false">-$E60*BR12</f>
        <v>-0</v>
      </c>
      <c r="BS60" s="46" t="n">
        <f aca="false">-$E60*BS12</f>
        <v>-0</v>
      </c>
      <c r="BT60" s="46" t="n">
        <f aca="false">-$E60*BT12</f>
        <v>-0</v>
      </c>
      <c r="BU60" s="46" t="n">
        <f aca="false">-$E60*BU12</f>
        <v>-0</v>
      </c>
      <c r="BV60" s="46" t="n">
        <f aca="false">-$E60*BV12</f>
        <v>-0</v>
      </c>
      <c r="BW60" s="46" t="n">
        <f aca="false">-$E60*BW12</f>
        <v>-0</v>
      </c>
      <c r="BX60" s="46" t="n">
        <f aca="false">-$E60*BX12</f>
        <v>-0</v>
      </c>
      <c r="BY60" s="46" t="n">
        <f aca="false">-$E60*BY12</f>
        <v>-0</v>
      </c>
      <c r="BZ60" s="46" t="n">
        <f aca="false">-$E60*BZ12</f>
        <v>-0</v>
      </c>
      <c r="CA60" s="46" t="n">
        <f aca="false">-$E60*CA12</f>
        <v>-0</v>
      </c>
      <c r="CB60" s="46" t="n">
        <f aca="false">-$E60*CB12</f>
        <v>-0</v>
      </c>
      <c r="CC60" s="46" t="n">
        <f aca="false">-$E60*CC12</f>
        <v>-0</v>
      </c>
      <c r="CD60" s="46" t="n">
        <f aca="false">-$E60*CD12</f>
        <v>-0</v>
      </c>
      <c r="CE60" s="46" t="n">
        <f aca="false">-$E60*CE12</f>
        <v>-0</v>
      </c>
      <c r="CF60" s="46" t="n">
        <f aca="false">-$E60*CF12</f>
        <v>-0</v>
      </c>
      <c r="CG60" s="46" t="n">
        <f aca="false">-$E60*CG12</f>
        <v>-0</v>
      </c>
      <c r="CH60" s="46" t="n">
        <f aca="false">-$E60*CH12</f>
        <v>-0</v>
      </c>
      <c r="CI60" s="46" t="n">
        <f aca="false">-$E60*CI12</f>
        <v>-0</v>
      </c>
      <c r="CJ60" s="46" t="n">
        <f aca="false">-$E60*CJ12</f>
        <v>-0</v>
      </c>
      <c r="CK60" s="46" t="n">
        <f aca="false">-$E60*CK12</f>
        <v>-0</v>
      </c>
      <c r="CL60" s="46" t="n">
        <f aca="false">-$E60*CL12</f>
        <v>-0</v>
      </c>
      <c r="CM60" s="46" t="n">
        <f aca="false">-$E60*CM12</f>
        <v>-0</v>
      </c>
      <c r="CN60" s="46" t="n">
        <f aca="false">-$E60*CN12</f>
        <v>-0</v>
      </c>
      <c r="CO60" s="46" t="n">
        <f aca="false">-$E60*CO12</f>
        <v>-0</v>
      </c>
      <c r="CP60" s="46" t="n">
        <f aca="false">-$E60*CP12</f>
        <v>-0</v>
      </c>
      <c r="CQ60" s="46" t="n">
        <f aca="false">-$E60*CQ12</f>
        <v>-0</v>
      </c>
      <c r="CR60" s="46" t="n">
        <f aca="false">-$E60*CR12</f>
        <v>-0</v>
      </c>
      <c r="CS60" s="46" t="n">
        <f aca="false">-$E60*CS12</f>
        <v>-0</v>
      </c>
      <c r="CT60" s="46" t="n">
        <f aca="false">-$E60*CT12</f>
        <v>-0</v>
      </c>
      <c r="CU60" s="46" t="n">
        <f aca="false">-$E60*CU12</f>
        <v>-0</v>
      </c>
      <c r="CV60" s="46" t="n">
        <f aca="false">-$E60*CV12</f>
        <v>-0</v>
      </c>
      <c r="CW60" s="46" t="n">
        <f aca="false">-$E60*CW12</f>
        <v>-0</v>
      </c>
      <c r="CX60" s="46" t="n">
        <f aca="false">-$E60*CX12</f>
        <v>-0</v>
      </c>
      <c r="CY60" s="46" t="n">
        <f aca="false">-$E60*CY12</f>
        <v>-0</v>
      </c>
      <c r="CZ60" s="46" t="n">
        <f aca="false">-$E60*CZ12</f>
        <v>-0</v>
      </c>
      <c r="DA60" s="46" t="n">
        <f aca="false">-$E60*DA12</f>
        <v>-0</v>
      </c>
      <c r="DB60" s="46" t="n">
        <f aca="false">-$E60*DB12</f>
        <v>-0</v>
      </c>
      <c r="DC60" s="46" t="n">
        <f aca="false">-$E60*DC12</f>
        <v>-0</v>
      </c>
      <c r="DD60" s="46" t="n">
        <f aca="false">-$E60*DD12</f>
        <v>-0</v>
      </c>
      <c r="DE60" s="46" t="n">
        <f aca="false">-$E60*DE12</f>
        <v>-0</v>
      </c>
      <c r="DF60" s="46" t="n">
        <f aca="false">-$E60*DF12</f>
        <v>-0</v>
      </c>
      <c r="DG60" s="46" t="n">
        <f aca="false">-$E60*DG12</f>
        <v>-0</v>
      </c>
      <c r="DH60" s="46" t="n">
        <f aca="false">-$E60*DH12</f>
        <v>-0</v>
      </c>
      <c r="DI60" s="46" t="n">
        <f aca="false">-$E60*DI12</f>
        <v>-0</v>
      </c>
      <c r="DJ60" s="46" t="n">
        <f aca="false">-$E60*DJ12</f>
        <v>-0</v>
      </c>
      <c r="DK60" s="46" t="n">
        <f aca="false">-$E60*DK12</f>
        <v>-0</v>
      </c>
      <c r="DL60" s="46" t="n">
        <f aca="false">-$E60*DL12</f>
        <v>-0</v>
      </c>
      <c r="DM60" s="46" t="n">
        <f aca="false">-$E60*DM12</f>
        <v>-0</v>
      </c>
      <c r="DN60" s="46" t="n">
        <f aca="false">-$E60*DN12</f>
        <v>-0</v>
      </c>
      <c r="DO60" s="46" t="n">
        <f aca="false">-$E60*DO12</f>
        <v>-0</v>
      </c>
      <c r="DP60" s="46" t="n">
        <f aca="false">-$E60*DP12</f>
        <v>-0</v>
      </c>
      <c r="DQ60" s="46" t="n">
        <f aca="false">-$E60*DQ12</f>
        <v>-0</v>
      </c>
      <c r="DR60" s="46" t="n">
        <f aca="false">-$E60*DR12</f>
        <v>-0</v>
      </c>
      <c r="DS60" s="46" t="n">
        <f aca="false">-$E60*DS12</f>
        <v>-0</v>
      </c>
      <c r="DT60" s="46" t="n">
        <f aca="false">-$E60*DT12</f>
        <v>-0</v>
      </c>
      <c r="DU60" s="46" t="n">
        <f aca="false">-$E60*DU12</f>
        <v>-0</v>
      </c>
      <c r="DV60" s="46" t="n">
        <f aca="false">-$E60*DV12</f>
        <v>-0</v>
      </c>
      <c r="DW60" s="46" t="n">
        <f aca="false">-$E60*DW12</f>
        <v>-0</v>
      </c>
      <c r="DX60" s="46" t="n">
        <f aca="false">-$E60*DX12</f>
        <v>-0</v>
      </c>
      <c r="DY60" s="46" t="n">
        <f aca="false">-$E60*DY12</f>
        <v>-0</v>
      </c>
      <c r="DZ60" s="46" t="n">
        <f aca="false">-$E60*DZ12</f>
        <v>-0</v>
      </c>
      <c r="EA60" s="46" t="n">
        <f aca="false">-$E60*EA12</f>
        <v>-0</v>
      </c>
      <c r="EB60" s="46" t="n">
        <f aca="false">-$E60*EB12</f>
        <v>-0</v>
      </c>
      <c r="EC60" s="46" t="n">
        <f aca="false">-$E60*EC12</f>
        <v>-0</v>
      </c>
      <c r="ED60" s="46" t="n">
        <f aca="false">-$E60*ED12</f>
        <v>-0</v>
      </c>
      <c r="EE60" s="46" t="n">
        <f aca="false">-$E60*EE12</f>
        <v>-0</v>
      </c>
      <c r="EF60" s="46" t="n">
        <f aca="false">-$E60*EF12</f>
        <v>-0</v>
      </c>
      <c r="EG60" s="46" t="n">
        <f aca="false">-$E60*EG12</f>
        <v>-0</v>
      </c>
      <c r="EH60" s="46" t="n">
        <f aca="false">-$E60*EH12</f>
        <v>-0</v>
      </c>
      <c r="EI60" s="46" t="n">
        <f aca="false">-$E60*EI12</f>
        <v>-0</v>
      </c>
      <c r="EJ60" s="46" t="n">
        <f aca="false">-$E60*EJ12</f>
        <v>-0</v>
      </c>
      <c r="EK60" s="46" t="n">
        <f aca="false">-$E60*EK12</f>
        <v>-0</v>
      </c>
      <c r="EL60" s="46" t="n">
        <f aca="false">-$E60*EL12</f>
        <v>-0</v>
      </c>
      <c r="EM60" s="46" t="n">
        <f aca="false">-$E60*EM12</f>
        <v>-0</v>
      </c>
      <c r="EN60" s="46" t="n">
        <f aca="false">-$E60*EN12</f>
        <v>-0</v>
      </c>
      <c r="EO60" s="46" t="n">
        <f aca="false">-$E60*EO12</f>
        <v>-0</v>
      </c>
    </row>
    <row r="61" customFormat="false" ht="15" hidden="false" customHeight="false" outlineLevel="0" collapsed="false">
      <c r="C61" s="0" t="s">
        <v>392</v>
      </c>
      <c r="D61" s="11" t="s">
        <v>33</v>
      </c>
      <c r="E61" s="46" t="n">
        <f aca="false">$E29*In_MVA</f>
        <v>1750</v>
      </c>
      <c r="I61" s="46" t="n">
        <f aca="false">SUM(J61:EO61)</f>
        <v>-1750</v>
      </c>
      <c r="J61" s="46" t="n">
        <f aca="false">-$E61*J14</f>
        <v>-0</v>
      </c>
      <c r="K61" s="46" t="n">
        <f aca="false">-$E61*K14</f>
        <v>-0</v>
      </c>
      <c r="L61" s="46" t="n">
        <f aca="false">-$E61*L14</f>
        <v>-0</v>
      </c>
      <c r="M61" s="46" t="n">
        <f aca="false">-$E61*M14</f>
        <v>-0</v>
      </c>
      <c r="N61" s="46" t="n">
        <f aca="false">-$E61*N14</f>
        <v>-0</v>
      </c>
      <c r="O61" s="46" t="n">
        <f aca="false">-$E61*O14</f>
        <v>-0</v>
      </c>
      <c r="P61" s="46" t="n">
        <f aca="false">-$E61*P14</f>
        <v>-0</v>
      </c>
      <c r="Q61" s="46" t="n">
        <f aca="false">-$E61*Q14</f>
        <v>-0</v>
      </c>
      <c r="R61" s="46" t="n">
        <f aca="false">-$E61*R14</f>
        <v>-0</v>
      </c>
      <c r="S61" s="46" t="n">
        <f aca="false">-$E61*S14</f>
        <v>-0</v>
      </c>
      <c r="T61" s="46" t="n">
        <f aca="false">-$E61*T14</f>
        <v>-0</v>
      </c>
      <c r="U61" s="46" t="n">
        <f aca="false">-$E61*U14</f>
        <v>-0</v>
      </c>
      <c r="V61" s="46" t="n">
        <f aca="false">-$E61*V14</f>
        <v>-0</v>
      </c>
      <c r="W61" s="46" t="n">
        <f aca="false">-$E61*W14</f>
        <v>-0</v>
      </c>
      <c r="X61" s="46" t="n">
        <f aca="false">-$E61*X14</f>
        <v>-0</v>
      </c>
      <c r="Y61" s="46" t="n">
        <f aca="false">-$E61*Y14</f>
        <v>-1750</v>
      </c>
      <c r="Z61" s="46" t="n">
        <f aca="false">-$E61*Z14</f>
        <v>-0</v>
      </c>
      <c r="AA61" s="46" t="n">
        <f aca="false">-$E61*AA14</f>
        <v>-0</v>
      </c>
      <c r="AB61" s="46" t="n">
        <f aca="false">-$E61*AB14</f>
        <v>-0</v>
      </c>
      <c r="AC61" s="46" t="n">
        <f aca="false">-$E61*AC14</f>
        <v>-0</v>
      </c>
      <c r="AD61" s="46" t="n">
        <f aca="false">-$E61*AD14</f>
        <v>-0</v>
      </c>
      <c r="AE61" s="46" t="n">
        <f aca="false">-$E61*AE14</f>
        <v>-0</v>
      </c>
      <c r="AF61" s="46" t="n">
        <f aca="false">-$E61*AF14</f>
        <v>-0</v>
      </c>
      <c r="AG61" s="46" t="n">
        <f aca="false">-$E61*AG14</f>
        <v>-0</v>
      </c>
      <c r="AH61" s="46" t="n">
        <f aca="false">-$E61*AH14</f>
        <v>-0</v>
      </c>
      <c r="AI61" s="46" t="n">
        <f aca="false">-$E61*AI14</f>
        <v>-0</v>
      </c>
      <c r="AJ61" s="46" t="n">
        <f aca="false">-$E61*AJ14</f>
        <v>-0</v>
      </c>
      <c r="AK61" s="46" t="n">
        <f aca="false">-$E61*AK14</f>
        <v>-0</v>
      </c>
      <c r="AL61" s="46" t="n">
        <f aca="false">-$E61*AL14</f>
        <v>-0</v>
      </c>
      <c r="AM61" s="46" t="n">
        <f aca="false">-$E61*AM14</f>
        <v>-0</v>
      </c>
      <c r="AN61" s="46" t="n">
        <f aca="false">-$E61*AN14</f>
        <v>-0</v>
      </c>
      <c r="AO61" s="46" t="n">
        <f aca="false">-$E61*AO14</f>
        <v>-0</v>
      </c>
      <c r="AP61" s="46" t="n">
        <f aca="false">-$E61*AP14</f>
        <v>-0</v>
      </c>
      <c r="AQ61" s="46" t="n">
        <f aca="false">-$E61*AQ14</f>
        <v>-0</v>
      </c>
      <c r="AR61" s="46" t="n">
        <f aca="false">-$E61*AR14</f>
        <v>-0</v>
      </c>
      <c r="AS61" s="46" t="n">
        <f aca="false">-$E61*AS14</f>
        <v>-0</v>
      </c>
      <c r="AT61" s="46" t="n">
        <f aca="false">-$E61*AT14</f>
        <v>-0</v>
      </c>
      <c r="AU61" s="46" t="n">
        <f aca="false">-$E61*AU14</f>
        <v>-0</v>
      </c>
      <c r="AV61" s="46" t="n">
        <f aca="false">-$E61*AV14</f>
        <v>-0</v>
      </c>
      <c r="AW61" s="46" t="n">
        <f aca="false">-$E61*AW14</f>
        <v>-0</v>
      </c>
      <c r="AX61" s="46" t="n">
        <f aca="false">-$E61*AX14</f>
        <v>-0</v>
      </c>
      <c r="AY61" s="46" t="n">
        <f aca="false">-$E61*AY14</f>
        <v>-0</v>
      </c>
      <c r="AZ61" s="46" t="n">
        <f aca="false">-$E61*AZ14</f>
        <v>-0</v>
      </c>
      <c r="BA61" s="46" t="n">
        <f aca="false">-$E61*BA14</f>
        <v>-0</v>
      </c>
      <c r="BB61" s="46" t="n">
        <f aca="false">-$E61*BB14</f>
        <v>-0</v>
      </c>
      <c r="BC61" s="46" t="n">
        <f aca="false">-$E61*BC14</f>
        <v>-0</v>
      </c>
      <c r="BD61" s="46" t="n">
        <f aca="false">-$E61*BD14</f>
        <v>-0</v>
      </c>
      <c r="BE61" s="46" t="n">
        <f aca="false">-$E61*BE14</f>
        <v>-0</v>
      </c>
      <c r="BF61" s="46" t="n">
        <f aca="false">-$E61*BF14</f>
        <v>-0</v>
      </c>
      <c r="BG61" s="46" t="n">
        <f aca="false">-$E61*BG14</f>
        <v>-0</v>
      </c>
      <c r="BH61" s="46" t="n">
        <f aca="false">-$E61*BH14</f>
        <v>-0</v>
      </c>
      <c r="BI61" s="46" t="n">
        <f aca="false">-$E61*BI14</f>
        <v>-0</v>
      </c>
      <c r="BJ61" s="46" t="n">
        <f aca="false">-$E61*BJ14</f>
        <v>-0</v>
      </c>
      <c r="BK61" s="46" t="n">
        <f aca="false">-$E61*BK14</f>
        <v>-0</v>
      </c>
      <c r="BL61" s="46" t="n">
        <f aca="false">-$E61*BL14</f>
        <v>-0</v>
      </c>
      <c r="BM61" s="46" t="n">
        <f aca="false">-$E61*BM14</f>
        <v>-0</v>
      </c>
      <c r="BN61" s="46" t="n">
        <f aca="false">-$E61*BN14</f>
        <v>-0</v>
      </c>
      <c r="BO61" s="46" t="n">
        <f aca="false">-$E61*BO14</f>
        <v>-0</v>
      </c>
      <c r="BP61" s="46" t="n">
        <f aca="false">-$E61*BP14</f>
        <v>-0</v>
      </c>
      <c r="BQ61" s="46" t="n">
        <f aca="false">-$E61*BQ14</f>
        <v>-0</v>
      </c>
      <c r="BR61" s="46" t="n">
        <f aca="false">-$E61*BR14</f>
        <v>-0</v>
      </c>
      <c r="BS61" s="46" t="n">
        <f aca="false">-$E61*BS14</f>
        <v>-0</v>
      </c>
      <c r="BT61" s="46" t="n">
        <f aca="false">-$E61*BT14</f>
        <v>-0</v>
      </c>
      <c r="BU61" s="46" t="n">
        <f aca="false">-$E61*BU14</f>
        <v>-0</v>
      </c>
      <c r="BV61" s="46" t="n">
        <f aca="false">-$E61*BV14</f>
        <v>-0</v>
      </c>
      <c r="BW61" s="46" t="n">
        <f aca="false">-$E61*BW14</f>
        <v>-0</v>
      </c>
      <c r="BX61" s="46" t="n">
        <f aca="false">-$E61*BX14</f>
        <v>-0</v>
      </c>
      <c r="BY61" s="46" t="n">
        <f aca="false">-$E61*BY14</f>
        <v>-0</v>
      </c>
      <c r="BZ61" s="46" t="n">
        <f aca="false">-$E61*BZ14</f>
        <v>-0</v>
      </c>
      <c r="CA61" s="46" t="n">
        <f aca="false">-$E61*CA14</f>
        <v>-0</v>
      </c>
      <c r="CB61" s="46" t="n">
        <f aca="false">-$E61*CB14</f>
        <v>-0</v>
      </c>
      <c r="CC61" s="46" t="n">
        <f aca="false">-$E61*CC14</f>
        <v>-0</v>
      </c>
      <c r="CD61" s="46" t="n">
        <f aca="false">-$E61*CD14</f>
        <v>-0</v>
      </c>
      <c r="CE61" s="46" t="n">
        <f aca="false">-$E61*CE14</f>
        <v>-0</v>
      </c>
      <c r="CF61" s="46" t="n">
        <f aca="false">-$E61*CF14</f>
        <v>-0</v>
      </c>
      <c r="CG61" s="46" t="n">
        <f aca="false">-$E61*CG14</f>
        <v>-0</v>
      </c>
      <c r="CH61" s="46" t="n">
        <f aca="false">-$E61*CH14</f>
        <v>-0</v>
      </c>
      <c r="CI61" s="46" t="n">
        <f aca="false">-$E61*CI14</f>
        <v>-0</v>
      </c>
      <c r="CJ61" s="46" t="n">
        <f aca="false">-$E61*CJ14</f>
        <v>-0</v>
      </c>
      <c r="CK61" s="46" t="n">
        <f aca="false">-$E61*CK14</f>
        <v>-0</v>
      </c>
      <c r="CL61" s="46" t="n">
        <f aca="false">-$E61*CL14</f>
        <v>-0</v>
      </c>
      <c r="CM61" s="46" t="n">
        <f aca="false">-$E61*CM14</f>
        <v>-0</v>
      </c>
      <c r="CN61" s="46" t="n">
        <f aca="false">-$E61*CN14</f>
        <v>-0</v>
      </c>
      <c r="CO61" s="46" t="n">
        <f aca="false">-$E61*CO14</f>
        <v>-0</v>
      </c>
      <c r="CP61" s="46" t="n">
        <f aca="false">-$E61*CP14</f>
        <v>-0</v>
      </c>
      <c r="CQ61" s="46" t="n">
        <f aca="false">-$E61*CQ14</f>
        <v>-0</v>
      </c>
      <c r="CR61" s="46" t="n">
        <f aca="false">-$E61*CR14</f>
        <v>-0</v>
      </c>
      <c r="CS61" s="46" t="n">
        <f aca="false">-$E61*CS14</f>
        <v>-0</v>
      </c>
      <c r="CT61" s="46" t="n">
        <f aca="false">-$E61*CT14</f>
        <v>-0</v>
      </c>
      <c r="CU61" s="46" t="n">
        <f aca="false">-$E61*CU14</f>
        <v>-0</v>
      </c>
      <c r="CV61" s="46" t="n">
        <f aca="false">-$E61*CV14</f>
        <v>-0</v>
      </c>
      <c r="CW61" s="46" t="n">
        <f aca="false">-$E61*CW14</f>
        <v>-0</v>
      </c>
      <c r="CX61" s="46" t="n">
        <f aca="false">-$E61*CX14</f>
        <v>-0</v>
      </c>
      <c r="CY61" s="46" t="n">
        <f aca="false">-$E61*CY14</f>
        <v>-0</v>
      </c>
      <c r="CZ61" s="46" t="n">
        <f aca="false">-$E61*CZ14</f>
        <v>-0</v>
      </c>
      <c r="DA61" s="46" t="n">
        <f aca="false">-$E61*DA14</f>
        <v>-0</v>
      </c>
      <c r="DB61" s="46" t="n">
        <f aca="false">-$E61*DB14</f>
        <v>-0</v>
      </c>
      <c r="DC61" s="46" t="n">
        <f aca="false">-$E61*DC14</f>
        <v>-0</v>
      </c>
      <c r="DD61" s="46" t="n">
        <f aca="false">-$E61*DD14</f>
        <v>-0</v>
      </c>
      <c r="DE61" s="46" t="n">
        <f aca="false">-$E61*DE14</f>
        <v>-0</v>
      </c>
      <c r="DF61" s="46" t="n">
        <f aca="false">-$E61*DF14</f>
        <v>-0</v>
      </c>
      <c r="DG61" s="46" t="n">
        <f aca="false">-$E61*DG14</f>
        <v>-0</v>
      </c>
      <c r="DH61" s="46" t="n">
        <f aca="false">-$E61*DH14</f>
        <v>-0</v>
      </c>
      <c r="DI61" s="46" t="n">
        <f aca="false">-$E61*DI14</f>
        <v>-0</v>
      </c>
      <c r="DJ61" s="46" t="n">
        <f aca="false">-$E61*DJ14</f>
        <v>-0</v>
      </c>
      <c r="DK61" s="46" t="n">
        <f aca="false">-$E61*DK14</f>
        <v>-0</v>
      </c>
      <c r="DL61" s="46" t="n">
        <f aca="false">-$E61*DL14</f>
        <v>-0</v>
      </c>
      <c r="DM61" s="46" t="n">
        <f aca="false">-$E61*DM14</f>
        <v>-0</v>
      </c>
      <c r="DN61" s="46" t="n">
        <f aca="false">-$E61*DN14</f>
        <v>-0</v>
      </c>
      <c r="DO61" s="46" t="n">
        <f aca="false">-$E61*DO14</f>
        <v>-0</v>
      </c>
      <c r="DP61" s="46" t="n">
        <f aca="false">-$E61*DP14</f>
        <v>-0</v>
      </c>
      <c r="DQ61" s="46" t="n">
        <f aca="false">-$E61*DQ14</f>
        <v>-0</v>
      </c>
      <c r="DR61" s="46" t="n">
        <f aca="false">-$E61*DR14</f>
        <v>-0</v>
      </c>
      <c r="DS61" s="46" t="n">
        <f aca="false">-$E61*DS14</f>
        <v>-0</v>
      </c>
      <c r="DT61" s="46" t="n">
        <f aca="false">-$E61*DT14</f>
        <v>-0</v>
      </c>
      <c r="DU61" s="46" t="n">
        <f aca="false">-$E61*DU14</f>
        <v>-0</v>
      </c>
      <c r="DV61" s="46" t="n">
        <f aca="false">-$E61*DV14</f>
        <v>-0</v>
      </c>
      <c r="DW61" s="46" t="n">
        <f aca="false">-$E61*DW14</f>
        <v>-0</v>
      </c>
      <c r="DX61" s="46" t="n">
        <f aca="false">-$E61*DX14</f>
        <v>-0</v>
      </c>
      <c r="DY61" s="46" t="n">
        <f aca="false">-$E61*DY14</f>
        <v>-0</v>
      </c>
      <c r="DZ61" s="46" t="n">
        <f aca="false">-$E61*DZ14</f>
        <v>-0</v>
      </c>
      <c r="EA61" s="46" t="n">
        <f aca="false">-$E61*EA14</f>
        <v>-0</v>
      </c>
      <c r="EB61" s="46" t="n">
        <f aca="false">-$E61*EB14</f>
        <v>-0</v>
      </c>
      <c r="EC61" s="46" t="n">
        <f aca="false">-$E61*EC14</f>
        <v>-0</v>
      </c>
      <c r="ED61" s="46" t="n">
        <f aca="false">-$E61*ED14</f>
        <v>-0</v>
      </c>
      <c r="EE61" s="46" t="n">
        <f aca="false">-$E61*EE14</f>
        <v>-0</v>
      </c>
      <c r="EF61" s="46" t="n">
        <f aca="false">-$E61*EF14</f>
        <v>-0</v>
      </c>
      <c r="EG61" s="46" t="n">
        <f aca="false">-$E61*EG14</f>
        <v>-0</v>
      </c>
      <c r="EH61" s="46" t="n">
        <f aca="false">-$E61*EH14</f>
        <v>-0</v>
      </c>
      <c r="EI61" s="46" t="n">
        <f aca="false">-$E61*EI14</f>
        <v>-0</v>
      </c>
      <c r="EJ61" s="46" t="n">
        <f aca="false">-$E61*EJ14</f>
        <v>-0</v>
      </c>
      <c r="EK61" s="46" t="n">
        <f aca="false">-$E61*EK14</f>
        <v>-0</v>
      </c>
      <c r="EL61" s="46" t="n">
        <f aca="false">-$E61*EL14</f>
        <v>-0</v>
      </c>
      <c r="EM61" s="46" t="n">
        <f aca="false">-$E61*EM14</f>
        <v>-0</v>
      </c>
      <c r="EN61" s="46" t="n">
        <f aca="false">-$E61*EN14</f>
        <v>-0</v>
      </c>
      <c r="EO61" s="46" t="n">
        <f aca="false">-$E61*EO14</f>
        <v>-0</v>
      </c>
    </row>
    <row r="62" customFormat="false" ht="15" hidden="false" customHeight="false" outlineLevel="0" collapsed="false">
      <c r="C62" s="24" t="s">
        <v>393</v>
      </c>
      <c r="D62" s="11" t="s">
        <v>33</v>
      </c>
      <c r="E62" s="56" t="n">
        <f aca="false">SUMPRODUCT($J62:$EO62/$J21:$EO21)*$E21</f>
        <v>-81325.3492746639</v>
      </c>
      <c r="I62" s="56" t="n">
        <f aca="false">SUM(J62:EO62)</f>
        <v>-77656.0731506849</v>
      </c>
      <c r="J62" s="56" t="n">
        <f aca="false">J60+J51+J61</f>
        <v>-0</v>
      </c>
      <c r="K62" s="56" t="n">
        <f aca="false">K60+K51+K61</f>
        <v>-0</v>
      </c>
      <c r="L62" s="56" t="n">
        <f aca="false">L60+L51+L61</f>
        <v>-0</v>
      </c>
      <c r="M62" s="56" t="n">
        <f aca="false">M60+M51+M61</f>
        <v>-0</v>
      </c>
      <c r="N62" s="56" t="n">
        <f aca="false">N60+N51+N61</f>
        <v>-0</v>
      </c>
      <c r="O62" s="56" t="n">
        <f aca="false">O60+O51+O61</f>
        <v>-0</v>
      </c>
      <c r="P62" s="56" t="n">
        <f aca="false">P60+P51+P61</f>
        <v>-0</v>
      </c>
      <c r="Q62" s="56" t="n">
        <f aca="false">Q60+Q51+Q61</f>
        <v>-0</v>
      </c>
      <c r="R62" s="56" t="n">
        <f aca="false">R60+R51+R61</f>
        <v>-8538.51369863014</v>
      </c>
      <c r="S62" s="56" t="n">
        <f aca="false">S60+S51+S61</f>
        <v>-16507.7169863014</v>
      </c>
      <c r="T62" s="56" t="n">
        <f aca="false">T60+T51+T61</f>
        <v>-8445.70376712329</v>
      </c>
      <c r="U62" s="56" t="n">
        <f aca="false">U60+U51+U61</f>
        <v>-8538.51369863014</v>
      </c>
      <c r="V62" s="56" t="n">
        <f aca="false">V60+V51+V61</f>
        <v>-8538.51369863014</v>
      </c>
      <c r="W62" s="56" t="n">
        <f aca="false">W60+W51+W61</f>
        <v>-8352.89383561644</v>
      </c>
      <c r="X62" s="56" t="n">
        <f aca="false">X60+X51+X61</f>
        <v>-8445.70376712329</v>
      </c>
      <c r="Y62" s="56" t="n">
        <f aca="false">Y60+Y51+Y61</f>
        <v>-10288.5136986301</v>
      </c>
      <c r="Z62" s="56" t="n">
        <f aca="false">Z60+Z51+Z61</f>
        <v>-0</v>
      </c>
      <c r="AA62" s="56" t="n">
        <f aca="false">AA60+AA51+AA61</f>
        <v>-0</v>
      </c>
      <c r="AB62" s="56" t="n">
        <f aca="false">AB60+AB51+AB61</f>
        <v>-0</v>
      </c>
      <c r="AC62" s="56" t="n">
        <f aca="false">AC60+AC51+AC61</f>
        <v>-0</v>
      </c>
      <c r="AD62" s="56" t="n">
        <f aca="false">AD60+AD51+AD61</f>
        <v>-0</v>
      </c>
      <c r="AE62" s="56" t="n">
        <f aca="false">AE60+AE51+AE61</f>
        <v>-0</v>
      </c>
      <c r="AF62" s="56" t="n">
        <f aca="false">AF60+AF51+AF61</f>
        <v>-0</v>
      </c>
      <c r="AG62" s="56" t="n">
        <f aca="false">AG60+AG51+AG61</f>
        <v>-0</v>
      </c>
      <c r="AH62" s="56" t="n">
        <f aca="false">AH60+AH51+AH61</f>
        <v>-0</v>
      </c>
      <c r="AI62" s="56" t="n">
        <f aca="false">AI60+AI51+AI61</f>
        <v>-0</v>
      </c>
      <c r="AJ62" s="56" t="n">
        <f aca="false">AJ60+AJ51+AJ61</f>
        <v>-0</v>
      </c>
      <c r="AK62" s="56" t="n">
        <f aca="false">AK60+AK51+AK61</f>
        <v>-0</v>
      </c>
      <c r="AL62" s="56" t="n">
        <f aca="false">AL60+AL51+AL61</f>
        <v>-0</v>
      </c>
      <c r="AM62" s="56" t="n">
        <f aca="false">AM60+AM51+AM61</f>
        <v>-0</v>
      </c>
      <c r="AN62" s="56" t="n">
        <f aca="false">AN60+AN51+AN61</f>
        <v>-0</v>
      </c>
      <c r="AO62" s="56" t="n">
        <f aca="false">AO60+AO51+AO61</f>
        <v>-0</v>
      </c>
      <c r="AP62" s="56" t="n">
        <f aca="false">AP60+AP51+AP61</f>
        <v>-0</v>
      </c>
      <c r="AQ62" s="56" t="n">
        <f aca="false">AQ60+AQ51+AQ61</f>
        <v>-0</v>
      </c>
      <c r="AR62" s="56" t="n">
        <f aca="false">AR60+AR51+AR61</f>
        <v>-0</v>
      </c>
      <c r="AS62" s="56" t="n">
        <f aca="false">AS60+AS51+AS61</f>
        <v>-0</v>
      </c>
      <c r="AT62" s="56" t="n">
        <f aca="false">AT60+AT51+AT61</f>
        <v>-0</v>
      </c>
      <c r="AU62" s="56" t="n">
        <f aca="false">AU60+AU51+AU61</f>
        <v>-0</v>
      </c>
      <c r="AV62" s="56" t="n">
        <f aca="false">AV60+AV51+AV61</f>
        <v>-0</v>
      </c>
      <c r="AW62" s="56" t="n">
        <f aca="false">AW60+AW51+AW61</f>
        <v>-0</v>
      </c>
      <c r="AX62" s="56" t="n">
        <f aca="false">AX60+AX51+AX61</f>
        <v>-0</v>
      </c>
      <c r="AY62" s="56" t="n">
        <f aca="false">AY60+AY51+AY61</f>
        <v>-0</v>
      </c>
      <c r="AZ62" s="56" t="n">
        <f aca="false">AZ60+AZ51+AZ61</f>
        <v>-0</v>
      </c>
      <c r="BA62" s="56" t="n">
        <f aca="false">BA60+BA51+BA61</f>
        <v>-0</v>
      </c>
      <c r="BB62" s="56" t="n">
        <f aca="false">BB60+BB51+BB61</f>
        <v>-0</v>
      </c>
      <c r="BC62" s="56" t="n">
        <f aca="false">BC60+BC51+BC61</f>
        <v>-0</v>
      </c>
      <c r="BD62" s="56" t="n">
        <f aca="false">BD60+BD51+BD61</f>
        <v>-0</v>
      </c>
      <c r="BE62" s="56" t="n">
        <f aca="false">BE60+BE51+BE61</f>
        <v>-0</v>
      </c>
      <c r="BF62" s="56" t="n">
        <f aca="false">BF60+BF51+BF61</f>
        <v>-0</v>
      </c>
      <c r="BG62" s="56" t="n">
        <f aca="false">BG60+BG51+BG61</f>
        <v>-0</v>
      </c>
      <c r="BH62" s="56" t="n">
        <f aca="false">BH60+BH51+BH61</f>
        <v>-0</v>
      </c>
      <c r="BI62" s="56" t="n">
        <f aca="false">BI60+BI51+BI61</f>
        <v>-0</v>
      </c>
      <c r="BJ62" s="56" t="n">
        <f aca="false">BJ60+BJ51+BJ61</f>
        <v>-0</v>
      </c>
      <c r="BK62" s="56" t="n">
        <f aca="false">BK60+BK51+BK61</f>
        <v>-0</v>
      </c>
      <c r="BL62" s="56" t="n">
        <f aca="false">BL60+BL51+BL61</f>
        <v>-0</v>
      </c>
      <c r="BM62" s="56" t="n">
        <f aca="false">BM60+BM51+BM61</f>
        <v>-0</v>
      </c>
      <c r="BN62" s="56" t="n">
        <f aca="false">BN60+BN51+BN61</f>
        <v>-0</v>
      </c>
      <c r="BO62" s="56" t="n">
        <f aca="false">BO60+BO51+BO61</f>
        <v>-0</v>
      </c>
      <c r="BP62" s="56" t="n">
        <f aca="false">BP60+BP51+BP61</f>
        <v>-0</v>
      </c>
      <c r="BQ62" s="56" t="n">
        <f aca="false">BQ60+BQ51+BQ61</f>
        <v>-0</v>
      </c>
      <c r="BR62" s="56" t="n">
        <f aca="false">BR60+BR51+BR61</f>
        <v>-0</v>
      </c>
      <c r="BS62" s="56" t="n">
        <f aca="false">BS60+BS51+BS61</f>
        <v>-0</v>
      </c>
      <c r="BT62" s="56" t="n">
        <f aca="false">BT60+BT51+BT61</f>
        <v>-0</v>
      </c>
      <c r="BU62" s="56" t="n">
        <f aca="false">BU60+BU51+BU61</f>
        <v>-0</v>
      </c>
      <c r="BV62" s="56" t="n">
        <f aca="false">BV60+BV51+BV61</f>
        <v>-0</v>
      </c>
      <c r="BW62" s="56" t="n">
        <f aca="false">BW60+BW51+BW61</f>
        <v>-0</v>
      </c>
      <c r="BX62" s="56" t="n">
        <f aca="false">BX60+BX51+BX61</f>
        <v>-0</v>
      </c>
      <c r="BY62" s="56" t="n">
        <f aca="false">BY60+BY51+BY61</f>
        <v>-0</v>
      </c>
      <c r="BZ62" s="56" t="n">
        <f aca="false">BZ60+BZ51+BZ61</f>
        <v>-0</v>
      </c>
      <c r="CA62" s="56" t="n">
        <f aca="false">CA60+CA51+CA61</f>
        <v>-0</v>
      </c>
      <c r="CB62" s="56" t="n">
        <f aca="false">CB60+CB51+CB61</f>
        <v>-0</v>
      </c>
      <c r="CC62" s="56" t="n">
        <f aca="false">CC60+CC51+CC61</f>
        <v>-0</v>
      </c>
      <c r="CD62" s="56" t="n">
        <f aca="false">CD60+CD51+CD61</f>
        <v>-0</v>
      </c>
      <c r="CE62" s="56" t="n">
        <f aca="false">CE60+CE51+CE61</f>
        <v>-0</v>
      </c>
      <c r="CF62" s="56" t="n">
        <f aca="false">CF60+CF51+CF61</f>
        <v>-0</v>
      </c>
      <c r="CG62" s="56" t="n">
        <f aca="false">CG60+CG51+CG61</f>
        <v>-0</v>
      </c>
      <c r="CH62" s="56" t="n">
        <f aca="false">CH60+CH51+CH61</f>
        <v>-0</v>
      </c>
      <c r="CI62" s="56" t="n">
        <f aca="false">CI60+CI51+CI61</f>
        <v>-0</v>
      </c>
      <c r="CJ62" s="56" t="n">
        <f aca="false">CJ60+CJ51+CJ61</f>
        <v>-0</v>
      </c>
      <c r="CK62" s="56" t="n">
        <f aca="false">CK60+CK51+CK61</f>
        <v>-0</v>
      </c>
      <c r="CL62" s="56" t="n">
        <f aca="false">CL60+CL51+CL61</f>
        <v>-0</v>
      </c>
      <c r="CM62" s="56" t="n">
        <f aca="false">CM60+CM51+CM61</f>
        <v>-0</v>
      </c>
      <c r="CN62" s="56" t="n">
        <f aca="false">CN60+CN51+CN61</f>
        <v>-0</v>
      </c>
      <c r="CO62" s="56" t="n">
        <f aca="false">CO60+CO51+CO61</f>
        <v>-0</v>
      </c>
      <c r="CP62" s="56" t="n">
        <f aca="false">CP60+CP51+CP61</f>
        <v>-0</v>
      </c>
      <c r="CQ62" s="56" t="n">
        <f aca="false">CQ60+CQ51+CQ61</f>
        <v>-0</v>
      </c>
      <c r="CR62" s="56" t="n">
        <f aca="false">CR60+CR51+CR61</f>
        <v>-0</v>
      </c>
      <c r="CS62" s="56" t="n">
        <f aca="false">CS60+CS51+CS61</f>
        <v>-0</v>
      </c>
      <c r="CT62" s="56" t="n">
        <f aca="false">CT60+CT51+CT61</f>
        <v>-0</v>
      </c>
      <c r="CU62" s="56" t="n">
        <f aca="false">CU60+CU51+CU61</f>
        <v>-0</v>
      </c>
      <c r="CV62" s="56" t="n">
        <f aca="false">CV60+CV51+CV61</f>
        <v>-0</v>
      </c>
      <c r="CW62" s="56" t="n">
        <f aca="false">CW60+CW51+CW61</f>
        <v>-0</v>
      </c>
      <c r="CX62" s="56" t="n">
        <f aca="false">CX60+CX51+CX61</f>
        <v>-0</v>
      </c>
      <c r="CY62" s="56" t="n">
        <f aca="false">CY60+CY51+CY61</f>
        <v>-0</v>
      </c>
      <c r="CZ62" s="56" t="n">
        <f aca="false">CZ60+CZ51+CZ61</f>
        <v>-0</v>
      </c>
      <c r="DA62" s="56" t="n">
        <f aca="false">DA60+DA51+DA61</f>
        <v>-0</v>
      </c>
      <c r="DB62" s="56" t="n">
        <f aca="false">DB60+DB51+DB61</f>
        <v>-0</v>
      </c>
      <c r="DC62" s="56" t="n">
        <f aca="false">DC60+DC51+DC61</f>
        <v>-0</v>
      </c>
      <c r="DD62" s="56" t="n">
        <f aca="false">DD60+DD51+DD61</f>
        <v>-0</v>
      </c>
      <c r="DE62" s="56" t="n">
        <f aca="false">DE60+DE51+DE61</f>
        <v>-0</v>
      </c>
      <c r="DF62" s="56" t="n">
        <f aca="false">DF60+DF51+DF61</f>
        <v>-0</v>
      </c>
      <c r="DG62" s="56" t="n">
        <f aca="false">DG60+DG51+DG61</f>
        <v>-0</v>
      </c>
      <c r="DH62" s="56" t="n">
        <f aca="false">DH60+DH51+DH61</f>
        <v>-0</v>
      </c>
      <c r="DI62" s="56" t="n">
        <f aca="false">DI60+DI51+DI61</f>
        <v>-0</v>
      </c>
      <c r="DJ62" s="56" t="n">
        <f aca="false">DJ60+DJ51+DJ61</f>
        <v>-0</v>
      </c>
      <c r="DK62" s="56" t="n">
        <f aca="false">DK60+DK51+DK61</f>
        <v>-0</v>
      </c>
      <c r="DL62" s="56" t="n">
        <f aca="false">DL60+DL51+DL61</f>
        <v>-0</v>
      </c>
      <c r="DM62" s="56" t="n">
        <f aca="false">DM60+DM51+DM61</f>
        <v>-0</v>
      </c>
      <c r="DN62" s="56" t="n">
        <f aca="false">DN60+DN51+DN61</f>
        <v>-0</v>
      </c>
      <c r="DO62" s="56" t="n">
        <f aca="false">DO60+DO51+DO61</f>
        <v>-0</v>
      </c>
      <c r="DP62" s="56" t="n">
        <f aca="false">DP60+DP51+DP61</f>
        <v>-0</v>
      </c>
      <c r="DQ62" s="56" t="n">
        <f aca="false">DQ60+DQ51+DQ61</f>
        <v>-0</v>
      </c>
      <c r="DR62" s="56" t="n">
        <f aca="false">DR60+DR51+DR61</f>
        <v>-0</v>
      </c>
      <c r="DS62" s="56" t="n">
        <f aca="false">DS60+DS51+DS61</f>
        <v>-0</v>
      </c>
      <c r="DT62" s="56" t="n">
        <f aca="false">DT60+DT51+DT61</f>
        <v>-0</v>
      </c>
      <c r="DU62" s="56" t="n">
        <f aca="false">DU60+DU51+DU61</f>
        <v>-0</v>
      </c>
      <c r="DV62" s="56" t="n">
        <f aca="false">DV60+DV51+DV61</f>
        <v>-0</v>
      </c>
      <c r="DW62" s="56" t="n">
        <f aca="false">DW60+DW51+DW61</f>
        <v>-0</v>
      </c>
      <c r="DX62" s="56" t="n">
        <f aca="false">DX60+DX51+DX61</f>
        <v>-0</v>
      </c>
      <c r="DY62" s="56" t="n">
        <f aca="false">DY60+DY51+DY61</f>
        <v>-0</v>
      </c>
      <c r="DZ62" s="56" t="n">
        <f aca="false">DZ60+DZ51+DZ61</f>
        <v>-0</v>
      </c>
      <c r="EA62" s="56" t="n">
        <f aca="false">EA60+EA51+EA61</f>
        <v>-0</v>
      </c>
      <c r="EB62" s="56" t="n">
        <f aca="false">EB60+EB51+EB61</f>
        <v>-0</v>
      </c>
      <c r="EC62" s="56" t="n">
        <f aca="false">EC60+EC51+EC61</f>
        <v>-0</v>
      </c>
      <c r="ED62" s="56" t="n">
        <f aca="false">ED60+ED51+ED61</f>
        <v>-0</v>
      </c>
      <c r="EE62" s="56" t="n">
        <f aca="false">EE60+EE51+EE61</f>
        <v>-0</v>
      </c>
      <c r="EF62" s="56" t="n">
        <f aca="false">EF60+EF51+EF61</f>
        <v>-0</v>
      </c>
      <c r="EG62" s="56" t="n">
        <f aca="false">EG60+EG51+EG61</f>
        <v>-0</v>
      </c>
      <c r="EH62" s="56" t="n">
        <f aca="false">EH60+EH51+EH61</f>
        <v>-0</v>
      </c>
      <c r="EI62" s="56" t="n">
        <f aca="false">EI60+EI51+EI61</f>
        <v>-0</v>
      </c>
      <c r="EJ62" s="56" t="n">
        <f aca="false">EJ60+EJ51+EJ61</f>
        <v>-0</v>
      </c>
      <c r="EK62" s="56" t="n">
        <f aca="false">EK60+EK51+EK61</f>
        <v>-0</v>
      </c>
      <c r="EL62" s="56" t="n">
        <f aca="false">EL60+EL51+EL61</f>
        <v>-0</v>
      </c>
      <c r="EM62" s="56" t="n">
        <f aca="false">EM60+EM51+EM61</f>
        <v>-0</v>
      </c>
      <c r="EN62" s="56" t="n">
        <f aca="false">EN60+EN51+EN61</f>
        <v>-0</v>
      </c>
      <c r="EO62" s="56" t="n">
        <f aca="false">EO60+EO51+EO61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273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394</v>
      </c>
      <c r="D65" s="11" t="s">
        <v>348</v>
      </c>
      <c r="J65" s="54" t="n">
        <f aca="false">(1+In_Opex_Esc)^(J$7-YEAR(In_COD))</f>
        <v>0.905950644799755</v>
      </c>
      <c r="K65" s="54" t="n">
        <f aca="false">(1+In_Opex_Esc)^(K$7-YEAR(In_COD))</f>
        <v>0.928599410919749</v>
      </c>
      <c r="L65" s="54" t="n">
        <f aca="false">(1+In_Opex_Esc)^(L$7-YEAR(In_COD))</f>
        <v>0.928599410919749</v>
      </c>
      <c r="M65" s="54" t="n">
        <f aca="false">(1+In_Opex_Esc)^(M$7-YEAR(In_COD))</f>
        <v>0.928599410919749</v>
      </c>
      <c r="N65" s="54" t="n">
        <f aca="false">(1+In_Opex_Esc)^(N$7-YEAR(In_COD))</f>
        <v>0.928599410919749</v>
      </c>
      <c r="O65" s="54" t="n">
        <f aca="false">(1+In_Opex_Esc)^(O$7-YEAR(In_COD))</f>
        <v>0.951814396192743</v>
      </c>
      <c r="P65" s="54" t="n">
        <f aca="false">(1+In_Opex_Esc)^(P$7-YEAR(In_COD))</f>
        <v>0.951814396192743</v>
      </c>
      <c r="Q65" s="54" t="n">
        <f aca="false">(1+In_Opex_Esc)^(Q$7-YEAR(In_COD))</f>
        <v>0.951814396192743</v>
      </c>
      <c r="R65" s="54" t="n">
        <f aca="false">(1+In_Opex_Esc)^(R$7-YEAR(In_COD))</f>
        <v>0.951814396192743</v>
      </c>
      <c r="S65" s="54" t="n">
        <f aca="false">(1+In_Opex_Esc)^(S$7-YEAR(In_COD))</f>
        <v>0.975609756097561</v>
      </c>
      <c r="T65" s="54" t="n">
        <f aca="false">(1+In_Opex_Esc)^(T$7-YEAR(In_COD))</f>
        <v>0.975609756097561</v>
      </c>
      <c r="U65" s="54" t="n">
        <f aca="false">(1+In_Opex_Esc)^(U$7-YEAR(In_COD))</f>
        <v>0.975609756097561</v>
      </c>
      <c r="V65" s="54" t="n">
        <f aca="false">(1+In_Opex_Esc)^(V$7-YEAR(In_COD))</f>
        <v>0.975609756097561</v>
      </c>
      <c r="W65" s="54" t="n">
        <f aca="false">(1+In_Opex_Esc)^(W$7-YEAR(In_COD))</f>
        <v>1</v>
      </c>
      <c r="X65" s="54" t="n">
        <f aca="false">(1+In_Opex_Esc)^(X$7-YEAR(In_COD))</f>
        <v>1</v>
      </c>
      <c r="Y65" s="54" t="n">
        <f aca="false">(1+In_Opex_Esc)^(Y$7-YEAR(In_COD))</f>
        <v>1</v>
      </c>
      <c r="Z65" s="54" t="n">
        <f aca="false">(1+In_Opex_Esc)^(Z$7-YEAR(In_COD))</f>
        <v>1</v>
      </c>
      <c r="AA65" s="54" t="n">
        <f aca="false">(1+In_Opex_Esc)^(AA$7-YEAR(In_COD))</f>
        <v>1.025</v>
      </c>
      <c r="AB65" s="54" t="n">
        <f aca="false">(1+In_Opex_Esc)^(AB$7-YEAR(In_COD))</f>
        <v>1.025</v>
      </c>
      <c r="AC65" s="54" t="n">
        <f aca="false">(1+In_Opex_Esc)^(AC$7-YEAR(In_COD))</f>
        <v>1.025</v>
      </c>
      <c r="AD65" s="54" t="n">
        <f aca="false">(1+In_Opex_Esc)^(AD$7-YEAR(In_COD))</f>
        <v>1.025</v>
      </c>
      <c r="AE65" s="54" t="n">
        <f aca="false">(1+In_Opex_Esc)^(AE$7-YEAR(In_COD))</f>
        <v>1.050625</v>
      </c>
      <c r="AF65" s="54" t="n">
        <f aca="false">(1+In_Opex_Esc)^(AF$7-YEAR(In_COD))</f>
        <v>1.050625</v>
      </c>
      <c r="AG65" s="54" t="n">
        <f aca="false">(1+In_Opex_Esc)^(AG$7-YEAR(In_COD))</f>
        <v>1.050625</v>
      </c>
      <c r="AH65" s="54" t="n">
        <f aca="false">(1+In_Opex_Esc)^(AH$7-YEAR(In_COD))</f>
        <v>1.050625</v>
      </c>
      <c r="AI65" s="54" t="n">
        <f aca="false">(1+In_Opex_Esc)^(AI$7-YEAR(In_COD))</f>
        <v>1.076890625</v>
      </c>
      <c r="AJ65" s="54" t="n">
        <f aca="false">(1+In_Opex_Esc)^(AJ$7-YEAR(In_COD))</f>
        <v>1.076890625</v>
      </c>
      <c r="AK65" s="54" t="n">
        <f aca="false">(1+In_Opex_Esc)^(AK$7-YEAR(In_COD))</f>
        <v>1.076890625</v>
      </c>
      <c r="AL65" s="54" t="n">
        <f aca="false">(1+In_Opex_Esc)^(AL$7-YEAR(In_COD))</f>
        <v>1.076890625</v>
      </c>
      <c r="AM65" s="54" t="n">
        <f aca="false">(1+In_Opex_Esc)^(AM$7-YEAR(In_COD))</f>
        <v>1.103812890625</v>
      </c>
      <c r="AN65" s="54" t="n">
        <f aca="false">(1+In_Opex_Esc)^(AN$7-YEAR(In_COD))</f>
        <v>1.103812890625</v>
      </c>
      <c r="AO65" s="54" t="n">
        <f aca="false">(1+In_Opex_Esc)^(AO$7-YEAR(In_COD))</f>
        <v>1.103812890625</v>
      </c>
      <c r="AP65" s="54" t="n">
        <f aca="false">(1+In_Opex_Esc)^(AP$7-YEAR(In_COD))</f>
        <v>1.103812890625</v>
      </c>
      <c r="AQ65" s="54" t="n">
        <f aca="false">(1+In_Opex_Esc)^(AQ$7-YEAR(In_COD))</f>
        <v>1.13140821289062</v>
      </c>
      <c r="AR65" s="54" t="n">
        <f aca="false">(1+In_Opex_Esc)^(AR$7-YEAR(In_COD))</f>
        <v>1.13140821289062</v>
      </c>
      <c r="AS65" s="54" t="n">
        <f aca="false">(1+In_Opex_Esc)^(AS$7-YEAR(In_COD))</f>
        <v>1.13140821289062</v>
      </c>
      <c r="AT65" s="54" t="n">
        <f aca="false">(1+In_Opex_Esc)^(AT$7-YEAR(In_COD))</f>
        <v>1.13140821289062</v>
      </c>
      <c r="AU65" s="54" t="n">
        <f aca="false">(1+In_Opex_Esc)^(AU$7-YEAR(In_COD))</f>
        <v>1.15969341821289</v>
      </c>
      <c r="AV65" s="54" t="n">
        <f aca="false">(1+In_Opex_Esc)^(AV$7-YEAR(In_COD))</f>
        <v>1.15969341821289</v>
      </c>
      <c r="AW65" s="54" t="n">
        <f aca="false">(1+In_Opex_Esc)^(AW$7-YEAR(In_COD))</f>
        <v>1.15969341821289</v>
      </c>
      <c r="AX65" s="54" t="n">
        <f aca="false">(1+In_Opex_Esc)^(AX$7-YEAR(In_COD))</f>
        <v>1.15969341821289</v>
      </c>
      <c r="AY65" s="54" t="n">
        <f aca="false">(1+In_Opex_Esc)^(AY$7-YEAR(In_COD))</f>
        <v>1.18868575366821</v>
      </c>
      <c r="AZ65" s="54" t="n">
        <f aca="false">(1+In_Opex_Esc)^(AZ$7-YEAR(In_COD))</f>
        <v>1.18868575366821</v>
      </c>
      <c r="BA65" s="54" t="n">
        <f aca="false">(1+In_Opex_Esc)^(BA$7-YEAR(In_COD))</f>
        <v>1.18868575366821</v>
      </c>
      <c r="BB65" s="54" t="n">
        <f aca="false">(1+In_Opex_Esc)^(BB$7-YEAR(In_COD))</f>
        <v>1.18868575366821</v>
      </c>
      <c r="BC65" s="54" t="n">
        <f aca="false">(1+In_Opex_Esc)^(BC$7-YEAR(In_COD))</f>
        <v>1.21840289750992</v>
      </c>
      <c r="BD65" s="54" t="n">
        <f aca="false">(1+In_Opex_Esc)^(BD$7-YEAR(In_COD))</f>
        <v>1.21840289750992</v>
      </c>
      <c r="BE65" s="54" t="n">
        <f aca="false">(1+In_Opex_Esc)^(BE$7-YEAR(In_COD))</f>
        <v>1.21840289750992</v>
      </c>
      <c r="BF65" s="54" t="n">
        <f aca="false">(1+In_Opex_Esc)^(BF$7-YEAR(In_COD))</f>
        <v>1.21840289750992</v>
      </c>
      <c r="BG65" s="54" t="n">
        <f aca="false">(1+In_Opex_Esc)^(BG$7-YEAR(In_COD))</f>
        <v>1.24886296994767</v>
      </c>
      <c r="BH65" s="54" t="n">
        <f aca="false">(1+In_Opex_Esc)^(BH$7-YEAR(In_COD))</f>
        <v>1.24886296994767</v>
      </c>
      <c r="BI65" s="54" t="n">
        <f aca="false">(1+In_Opex_Esc)^(BI$7-YEAR(In_COD))</f>
        <v>1.24886296994767</v>
      </c>
      <c r="BJ65" s="54" t="n">
        <f aca="false">(1+In_Opex_Esc)^(BJ$7-YEAR(In_COD))</f>
        <v>1.24886296994767</v>
      </c>
      <c r="BK65" s="54" t="n">
        <f aca="false">(1+In_Opex_Esc)^(BK$7-YEAR(In_COD))</f>
        <v>1.28008454419636</v>
      </c>
      <c r="BL65" s="54" t="n">
        <f aca="false">(1+In_Opex_Esc)^(BL$7-YEAR(In_COD))</f>
        <v>1.28008454419636</v>
      </c>
      <c r="BM65" s="54" t="n">
        <f aca="false">(1+In_Opex_Esc)^(BM$7-YEAR(In_COD))</f>
        <v>1.28008454419636</v>
      </c>
      <c r="BN65" s="54" t="n">
        <f aca="false">(1+In_Opex_Esc)^(BN$7-YEAR(In_COD))</f>
        <v>1.28008454419636</v>
      </c>
      <c r="BO65" s="54" t="n">
        <f aca="false">(1+In_Opex_Esc)^(BO$7-YEAR(In_COD))</f>
        <v>1.31208665780127</v>
      </c>
      <c r="BP65" s="54" t="n">
        <f aca="false">(1+In_Opex_Esc)^(BP$7-YEAR(In_COD))</f>
        <v>1.31208665780127</v>
      </c>
      <c r="BQ65" s="54" t="n">
        <f aca="false">(1+In_Opex_Esc)^(BQ$7-YEAR(In_COD))</f>
        <v>1.31208665780127</v>
      </c>
      <c r="BR65" s="54" t="n">
        <f aca="false">(1+In_Opex_Esc)^(BR$7-YEAR(In_COD))</f>
        <v>1.31208665780127</v>
      </c>
      <c r="BS65" s="54" t="n">
        <f aca="false">(1+In_Opex_Esc)^(BS$7-YEAR(In_COD))</f>
        <v>1.3448888242463</v>
      </c>
      <c r="BT65" s="54" t="n">
        <f aca="false">(1+In_Opex_Esc)^(BT$7-YEAR(In_COD))</f>
        <v>1.3448888242463</v>
      </c>
      <c r="BU65" s="54" t="n">
        <f aca="false">(1+In_Opex_Esc)^(BU$7-YEAR(In_COD))</f>
        <v>1.3448888242463</v>
      </c>
      <c r="BV65" s="54" t="n">
        <f aca="false">(1+In_Opex_Esc)^(BV$7-YEAR(In_COD))</f>
        <v>1.3448888242463</v>
      </c>
      <c r="BW65" s="54" t="n">
        <f aca="false">(1+In_Opex_Esc)^(BW$7-YEAR(In_COD))</f>
        <v>1.37851104485245</v>
      </c>
      <c r="BX65" s="54" t="n">
        <f aca="false">(1+In_Opex_Esc)^(BX$7-YEAR(In_COD))</f>
        <v>1.37851104485245</v>
      </c>
      <c r="BY65" s="54" t="n">
        <f aca="false">(1+In_Opex_Esc)^(BY$7-YEAR(In_COD))</f>
        <v>1.37851104485245</v>
      </c>
      <c r="BZ65" s="54" t="n">
        <f aca="false">(1+In_Opex_Esc)^(BZ$7-YEAR(In_COD))</f>
        <v>1.37851104485245</v>
      </c>
      <c r="CA65" s="54" t="n">
        <f aca="false">(1+In_Opex_Esc)^(CA$7-YEAR(In_COD))</f>
        <v>1.41297382097377</v>
      </c>
      <c r="CB65" s="54" t="n">
        <f aca="false">(1+In_Opex_Esc)^(CB$7-YEAR(In_COD))</f>
        <v>1.41297382097377</v>
      </c>
      <c r="CC65" s="54" t="n">
        <f aca="false">(1+In_Opex_Esc)^(CC$7-YEAR(In_COD))</f>
        <v>1.41297382097377</v>
      </c>
      <c r="CD65" s="54" t="n">
        <f aca="false">(1+In_Opex_Esc)^(CD$7-YEAR(In_COD))</f>
        <v>1.41297382097377</v>
      </c>
      <c r="CE65" s="54" t="n">
        <f aca="false">(1+In_Opex_Esc)^(CE$7-YEAR(In_COD))</f>
        <v>1.44829816649811</v>
      </c>
      <c r="CF65" s="54" t="n">
        <f aca="false">(1+In_Opex_Esc)^(CF$7-YEAR(In_COD))</f>
        <v>1.44829816649811</v>
      </c>
      <c r="CG65" s="54" t="n">
        <f aca="false">(1+In_Opex_Esc)^(CG$7-YEAR(In_COD))</f>
        <v>1.44829816649811</v>
      </c>
      <c r="CH65" s="54" t="n">
        <f aca="false">(1+In_Opex_Esc)^(CH$7-YEAR(In_COD))</f>
        <v>1.44829816649811</v>
      </c>
      <c r="CI65" s="54" t="n">
        <f aca="false">(1+In_Opex_Esc)^(CI$7-YEAR(In_COD))</f>
        <v>1.48450562066056</v>
      </c>
      <c r="CJ65" s="54" t="n">
        <f aca="false">(1+In_Opex_Esc)^(CJ$7-YEAR(In_COD))</f>
        <v>1.48450562066056</v>
      </c>
      <c r="CK65" s="54" t="n">
        <f aca="false">(1+In_Opex_Esc)^(CK$7-YEAR(In_COD))</f>
        <v>1.48450562066056</v>
      </c>
      <c r="CL65" s="54" t="n">
        <f aca="false">(1+In_Opex_Esc)^(CL$7-YEAR(In_COD))</f>
        <v>1.48450562066056</v>
      </c>
      <c r="CM65" s="54" t="n">
        <f aca="false">(1+In_Opex_Esc)^(CM$7-YEAR(In_COD))</f>
        <v>1.52161826117708</v>
      </c>
      <c r="CN65" s="54" t="n">
        <f aca="false">(1+In_Opex_Esc)^(CN$7-YEAR(In_COD))</f>
        <v>1.52161826117708</v>
      </c>
      <c r="CO65" s="54" t="n">
        <f aca="false">(1+In_Opex_Esc)^(CO$7-YEAR(In_COD))</f>
        <v>1.52161826117708</v>
      </c>
      <c r="CP65" s="54" t="n">
        <f aca="false">(1+In_Opex_Esc)^(CP$7-YEAR(In_COD))</f>
        <v>1.52161826117708</v>
      </c>
      <c r="CQ65" s="54" t="n">
        <f aca="false">(1+In_Opex_Esc)^(CQ$7-YEAR(In_COD))</f>
        <v>1.5596587177065</v>
      </c>
      <c r="CR65" s="54" t="n">
        <f aca="false">(1+In_Opex_Esc)^(CR$7-YEAR(In_COD))</f>
        <v>1.5596587177065</v>
      </c>
      <c r="CS65" s="54" t="n">
        <f aca="false">(1+In_Opex_Esc)^(CS$7-YEAR(In_COD))</f>
        <v>1.5596587177065</v>
      </c>
      <c r="CT65" s="54" t="n">
        <f aca="false">(1+In_Opex_Esc)^(CT$7-YEAR(In_COD))</f>
        <v>1.5596587177065</v>
      </c>
      <c r="CU65" s="54" t="n">
        <f aca="false">(1+In_Opex_Esc)^(CU$7-YEAR(In_COD))</f>
        <v>1.59865018564917</v>
      </c>
      <c r="CV65" s="54" t="n">
        <f aca="false">(1+In_Opex_Esc)^(CV$7-YEAR(In_COD))</f>
        <v>1.59865018564917</v>
      </c>
      <c r="CW65" s="54" t="n">
        <f aca="false">(1+In_Opex_Esc)^(CW$7-YEAR(In_COD))</f>
        <v>1.59865018564917</v>
      </c>
      <c r="CX65" s="54" t="n">
        <f aca="false">(1+In_Opex_Esc)^(CX$7-YEAR(In_COD))</f>
        <v>1.59865018564917</v>
      </c>
      <c r="CY65" s="54" t="n">
        <f aca="false">(1+In_Opex_Esc)^(CY$7-YEAR(In_COD))</f>
        <v>1.63861644029039</v>
      </c>
      <c r="CZ65" s="54" t="n">
        <f aca="false">(1+In_Opex_Esc)^(CZ$7-YEAR(In_COD))</f>
        <v>1.63861644029039</v>
      </c>
      <c r="DA65" s="54" t="n">
        <f aca="false">(1+In_Opex_Esc)^(DA$7-YEAR(In_COD))</f>
        <v>1.63861644029039</v>
      </c>
      <c r="DB65" s="54" t="n">
        <f aca="false">(1+In_Opex_Esc)^(DB$7-YEAR(In_COD))</f>
        <v>1.63861644029039</v>
      </c>
      <c r="DC65" s="54" t="n">
        <f aca="false">(1+In_Opex_Esc)^(DC$7-YEAR(In_COD))</f>
        <v>1.67958185129765</v>
      </c>
      <c r="DD65" s="54" t="n">
        <f aca="false">(1+In_Opex_Esc)^(DD$7-YEAR(In_COD))</f>
        <v>1.67958185129765</v>
      </c>
      <c r="DE65" s="54" t="n">
        <f aca="false">(1+In_Opex_Esc)^(DE$7-YEAR(In_COD))</f>
        <v>1.67958185129765</v>
      </c>
      <c r="DF65" s="54" t="n">
        <f aca="false">(1+In_Opex_Esc)^(DF$7-YEAR(In_COD))</f>
        <v>1.67958185129765</v>
      </c>
      <c r="DG65" s="54" t="n">
        <f aca="false">(1+In_Opex_Esc)^(DG$7-YEAR(In_COD))</f>
        <v>1.7215713975801</v>
      </c>
      <c r="DH65" s="54" t="n">
        <f aca="false">(1+In_Opex_Esc)^(DH$7-YEAR(In_COD))</f>
        <v>1.7215713975801</v>
      </c>
      <c r="DI65" s="54" t="n">
        <f aca="false">(1+In_Opex_Esc)^(DI$7-YEAR(In_COD))</f>
        <v>1.7215713975801</v>
      </c>
      <c r="DJ65" s="54" t="n">
        <f aca="false">(1+In_Opex_Esc)^(DJ$7-YEAR(In_COD))</f>
        <v>1.7215713975801</v>
      </c>
      <c r="DK65" s="54" t="n">
        <f aca="false">(1+In_Opex_Esc)^(DK$7-YEAR(In_COD))</f>
        <v>1.7646106825196</v>
      </c>
      <c r="DL65" s="54" t="n">
        <f aca="false">(1+In_Opex_Esc)^(DL$7-YEAR(In_COD))</f>
        <v>1.7646106825196</v>
      </c>
      <c r="DM65" s="54" t="n">
        <f aca="false">(1+In_Opex_Esc)^(DM$7-YEAR(In_COD))</f>
        <v>1.7646106825196</v>
      </c>
      <c r="DN65" s="54" t="n">
        <f aca="false">(1+In_Opex_Esc)^(DN$7-YEAR(In_COD))</f>
        <v>1.7646106825196</v>
      </c>
      <c r="DO65" s="54" t="n">
        <f aca="false">(1+In_Opex_Esc)^(DO$7-YEAR(In_COD))</f>
        <v>1.80872594958259</v>
      </c>
      <c r="DP65" s="54" t="n">
        <f aca="false">(1+In_Opex_Esc)^(DP$7-YEAR(In_COD))</f>
        <v>1.80872594958259</v>
      </c>
      <c r="DQ65" s="54" t="n">
        <f aca="false">(1+In_Opex_Esc)^(DQ$7-YEAR(In_COD))</f>
        <v>1.80872594958259</v>
      </c>
      <c r="DR65" s="54" t="n">
        <f aca="false">(1+In_Opex_Esc)^(DR$7-YEAR(In_COD))</f>
        <v>1.80872594958259</v>
      </c>
      <c r="DS65" s="54" t="n">
        <f aca="false">(1+In_Opex_Esc)^(DS$7-YEAR(In_COD))</f>
        <v>1.85394409832215</v>
      </c>
      <c r="DT65" s="54" t="n">
        <f aca="false">(1+In_Opex_Esc)^(DT$7-YEAR(In_COD))</f>
        <v>1.85394409832215</v>
      </c>
      <c r="DU65" s="54" t="n">
        <f aca="false">(1+In_Opex_Esc)^(DU$7-YEAR(In_COD))</f>
        <v>1.85394409832215</v>
      </c>
      <c r="DV65" s="54" t="n">
        <f aca="false">(1+In_Opex_Esc)^(DV$7-YEAR(In_COD))</f>
        <v>1.85394409832215</v>
      </c>
      <c r="DW65" s="54" t="n">
        <f aca="false">(1+In_Opex_Esc)^(DW$7-YEAR(In_COD))</f>
        <v>1.90029270078021</v>
      </c>
      <c r="DX65" s="54" t="n">
        <f aca="false">(1+In_Opex_Esc)^(DX$7-YEAR(In_COD))</f>
        <v>1.90029270078021</v>
      </c>
      <c r="DY65" s="54" t="n">
        <f aca="false">(1+In_Opex_Esc)^(DY$7-YEAR(In_COD))</f>
        <v>1.90029270078021</v>
      </c>
      <c r="DZ65" s="54" t="n">
        <f aca="false">(1+In_Opex_Esc)^(DZ$7-YEAR(In_COD))</f>
        <v>1.90029270078021</v>
      </c>
      <c r="EA65" s="54" t="n">
        <f aca="false">(1+In_Opex_Esc)^(EA$7-YEAR(In_COD))</f>
        <v>1.94780001829971</v>
      </c>
      <c r="EB65" s="54" t="n">
        <f aca="false">(1+In_Opex_Esc)^(EB$7-YEAR(In_COD))</f>
        <v>1.94780001829971</v>
      </c>
      <c r="EC65" s="54" t="n">
        <f aca="false">(1+In_Opex_Esc)^(EC$7-YEAR(In_COD))</f>
        <v>1.94780001829971</v>
      </c>
      <c r="ED65" s="54" t="n">
        <f aca="false">(1+In_Opex_Esc)^(ED$7-YEAR(In_COD))</f>
        <v>1.94780001829971</v>
      </c>
      <c r="EE65" s="54" t="n">
        <f aca="false">(1+In_Opex_Esc)^(EE$7-YEAR(In_COD))</f>
        <v>1.9964950187572</v>
      </c>
      <c r="EF65" s="54" t="n">
        <f aca="false">(1+In_Opex_Esc)^(EF$7-YEAR(In_COD))</f>
        <v>1.9964950187572</v>
      </c>
      <c r="EG65" s="54" t="n">
        <f aca="false">(1+In_Opex_Esc)^(EG$7-YEAR(In_COD))</f>
        <v>1.9964950187572</v>
      </c>
      <c r="EH65" s="54" t="n">
        <f aca="false">(1+In_Opex_Esc)^(EH$7-YEAR(In_COD))</f>
        <v>1.9964950187572</v>
      </c>
      <c r="EI65" s="54" t="n">
        <f aca="false">(1+In_Opex_Esc)^(EI$7-YEAR(In_COD))</f>
        <v>2.04640739422613</v>
      </c>
      <c r="EJ65" s="54" t="n">
        <f aca="false">(1+In_Opex_Esc)^(EJ$7-YEAR(In_COD))</f>
        <v>2.04640739422613</v>
      </c>
      <c r="EK65" s="54" t="n">
        <f aca="false">(1+In_Opex_Esc)^(EK$7-YEAR(In_COD))</f>
        <v>2.04640739422613</v>
      </c>
      <c r="EL65" s="54" t="n">
        <f aca="false">(1+In_Opex_Esc)^(EL$7-YEAR(In_COD))</f>
        <v>2.04640739422613</v>
      </c>
      <c r="EM65" s="54" t="n">
        <f aca="false">(1+In_Opex_Esc)^(EM$7-YEAR(In_COD))</f>
        <v>2.09756757908179</v>
      </c>
      <c r="EN65" s="54" t="n">
        <f aca="false">(1+In_Opex_Esc)^(EN$7-YEAR(In_COD))</f>
        <v>2.09756757908179</v>
      </c>
      <c r="EO65" s="54" t="n">
        <f aca="false">(1+In_Opex_Esc)^(EO$7-YEAR(In_COD))</f>
        <v>2.09756757908179</v>
      </c>
    </row>
    <row r="66" customFormat="false" ht="15" hidden="false" customHeight="false" outlineLevel="0" collapsed="false">
      <c r="C66" s="0" t="s">
        <v>395</v>
      </c>
      <c r="D66" s="11" t="s">
        <v>24</v>
      </c>
      <c r="J66" s="31" t="n">
        <f aca="false">In_PPA_Price*(1+In_PPA_Esc)^(J$7-YEAR(In_COD))</f>
        <v>86.4882310034535</v>
      </c>
      <c r="K66" s="31" t="n">
        <f aca="false">In_PPA_Price*(1+In_PPA_Esc)^(K$7-YEAR(In_COD))</f>
        <v>87.353113313488</v>
      </c>
      <c r="L66" s="31" t="n">
        <f aca="false">In_PPA_Price*(1+In_PPA_Esc)^(L$7-YEAR(In_COD))</f>
        <v>87.353113313488</v>
      </c>
      <c r="M66" s="31" t="n">
        <f aca="false">In_PPA_Price*(1+In_PPA_Esc)^(M$7-YEAR(In_COD))</f>
        <v>87.353113313488</v>
      </c>
      <c r="N66" s="31" t="n">
        <f aca="false">In_PPA_Price*(1+In_PPA_Esc)^(N$7-YEAR(In_COD))</f>
        <v>87.353113313488</v>
      </c>
      <c r="O66" s="31" t="n">
        <f aca="false">In_PPA_Price*(1+In_PPA_Esc)^(O$7-YEAR(In_COD))</f>
        <v>88.2266444466229</v>
      </c>
      <c r="P66" s="31" t="n">
        <f aca="false">In_PPA_Price*(1+In_PPA_Esc)^(P$7-YEAR(In_COD))</f>
        <v>88.2266444466229</v>
      </c>
      <c r="Q66" s="31" t="n">
        <f aca="false">In_PPA_Price*(1+In_PPA_Esc)^(Q$7-YEAR(In_COD))</f>
        <v>88.2266444466229</v>
      </c>
      <c r="R66" s="31" t="n">
        <f aca="false">In_PPA_Price*(1+In_PPA_Esc)^(R$7-YEAR(In_COD))</f>
        <v>88.2266444466229</v>
      </c>
      <c r="S66" s="31" t="n">
        <f aca="false">In_PPA_Price*(1+In_PPA_Esc)^(S$7-YEAR(In_COD))</f>
        <v>89.1089108910891</v>
      </c>
      <c r="T66" s="31" t="n">
        <f aca="false">In_PPA_Price*(1+In_PPA_Esc)^(T$7-YEAR(In_COD))</f>
        <v>89.1089108910891</v>
      </c>
      <c r="U66" s="31" t="n">
        <f aca="false">In_PPA_Price*(1+In_PPA_Esc)^(U$7-YEAR(In_COD))</f>
        <v>89.1089108910891</v>
      </c>
      <c r="V66" s="31" t="n">
        <f aca="false">In_PPA_Price*(1+In_PPA_Esc)^(V$7-YEAR(In_COD))</f>
        <v>89.1089108910891</v>
      </c>
      <c r="W66" s="31" t="n">
        <f aca="false">In_PPA_Price*(1+In_PPA_Esc)^(W$7-YEAR(In_COD))</f>
        <v>90</v>
      </c>
      <c r="X66" s="31" t="n">
        <f aca="false">In_PPA_Price*(1+In_PPA_Esc)^(X$7-YEAR(In_COD))</f>
        <v>90</v>
      </c>
      <c r="Y66" s="31" t="n">
        <f aca="false">In_PPA_Price*(1+In_PPA_Esc)^(Y$7-YEAR(In_COD))</f>
        <v>90</v>
      </c>
      <c r="Z66" s="31" t="n">
        <f aca="false">In_PPA_Price*(1+In_PPA_Esc)^(Z$7-YEAR(In_COD))</f>
        <v>90</v>
      </c>
      <c r="AA66" s="31" t="n">
        <f aca="false">In_PPA_Price*(1+In_PPA_Esc)^(AA$7-YEAR(In_COD))</f>
        <v>90.9</v>
      </c>
      <c r="AB66" s="31" t="n">
        <f aca="false">In_PPA_Price*(1+In_PPA_Esc)^(AB$7-YEAR(In_COD))</f>
        <v>90.9</v>
      </c>
      <c r="AC66" s="31" t="n">
        <f aca="false">In_PPA_Price*(1+In_PPA_Esc)^(AC$7-YEAR(In_COD))</f>
        <v>90.9</v>
      </c>
      <c r="AD66" s="31" t="n">
        <f aca="false">In_PPA_Price*(1+In_PPA_Esc)^(AD$7-YEAR(In_COD))</f>
        <v>90.9</v>
      </c>
      <c r="AE66" s="31" t="n">
        <f aca="false">In_PPA_Price*(1+In_PPA_Esc)^(AE$7-YEAR(In_COD))</f>
        <v>91.809</v>
      </c>
      <c r="AF66" s="31" t="n">
        <f aca="false">In_PPA_Price*(1+In_PPA_Esc)^(AF$7-YEAR(In_COD))</f>
        <v>91.809</v>
      </c>
      <c r="AG66" s="31" t="n">
        <f aca="false">In_PPA_Price*(1+In_PPA_Esc)^(AG$7-YEAR(In_COD))</f>
        <v>91.809</v>
      </c>
      <c r="AH66" s="31" t="n">
        <f aca="false">In_PPA_Price*(1+In_PPA_Esc)^(AH$7-YEAR(In_COD))</f>
        <v>91.809</v>
      </c>
      <c r="AI66" s="31" t="n">
        <f aca="false">In_PPA_Price*(1+In_PPA_Esc)^(AI$7-YEAR(In_COD))</f>
        <v>92.72709</v>
      </c>
      <c r="AJ66" s="31" t="n">
        <f aca="false">In_PPA_Price*(1+In_PPA_Esc)^(AJ$7-YEAR(In_COD))</f>
        <v>92.72709</v>
      </c>
      <c r="AK66" s="31" t="n">
        <f aca="false">In_PPA_Price*(1+In_PPA_Esc)^(AK$7-YEAR(In_COD))</f>
        <v>92.72709</v>
      </c>
      <c r="AL66" s="31" t="n">
        <f aca="false">In_PPA_Price*(1+In_PPA_Esc)^(AL$7-YEAR(In_COD))</f>
        <v>92.72709</v>
      </c>
      <c r="AM66" s="31" t="n">
        <f aca="false">In_PPA_Price*(1+In_PPA_Esc)^(AM$7-YEAR(In_COD))</f>
        <v>93.6543609</v>
      </c>
      <c r="AN66" s="31" t="n">
        <f aca="false">In_PPA_Price*(1+In_PPA_Esc)^(AN$7-YEAR(In_COD))</f>
        <v>93.6543609</v>
      </c>
      <c r="AO66" s="31" t="n">
        <f aca="false">In_PPA_Price*(1+In_PPA_Esc)^(AO$7-YEAR(In_COD))</f>
        <v>93.6543609</v>
      </c>
      <c r="AP66" s="31" t="n">
        <f aca="false">In_PPA_Price*(1+In_PPA_Esc)^(AP$7-YEAR(In_COD))</f>
        <v>93.6543609</v>
      </c>
      <c r="AQ66" s="31" t="n">
        <f aca="false">In_PPA_Price*(1+In_PPA_Esc)^(AQ$7-YEAR(In_COD))</f>
        <v>94.590904509</v>
      </c>
      <c r="AR66" s="31" t="n">
        <f aca="false">In_PPA_Price*(1+In_PPA_Esc)^(AR$7-YEAR(In_COD))</f>
        <v>94.590904509</v>
      </c>
      <c r="AS66" s="31" t="n">
        <f aca="false">In_PPA_Price*(1+In_PPA_Esc)^(AS$7-YEAR(In_COD))</f>
        <v>94.590904509</v>
      </c>
      <c r="AT66" s="31" t="n">
        <f aca="false">In_PPA_Price*(1+In_PPA_Esc)^(AT$7-YEAR(In_COD))</f>
        <v>94.590904509</v>
      </c>
      <c r="AU66" s="31" t="n">
        <f aca="false">In_PPA_Price*(1+In_PPA_Esc)^(AU$7-YEAR(In_COD))</f>
        <v>95.53681355409</v>
      </c>
      <c r="AV66" s="31" t="n">
        <f aca="false">In_PPA_Price*(1+In_PPA_Esc)^(AV$7-YEAR(In_COD))</f>
        <v>95.53681355409</v>
      </c>
      <c r="AW66" s="31" t="n">
        <f aca="false">In_PPA_Price*(1+In_PPA_Esc)^(AW$7-YEAR(In_COD))</f>
        <v>95.53681355409</v>
      </c>
      <c r="AX66" s="31" t="n">
        <f aca="false">In_PPA_Price*(1+In_PPA_Esc)^(AX$7-YEAR(In_COD))</f>
        <v>95.53681355409</v>
      </c>
      <c r="AY66" s="31" t="n">
        <f aca="false">In_PPA_Price*(1+In_PPA_Esc)^(AY$7-YEAR(In_COD))</f>
        <v>96.4921816896309</v>
      </c>
      <c r="AZ66" s="31" t="n">
        <f aca="false">In_PPA_Price*(1+In_PPA_Esc)^(AZ$7-YEAR(In_COD))</f>
        <v>96.4921816896309</v>
      </c>
      <c r="BA66" s="31" t="n">
        <f aca="false">In_PPA_Price*(1+In_PPA_Esc)^(BA$7-YEAR(In_COD))</f>
        <v>96.4921816896309</v>
      </c>
      <c r="BB66" s="31" t="n">
        <f aca="false">In_PPA_Price*(1+In_PPA_Esc)^(BB$7-YEAR(In_COD))</f>
        <v>96.4921816896309</v>
      </c>
      <c r="BC66" s="31" t="n">
        <f aca="false">In_PPA_Price*(1+In_PPA_Esc)^(BC$7-YEAR(In_COD))</f>
        <v>97.4571035065272</v>
      </c>
      <c r="BD66" s="31" t="n">
        <f aca="false">In_PPA_Price*(1+In_PPA_Esc)^(BD$7-YEAR(In_COD))</f>
        <v>97.4571035065272</v>
      </c>
      <c r="BE66" s="31" t="n">
        <f aca="false">In_PPA_Price*(1+In_PPA_Esc)^(BE$7-YEAR(In_COD))</f>
        <v>97.4571035065272</v>
      </c>
      <c r="BF66" s="31" t="n">
        <f aca="false">In_PPA_Price*(1+In_PPA_Esc)^(BF$7-YEAR(In_COD))</f>
        <v>97.4571035065272</v>
      </c>
      <c r="BG66" s="31" t="n">
        <f aca="false">In_PPA_Price*(1+In_PPA_Esc)^(BG$7-YEAR(In_COD))</f>
        <v>98.4316745415925</v>
      </c>
      <c r="BH66" s="31" t="n">
        <f aca="false">In_PPA_Price*(1+In_PPA_Esc)^(BH$7-YEAR(In_COD))</f>
        <v>98.4316745415925</v>
      </c>
      <c r="BI66" s="31" t="n">
        <f aca="false">In_PPA_Price*(1+In_PPA_Esc)^(BI$7-YEAR(In_COD))</f>
        <v>98.4316745415925</v>
      </c>
      <c r="BJ66" s="31" t="n">
        <f aca="false">In_PPA_Price*(1+In_PPA_Esc)^(BJ$7-YEAR(In_COD))</f>
        <v>98.4316745415925</v>
      </c>
      <c r="BK66" s="31" t="n">
        <f aca="false">In_PPA_Price*(1+In_PPA_Esc)^(BK$7-YEAR(In_COD))</f>
        <v>99.4159912870084</v>
      </c>
      <c r="BL66" s="31" t="n">
        <f aca="false">In_PPA_Price*(1+In_PPA_Esc)^(BL$7-YEAR(In_COD))</f>
        <v>99.4159912870084</v>
      </c>
      <c r="BM66" s="31" t="n">
        <f aca="false">In_PPA_Price*(1+In_PPA_Esc)^(BM$7-YEAR(In_COD))</f>
        <v>99.4159912870084</v>
      </c>
      <c r="BN66" s="31" t="n">
        <f aca="false">In_PPA_Price*(1+In_PPA_Esc)^(BN$7-YEAR(In_COD))</f>
        <v>99.4159912870084</v>
      </c>
      <c r="BO66" s="31" t="n">
        <f aca="false">In_PPA_Price*(1+In_PPA_Esc)^(BO$7-YEAR(In_COD))</f>
        <v>100.410151199878</v>
      </c>
      <c r="BP66" s="31" t="n">
        <f aca="false">In_PPA_Price*(1+In_PPA_Esc)^(BP$7-YEAR(In_COD))</f>
        <v>100.410151199878</v>
      </c>
      <c r="BQ66" s="31" t="n">
        <f aca="false">In_PPA_Price*(1+In_PPA_Esc)^(BQ$7-YEAR(In_COD))</f>
        <v>100.410151199878</v>
      </c>
      <c r="BR66" s="31" t="n">
        <f aca="false">In_PPA_Price*(1+In_PPA_Esc)^(BR$7-YEAR(In_COD))</f>
        <v>100.410151199878</v>
      </c>
      <c r="BS66" s="31" t="n">
        <f aca="false">In_PPA_Price*(1+In_PPA_Esc)^(BS$7-YEAR(In_COD))</f>
        <v>101.414252711877</v>
      </c>
      <c r="BT66" s="31" t="n">
        <f aca="false">In_PPA_Price*(1+In_PPA_Esc)^(BT$7-YEAR(In_COD))</f>
        <v>101.414252711877</v>
      </c>
      <c r="BU66" s="31" t="n">
        <f aca="false">In_PPA_Price*(1+In_PPA_Esc)^(BU$7-YEAR(In_COD))</f>
        <v>101.414252711877</v>
      </c>
      <c r="BV66" s="31" t="n">
        <f aca="false">In_PPA_Price*(1+In_PPA_Esc)^(BV$7-YEAR(In_COD))</f>
        <v>101.414252711877</v>
      </c>
      <c r="BW66" s="31" t="n">
        <f aca="false">In_PPA_Price*(1+In_PPA_Esc)^(BW$7-YEAR(In_COD))</f>
        <v>102.428395238996</v>
      </c>
      <c r="BX66" s="31" t="n">
        <f aca="false">In_PPA_Price*(1+In_PPA_Esc)^(BX$7-YEAR(In_COD))</f>
        <v>102.428395238996</v>
      </c>
      <c r="BY66" s="31" t="n">
        <f aca="false">In_PPA_Price*(1+In_PPA_Esc)^(BY$7-YEAR(In_COD))</f>
        <v>102.428395238996</v>
      </c>
      <c r="BZ66" s="31" t="n">
        <f aca="false">In_PPA_Price*(1+In_PPA_Esc)^(BZ$7-YEAR(In_COD))</f>
        <v>102.428395238996</v>
      </c>
      <c r="CA66" s="31" t="n">
        <f aca="false">In_PPA_Price*(1+In_PPA_Esc)^(CA$7-YEAR(In_COD))</f>
        <v>103.452679191386</v>
      </c>
      <c r="CB66" s="31" t="n">
        <f aca="false">In_PPA_Price*(1+In_PPA_Esc)^(CB$7-YEAR(In_COD))</f>
        <v>103.452679191386</v>
      </c>
      <c r="CC66" s="31" t="n">
        <f aca="false">In_PPA_Price*(1+In_PPA_Esc)^(CC$7-YEAR(In_COD))</f>
        <v>103.452679191386</v>
      </c>
      <c r="CD66" s="31" t="n">
        <f aca="false">In_PPA_Price*(1+In_PPA_Esc)^(CD$7-YEAR(In_COD))</f>
        <v>103.452679191386</v>
      </c>
      <c r="CE66" s="31" t="n">
        <f aca="false">In_PPA_Price*(1+In_PPA_Esc)^(CE$7-YEAR(In_COD))</f>
        <v>104.4872059833</v>
      </c>
      <c r="CF66" s="31" t="n">
        <f aca="false">In_PPA_Price*(1+In_PPA_Esc)^(CF$7-YEAR(In_COD))</f>
        <v>104.4872059833</v>
      </c>
      <c r="CG66" s="31" t="n">
        <f aca="false">In_PPA_Price*(1+In_PPA_Esc)^(CG$7-YEAR(In_COD))</f>
        <v>104.4872059833</v>
      </c>
      <c r="CH66" s="31" t="n">
        <f aca="false">In_PPA_Price*(1+In_PPA_Esc)^(CH$7-YEAR(In_COD))</f>
        <v>104.4872059833</v>
      </c>
      <c r="CI66" s="31" t="n">
        <f aca="false">In_PPA_Price*(1+In_PPA_Esc)^(CI$7-YEAR(In_COD))</f>
        <v>105.532078043133</v>
      </c>
      <c r="CJ66" s="31" t="n">
        <f aca="false">In_PPA_Price*(1+In_PPA_Esc)^(CJ$7-YEAR(In_COD))</f>
        <v>105.532078043133</v>
      </c>
      <c r="CK66" s="31" t="n">
        <f aca="false">In_PPA_Price*(1+In_PPA_Esc)^(CK$7-YEAR(In_COD))</f>
        <v>105.532078043133</v>
      </c>
      <c r="CL66" s="31" t="n">
        <f aca="false">In_PPA_Price*(1+In_PPA_Esc)^(CL$7-YEAR(In_COD))</f>
        <v>105.532078043133</v>
      </c>
      <c r="CM66" s="31" t="n">
        <f aca="false">In_PPA_Price*(1+In_PPA_Esc)^(CM$7-YEAR(In_COD))</f>
        <v>106.587398823564</v>
      </c>
      <c r="CN66" s="31" t="n">
        <f aca="false">In_PPA_Price*(1+In_PPA_Esc)^(CN$7-YEAR(In_COD))</f>
        <v>106.587398823564</v>
      </c>
      <c r="CO66" s="31" t="n">
        <f aca="false">In_PPA_Price*(1+In_PPA_Esc)^(CO$7-YEAR(In_COD))</f>
        <v>106.587398823564</v>
      </c>
      <c r="CP66" s="31" t="n">
        <f aca="false">In_PPA_Price*(1+In_PPA_Esc)^(CP$7-YEAR(In_COD))</f>
        <v>106.587398823564</v>
      </c>
      <c r="CQ66" s="31" t="n">
        <f aca="false">In_PPA_Price*(1+In_PPA_Esc)^(CQ$7-YEAR(In_COD))</f>
        <v>107.6532728118</v>
      </c>
      <c r="CR66" s="31" t="n">
        <f aca="false">In_PPA_Price*(1+In_PPA_Esc)^(CR$7-YEAR(In_COD))</f>
        <v>107.6532728118</v>
      </c>
      <c r="CS66" s="31" t="n">
        <f aca="false">In_PPA_Price*(1+In_PPA_Esc)^(CS$7-YEAR(In_COD))</f>
        <v>107.6532728118</v>
      </c>
      <c r="CT66" s="31" t="n">
        <f aca="false">In_PPA_Price*(1+In_PPA_Esc)^(CT$7-YEAR(In_COD))</f>
        <v>107.6532728118</v>
      </c>
      <c r="CU66" s="31" t="n">
        <f aca="false">In_PPA_Price*(1+In_PPA_Esc)^(CU$7-YEAR(In_COD))</f>
        <v>108.729805539918</v>
      </c>
      <c r="CV66" s="31" t="n">
        <f aca="false">In_PPA_Price*(1+In_PPA_Esc)^(CV$7-YEAR(In_COD))</f>
        <v>108.729805539918</v>
      </c>
      <c r="CW66" s="31" t="n">
        <f aca="false">In_PPA_Price*(1+In_PPA_Esc)^(CW$7-YEAR(In_COD))</f>
        <v>108.729805539918</v>
      </c>
      <c r="CX66" s="31" t="n">
        <f aca="false">In_PPA_Price*(1+In_PPA_Esc)^(CX$7-YEAR(In_COD))</f>
        <v>108.729805539918</v>
      </c>
      <c r="CY66" s="31" t="n">
        <f aca="false">In_PPA_Price*(1+In_PPA_Esc)^(CY$7-YEAR(In_COD))</f>
        <v>109.817103595317</v>
      </c>
      <c r="CZ66" s="31" t="n">
        <f aca="false">In_PPA_Price*(1+In_PPA_Esc)^(CZ$7-YEAR(In_COD))</f>
        <v>109.817103595317</v>
      </c>
      <c r="DA66" s="31" t="n">
        <f aca="false">In_PPA_Price*(1+In_PPA_Esc)^(DA$7-YEAR(In_COD))</f>
        <v>109.817103595317</v>
      </c>
      <c r="DB66" s="31" t="n">
        <f aca="false">In_PPA_Price*(1+In_PPA_Esc)^(DB$7-YEAR(In_COD))</f>
        <v>109.817103595317</v>
      </c>
      <c r="DC66" s="31" t="n">
        <f aca="false">In_PPA_Price*(1+In_PPA_Esc)^(DC$7-YEAR(In_COD))</f>
        <v>110.91527463127</v>
      </c>
      <c r="DD66" s="31" t="n">
        <f aca="false">In_PPA_Price*(1+In_PPA_Esc)^(DD$7-YEAR(In_COD))</f>
        <v>110.91527463127</v>
      </c>
      <c r="DE66" s="31" t="n">
        <f aca="false">In_PPA_Price*(1+In_PPA_Esc)^(DE$7-YEAR(In_COD))</f>
        <v>110.91527463127</v>
      </c>
      <c r="DF66" s="31" t="n">
        <f aca="false">In_PPA_Price*(1+In_PPA_Esc)^(DF$7-YEAR(In_COD))</f>
        <v>110.91527463127</v>
      </c>
      <c r="DG66" s="31" t="n">
        <f aca="false">In_PPA_Price*(1+In_PPA_Esc)^(DG$7-YEAR(In_COD))</f>
        <v>112.024427377583</v>
      </c>
      <c r="DH66" s="31" t="n">
        <f aca="false">In_PPA_Price*(1+In_PPA_Esc)^(DH$7-YEAR(In_COD))</f>
        <v>112.024427377583</v>
      </c>
      <c r="DI66" s="31" t="n">
        <f aca="false">In_PPA_Price*(1+In_PPA_Esc)^(DI$7-YEAR(In_COD))</f>
        <v>112.024427377583</v>
      </c>
      <c r="DJ66" s="31" t="n">
        <f aca="false">In_PPA_Price*(1+In_PPA_Esc)^(DJ$7-YEAR(In_COD))</f>
        <v>112.024427377583</v>
      </c>
      <c r="DK66" s="31" t="n">
        <f aca="false">In_PPA_Price*(1+In_PPA_Esc)^(DK$7-YEAR(In_COD))</f>
        <v>113.144671651359</v>
      </c>
      <c r="DL66" s="31" t="n">
        <f aca="false">In_PPA_Price*(1+In_PPA_Esc)^(DL$7-YEAR(In_COD))</f>
        <v>113.144671651359</v>
      </c>
      <c r="DM66" s="31" t="n">
        <f aca="false">In_PPA_Price*(1+In_PPA_Esc)^(DM$7-YEAR(In_COD))</f>
        <v>113.144671651359</v>
      </c>
      <c r="DN66" s="31" t="n">
        <f aca="false">In_PPA_Price*(1+In_PPA_Esc)^(DN$7-YEAR(In_COD))</f>
        <v>113.144671651359</v>
      </c>
      <c r="DO66" s="31" t="n">
        <f aca="false">In_PPA_Price*(1+In_PPA_Esc)^(DO$7-YEAR(In_COD))</f>
        <v>114.276118367872</v>
      </c>
      <c r="DP66" s="31" t="n">
        <f aca="false">In_PPA_Price*(1+In_PPA_Esc)^(DP$7-YEAR(In_COD))</f>
        <v>114.276118367872</v>
      </c>
      <c r="DQ66" s="31" t="n">
        <f aca="false">In_PPA_Price*(1+In_PPA_Esc)^(DQ$7-YEAR(In_COD))</f>
        <v>114.276118367872</v>
      </c>
      <c r="DR66" s="31" t="n">
        <f aca="false">In_PPA_Price*(1+In_PPA_Esc)^(DR$7-YEAR(In_COD))</f>
        <v>114.276118367872</v>
      </c>
      <c r="DS66" s="31" t="n">
        <f aca="false">In_PPA_Price*(1+In_PPA_Esc)^(DS$7-YEAR(In_COD))</f>
        <v>115.418879551551</v>
      </c>
      <c r="DT66" s="31" t="n">
        <f aca="false">In_PPA_Price*(1+In_PPA_Esc)^(DT$7-YEAR(In_COD))</f>
        <v>115.418879551551</v>
      </c>
      <c r="DU66" s="31" t="n">
        <f aca="false">In_PPA_Price*(1+In_PPA_Esc)^(DU$7-YEAR(In_COD))</f>
        <v>115.418879551551</v>
      </c>
      <c r="DV66" s="31" t="n">
        <f aca="false">In_PPA_Price*(1+In_PPA_Esc)^(DV$7-YEAR(In_COD))</f>
        <v>115.418879551551</v>
      </c>
      <c r="DW66" s="31" t="n">
        <f aca="false">In_PPA_Price*(1+In_PPA_Esc)^(DW$7-YEAR(In_COD))</f>
        <v>116.573068347067</v>
      </c>
      <c r="DX66" s="31" t="n">
        <f aca="false">In_PPA_Price*(1+In_PPA_Esc)^(DX$7-YEAR(In_COD))</f>
        <v>116.573068347067</v>
      </c>
      <c r="DY66" s="31" t="n">
        <f aca="false">In_PPA_Price*(1+In_PPA_Esc)^(DY$7-YEAR(In_COD))</f>
        <v>116.573068347067</v>
      </c>
      <c r="DZ66" s="31" t="n">
        <f aca="false">In_PPA_Price*(1+In_PPA_Esc)^(DZ$7-YEAR(In_COD))</f>
        <v>116.573068347067</v>
      </c>
      <c r="EA66" s="31" t="n">
        <f aca="false">In_PPA_Price*(1+In_PPA_Esc)^(EA$7-YEAR(In_COD))</f>
        <v>117.738799030537</v>
      </c>
      <c r="EB66" s="31" t="n">
        <f aca="false">In_PPA_Price*(1+In_PPA_Esc)^(EB$7-YEAR(In_COD))</f>
        <v>117.738799030537</v>
      </c>
      <c r="EC66" s="31" t="n">
        <f aca="false">In_PPA_Price*(1+In_PPA_Esc)^(EC$7-YEAR(In_COD))</f>
        <v>117.738799030537</v>
      </c>
      <c r="ED66" s="31" t="n">
        <f aca="false">In_PPA_Price*(1+In_PPA_Esc)^(ED$7-YEAR(In_COD))</f>
        <v>117.738799030537</v>
      </c>
      <c r="EE66" s="31" t="n">
        <f aca="false">In_PPA_Price*(1+In_PPA_Esc)^(EE$7-YEAR(In_COD))</f>
        <v>118.916187020843</v>
      </c>
      <c r="EF66" s="31" t="n">
        <f aca="false">In_PPA_Price*(1+In_PPA_Esc)^(EF$7-YEAR(In_COD))</f>
        <v>118.916187020843</v>
      </c>
      <c r="EG66" s="31" t="n">
        <f aca="false">In_PPA_Price*(1+In_PPA_Esc)^(EG$7-YEAR(In_COD))</f>
        <v>118.916187020843</v>
      </c>
      <c r="EH66" s="31" t="n">
        <f aca="false">In_PPA_Price*(1+In_PPA_Esc)^(EH$7-YEAR(In_COD))</f>
        <v>118.916187020843</v>
      </c>
      <c r="EI66" s="31" t="n">
        <f aca="false">In_PPA_Price*(1+In_PPA_Esc)^(EI$7-YEAR(In_COD))</f>
        <v>120.105348891051</v>
      </c>
      <c r="EJ66" s="31" t="n">
        <f aca="false">In_PPA_Price*(1+In_PPA_Esc)^(EJ$7-YEAR(In_COD))</f>
        <v>120.105348891051</v>
      </c>
      <c r="EK66" s="31" t="n">
        <f aca="false">In_PPA_Price*(1+In_PPA_Esc)^(EK$7-YEAR(In_COD))</f>
        <v>120.105348891051</v>
      </c>
      <c r="EL66" s="31" t="n">
        <f aca="false">In_PPA_Price*(1+In_PPA_Esc)^(EL$7-YEAR(In_COD))</f>
        <v>120.105348891051</v>
      </c>
      <c r="EM66" s="31" t="n">
        <f aca="false">In_PPA_Price*(1+In_PPA_Esc)^(EM$7-YEAR(In_COD))</f>
        <v>121.306402379962</v>
      </c>
      <c r="EN66" s="31" t="n">
        <f aca="false">In_PPA_Price*(1+In_PPA_Esc)^(EN$7-YEAR(In_COD))</f>
        <v>121.306402379962</v>
      </c>
      <c r="EO66" s="31" t="n">
        <f aca="false">In_PPA_Price*(1+In_PPA_Esc)^(EO$7-YEAR(In_COD))</f>
        <v>121.306402379962</v>
      </c>
    </row>
    <row r="67" customFormat="false" ht="15" hidden="false" customHeight="false" outlineLevel="0" collapsed="false">
      <c r="C67" s="0" t="s">
        <v>396</v>
      </c>
      <c r="D67" s="11" t="s">
        <v>397</v>
      </c>
      <c r="E67" s="46" t="n">
        <f aca="false">SUMIF($J$7:$EO$7,YEAR(In_COD)+1,$J67:$EO67)</f>
        <v>131891.49288</v>
      </c>
      <c r="I67" s="46" t="n">
        <f aca="false">SUM(J67:EO67)</f>
        <v>3794983.6793788</v>
      </c>
      <c r="J67" s="46" t="n">
        <f aca="false">$F24*In_P50_Hours*(1-In_Curtailment)*(1-$E25)*(1-In_Degradation)^(J20-1)*J15*J$6</f>
        <v>0</v>
      </c>
      <c r="K67" s="46" t="n">
        <f aca="false">$F24*In_P50_Hours*(1-In_Curtailment)*(1-$E25)*(1-In_Degradation)^(K20-1)*K15*K$6</f>
        <v>0</v>
      </c>
      <c r="L67" s="46" t="n">
        <f aca="false">$F24*In_P50_Hours*(1-In_Curtailment)*(1-$E25)*(1-In_Degradation)^(L20-1)*L15*L$6</f>
        <v>0</v>
      </c>
      <c r="M67" s="46" t="n">
        <f aca="false">$F24*In_P50_Hours*(1-In_Curtailment)*(1-$E25)*(1-In_Degradation)^(M20-1)*M15*M$6</f>
        <v>0</v>
      </c>
      <c r="N67" s="46" t="n">
        <f aca="false">$F24*In_P50_Hours*(1-In_Curtailment)*(1-$E25)*(1-In_Degradation)^(N20-1)*N15*N$6</f>
        <v>0</v>
      </c>
      <c r="O67" s="46" t="n">
        <f aca="false">$F24*In_P50_Hours*(1-In_Curtailment)*(1-$E25)*(1-In_Degradation)^(O20-1)*O15*O$6</f>
        <v>0</v>
      </c>
      <c r="P67" s="46" t="n">
        <f aca="false">$F24*In_P50_Hours*(1-In_Curtailment)*(1-$E25)*(1-In_Degradation)^(P20-1)*P15*P$6</f>
        <v>0</v>
      </c>
      <c r="Q67" s="46" t="n">
        <f aca="false">$F24*In_P50_Hours*(1-In_Curtailment)*(1-$E25)*(1-In_Degradation)^(Q20-1)*Q15*Q$6</f>
        <v>0</v>
      </c>
      <c r="R67" s="46" t="n">
        <f aca="false">$F24*In_P50_Hours*(1-In_Curtailment)*(1-$E25)*(1-In_Degradation)^(R20-1)*R15*R$6</f>
        <v>0</v>
      </c>
      <c r="S67" s="46" t="n">
        <f aca="false">$F24*In_P50_Hours*(1-In_Curtailment)*(1-$E25)*(1-In_Degradation)^(S20-1)*S15*S$6</f>
        <v>0</v>
      </c>
      <c r="T67" s="46" t="n">
        <f aca="false">$F24*In_P50_Hours*(1-In_Curtailment)*(1-$E25)*(1-In_Degradation)^(T20-1)*T15*T$6</f>
        <v>0</v>
      </c>
      <c r="U67" s="46" t="n">
        <f aca="false">$F24*In_P50_Hours*(1-In_Curtailment)*(1-$E25)*(1-In_Degradation)^(U20-1)*U15*U$6</f>
        <v>0</v>
      </c>
      <c r="V67" s="46" t="n">
        <f aca="false">$F24*In_P50_Hours*(1-In_Curtailment)*(1-$E25)*(1-In_Degradation)^(V20-1)*V15*V$6</f>
        <v>0</v>
      </c>
      <c r="W67" s="46" t="n">
        <f aca="false">$F24*In_P50_Hours*(1-In_Curtailment)*(1-$E25)*(1-In_Degradation)^(W20-1)*W15*W$6</f>
        <v>0</v>
      </c>
      <c r="X67" s="46" t="n">
        <f aca="false">$F24*In_P50_Hours*(1-In_Curtailment)*(1-$E25)*(1-In_Degradation)^(X20-1)*X15*X$6</f>
        <v>0</v>
      </c>
      <c r="Y67" s="46" t="n">
        <f aca="false">$F24*In_P50_Hours*(1-In_Curtailment)*(1-$E25)*(1-In_Degradation)^(Y20-1)*Y15*Y$6</f>
        <v>0</v>
      </c>
      <c r="Z67" s="46" t="n">
        <f aca="false">$F24*In_P50_Hours*(1-In_Curtailment)*(1-$E25)*(1-In_Degradation)^(Z20-1)*Z15*Z$6</f>
        <v>33269.04</v>
      </c>
      <c r="AA67" s="46" t="n">
        <f aca="false">$F24*In_P50_Hours*(1-In_Curtailment)*(1-$E25)*(1-In_Degradation)^(AA20-1)*AA15*AA$6</f>
        <v>32545.8</v>
      </c>
      <c r="AB67" s="46" t="n">
        <f aca="false">$F24*In_P50_Hours*(1-In_Curtailment)*(1-$E25)*(1-In_Degradation)^(AB20-1)*AB15*AB$6</f>
        <v>32907.42</v>
      </c>
      <c r="AC67" s="46" t="n">
        <f aca="false">$F24*In_P50_Hours*(1-In_Curtailment)*(1-$E25)*(1-In_Degradation)^(AC20-1)*AC15*AC$6</f>
        <v>33269.04</v>
      </c>
      <c r="AD67" s="46" t="n">
        <f aca="false">$F24*In_P50_Hours*(1-In_Curtailment)*(1-$E25)*(1-In_Degradation)^(AD20-1)*AD15*AD$6</f>
        <v>33169.23288</v>
      </c>
      <c r="AE67" s="46" t="n">
        <f aca="false">$F24*In_P50_Hours*(1-In_Curtailment)*(1-$E25)*(1-In_Degradation)^(AE20-1)*AE15*AE$6</f>
        <v>32808.69774</v>
      </c>
      <c r="AF67" s="46" t="n">
        <f aca="false">$F24*In_P50_Hours*(1-In_Curtailment)*(1-$E25)*(1-In_Degradation)^(AF20-1)*AF15*AF$6</f>
        <v>32808.69774</v>
      </c>
      <c r="AG67" s="46" t="n">
        <f aca="false">$F24*In_P50_Hours*(1-In_Curtailment)*(1-$E25)*(1-In_Degradation)^(AG20-1)*AG15*AG$6</f>
        <v>33169.23288</v>
      </c>
      <c r="AH67" s="46" t="n">
        <f aca="false">$F24*In_P50_Hours*(1-In_Curtailment)*(1-$E25)*(1-In_Degradation)^(AH20-1)*AH15*AH$6</f>
        <v>33069.72518136</v>
      </c>
      <c r="AI67" s="46" t="n">
        <f aca="false">$F24*In_P50_Hours*(1-In_Curtailment)*(1-$E25)*(1-In_Degradation)^(AI20-1)*AI15*AI$6</f>
        <v>32350.8181122</v>
      </c>
      <c r="AJ67" s="46" t="n">
        <f aca="false">$F24*In_P50_Hours*(1-In_Curtailment)*(1-$E25)*(1-In_Degradation)^(AJ20-1)*AJ15*AJ$6</f>
        <v>32710.27164678</v>
      </c>
      <c r="AK67" s="46" t="n">
        <f aca="false">$F24*In_P50_Hours*(1-In_Curtailment)*(1-$E25)*(1-In_Degradation)^(AK20-1)*AK15*AK$6</f>
        <v>33069.72518136</v>
      </c>
      <c r="AL67" s="46" t="n">
        <f aca="false">$F24*In_P50_Hours*(1-In_Curtailment)*(1-$E25)*(1-In_Degradation)^(AL20-1)*AL15*AL$6</f>
        <v>32970.5160058159</v>
      </c>
      <c r="AM67" s="46" t="n">
        <f aca="false">$F24*In_P50_Hours*(1-In_Curtailment)*(1-$E25)*(1-In_Degradation)^(AM20-1)*AM15*AM$6</f>
        <v>32253.7656578634</v>
      </c>
      <c r="AN67" s="46" t="n">
        <f aca="false">$F24*In_P50_Hours*(1-In_Curtailment)*(1-$E25)*(1-In_Degradation)^(AN20-1)*AN15*AN$6</f>
        <v>32612.1408318397</v>
      </c>
      <c r="AO67" s="46" t="n">
        <f aca="false">$F24*In_P50_Hours*(1-In_Curtailment)*(1-$E25)*(1-In_Degradation)^(AO20-1)*AO15*AO$6</f>
        <v>32970.5160058159</v>
      </c>
      <c r="AP67" s="46" t="n">
        <f aca="false">$F24*In_P50_Hours*(1-In_Curtailment)*(1-$E25)*(1-In_Degradation)^(AP20-1)*AP15*AP$6</f>
        <v>32871.6044577985</v>
      </c>
      <c r="AQ67" s="46" t="n">
        <f aca="false">$F24*In_P50_Hours*(1-In_Curtailment)*(1-$E25)*(1-In_Degradation)^(AQ20-1)*AQ15*AQ$6</f>
        <v>32157.0043608898</v>
      </c>
      <c r="AR67" s="46" t="n">
        <f aca="false">$F24*In_P50_Hours*(1-In_Curtailment)*(1-$E25)*(1-In_Degradation)^(AR20-1)*AR15*AR$6</f>
        <v>32514.3044093442</v>
      </c>
      <c r="AS67" s="46" t="n">
        <f aca="false">$F24*In_P50_Hours*(1-In_Curtailment)*(1-$E25)*(1-In_Degradation)^(AS20-1)*AS15*AS$6</f>
        <v>32871.6044577985</v>
      </c>
      <c r="AT67" s="46" t="n">
        <f aca="false">$F24*In_P50_Hours*(1-In_Curtailment)*(1-$E25)*(1-In_Degradation)^(AT20-1)*AT15*AT$6</f>
        <v>32772.9896444251</v>
      </c>
      <c r="AU67" s="46" t="n">
        <f aca="false">$F24*In_P50_Hours*(1-In_Curtailment)*(1-$E25)*(1-In_Degradation)^(AU20-1)*AU15*AU$6</f>
        <v>32416.7614961161</v>
      </c>
      <c r="AV67" s="46" t="n">
        <f aca="false">$F24*In_P50_Hours*(1-In_Curtailment)*(1-$E25)*(1-In_Degradation)^(AV20-1)*AV15*AV$6</f>
        <v>32416.7614961161</v>
      </c>
      <c r="AW67" s="46" t="n">
        <f aca="false">$F24*In_P50_Hours*(1-In_Curtailment)*(1-$E25)*(1-In_Degradation)^(AW20-1)*AW15*AW$6</f>
        <v>32772.9896444251</v>
      </c>
      <c r="AX67" s="46" t="n">
        <f aca="false">$F24*In_P50_Hours*(1-In_Curtailment)*(1-$E25)*(1-In_Degradation)^(AX20-1)*AX15*AX$6</f>
        <v>32674.6706754918</v>
      </c>
      <c r="AY67" s="46" t="n">
        <f aca="false">$F24*In_P50_Hours*(1-In_Curtailment)*(1-$E25)*(1-In_Degradation)^(AY20-1)*AY15*AY$6</f>
        <v>31964.3517477637</v>
      </c>
      <c r="AZ67" s="46" t="n">
        <f aca="false">$F24*In_P50_Hours*(1-In_Curtailment)*(1-$E25)*(1-In_Degradation)^(AZ20-1)*AZ15*AZ$6</f>
        <v>32319.5112116278</v>
      </c>
      <c r="BA67" s="46" t="n">
        <f aca="false">$F24*In_P50_Hours*(1-In_Curtailment)*(1-$E25)*(1-In_Degradation)^(BA20-1)*BA15*BA$6</f>
        <v>32674.6706754918</v>
      </c>
      <c r="BB67" s="46" t="n">
        <f aca="false">$F24*In_P50_Hours*(1-In_Curtailment)*(1-$E25)*(1-In_Degradation)^(BB20-1)*BB15*BB$6</f>
        <v>32576.6466634653</v>
      </c>
      <c r="BC67" s="46" t="n">
        <f aca="false">$F24*In_P50_Hours*(1-In_Curtailment)*(1-$E25)*(1-In_Degradation)^(BC20-1)*BC15*BC$6</f>
        <v>31868.4586925204</v>
      </c>
      <c r="BD67" s="46" t="n">
        <f aca="false">$F24*In_P50_Hours*(1-In_Curtailment)*(1-$E25)*(1-In_Degradation)^(BD20-1)*BD15*BD$6</f>
        <v>32222.5526779929</v>
      </c>
      <c r="BE67" s="46" t="n">
        <f aca="false">$F24*In_P50_Hours*(1-In_Curtailment)*(1-$E25)*(1-In_Degradation)^(BE20-1)*BE15*BE$6</f>
        <v>32576.6466634653</v>
      </c>
      <c r="BF67" s="46" t="n">
        <f aca="false">$F24*In_P50_Hours*(1-In_Curtailment)*(1-$E25)*(1-In_Degradation)^(BF20-1)*BF15*BF$6</f>
        <v>32478.9167234749</v>
      </c>
      <c r="BG67" s="46" t="n">
        <f aca="false">$F24*In_P50_Hours*(1-In_Curtailment)*(1-$E25)*(1-In_Degradation)^(BG20-1)*BG15*BG$6</f>
        <v>31772.8533164429</v>
      </c>
      <c r="BH67" s="46" t="n">
        <f aca="false">$F24*In_P50_Hours*(1-In_Curtailment)*(1-$E25)*(1-In_Degradation)^(BH20-1)*BH15*BH$6</f>
        <v>32125.8850199589</v>
      </c>
      <c r="BI67" s="46" t="n">
        <f aca="false">$F24*In_P50_Hours*(1-In_Curtailment)*(1-$E25)*(1-In_Degradation)^(BI20-1)*BI15*BI$6</f>
        <v>32478.9167234749</v>
      </c>
      <c r="BJ67" s="46" t="n">
        <f aca="false">$F24*In_P50_Hours*(1-In_Curtailment)*(1-$E25)*(1-In_Degradation)^(BJ20-1)*BJ15*BJ$6</f>
        <v>32381.4799733045</v>
      </c>
      <c r="BK67" s="46" t="n">
        <f aca="false">$F24*In_P50_Hours*(1-In_Curtailment)*(1-$E25)*(1-In_Degradation)^(BK20-1)*BK15*BK$6</f>
        <v>32029.507364899</v>
      </c>
      <c r="BL67" s="46" t="n">
        <f aca="false">$F24*In_P50_Hours*(1-In_Curtailment)*(1-$E25)*(1-In_Degradation)^(BL20-1)*BL15*BL$6</f>
        <v>32029.507364899</v>
      </c>
      <c r="BM67" s="46" t="n">
        <f aca="false">$F24*In_P50_Hours*(1-In_Curtailment)*(1-$E25)*(1-In_Degradation)^(BM20-1)*BM15*BM$6</f>
        <v>32381.4799733045</v>
      </c>
      <c r="BN67" s="46" t="n">
        <f aca="false">$F24*In_P50_Hours*(1-In_Curtailment)*(1-$E25)*(1-In_Degradation)^(BN20-1)*BN15*BN$6</f>
        <v>32284.3355333846</v>
      </c>
      <c r="BO67" s="46" t="n">
        <f aca="false">$F24*In_P50_Hours*(1-In_Curtailment)*(1-$E25)*(1-In_Degradation)^(BO20-1)*BO15*BO$6</f>
        <v>31582.5021522241</v>
      </c>
      <c r="BP67" s="46" t="n">
        <f aca="false">$F24*In_P50_Hours*(1-In_Curtailment)*(1-$E25)*(1-In_Degradation)^(BP20-1)*BP15*BP$6</f>
        <v>31933.4188428043</v>
      </c>
      <c r="BQ67" s="46" t="n">
        <f aca="false">$F24*In_P50_Hours*(1-In_Curtailment)*(1-$E25)*(1-In_Degradation)^(BQ20-1)*BQ15*BQ$6</f>
        <v>32284.3355333846</v>
      </c>
      <c r="BR67" s="46" t="n">
        <f aca="false">$F24*In_P50_Hours*(1-In_Curtailment)*(1-$E25)*(1-In_Degradation)^(BR20-1)*BR15*BR$6</f>
        <v>32187.4825267845</v>
      </c>
      <c r="BS67" s="46" t="n">
        <f aca="false">$F24*In_P50_Hours*(1-In_Curtailment)*(1-$E25)*(1-In_Degradation)^(BS20-1)*BS15*BS$6</f>
        <v>31487.7546457674</v>
      </c>
      <c r="BT67" s="46" t="n">
        <f aca="false">$F24*In_P50_Hours*(1-In_Curtailment)*(1-$E25)*(1-In_Degradation)^(BT20-1)*BT15*BT$6</f>
        <v>31837.6185862759</v>
      </c>
      <c r="BU67" s="46" t="n">
        <f aca="false">$F24*In_P50_Hours*(1-In_Curtailment)*(1-$E25)*(1-In_Degradation)^(BU20-1)*BU15*BU$6</f>
        <v>32187.4825267845</v>
      </c>
      <c r="BV67" s="46" t="n">
        <f aca="false">$F24*In_P50_Hours*(1-In_Curtailment)*(1-$E25)*(1-In_Degradation)^(BV20-1)*BV15*BV$6</f>
        <v>32090.9200792041</v>
      </c>
      <c r="BW67" s="46" t="n">
        <f aca="false">$F24*In_P50_Hours*(1-In_Curtailment)*(1-$E25)*(1-In_Degradation)^(BW20-1)*BW15*BW$6</f>
        <v>31393.2913818301</v>
      </c>
      <c r="BX67" s="46" t="n">
        <f aca="false">$F24*In_P50_Hours*(1-In_Curtailment)*(1-$E25)*(1-In_Degradation)^(BX20-1)*BX15*BX$6</f>
        <v>31742.1057305171</v>
      </c>
      <c r="BY67" s="46" t="n">
        <f aca="false">$F24*In_P50_Hours*(1-In_Curtailment)*(1-$E25)*(1-In_Degradation)^(BY20-1)*BY15*BY$6</f>
        <v>32090.9200792041</v>
      </c>
      <c r="BZ67" s="46" t="n">
        <f aca="false">$F24*In_P50_Hours*(1-In_Curtailment)*(1-$E25)*(1-In_Degradation)^(BZ20-1)*BZ15*BZ$6</f>
        <v>31994.6473189665</v>
      </c>
      <c r="CA67" s="46" t="n">
        <f aca="false">$F24*In_P50_Hours*(1-In_Curtailment)*(1-$E25)*(1-In_Degradation)^(CA20-1)*CA15*CA$6</f>
        <v>31646.8794133255</v>
      </c>
      <c r="CB67" s="46" t="n">
        <f aca="false">$F24*In_P50_Hours*(1-In_Curtailment)*(1-$E25)*(1-In_Degradation)^(CB20-1)*CB15*CB$6</f>
        <v>31646.8794133255</v>
      </c>
      <c r="CC67" s="46" t="n">
        <f aca="false">$F24*In_P50_Hours*(1-In_Curtailment)*(1-$E25)*(1-In_Degradation)^(CC20-1)*CC15*CC$6</f>
        <v>31994.6473189665</v>
      </c>
      <c r="CD67" s="46" t="n">
        <f aca="false">$F24*In_P50_Hours*(1-In_Curtailment)*(1-$E25)*(1-In_Degradation)^(CD20-1)*CD15*CD$6</f>
        <v>31898.6633770096</v>
      </c>
      <c r="CE67" s="46" t="n">
        <f aca="false">$F24*In_P50_Hours*(1-In_Curtailment)*(1-$E25)*(1-In_Degradation)^(CE20-1)*CE15*CE$6</f>
        <v>31205.2141731616</v>
      </c>
      <c r="CF67" s="46" t="n">
        <f aca="false">$F24*In_P50_Hours*(1-In_Curtailment)*(1-$E25)*(1-In_Degradation)^(CF20-1)*CF15*CF$6</f>
        <v>31551.9387750856</v>
      </c>
      <c r="CG67" s="46" t="n">
        <f aca="false">$F24*In_P50_Hours*(1-In_Curtailment)*(1-$E25)*(1-In_Degradation)^(CG20-1)*CG15*CG$6</f>
        <v>31898.6633770096</v>
      </c>
      <c r="CH67" s="46" t="n">
        <f aca="false">$F24*In_P50_Hours*(1-In_Curtailment)*(1-$E25)*(1-In_Degradation)^(CH20-1)*CH15*CH$6</f>
        <v>31802.9673868786</v>
      </c>
      <c r="CI67" s="46" t="n">
        <f aca="false">$F24*In_P50_Hours*(1-In_Curtailment)*(1-$E25)*(1-In_Degradation)^(CI20-1)*CI15*CI$6</f>
        <v>31111.5985306421</v>
      </c>
      <c r="CJ67" s="46" t="n">
        <f aca="false">$F24*In_P50_Hours*(1-In_Curtailment)*(1-$E25)*(1-In_Degradation)^(CJ20-1)*CJ15*CJ$6</f>
        <v>31457.2829587603</v>
      </c>
      <c r="CK67" s="46" t="n">
        <f aca="false">$F24*In_P50_Hours*(1-In_Curtailment)*(1-$E25)*(1-In_Degradation)^(CK20-1)*CK15*CK$6</f>
        <v>31802.9673868786</v>
      </c>
      <c r="CL67" s="46" t="n">
        <f aca="false">$F24*In_P50_Hours*(1-In_Curtailment)*(1-$E25)*(1-In_Degradation)^(CL20-1)*CL15*CL$6</f>
        <v>31707.5584847179</v>
      </c>
      <c r="CM67" s="46" t="n">
        <f aca="false">$F24*In_P50_Hours*(1-In_Curtailment)*(1-$E25)*(1-In_Degradation)^(CM20-1)*CM15*CM$6</f>
        <v>31018.2637350501</v>
      </c>
      <c r="CN67" s="46" t="n">
        <f aca="false">$F24*In_P50_Hours*(1-In_Curtailment)*(1-$E25)*(1-In_Degradation)^(CN20-1)*CN15*CN$6</f>
        <v>31362.911109884</v>
      </c>
      <c r="CO67" s="46" t="n">
        <f aca="false">$F24*In_P50_Hours*(1-In_Curtailment)*(1-$E25)*(1-In_Degradation)^(CO20-1)*CO15*CO$6</f>
        <v>31707.5584847179</v>
      </c>
      <c r="CP67" s="46" t="n">
        <f aca="false">$F24*In_P50_Hours*(1-In_Curtailment)*(1-$E25)*(1-In_Degradation)^(CP20-1)*CP15*CP$6</f>
        <v>31612.4358092638</v>
      </c>
      <c r="CQ67" s="46" t="n">
        <f aca="false">$F24*In_P50_Hours*(1-In_Curtailment)*(1-$E25)*(1-In_Degradation)^(CQ20-1)*CQ15*CQ$6</f>
        <v>31268.8223765544</v>
      </c>
      <c r="CR67" s="46" t="n">
        <f aca="false">$F24*In_P50_Hours*(1-In_Curtailment)*(1-$E25)*(1-In_Degradation)^(CR20-1)*CR15*CR$6</f>
        <v>31268.8223765544</v>
      </c>
      <c r="CS67" s="46" t="n">
        <f aca="false">$F24*In_P50_Hours*(1-In_Curtailment)*(1-$E25)*(1-In_Degradation)^(CS20-1)*CS15*CS$6</f>
        <v>31612.4358092638</v>
      </c>
      <c r="CT67" s="46" t="n">
        <f aca="false">$F24*In_P50_Hours*(1-In_Curtailment)*(1-$E25)*(1-In_Degradation)^(CT20-1)*CT15*CT$6</f>
        <v>31517.598501836</v>
      </c>
      <c r="CU67" s="46" t="n">
        <f aca="false">$F24*In_P50_Hours*(1-In_Curtailment)*(1-$E25)*(1-In_Degradation)^(CU20-1)*CU15*CU$6</f>
        <v>30832.4333170135</v>
      </c>
      <c r="CV67" s="46" t="n">
        <f aca="false">$F24*In_P50_Hours*(1-In_Curtailment)*(1-$E25)*(1-In_Degradation)^(CV20-1)*CV15*CV$6</f>
        <v>31175.0159094247</v>
      </c>
      <c r="CW67" s="46" t="n">
        <f aca="false">$F24*In_P50_Hours*(1-In_Curtailment)*(1-$E25)*(1-In_Degradation)^(CW20-1)*CW15*CW$6</f>
        <v>31517.598501836</v>
      </c>
      <c r="CX67" s="46" t="n">
        <f aca="false">$F24*In_P50_Hours*(1-In_Curtailment)*(1-$E25)*(1-In_Degradation)^(CX20-1)*CX15*CX$6</f>
        <v>31423.0457063305</v>
      </c>
      <c r="CY67" s="46" t="n">
        <f aca="false">$F24*In_P50_Hours*(1-In_Curtailment)*(1-$E25)*(1-In_Degradation)^(CY20-1)*CY15*CY$6</f>
        <v>30739.9360170624</v>
      </c>
      <c r="CZ67" s="46" t="n">
        <f aca="false">$F24*In_P50_Hours*(1-In_Curtailment)*(1-$E25)*(1-In_Degradation)^(CZ20-1)*CZ15*CZ$6</f>
        <v>31081.4908616964</v>
      </c>
      <c r="DA67" s="46" t="n">
        <f aca="false">$F24*In_P50_Hours*(1-In_Curtailment)*(1-$E25)*(1-In_Degradation)^(DA20-1)*DA15*DA$6</f>
        <v>31423.0457063305</v>
      </c>
      <c r="DB67" s="46" t="n">
        <f aca="false">$F24*In_P50_Hours*(1-In_Curtailment)*(1-$E25)*(1-In_Degradation)^(DB20-1)*DB15*DB$6</f>
        <v>31328.7765692115</v>
      </c>
      <c r="DC67" s="46" t="n">
        <f aca="false">$F24*In_P50_Hours*(1-In_Curtailment)*(1-$E25)*(1-In_Degradation)^(DC20-1)*DC15*DC$6</f>
        <v>30647.7162090112</v>
      </c>
      <c r="DD67" s="46" t="n">
        <f aca="false">$F24*In_P50_Hours*(1-In_Curtailment)*(1-$E25)*(1-In_Degradation)^(DD20-1)*DD15*DD$6</f>
        <v>30988.2463891114</v>
      </c>
      <c r="DE67" s="46" t="n">
        <f aca="false">$F24*In_P50_Hours*(1-In_Curtailment)*(1-$E25)*(1-In_Degradation)^(DE20-1)*DE15*DE$6</f>
        <v>31328.7765692115</v>
      </c>
      <c r="DF67" s="46" t="n">
        <f aca="false">$F24*In_P50_Hours*(1-In_Curtailment)*(1-$E25)*(1-In_Degradation)^(DF20-1)*DF15*DF$6</f>
        <v>31234.7902395038</v>
      </c>
      <c r="DG67" s="46" t="n">
        <f aca="false">$F24*In_P50_Hours*(1-In_Curtailment)*(1-$E25)*(1-In_Degradation)^(DG20-1)*DG15*DG$6</f>
        <v>30895.281649944</v>
      </c>
      <c r="DH67" s="46" t="n">
        <f aca="false">$F24*In_P50_Hours*(1-In_Curtailment)*(1-$E25)*(1-In_Degradation)^(DH20-1)*DH15*DH$6</f>
        <v>30895.281649944</v>
      </c>
      <c r="DI67" s="46" t="n">
        <f aca="false">$F24*In_P50_Hours*(1-In_Curtailment)*(1-$E25)*(1-In_Degradation)^(DI20-1)*DI15*DI$6</f>
        <v>31234.7902395038</v>
      </c>
      <c r="DJ67" s="46" t="n">
        <f aca="false">$F24*In_P50_Hours*(1-In_Curtailment)*(1-$E25)*(1-In_Degradation)^(DJ20-1)*DJ15*DJ$6</f>
        <v>31141.0858687853</v>
      </c>
      <c r="DK67" s="46" t="n">
        <f aca="false">$F24*In_P50_Hours*(1-In_Curtailment)*(1-$E25)*(1-In_Degradation)^(DK20-1)*DK15*DK$6</f>
        <v>30464.105741203</v>
      </c>
      <c r="DL67" s="46" t="n">
        <f aca="false">$F24*In_P50_Hours*(1-In_Curtailment)*(1-$E25)*(1-In_Degradation)^(DL20-1)*DL15*DL$6</f>
        <v>30802.5958049942</v>
      </c>
      <c r="DM67" s="46" t="n">
        <f aca="false">$F24*In_P50_Hours*(1-In_Curtailment)*(1-$E25)*(1-In_Degradation)^(DM20-1)*DM15*DM$6</f>
        <v>31141.0858687853</v>
      </c>
      <c r="DN67" s="46" t="n">
        <f aca="false">$F24*In_P50_Hours*(1-In_Curtailment)*(1-$E25)*(1-In_Degradation)^(DN20-1)*DN15*DN$6</f>
        <v>31047.662611179</v>
      </c>
      <c r="DO67" s="46" t="n">
        <f aca="false">$F24*In_P50_Hours*(1-In_Curtailment)*(1-$E25)*(1-In_Degradation)^(DO20-1)*DO15*DO$6</f>
        <v>30372.7134239794</v>
      </c>
      <c r="DP67" s="46" t="n">
        <f aca="false">$F24*In_P50_Hours*(1-In_Curtailment)*(1-$E25)*(1-In_Degradation)^(DP20-1)*DP15*DP$6</f>
        <v>30710.1880175792</v>
      </c>
      <c r="DQ67" s="46" t="n">
        <f aca="false">$F24*In_P50_Hours*(1-In_Curtailment)*(1-$E25)*(1-In_Degradation)^(DQ20-1)*DQ15*DQ$6</f>
        <v>31047.662611179</v>
      </c>
      <c r="DR67" s="46" t="n">
        <f aca="false">$F24*In_P50_Hours*(1-In_Curtailment)*(1-$E25)*(1-In_Degradation)^(DR20-1)*DR15*DR$6</f>
        <v>30954.5196233454</v>
      </c>
      <c r="DS67" s="46" t="n">
        <f aca="false">$F24*In_P50_Hours*(1-In_Curtailment)*(1-$E25)*(1-In_Degradation)^(DS20-1)*DS15*DS$6</f>
        <v>30281.5952837075</v>
      </c>
      <c r="DT67" s="46" t="n">
        <f aca="false">$F24*In_P50_Hours*(1-In_Curtailment)*(1-$E25)*(1-In_Degradation)^(DT20-1)*DT15*DT$6</f>
        <v>30618.0574535265</v>
      </c>
      <c r="DU67" s="46" t="n">
        <f aca="false">$F24*In_P50_Hours*(1-In_Curtailment)*(1-$E25)*(1-In_Degradation)^(DU20-1)*DU15*DU$6</f>
        <v>30954.5196233454</v>
      </c>
      <c r="DV67" s="46" t="n">
        <f aca="false">$F24*In_P50_Hours*(1-In_Curtailment)*(1-$E25)*(1-In_Degradation)^(DV20-1)*DV15*DV$6</f>
        <v>30861.6560644754</v>
      </c>
      <c r="DW67" s="46" t="n">
        <f aca="false">$F24*In_P50_Hours*(1-In_Curtailment)*(1-$E25)*(1-In_Degradation)^(DW20-1)*DW15*DW$6</f>
        <v>30526.2032811659</v>
      </c>
      <c r="DX67" s="46" t="n">
        <f aca="false">$F24*In_P50_Hours*(1-In_Curtailment)*(1-$E25)*(1-In_Degradation)^(DX20-1)*DX15*DX$6</f>
        <v>30526.2032811659</v>
      </c>
      <c r="DY67" s="46" t="n">
        <f aca="false">$F24*In_P50_Hours*(1-In_Curtailment)*(1-$E25)*(1-In_Degradation)^(DY20-1)*DY15*DY$6</f>
        <v>30861.6560644754</v>
      </c>
      <c r="DZ67" s="46" t="n">
        <f aca="false">$F24*In_P50_Hours*(1-In_Curtailment)*(1-$E25)*(1-In_Degradation)^(DZ20-1)*DZ15*DZ$6</f>
        <v>30769.071096282</v>
      </c>
      <c r="EA67" s="46" t="n">
        <f aca="false">$F24*In_P50_Hours*(1-In_Curtailment)*(1-$E25)*(1-In_Degradation)^(EA20-1)*EA15*EA$6</f>
        <v>30100.1782463628</v>
      </c>
      <c r="EB67" s="46" t="n">
        <f aca="false">$F24*In_P50_Hours*(1-In_Curtailment)*(1-$E25)*(1-In_Degradation)^(EB20-1)*EB15*EB$6</f>
        <v>30434.6246713224</v>
      </c>
      <c r="EC67" s="46" t="n">
        <f aca="false">$F24*In_P50_Hours*(1-In_Curtailment)*(1-$E25)*(1-In_Degradation)^(EC20-1)*EC15*EC$6</f>
        <v>30769.071096282</v>
      </c>
      <c r="ED67" s="46" t="n">
        <f aca="false">$F24*In_P50_Hours*(1-In_Curtailment)*(1-$E25)*(1-In_Degradation)^(ED20-1)*ED15*ED$6</f>
        <v>30676.7638829931</v>
      </c>
      <c r="EE67" s="46" t="n">
        <f aca="false">$F24*In_P50_Hours*(1-In_Curtailment)*(1-$E25)*(1-In_Degradation)^(EE20-1)*EE15*EE$6</f>
        <v>30009.8777116237</v>
      </c>
      <c r="EF67" s="46" t="n">
        <f aca="false">$F24*In_P50_Hours*(1-In_Curtailment)*(1-$E25)*(1-In_Degradation)^(EF20-1)*EF15*EF$6</f>
        <v>30343.3207973084</v>
      </c>
      <c r="EG67" s="46" t="n">
        <f aca="false">$F24*In_P50_Hours*(1-In_Curtailment)*(1-$E25)*(1-In_Degradation)^(EG20-1)*EG15*EG$6</f>
        <v>30676.7638829931</v>
      </c>
      <c r="EH67" s="46" t="n">
        <f aca="false">$F24*In_P50_Hours*(1-In_Curtailment)*(1-$E25)*(1-In_Degradation)^(EH20-1)*EH15*EH$6</f>
        <v>30584.7335913441</v>
      </c>
      <c r="EI67" s="46" t="n">
        <f aca="false">$F24*In_P50_Hours*(1-In_Curtailment)*(1-$E25)*(1-In_Degradation)^(EI20-1)*EI15*EI$6</f>
        <v>29919.8480784888</v>
      </c>
      <c r="EJ67" s="46" t="n">
        <f aca="false">$F24*In_P50_Hours*(1-In_Curtailment)*(1-$E25)*(1-In_Degradation)^(EJ20-1)*EJ15*EJ$6</f>
        <v>30252.2908349165</v>
      </c>
      <c r="EK67" s="46" t="n">
        <f aca="false">$F24*In_P50_Hours*(1-In_Curtailment)*(1-$E25)*(1-In_Degradation)^(EK20-1)*EK15*EK$6</f>
        <v>30584.7335913441</v>
      </c>
      <c r="EL67" s="46" t="n">
        <f aca="false">$F24*In_P50_Hours*(1-In_Curtailment)*(1-$E25)*(1-In_Degradation)^(EL20-1)*EL15*EL$6</f>
        <v>30492.9793905701</v>
      </c>
      <c r="EM67" s="46" t="n">
        <f aca="false">$F24*In_P50_Hours*(1-In_Curtailment)*(1-$E25)*(1-In_Degradation)^(EM20-1)*EM15*EM$6</f>
        <v>30161.5339624117</v>
      </c>
      <c r="EN67" s="46" t="n">
        <f aca="false">$F24*In_P50_Hours*(1-In_Curtailment)*(1-$E25)*(1-In_Degradation)^(EN20-1)*EN15*EN$6</f>
        <v>30161.5339624117</v>
      </c>
      <c r="EO67" s="46" t="n">
        <f aca="false">$F24*In_P50_Hours*(1-In_Curtailment)*(1-$E25)*(1-In_Degradation)^(EO20-1)*EO15*EO$6</f>
        <v>30492.9793905701</v>
      </c>
    </row>
    <row r="68" customFormat="false" ht="15" hidden="false" customHeight="false" outlineLevel="0" collapsed="false">
      <c r="C68" s="0" t="s">
        <v>398</v>
      </c>
      <c r="D68" s="11" t="s">
        <v>33</v>
      </c>
      <c r="E68" s="46" t="n">
        <f aca="false">SUMIF($J$7:$EO$7,YEAR(In_COD)+1,$J68:$EO68)</f>
        <v>11988.936702792</v>
      </c>
      <c r="I68" s="46" t="n">
        <f aca="false">SUM(J68:EO68)</f>
        <v>398096.796528086</v>
      </c>
      <c r="J68" s="46" t="n">
        <f aca="false">J67*J66/Thousand</f>
        <v>0</v>
      </c>
      <c r="K68" s="46" t="n">
        <f aca="false">K67*K66/Thousand</f>
        <v>0</v>
      </c>
      <c r="L68" s="46" t="n">
        <f aca="false">L67*L66/Thousand</f>
        <v>0</v>
      </c>
      <c r="M68" s="46" t="n">
        <f aca="false">M67*M66/Thousand</f>
        <v>0</v>
      </c>
      <c r="N68" s="46" t="n">
        <f aca="false">N67*N66/Thousand</f>
        <v>0</v>
      </c>
      <c r="O68" s="46" t="n">
        <f aca="false">O67*O66/Thousand</f>
        <v>0</v>
      </c>
      <c r="P68" s="46" t="n">
        <f aca="false">P67*P66/Thousand</f>
        <v>0</v>
      </c>
      <c r="Q68" s="46" t="n">
        <f aca="false">Q67*Q66/Thousand</f>
        <v>0</v>
      </c>
      <c r="R68" s="46" t="n">
        <f aca="false">R67*R66/Thousand</f>
        <v>0</v>
      </c>
      <c r="S68" s="46" t="n">
        <f aca="false">S67*S66/Thousand</f>
        <v>0</v>
      </c>
      <c r="T68" s="46" t="n">
        <f aca="false">T67*T66/Thousand</f>
        <v>0</v>
      </c>
      <c r="U68" s="46" t="n">
        <f aca="false">U67*U66/Thousand</f>
        <v>0</v>
      </c>
      <c r="V68" s="46" t="n">
        <f aca="false">V67*V66/Thousand</f>
        <v>0</v>
      </c>
      <c r="W68" s="46" t="n">
        <f aca="false">W67*W66/Thousand</f>
        <v>0</v>
      </c>
      <c r="X68" s="46" t="n">
        <f aca="false">X67*X66/Thousand</f>
        <v>0</v>
      </c>
      <c r="Y68" s="46" t="n">
        <f aca="false">Y67*Y66/Thousand</f>
        <v>0</v>
      </c>
      <c r="Z68" s="46" t="n">
        <f aca="false">Z67*Z66/Thousand</f>
        <v>2994.2136</v>
      </c>
      <c r="AA68" s="46" t="n">
        <f aca="false">AA67*AA66/Thousand</f>
        <v>2958.41322</v>
      </c>
      <c r="AB68" s="46" t="n">
        <f aca="false">AB67*AB66/Thousand</f>
        <v>2991.284478</v>
      </c>
      <c r="AC68" s="46" t="n">
        <f aca="false">AC67*AC66/Thousand</f>
        <v>3024.155736</v>
      </c>
      <c r="AD68" s="46" t="n">
        <f aca="false">AD67*AD66/Thousand</f>
        <v>3015.083268792</v>
      </c>
      <c r="AE68" s="46" t="n">
        <f aca="false">AE67*AE66/Thousand</f>
        <v>3012.13373081166</v>
      </c>
      <c r="AF68" s="46" t="n">
        <f aca="false">AF67*AF66/Thousand</f>
        <v>3012.13373081166</v>
      </c>
      <c r="AG68" s="46" t="n">
        <f aca="false">AG67*AG66/Thousand</f>
        <v>3045.23410147992</v>
      </c>
      <c r="AH68" s="46" t="n">
        <f aca="false">AH67*AH66/Thousand</f>
        <v>3036.09839917548</v>
      </c>
      <c r="AI68" s="46" t="n">
        <f aca="false">AI67*AI66/Thousand</f>
        <v>2999.7972226636</v>
      </c>
      <c r="AJ68" s="46" t="n">
        <f aca="false">AJ67*AJ66/Thousand</f>
        <v>3033.12830291542</v>
      </c>
      <c r="AK68" s="46" t="n">
        <f aca="false">AK67*AK66/Thousand</f>
        <v>3066.45938316724</v>
      </c>
      <c r="AL68" s="46" t="n">
        <f aca="false">AL67*AL66/Thousand</f>
        <v>3057.26000501774</v>
      </c>
      <c r="AM68" s="46" t="n">
        <f aca="false">AM67*AM66/Thousand</f>
        <v>3020.70580930557</v>
      </c>
      <c r="AN68" s="46" t="n">
        <f aca="false">AN67*AN66/Thousand</f>
        <v>3054.26920718674</v>
      </c>
      <c r="AO68" s="46" t="n">
        <f aca="false">AO67*AO66/Thousand</f>
        <v>3087.83260506791</v>
      </c>
      <c r="AP68" s="46" t="n">
        <f aca="false">AP67*AP66/Thousand</f>
        <v>3078.56910725271</v>
      </c>
      <c r="AQ68" s="46" t="n">
        <f aca="false">AQ67*AQ66/Thousand</f>
        <v>3041.76012879643</v>
      </c>
      <c r="AR68" s="46" t="n">
        <f aca="false">AR67*AR66/Thousand</f>
        <v>3075.55746356083</v>
      </c>
      <c r="AS68" s="46" t="n">
        <f aca="false">AS67*AS66/Thousand</f>
        <v>3109.35479832524</v>
      </c>
      <c r="AT68" s="46" t="n">
        <f aca="false">AT67*AT66/Thousand</f>
        <v>3100.02673393026</v>
      </c>
      <c r="AU68" s="46" t="n">
        <f aca="false">AU67*AU66/Thousand</f>
        <v>3096.99409908185</v>
      </c>
      <c r="AV68" s="46" t="n">
        <f aca="false">AV67*AV66/Thousand</f>
        <v>3096.99409908185</v>
      </c>
      <c r="AW68" s="46" t="n">
        <f aca="false">AW67*AW66/Thousand</f>
        <v>3131.02700126956</v>
      </c>
      <c r="AX68" s="46" t="n">
        <f aca="false">AX67*AX66/Thousand</f>
        <v>3121.63392026575</v>
      </c>
      <c r="AY68" s="46" t="n">
        <f aca="false">AY67*AY66/Thousand</f>
        <v>3084.31003643649</v>
      </c>
      <c r="AZ68" s="46" t="n">
        <f aca="false">AZ67*AZ66/Thousand</f>
        <v>3118.58014795245</v>
      </c>
      <c r="BA68" s="46" t="n">
        <f aca="false">BA67*BA66/Thousand</f>
        <v>3152.85025946841</v>
      </c>
      <c r="BB68" s="46" t="n">
        <f aca="false">BB67*BB66/Thousand</f>
        <v>3143.39170869001</v>
      </c>
      <c r="BC68" s="46" t="n">
        <f aca="false">BC67*BC66/Thousand</f>
        <v>3105.80767739045</v>
      </c>
      <c r="BD68" s="46" t="n">
        <f aca="false">BD67*BD66/Thousand</f>
        <v>3140.31665158368</v>
      </c>
      <c r="BE68" s="46" t="n">
        <f aca="false">BE67*BE66/Thousand</f>
        <v>3174.82562577691</v>
      </c>
      <c r="BF68" s="46" t="n">
        <f aca="false">BF67*BF66/Thousand</f>
        <v>3165.30114889958</v>
      </c>
      <c r="BG68" s="46" t="n">
        <f aca="false">BG67*BG66/Thousand</f>
        <v>3127.45515690186</v>
      </c>
      <c r="BH68" s="46" t="n">
        <f aca="false">BH67*BH66/Thousand</f>
        <v>3162.20465864522</v>
      </c>
      <c r="BI68" s="46" t="n">
        <f aca="false">BI67*BI66/Thousand</f>
        <v>3196.95416038857</v>
      </c>
      <c r="BJ68" s="46" t="n">
        <f aca="false">BJ67*BJ66/Thousand</f>
        <v>3187.36329790741</v>
      </c>
      <c r="BK68" s="46" t="n">
        <f aca="false">BK67*BK66/Thousand</f>
        <v>3184.24522511597</v>
      </c>
      <c r="BL68" s="46" t="n">
        <f aca="false">BL67*BL66/Thousand</f>
        <v>3184.24522511597</v>
      </c>
      <c r="BM68" s="46" t="n">
        <f aca="false">BM67*BM66/Thousand</f>
        <v>3219.23693088648</v>
      </c>
      <c r="BN68" s="46" t="n">
        <f aca="false">BN67*BN66/Thousand</f>
        <v>3209.57922009382</v>
      </c>
      <c r="BO68" s="46" t="n">
        <f aca="false">BO67*BO66/Thousand</f>
        <v>3171.20381637531</v>
      </c>
      <c r="BP68" s="46" t="n">
        <f aca="false">BP67*BP66/Thousand</f>
        <v>3206.43941433503</v>
      </c>
      <c r="BQ68" s="46" t="n">
        <f aca="false">BQ67*BQ66/Thousand</f>
        <v>3241.67501229476</v>
      </c>
      <c r="BR68" s="46" t="n">
        <f aca="false">BR67*BR66/Thousand</f>
        <v>3231.94998725787</v>
      </c>
      <c r="BS68" s="46" t="n">
        <f aca="false">BS67*BS66/Thousand</f>
        <v>3193.30710697544</v>
      </c>
      <c r="BT68" s="46" t="n">
        <f aca="false">BT67*BT66/Thousand</f>
        <v>3228.78829705295</v>
      </c>
      <c r="BU68" s="46" t="n">
        <f aca="false">BU67*BU66/Thousand</f>
        <v>3264.26948713045</v>
      </c>
      <c r="BV68" s="46" t="n">
        <f aca="false">BV67*BV66/Thousand</f>
        <v>3254.47667866906</v>
      </c>
      <c r="BW68" s="46" t="n">
        <f aca="false">BW67*BW66/Thousand</f>
        <v>3215.56445751106</v>
      </c>
      <c r="BX68" s="46" t="n">
        <f aca="false">BX67*BX66/Thousand</f>
        <v>3251.29295148341</v>
      </c>
      <c r="BY68" s="46" t="n">
        <f aca="false">BY67*BY66/Thousand</f>
        <v>3287.02144545575</v>
      </c>
      <c r="BZ68" s="46" t="n">
        <f aca="false">BZ67*BZ66/Thousand</f>
        <v>3277.16038111938</v>
      </c>
      <c r="CA68" s="46" t="n">
        <f aca="false">CA67*CA66/Thousand</f>
        <v>3273.95446335525</v>
      </c>
      <c r="CB68" s="46" t="n">
        <f aca="false">CB67*CB66/Thousand</f>
        <v>3273.95446335525</v>
      </c>
      <c r="CC68" s="46" t="n">
        <f aca="false">CC67*CC66/Thousand</f>
        <v>3309.93198493058</v>
      </c>
      <c r="CD68" s="46" t="n">
        <f aca="false">CD67*CD66/Thousand</f>
        <v>3300.00218897579</v>
      </c>
      <c r="CE68" s="46" t="n">
        <f aca="false">CE67*CE66/Thousand</f>
        <v>3260.54564106412</v>
      </c>
      <c r="CF68" s="46" t="n">
        <f aca="false">CF67*CF66/Thousand</f>
        <v>3296.77392596483</v>
      </c>
      <c r="CG68" s="46" t="n">
        <f aca="false">CG67*CG66/Thousand</f>
        <v>3333.00221086555</v>
      </c>
      <c r="CH68" s="46" t="n">
        <f aca="false">CH67*CH66/Thousand</f>
        <v>3323.00320423295</v>
      </c>
      <c r="CI68" s="46" t="n">
        <f aca="false">CI67*CI66/Thousand</f>
        <v>3283.27164418234</v>
      </c>
      <c r="CJ68" s="46" t="n">
        <f aca="false">CJ67*CJ66/Thousand</f>
        <v>3319.75244022881</v>
      </c>
      <c r="CK68" s="46" t="n">
        <f aca="false">CK67*CK66/Thousand</f>
        <v>3356.23323627528</v>
      </c>
      <c r="CL68" s="46" t="n">
        <f aca="false">CL67*CL66/Thousand</f>
        <v>3346.16453656645</v>
      </c>
      <c r="CM68" s="46" t="n">
        <f aca="false">CM67*CM66/Thousand</f>
        <v>3306.15604754229</v>
      </c>
      <c r="CN68" s="46" t="n">
        <f aca="false">CN67*CN66/Thousand</f>
        <v>3342.8911147372</v>
      </c>
      <c r="CO68" s="46" t="n">
        <f aca="false">CO67*CO66/Thousand</f>
        <v>3379.62618193212</v>
      </c>
      <c r="CP68" s="46" t="n">
        <f aca="false">CP67*CP66/Thousand</f>
        <v>3369.48730338632</v>
      </c>
      <c r="CQ68" s="46" t="n">
        <f aca="false">CQ67*CQ66/Thousand</f>
        <v>3366.19106580692</v>
      </c>
      <c r="CR68" s="46" t="n">
        <f aca="false">CR67*CR66/Thousand</f>
        <v>3366.19106580692</v>
      </c>
      <c r="CS68" s="46" t="n">
        <f aca="false">CS67*CS66/Thousand</f>
        <v>3403.18217642018</v>
      </c>
      <c r="CT68" s="46" t="n">
        <f aca="false">CT67*CT66/Thousand</f>
        <v>3392.97262989092</v>
      </c>
      <c r="CU68" s="46" t="n">
        <f aca="false">CU67*CU66/Thousand</f>
        <v>3352.40447888136</v>
      </c>
      <c r="CV68" s="46" t="n">
        <f aca="false">CV67*CV66/Thousand</f>
        <v>3389.65341753559</v>
      </c>
      <c r="CW68" s="46" t="n">
        <f aca="false">CW67*CW66/Thousand</f>
        <v>3426.90235618983</v>
      </c>
      <c r="CX68" s="46" t="n">
        <f aca="false">CX67*CX66/Thousand</f>
        <v>3416.62164912126</v>
      </c>
      <c r="CY68" s="46" t="n">
        <f aca="false">CY67*CY66/Thousand</f>
        <v>3375.77073809916</v>
      </c>
      <c r="CZ68" s="46" t="n">
        <f aca="false">CZ67*CZ66/Thousand</f>
        <v>3413.27930185582</v>
      </c>
      <c r="DA68" s="46" t="n">
        <f aca="false">DA67*DA66/Thousand</f>
        <v>3450.78786561248</v>
      </c>
      <c r="DB68" s="46" t="n">
        <f aca="false">DB67*DB66/Thousand</f>
        <v>3440.43550201564</v>
      </c>
      <c r="DC68" s="46" t="n">
        <f aca="false">DC67*DC66/Thousand</f>
        <v>3399.29986014371</v>
      </c>
      <c r="DD68" s="46" t="n">
        <f aca="false">DD67*DD66/Thousand</f>
        <v>3437.06985858975</v>
      </c>
      <c r="DE68" s="46" t="n">
        <f aca="false">DE67*DE66/Thousand</f>
        <v>3474.83985703579</v>
      </c>
      <c r="DF68" s="46" t="n">
        <f aca="false">DF67*DF66/Thousand</f>
        <v>3464.41533746469</v>
      </c>
      <c r="DG68" s="46" t="n">
        <f aca="false">DG67*DG66/Thousand</f>
        <v>3461.02623550412</v>
      </c>
      <c r="DH68" s="46" t="n">
        <f aca="false">DH67*DH66/Thousand</f>
        <v>3461.02623550412</v>
      </c>
      <c r="DI68" s="46" t="n">
        <f aca="false">DI67*DI66/Thousand</f>
        <v>3499.05949083933</v>
      </c>
      <c r="DJ68" s="46" t="n">
        <f aca="false">DJ67*DJ66/Thousand</f>
        <v>3488.56231236681</v>
      </c>
      <c r="DK68" s="46" t="n">
        <f aca="false">DK67*DK66/Thousand</f>
        <v>3446.85124124069</v>
      </c>
      <c r="DL68" s="46" t="n">
        <f aca="false">DL67*DL66/Thousand</f>
        <v>3485.14958836559</v>
      </c>
      <c r="DM68" s="46" t="n">
        <f aca="false">DM67*DM66/Thousand</f>
        <v>3523.44793549048</v>
      </c>
      <c r="DN68" s="46" t="n">
        <f aca="false">DN67*DN66/Thousand</f>
        <v>3512.87759168401</v>
      </c>
      <c r="DO68" s="46" t="n">
        <f aca="false">DO67*DO66/Thousand</f>
        <v>3470.87579439214</v>
      </c>
      <c r="DP68" s="46" t="n">
        <f aca="false">DP67*DP66/Thousand</f>
        <v>3509.4410809965</v>
      </c>
      <c r="DQ68" s="46" t="n">
        <f aca="false">DQ67*DQ66/Thousand</f>
        <v>3548.00636760085</v>
      </c>
      <c r="DR68" s="46" t="n">
        <f aca="false">DR67*DR66/Thousand</f>
        <v>3537.36234849805</v>
      </c>
      <c r="DS68" s="46" t="n">
        <f aca="false">DS67*DS66/Thousand</f>
        <v>3495.06779867905</v>
      </c>
      <c r="DT68" s="46" t="n">
        <f aca="false">DT67*DT66/Thousand</f>
        <v>3533.90188533104</v>
      </c>
      <c r="DU68" s="46" t="n">
        <f aca="false">DU67*DU66/Thousand</f>
        <v>3572.73597198303</v>
      </c>
      <c r="DV68" s="46" t="n">
        <f aca="false">DV67*DV66/Thousand</f>
        <v>3562.01776406708</v>
      </c>
      <c r="DW68" s="46" t="n">
        <f aca="false">DW67*DW66/Thousand</f>
        <v>3558.5331814718</v>
      </c>
      <c r="DX68" s="46" t="n">
        <f aca="false">DX67*DX66/Thousand</f>
        <v>3558.5331814718</v>
      </c>
      <c r="DY68" s="46" t="n">
        <f aca="false">DY67*DY66/Thousand</f>
        <v>3597.63794170775</v>
      </c>
      <c r="DZ68" s="46" t="n">
        <f aca="false">DZ67*DZ66/Thousand</f>
        <v>3586.84502788263</v>
      </c>
      <c r="EA68" s="46" t="n">
        <f aca="false">EA67*EA66/Thousand</f>
        <v>3543.95883733186</v>
      </c>
      <c r="EB68" s="46" t="n">
        <f aca="false">EB67*EB66/Thousand</f>
        <v>3583.33615774666</v>
      </c>
      <c r="EC68" s="46" t="n">
        <f aca="false">EC67*EC66/Thousand</f>
        <v>3622.71347816146</v>
      </c>
      <c r="ED68" s="46" t="n">
        <f aca="false">ED67*ED66/Thousand</f>
        <v>3611.84533772697</v>
      </c>
      <c r="EE68" s="46" t="n">
        <f aca="false">EE67*EE66/Thousand</f>
        <v>3568.66023042806</v>
      </c>
      <c r="EF68" s="46" t="n">
        <f aca="false">EF67*EF66/Thousand</f>
        <v>3608.31201076615</v>
      </c>
      <c r="EG68" s="46" t="n">
        <f aca="false">EG67*EG66/Thousand</f>
        <v>3647.96379110424</v>
      </c>
      <c r="EH68" s="46" t="n">
        <f aca="false">EH67*EH66/Thousand</f>
        <v>3637.01989973093</v>
      </c>
      <c r="EI68" s="46" t="n">
        <f aca="false">EI67*EI66/Thousand</f>
        <v>3593.53379223414</v>
      </c>
      <c r="EJ68" s="46" t="n">
        <f aca="false">EJ67*EJ66/Thousand</f>
        <v>3633.46194548119</v>
      </c>
      <c r="EK68" s="46" t="n">
        <f aca="false">EK67*EK66/Thousand</f>
        <v>3673.39009872824</v>
      </c>
      <c r="EL68" s="46" t="n">
        <f aca="false">EL67*EL66/Thousand</f>
        <v>3662.36992843205</v>
      </c>
      <c r="EM68" s="46" t="n">
        <f aca="false">EM67*EM66/Thousand</f>
        <v>3658.78717524119</v>
      </c>
      <c r="EN68" s="46" t="n">
        <f aca="false">EN67*EN66/Thousand</f>
        <v>3658.78717524119</v>
      </c>
      <c r="EO68" s="46" t="n">
        <f aca="false">EO67*EO66/Thousand</f>
        <v>3698.99362771637</v>
      </c>
    </row>
    <row r="69" customFormat="false" ht="15" hidden="false" customHeight="false" outlineLevel="0" collapsed="false">
      <c r="C69" s="0" t="s">
        <v>399</v>
      </c>
      <c r="D69" s="11" t="s">
        <v>33</v>
      </c>
      <c r="I69" s="46" t="n">
        <f aca="false">SUM(J69:EO69)</f>
        <v>-28132.3883354309</v>
      </c>
      <c r="J69" s="46" t="n">
        <f aca="false">-In_Var_Opex*J67*J65/Thousand</f>
        <v>-0</v>
      </c>
      <c r="K69" s="46" t="n">
        <f aca="false">-In_Var_Opex*K67*K65/Thousand</f>
        <v>-0</v>
      </c>
      <c r="L69" s="46" t="n">
        <f aca="false">-In_Var_Opex*L67*L65/Thousand</f>
        <v>-0</v>
      </c>
      <c r="M69" s="46" t="n">
        <f aca="false">-In_Var_Opex*M67*M65/Thousand</f>
        <v>-0</v>
      </c>
      <c r="N69" s="46" t="n">
        <f aca="false">-In_Var_Opex*N67*N65/Thousand</f>
        <v>-0</v>
      </c>
      <c r="O69" s="46" t="n">
        <f aca="false">-In_Var_Opex*O67*O65/Thousand</f>
        <v>-0</v>
      </c>
      <c r="P69" s="46" t="n">
        <f aca="false">-In_Var_Opex*P67*P65/Thousand</f>
        <v>-0</v>
      </c>
      <c r="Q69" s="46" t="n">
        <f aca="false">-In_Var_Opex*Q67*Q65/Thousand</f>
        <v>-0</v>
      </c>
      <c r="R69" s="46" t="n">
        <f aca="false">-In_Var_Opex*R67*R65/Thousand</f>
        <v>-0</v>
      </c>
      <c r="S69" s="46" t="n">
        <f aca="false">-In_Var_Opex*S67*S65/Thousand</f>
        <v>-0</v>
      </c>
      <c r="T69" s="46" t="n">
        <f aca="false">-In_Var_Opex*T67*T65/Thousand</f>
        <v>-0</v>
      </c>
      <c r="U69" s="46" t="n">
        <f aca="false">-In_Var_Opex*U67*U65/Thousand</f>
        <v>-0</v>
      </c>
      <c r="V69" s="46" t="n">
        <f aca="false">-In_Var_Opex*V67*V65/Thousand</f>
        <v>-0</v>
      </c>
      <c r="W69" s="46" t="n">
        <f aca="false">-In_Var_Opex*W67*W65/Thousand</f>
        <v>-0</v>
      </c>
      <c r="X69" s="46" t="n">
        <f aca="false">-In_Var_Opex*X67*X65/Thousand</f>
        <v>-0</v>
      </c>
      <c r="Y69" s="46" t="n">
        <f aca="false">-In_Var_Opex*Y67*Y65/Thousand</f>
        <v>-0</v>
      </c>
      <c r="Z69" s="46" t="n">
        <f aca="false">-In_Var_Opex*Z67*Z65/Thousand</f>
        <v>-166.3452</v>
      </c>
      <c r="AA69" s="46" t="n">
        <f aca="false">-In_Var_Opex*AA67*AA65/Thousand</f>
        <v>-166.797225</v>
      </c>
      <c r="AB69" s="46" t="n">
        <f aca="false">-In_Var_Opex*AB67*AB65/Thousand</f>
        <v>-168.6505275</v>
      </c>
      <c r="AC69" s="46" t="n">
        <f aca="false">-In_Var_Opex*AC67*AC65/Thousand</f>
        <v>-170.50383</v>
      </c>
      <c r="AD69" s="46" t="n">
        <f aca="false">-In_Var_Opex*AD67*AD65/Thousand</f>
        <v>-169.99231851</v>
      </c>
      <c r="AE69" s="46" t="n">
        <f aca="false">-In_Var_Opex*AE67*AE65/Thousand</f>
        <v>-172.348190315438</v>
      </c>
      <c r="AF69" s="46" t="n">
        <f aca="false">-In_Var_Opex*AF67*AF65/Thousand</f>
        <v>-172.348190315438</v>
      </c>
      <c r="AG69" s="46" t="n">
        <f aca="false">-In_Var_Opex*AG67*AG65/Thousand</f>
        <v>-174.24212647275</v>
      </c>
      <c r="AH69" s="46" t="n">
        <f aca="false">-In_Var_Opex*AH67*AH65/Thousand</f>
        <v>-173.719400093332</v>
      </c>
      <c r="AI69" s="46" t="n">
        <f aca="false">-In_Var_Opex*AI67*AI65/Thousand</f>
        <v>-174.191463680542</v>
      </c>
      <c r="AJ69" s="46" t="n">
        <f aca="false">-In_Var_Opex*AJ67*AJ65/Thousand</f>
        <v>-176.126924388103</v>
      </c>
      <c r="AK69" s="46" t="n">
        <f aca="false">-In_Var_Opex*AK67*AK65/Thousand</f>
        <v>-178.062385095665</v>
      </c>
      <c r="AL69" s="46" t="n">
        <f aca="false">-In_Var_Opex*AL67*AL65/Thousand</f>
        <v>-177.528197940378</v>
      </c>
      <c r="AM69" s="46" t="n">
        <f aca="false">-In_Var_Opex*AM67*AM65/Thousand</f>
        <v>-178.010611521738</v>
      </c>
      <c r="AN69" s="46" t="n">
        <f aca="false">-In_Var_Opex*AN67*AN65/Thousand</f>
        <v>-179.988507205313</v>
      </c>
      <c r="AO69" s="46" t="n">
        <f aca="false">-In_Var_Opex*AO67*AO65/Thousand</f>
        <v>-181.966402888888</v>
      </c>
      <c r="AP69" s="46" t="n">
        <f aca="false">-In_Var_Opex*AP67*AP65/Thousand</f>
        <v>-181.420503680221</v>
      </c>
      <c r="AQ69" s="46" t="n">
        <f aca="false">-In_Var_Opex*AQ67*AQ65/Thousand</f>
        <v>-181.913494179352</v>
      </c>
      <c r="AR69" s="46" t="n">
        <f aca="false">-In_Var_Opex*AR67*AR65/Thousand</f>
        <v>-183.934755225789</v>
      </c>
      <c r="AS69" s="46" t="n">
        <f aca="false">-In_Var_Opex*AS67*AS65/Thousand</f>
        <v>-185.956016272226</v>
      </c>
      <c r="AT69" s="46" t="n">
        <f aca="false">-In_Var_Opex*AT67*AT65/Thousand</f>
        <v>-185.39814822341</v>
      </c>
      <c r="AU69" s="46" t="n">
        <f aca="false">-In_Var_Opex*AU67*AU65/Thousand</f>
        <v>-187.967524734115</v>
      </c>
      <c r="AV69" s="46" t="n">
        <f aca="false">-In_Var_Opex*AV67*AV65/Thousand</f>
        <v>-187.967524734115</v>
      </c>
      <c r="AW69" s="46" t="n">
        <f aca="false">-In_Var_Opex*AW67*AW65/Thousand</f>
        <v>-190.033101928995</v>
      </c>
      <c r="AX69" s="46" t="n">
        <f aca="false">-In_Var_Opex*AX67*AX65/Thousand</f>
        <v>-189.463002623208</v>
      </c>
      <c r="AY69" s="46" t="n">
        <f aca="false">-In_Var_Opex*AY67*AY65/Thousand</f>
        <v>-189.977847739032</v>
      </c>
      <c r="AZ69" s="46" t="n">
        <f aca="false">-In_Var_Opex*AZ67*AZ65/Thousand</f>
        <v>-192.08871271391</v>
      </c>
      <c r="BA69" s="46" t="n">
        <f aca="false">-In_Var_Opex*BA67*BA65/Thousand</f>
        <v>-194.199577688788</v>
      </c>
      <c r="BB69" s="46" t="n">
        <f aca="false">-In_Var_Opex*BB67*BB65/Thousand</f>
        <v>-193.616978955722</v>
      </c>
      <c r="BC69" s="46" t="n">
        <f aca="false">-In_Var_Opex*BC67*BC65/Thousand</f>
        <v>-194.14311205071</v>
      </c>
      <c r="BD69" s="46" t="n">
        <f aca="false">-In_Var_Opex*BD67*BD65/Thousand</f>
        <v>-196.300257740162</v>
      </c>
      <c r="BE69" s="46" t="n">
        <f aca="false">-In_Var_Opex*BE67*BE65/Thousand</f>
        <v>-198.457403429615</v>
      </c>
      <c r="BF69" s="46" t="n">
        <f aca="false">-In_Var_Opex*BF67*BF65/Thousand</f>
        <v>-197.862031219326</v>
      </c>
      <c r="BG69" s="46" t="n">
        <f aca="false">-In_Var_Opex*BG67*BG65/Thousand</f>
        <v>-198.399699782422</v>
      </c>
      <c r="BH69" s="46" t="n">
        <f aca="false">-In_Var_Opex*BH67*BH65/Thousand</f>
        <v>-200.604140891115</v>
      </c>
      <c r="BI69" s="46" t="n">
        <f aca="false">-In_Var_Opex*BI67*BI65/Thousand</f>
        <v>-202.808581999809</v>
      </c>
      <c r="BJ69" s="46" t="n">
        <f aca="false">-In_Var_Opex*BJ67*BJ65/Thousand</f>
        <v>-202.20015625381</v>
      </c>
      <c r="BK69" s="46" t="n">
        <f aca="false">-In_Var_Opex*BK67*BK65/Thousand</f>
        <v>-205.002386680153</v>
      </c>
      <c r="BL69" s="46" t="n">
        <f aca="false">-In_Var_Opex*BL67*BL65/Thousand</f>
        <v>-205.002386680153</v>
      </c>
      <c r="BM69" s="46" t="n">
        <f aca="false">-In_Var_Opex*BM67*BM65/Thousand</f>
        <v>-207.255160160155</v>
      </c>
      <c r="BN69" s="46" t="n">
        <f aca="false">-In_Var_Opex*BN67*BN65/Thousand</f>
        <v>-206.633394679674</v>
      </c>
      <c r="BO69" s="46" t="n">
        <f aca="false">-In_Var_Opex*BO67*BO65/Thousand</f>
        <v>-207.194898469565</v>
      </c>
      <c r="BP69" s="46" t="n">
        <f aca="false">-In_Var_Opex*BP67*BP65/Thousand</f>
        <v>-209.497064008115</v>
      </c>
      <c r="BQ69" s="46" t="n">
        <f aca="false">-In_Var_Opex*BQ67*BQ65/Thousand</f>
        <v>-211.799229546666</v>
      </c>
      <c r="BR69" s="46" t="n">
        <f aca="false">-In_Var_Opex*BR67*BR65/Thousand</f>
        <v>-211.163831858026</v>
      </c>
      <c r="BS69" s="46" t="n">
        <f aca="false">-In_Var_Opex*BS67*BS65/Thousand</f>
        <v>-211.73764661851</v>
      </c>
      <c r="BT69" s="46" t="n">
        <f aca="false">-In_Var_Opex*BT67*BT65/Thousand</f>
        <v>-214.090287136493</v>
      </c>
      <c r="BU69" s="46" t="n">
        <f aca="false">-In_Var_Opex*BU67*BU65/Thousand</f>
        <v>-216.442927654477</v>
      </c>
      <c r="BV69" s="46" t="n">
        <f aca="false">-In_Var_Opex*BV67*BV65/Thousand</f>
        <v>-215.793598871513</v>
      </c>
      <c r="BW69" s="46" t="n">
        <f aca="false">-In_Var_Opex*BW67*BW65/Thousand</f>
        <v>-216.379994520621</v>
      </c>
      <c r="BX69" s="46" t="n">
        <f aca="false">-In_Var_Opex*BX67*BX65/Thousand</f>
        <v>-218.784216681961</v>
      </c>
      <c r="BY69" s="46" t="n">
        <f aca="false">-In_Var_Opex*BY67*BY65/Thousand</f>
        <v>-221.188438843301</v>
      </c>
      <c r="BZ69" s="46" t="n">
        <f aca="false">-In_Var_Opex*BZ67*BZ65/Thousand</f>
        <v>-220.524873526771</v>
      </c>
      <c r="CA69" s="46" t="n">
        <f aca="false">-In_Var_Opex*CA67*CA65/Thousand</f>
        <v>-223.581060632713</v>
      </c>
      <c r="CB69" s="46" t="n">
        <f aca="false">-In_Var_Opex*CB67*CB65/Thousand</f>
        <v>-223.581060632713</v>
      </c>
      <c r="CC69" s="46" t="n">
        <f aca="false">-In_Var_Opex*CC67*CC65/Thousand</f>
        <v>-226.037995364941</v>
      </c>
      <c r="CD69" s="46" t="n">
        <f aca="false">-In_Var_Opex*CD67*CD65/Thousand</f>
        <v>-225.359881378846</v>
      </c>
      <c r="CE69" s="46" t="n">
        <f aca="false">-In_Var_Opex*CE67*CE65/Thousand</f>
        <v>-225.972272360853</v>
      </c>
      <c r="CF69" s="46" t="n">
        <f aca="false">-In_Var_Opex*CF67*CF65/Thousand</f>
        <v>-228.483075387085</v>
      </c>
      <c r="CG69" s="46" t="n">
        <f aca="false">-In_Var_Opex*CG67*CG65/Thousand</f>
        <v>-230.993878413317</v>
      </c>
      <c r="CH69" s="46" t="n">
        <f aca="false">-In_Var_Opex*CH67*CH65/Thousand</f>
        <v>-230.300896778077</v>
      </c>
      <c r="CI69" s="46" t="n">
        <f aca="false">-In_Var_Opex*CI67*CI65/Thousand</f>
        <v>-230.926714432365</v>
      </c>
      <c r="CJ69" s="46" t="n">
        <f aca="false">-In_Var_Opex*CJ67*CJ65/Thousand</f>
        <v>-233.492566814947</v>
      </c>
      <c r="CK69" s="46" t="n">
        <f aca="false">-In_Var_Opex*CK67*CK65/Thousand</f>
        <v>-236.058419197529</v>
      </c>
      <c r="CL69" s="46" t="n">
        <f aca="false">-In_Var_Opex*CL67*CL65/Thousand</f>
        <v>-235.350243939936</v>
      </c>
      <c r="CM69" s="46" t="n">
        <f aca="false">-In_Var_Opex*CM67*CM65/Thousand</f>
        <v>-235.989782646295</v>
      </c>
      <c r="CN69" s="46" t="n">
        <f aca="false">-In_Var_Opex*CN67*CN65/Thousand</f>
        <v>-238.611891342365</v>
      </c>
      <c r="CO69" s="46" t="n">
        <f aca="false">-In_Var_Opex*CO67*CO65/Thousand</f>
        <v>-241.234000038435</v>
      </c>
      <c r="CP69" s="46" t="n">
        <f aca="false">-In_Var_Opex*CP67*CP65/Thousand</f>
        <v>-240.510298038319</v>
      </c>
      <c r="CQ69" s="46" t="n">
        <f aca="false">-In_Var_Opex*CQ67*CQ65/Thousand</f>
        <v>-243.843457060046</v>
      </c>
      <c r="CR69" s="46" t="n">
        <f aca="false">-In_Var_Opex*CR67*CR65/Thousand</f>
        <v>-243.843457060046</v>
      </c>
      <c r="CS69" s="46" t="n">
        <f aca="false">-In_Var_Opex*CS67*CS65/Thousand</f>
        <v>-246.523055489277</v>
      </c>
      <c r="CT69" s="46" t="n">
        <f aca="false">-In_Var_Opex*CT67*CT65/Thousand</f>
        <v>-245.783486322809</v>
      </c>
      <c r="CU69" s="46" t="n">
        <f aca="false">-In_Var_Opex*CU67*CU65/Thousand</f>
        <v>-246.451376231295</v>
      </c>
      <c r="CV69" s="46" t="n">
        <f aca="false">-In_Var_Opex*CV67*CV65/Thousand</f>
        <v>-249.189724856088</v>
      </c>
      <c r="CW69" s="46" t="n">
        <f aca="false">-In_Var_Opex*CW67*CW65/Thousand</f>
        <v>-251.92807348088</v>
      </c>
      <c r="CX69" s="46" t="n">
        <f aca="false">-In_Var_Opex*CX67*CX65/Thousand</f>
        <v>-251.172289260437</v>
      </c>
      <c r="CY69" s="46" t="n">
        <f aca="false">-In_Var_Opex*CY67*CY65/Thousand</f>
        <v>-251.854822655166</v>
      </c>
      <c r="CZ69" s="46" t="n">
        <f aca="false">-In_Var_Opex*CZ67*CZ65/Thousand</f>
        <v>-254.653209573557</v>
      </c>
      <c r="DA69" s="46" t="n">
        <f aca="false">-In_Var_Opex*DA67*DA65/Thousand</f>
        <v>-257.451596491948</v>
      </c>
      <c r="DB69" s="46" t="n">
        <f aca="false">-In_Var_Opex*DB67*DB65/Thousand</f>
        <v>-256.679241702472</v>
      </c>
      <c r="DC69" s="46" t="n">
        <f aca="false">-In_Var_Opex*DC67*DC65/Thousand</f>
        <v>-257.376739641881</v>
      </c>
      <c r="DD69" s="46" t="n">
        <f aca="false">-In_Var_Opex*DD67*DD65/Thousand</f>
        <v>-260.236481193457</v>
      </c>
      <c r="DE69" s="46" t="n">
        <f aca="false">-In_Var_Opex*DE67*DE65/Thousand</f>
        <v>-263.096222745034</v>
      </c>
      <c r="DF69" s="46" t="n">
        <f aca="false">-In_Var_Opex*DF67*DF65/Thousand</f>
        <v>-262.306934076799</v>
      </c>
      <c r="DG69" s="46" t="n">
        <f aca="false">-In_Var_Opex*DG67*DG65/Thousand</f>
        <v>-265.942166043624</v>
      </c>
      <c r="DH69" s="46" t="n">
        <f aca="false">-In_Var_Opex*DH67*DH65/Thousand</f>
        <v>-265.942166043624</v>
      </c>
      <c r="DI69" s="46" t="n">
        <f aca="false">-In_Var_Opex*DI67*DI65/Thousand</f>
        <v>-268.864607428719</v>
      </c>
      <c r="DJ69" s="46" t="n">
        <f aca="false">-In_Var_Opex*DJ67*DJ65/Thousand</f>
        <v>-268.058013606433</v>
      </c>
      <c r="DK69" s="46" t="n">
        <f aca="false">-In_Var_Opex*DK67*DK65/Thousand</f>
        <v>-268.786432121667</v>
      </c>
      <c r="DL69" s="46" t="n">
        <f aca="false">-In_Var_Opex*DL67*DL65/Thousand</f>
        <v>-271.77294803413</v>
      </c>
      <c r="DM69" s="46" t="n">
        <f aca="false">-In_Var_Opex*DM67*DM65/Thousand</f>
        <v>-274.759463946593</v>
      </c>
      <c r="DN69" s="46" t="n">
        <f aca="false">-In_Var_Opex*DN67*DN65/Thousand</f>
        <v>-273.935185554754</v>
      </c>
      <c r="DO69" s="46" t="n">
        <f aca="false">-In_Var_Opex*DO67*DO65/Thousand</f>
        <v>-274.679574645935</v>
      </c>
      <c r="DP69" s="46" t="n">
        <f aca="false">-In_Var_Opex*DP67*DP65/Thousand</f>
        <v>-277.731569919779</v>
      </c>
      <c r="DQ69" s="46" t="n">
        <f aca="false">-In_Var_Opex*DQ67*DQ65/Thousand</f>
        <v>-280.783565193622</v>
      </c>
      <c r="DR69" s="46" t="n">
        <f aca="false">-In_Var_Opex*DR67*DR65/Thousand</f>
        <v>-279.941214498041</v>
      </c>
      <c r="DS69" s="46" t="n">
        <f aca="false">-In_Var_Opex*DS67*DS65/Thousand</f>
        <v>-280.701924320047</v>
      </c>
      <c r="DT69" s="46" t="n">
        <f aca="false">-In_Var_Opex*DT67*DT65/Thousand</f>
        <v>-283.82083459027</v>
      </c>
      <c r="DU69" s="46" t="n">
        <f aca="false">-In_Var_Opex*DU67*DU65/Thousand</f>
        <v>-286.939744860493</v>
      </c>
      <c r="DV69" s="46" t="n">
        <f aca="false">-In_Var_Opex*DV67*DV65/Thousand</f>
        <v>-286.078925625911</v>
      </c>
      <c r="DW69" s="46" t="n">
        <f aca="false">-In_Var_Opex*DW67*DW65/Thousand</f>
        <v>-290.043606388661</v>
      </c>
      <c r="DX69" s="46" t="n">
        <f aca="false">-In_Var_Opex*DX67*DX65/Thousand</f>
        <v>-290.043606388661</v>
      </c>
      <c r="DY69" s="46" t="n">
        <f aca="false">-In_Var_Opex*DY67*DY65/Thousand</f>
        <v>-293.230898766559</v>
      </c>
      <c r="DZ69" s="46" t="n">
        <f aca="false">-In_Var_Opex*DZ67*DZ65/Thousand</f>
        <v>-292.351206070259</v>
      </c>
      <c r="EA69" s="46" t="n">
        <f aca="false">-In_Var_Opex*EA67*EA65/Thousand</f>
        <v>-293.14563869545</v>
      </c>
      <c r="EB69" s="46" t="n">
        <f aca="false">-In_Var_Opex*EB67*EB65/Thousand</f>
        <v>-296.402812458733</v>
      </c>
      <c r="EC69" s="46" t="n">
        <f aca="false">-In_Var_Opex*EC67*EC65/Thousand</f>
        <v>-299.659986222016</v>
      </c>
      <c r="ED69" s="46" t="n">
        <f aca="false">-In_Var_Opex*ED67*ED65/Thousand</f>
        <v>-298.76100626335</v>
      </c>
      <c r="EE69" s="46" t="n">
        <f aca="false">-In_Var_Opex*EE67*EE65/Thousand</f>
        <v>-299.572856823848</v>
      </c>
      <c r="EF69" s="46" t="n">
        <f aca="false">-In_Var_Opex*EF67*EF65/Thousand</f>
        <v>-302.90144412189</v>
      </c>
      <c r="EG69" s="46" t="n">
        <f aca="false">-In_Var_Opex*EG67*EG65/Thousand</f>
        <v>-306.230031419933</v>
      </c>
      <c r="EH69" s="46" t="n">
        <f aca="false">-In_Var_Opex*EH67*EH65/Thousand</f>
        <v>-305.311341325673</v>
      </c>
      <c r="EI69" s="46" t="n">
        <f aca="false">-In_Var_Opex*EI67*EI65/Thousand</f>
        <v>-306.140991709711</v>
      </c>
      <c r="EJ69" s="46" t="n">
        <f aca="false">-In_Var_Opex*EJ67*EJ65/Thousand</f>
        <v>-309.542558284263</v>
      </c>
      <c r="EK69" s="46" t="n">
        <f aca="false">-In_Var_Opex*EK67*EK65/Thousand</f>
        <v>-312.944124858815</v>
      </c>
      <c r="EL69" s="46" t="n">
        <f aca="false">-In_Var_Opex*EL67*EL65/Thousand</f>
        <v>-312.005292484239</v>
      </c>
      <c r="EM69" s="46" t="n">
        <f aca="false">-In_Var_Opex*EM67*EM65/Thousand</f>
        <v>-316.329278874645</v>
      </c>
      <c r="EN69" s="46" t="n">
        <f aca="false">-In_Var_Opex*EN67*EN65/Thousand</f>
        <v>-316.329278874645</v>
      </c>
      <c r="EO69" s="46" t="n">
        <f aca="false">-In_Var_Opex*EO67*EO65/Thousand</f>
        <v>-319.805424796345</v>
      </c>
    </row>
    <row r="70" customFormat="false" ht="15" hidden="false" customHeight="false" outlineLevel="0" collapsed="false">
      <c r="C70" s="0" t="s">
        <v>400</v>
      </c>
      <c r="D70" s="11" t="s">
        <v>33</v>
      </c>
      <c r="I70" s="46" t="n">
        <f aca="false">SUM(J70:EO70)</f>
        <v>-60869.5202640337</v>
      </c>
      <c r="J70" s="46" t="n">
        <f aca="false">-(In_Fixed_Opex*$F24+In_Admin)*J65*J15*J$6</f>
        <v>-0</v>
      </c>
      <c r="K70" s="46" t="n">
        <f aca="false">-(In_Fixed_Opex*$F24+In_Admin)*K65*K15*K$6</f>
        <v>-0</v>
      </c>
      <c r="L70" s="46" t="n">
        <f aca="false">-(In_Fixed_Opex*$F24+In_Admin)*L65*L15*L$6</f>
        <v>-0</v>
      </c>
      <c r="M70" s="46" t="n">
        <f aca="false">-(In_Fixed_Opex*$F24+In_Admin)*M65*M15*M$6</f>
        <v>-0</v>
      </c>
      <c r="N70" s="46" t="n">
        <f aca="false">-(In_Fixed_Opex*$F24+In_Admin)*N65*N15*N$6</f>
        <v>-0</v>
      </c>
      <c r="O70" s="46" t="n">
        <f aca="false">-(In_Fixed_Opex*$F24+In_Admin)*O65*O15*O$6</f>
        <v>-0</v>
      </c>
      <c r="P70" s="46" t="n">
        <f aca="false">-(In_Fixed_Opex*$F24+In_Admin)*P65*P15*P$6</f>
        <v>-0</v>
      </c>
      <c r="Q70" s="46" t="n">
        <f aca="false">-(In_Fixed_Opex*$F24+In_Admin)*Q65*Q15*Q$6</f>
        <v>-0</v>
      </c>
      <c r="R70" s="46" t="n">
        <f aca="false">-(In_Fixed_Opex*$F24+In_Admin)*R65*R15*R$6</f>
        <v>-0</v>
      </c>
      <c r="S70" s="46" t="n">
        <f aca="false">-(In_Fixed_Opex*$F24+In_Admin)*S65*S15*S$6</f>
        <v>-0</v>
      </c>
      <c r="T70" s="46" t="n">
        <f aca="false">-(In_Fixed_Opex*$F24+In_Admin)*T65*T15*T$6</f>
        <v>-0</v>
      </c>
      <c r="U70" s="46" t="n">
        <f aca="false">-(In_Fixed_Opex*$F24+In_Admin)*U65*U15*U$6</f>
        <v>-0</v>
      </c>
      <c r="V70" s="46" t="n">
        <f aca="false">-(In_Fixed_Opex*$F24+In_Admin)*V65*V15*V$6</f>
        <v>-0</v>
      </c>
      <c r="W70" s="46" t="n">
        <f aca="false">-(In_Fixed_Opex*$F24+In_Admin)*W65*W15*W$6</f>
        <v>-0</v>
      </c>
      <c r="X70" s="46" t="n">
        <f aca="false">-(In_Fixed_Opex*$F24+In_Admin)*X65*X15*X$6</f>
        <v>-0</v>
      </c>
      <c r="Y70" s="46" t="n">
        <f aca="false">-(In_Fixed_Opex*$F24+In_Admin)*Y65*Y15*Y$6</f>
        <v>-0</v>
      </c>
      <c r="Z70" s="46" t="n">
        <f aca="false">-(In_Fixed_Opex*$F24+In_Admin)*Z65*Z15*Z$6</f>
        <v>-342.794520547945</v>
      </c>
      <c r="AA70" s="46" t="n">
        <f aca="false">-(In_Fixed_Opex*$F24+In_Admin)*AA65*AA15*AA$6</f>
        <v>-343.72602739726</v>
      </c>
      <c r="AB70" s="46" t="n">
        <f aca="false">-(In_Fixed_Opex*$F24+In_Admin)*AB65*AB15*AB$6</f>
        <v>-347.545205479452</v>
      </c>
      <c r="AC70" s="46" t="n">
        <f aca="false">-(In_Fixed_Opex*$F24+In_Admin)*AC65*AC15*AC$6</f>
        <v>-351.364383561644</v>
      </c>
      <c r="AD70" s="46" t="n">
        <f aca="false">-(In_Fixed_Opex*$F24+In_Admin)*AD65*AD15*AD$6</f>
        <v>-351.364383561644</v>
      </c>
      <c r="AE70" s="46" t="n">
        <f aca="false">-(In_Fixed_Opex*$F24+In_Admin)*AE65*AE15*AE$6</f>
        <v>-356.233835616438</v>
      </c>
      <c r="AF70" s="46" t="n">
        <f aca="false">-(In_Fixed_Opex*$F24+In_Admin)*AF65*AF15*AF$6</f>
        <v>-356.233835616438</v>
      </c>
      <c r="AG70" s="46" t="n">
        <f aca="false">-(In_Fixed_Opex*$F24+In_Admin)*AG65*AG15*AG$6</f>
        <v>-360.148493150685</v>
      </c>
      <c r="AH70" s="46" t="n">
        <f aca="false">-(In_Fixed_Opex*$F24+In_Admin)*AH65*AH15*AH$6</f>
        <v>-360.148493150685</v>
      </c>
      <c r="AI70" s="46" t="n">
        <f aca="false">-(In_Fixed_Opex*$F24+In_Admin)*AI65*AI15*AI$6</f>
        <v>-361.127157534246</v>
      </c>
      <c r="AJ70" s="46" t="n">
        <f aca="false">-(In_Fixed_Opex*$F24+In_Admin)*AJ65*AJ15*AJ$6</f>
        <v>-365.139681506849</v>
      </c>
      <c r="AK70" s="46" t="n">
        <f aca="false">-(In_Fixed_Opex*$F24+In_Admin)*AK65*AK15*AK$6</f>
        <v>-369.152205479452</v>
      </c>
      <c r="AL70" s="46" t="n">
        <f aca="false">-(In_Fixed_Opex*$F24+In_Admin)*AL65*AL15*AL$6</f>
        <v>-369.152205479452</v>
      </c>
      <c r="AM70" s="46" t="n">
        <f aca="false">-(In_Fixed_Opex*$F24+In_Admin)*AM65*AM15*AM$6</f>
        <v>-370.155336472603</v>
      </c>
      <c r="AN70" s="46" t="n">
        <f aca="false">-(In_Fixed_Opex*$F24+In_Admin)*AN65*AN15*AN$6</f>
        <v>-374.268173544521</v>
      </c>
      <c r="AO70" s="46" t="n">
        <f aca="false">-(In_Fixed_Opex*$F24+In_Admin)*AO65*AO15*AO$6</f>
        <v>-378.381010616438</v>
      </c>
      <c r="AP70" s="46" t="n">
        <f aca="false">-(In_Fixed_Opex*$F24+In_Admin)*AP65*AP15*AP$6</f>
        <v>-378.381010616438</v>
      </c>
      <c r="AQ70" s="46" t="n">
        <f aca="false">-(In_Fixed_Opex*$F24+In_Admin)*AQ65*AQ15*AQ$6</f>
        <v>-379.409219884418</v>
      </c>
      <c r="AR70" s="46" t="n">
        <f aca="false">-(In_Fixed_Opex*$F24+In_Admin)*AR65*AR15*AR$6</f>
        <v>-383.624877883134</v>
      </c>
      <c r="AS70" s="46" t="n">
        <f aca="false">-(In_Fixed_Opex*$F24+In_Admin)*AS65*AS15*AS$6</f>
        <v>-387.840535881849</v>
      </c>
      <c r="AT70" s="46" t="n">
        <f aca="false">-(In_Fixed_Opex*$F24+In_Admin)*AT65*AT15*AT$6</f>
        <v>-387.840535881849</v>
      </c>
      <c r="AU70" s="46" t="n">
        <f aca="false">-(In_Fixed_Opex*$F24+In_Admin)*AU65*AU15*AU$6</f>
        <v>-393.215499830212</v>
      </c>
      <c r="AV70" s="46" t="n">
        <f aca="false">-(In_Fixed_Opex*$F24+In_Admin)*AV65*AV15*AV$6</f>
        <v>-393.215499830212</v>
      </c>
      <c r="AW70" s="46" t="n">
        <f aca="false">-(In_Fixed_Opex*$F24+In_Admin)*AW65*AW15*AW$6</f>
        <v>-397.536549278895</v>
      </c>
      <c r="AX70" s="46" t="n">
        <f aca="false">-(In_Fixed_Opex*$F24+In_Admin)*AX65*AX15*AX$6</f>
        <v>-397.536549278895</v>
      </c>
      <c r="AY70" s="46" t="n">
        <f aca="false">-(In_Fixed_Opex*$F24+In_Admin)*AY65*AY15*AY$6</f>
        <v>-398.616811641066</v>
      </c>
      <c r="AZ70" s="46" t="n">
        <f aca="false">-(In_Fixed_Opex*$F24+In_Admin)*AZ65*AZ15*AZ$6</f>
        <v>-403.045887325967</v>
      </c>
      <c r="BA70" s="46" t="n">
        <f aca="false">-(In_Fixed_Opex*$F24+In_Admin)*BA65*BA15*BA$6</f>
        <v>-407.474963010868</v>
      </c>
      <c r="BB70" s="46" t="n">
        <f aca="false">-(In_Fixed_Opex*$F24+In_Admin)*BB65*BB15*BB$6</f>
        <v>-407.474963010868</v>
      </c>
      <c r="BC70" s="46" t="n">
        <f aca="false">-(In_Fixed_Opex*$F24+In_Admin)*BC65*BC15*BC$6</f>
        <v>-408.582231932093</v>
      </c>
      <c r="BD70" s="46" t="n">
        <f aca="false">-(In_Fixed_Opex*$F24+In_Admin)*BD65*BD15*BD$6</f>
        <v>-413.122034509116</v>
      </c>
      <c r="BE70" s="46" t="n">
        <f aca="false">-(In_Fixed_Opex*$F24+In_Admin)*BE65*BE15*BE$6</f>
        <v>-417.661837086139</v>
      </c>
      <c r="BF70" s="46" t="n">
        <f aca="false">-(In_Fixed_Opex*$F24+In_Admin)*BF65*BF15*BF$6</f>
        <v>-417.661837086139</v>
      </c>
      <c r="BG70" s="46" t="n">
        <f aca="false">-(In_Fixed_Opex*$F24+In_Admin)*BG65*BG15*BG$6</f>
        <v>-418.796787730395</v>
      </c>
      <c r="BH70" s="46" t="n">
        <f aca="false">-(In_Fixed_Opex*$F24+In_Admin)*BH65*BH15*BH$6</f>
        <v>-423.450085371844</v>
      </c>
      <c r="BI70" s="46" t="n">
        <f aca="false">-(In_Fixed_Opex*$F24+In_Admin)*BI65*BI15*BI$6</f>
        <v>-428.103383013293</v>
      </c>
      <c r="BJ70" s="46" t="n">
        <f aca="false">-(In_Fixed_Opex*$F24+In_Admin)*BJ65*BJ15*BJ$6</f>
        <v>-428.103383013293</v>
      </c>
      <c r="BK70" s="46" t="n">
        <f aca="false">-(In_Fixed_Opex*$F24+In_Admin)*BK65*BK15*BK$6</f>
        <v>-434.03633750614</v>
      </c>
      <c r="BL70" s="46" t="n">
        <f aca="false">-(In_Fixed_Opex*$F24+In_Admin)*BL65*BL15*BL$6</f>
        <v>-434.03633750614</v>
      </c>
      <c r="BM70" s="46" t="n">
        <f aca="false">-(In_Fixed_Opex*$F24+In_Admin)*BM65*BM15*BM$6</f>
        <v>-438.805967588625</v>
      </c>
      <c r="BN70" s="46" t="n">
        <f aca="false">-(In_Fixed_Opex*$F24+In_Admin)*BN65*BN15*BN$6</f>
        <v>-438.805967588625</v>
      </c>
      <c r="BO70" s="46" t="n">
        <f aca="false">-(In_Fixed_Opex*$F24+In_Admin)*BO65*BO15*BO$6</f>
        <v>-439.998375109246</v>
      </c>
      <c r="BP70" s="46" t="n">
        <f aca="false">-(In_Fixed_Opex*$F24+In_Admin)*BP65*BP15*BP$6</f>
        <v>-444.887245943794</v>
      </c>
      <c r="BQ70" s="46" t="n">
        <f aca="false">-(In_Fixed_Opex*$F24+In_Admin)*BQ65*BQ15*BQ$6</f>
        <v>-449.776116778341</v>
      </c>
      <c r="BR70" s="46" t="n">
        <f aca="false">-(In_Fixed_Opex*$F24+In_Admin)*BR65*BR15*BR$6</f>
        <v>-449.776116778341</v>
      </c>
      <c r="BS70" s="46" t="n">
        <f aca="false">-(In_Fixed_Opex*$F24+In_Admin)*BS65*BS15*BS$6</f>
        <v>-450.998334486977</v>
      </c>
      <c r="BT70" s="46" t="n">
        <f aca="false">-(In_Fixed_Opex*$F24+In_Admin)*BT65*BT15*BT$6</f>
        <v>-456.009427092388</v>
      </c>
      <c r="BU70" s="46" t="n">
        <f aca="false">-(In_Fixed_Opex*$F24+In_Admin)*BU65*BU15*BU$6</f>
        <v>-461.020519697799</v>
      </c>
      <c r="BV70" s="46" t="n">
        <f aca="false">-(In_Fixed_Opex*$F24+In_Admin)*BV65*BV15*BV$6</f>
        <v>-461.020519697799</v>
      </c>
      <c r="BW70" s="46" t="n">
        <f aca="false">-(In_Fixed_Opex*$F24+In_Admin)*BW65*BW15*BW$6</f>
        <v>-462.273292849152</v>
      </c>
      <c r="BX70" s="46" t="n">
        <f aca="false">-(In_Fixed_Opex*$F24+In_Admin)*BX65*BX15*BX$6</f>
        <v>-467.409662769698</v>
      </c>
      <c r="BY70" s="46" t="n">
        <f aca="false">-(In_Fixed_Opex*$F24+In_Admin)*BY65*BY15*BY$6</f>
        <v>-472.546032690244</v>
      </c>
      <c r="BZ70" s="46" t="n">
        <f aca="false">-(In_Fixed_Opex*$F24+In_Admin)*BZ65*BZ15*BZ$6</f>
        <v>-472.546032690244</v>
      </c>
      <c r="CA70" s="46" t="n">
        <f aca="false">-(In_Fixed_Opex*$F24+In_Admin)*CA65*CA15*CA$6</f>
        <v>-479.09490433894</v>
      </c>
      <c r="CB70" s="46" t="n">
        <f aca="false">-(In_Fixed_Opex*$F24+In_Admin)*CB65*CB15*CB$6</f>
        <v>-479.09490433894</v>
      </c>
      <c r="CC70" s="46" t="n">
        <f aca="false">-(In_Fixed_Opex*$F24+In_Admin)*CC65*CC15*CC$6</f>
        <v>-484.3596835075</v>
      </c>
      <c r="CD70" s="46" t="n">
        <f aca="false">-(In_Fixed_Opex*$F24+In_Admin)*CD65*CD15*CD$6</f>
        <v>-484.3596835075</v>
      </c>
      <c r="CE70" s="46" t="n">
        <f aca="false">-(In_Fixed_Opex*$F24+In_Admin)*CE65*CE15*CE$6</f>
        <v>-485.67587829964</v>
      </c>
      <c r="CF70" s="46" t="n">
        <f aca="false">-(In_Fixed_Opex*$F24+In_Admin)*CF65*CF15*CF$6</f>
        <v>-491.072276947414</v>
      </c>
      <c r="CG70" s="46" t="n">
        <f aca="false">-(In_Fixed_Opex*$F24+In_Admin)*CG65*CG15*CG$6</f>
        <v>-496.468675595188</v>
      </c>
      <c r="CH70" s="46" t="n">
        <f aca="false">-(In_Fixed_Opex*$F24+In_Admin)*CH65*CH15*CH$6</f>
        <v>-496.468675595188</v>
      </c>
      <c r="CI70" s="46" t="n">
        <f aca="false">-(In_Fixed_Opex*$F24+In_Admin)*CI65*CI15*CI$6</f>
        <v>-497.817775257131</v>
      </c>
      <c r="CJ70" s="46" t="n">
        <f aca="false">-(In_Fixed_Opex*$F24+In_Admin)*CJ65*CJ15*CJ$6</f>
        <v>-503.349083871099</v>
      </c>
      <c r="CK70" s="46" t="n">
        <f aca="false">-(In_Fixed_Opex*$F24+In_Admin)*CK65*CK15*CK$6</f>
        <v>-508.880392485067</v>
      </c>
      <c r="CL70" s="46" t="n">
        <f aca="false">-(In_Fixed_Opex*$F24+In_Admin)*CL65*CL15*CL$6</f>
        <v>-508.880392485067</v>
      </c>
      <c r="CM70" s="46" t="n">
        <f aca="false">-(In_Fixed_Opex*$F24+In_Admin)*CM65*CM15*CM$6</f>
        <v>-510.263219638559</v>
      </c>
      <c r="CN70" s="46" t="n">
        <f aca="false">-(In_Fixed_Opex*$F24+In_Admin)*CN65*CN15*CN$6</f>
        <v>-515.932810967877</v>
      </c>
      <c r="CO70" s="46" t="n">
        <f aca="false">-(In_Fixed_Opex*$F24+In_Admin)*CO65*CO15*CO$6</f>
        <v>-521.602402297194</v>
      </c>
      <c r="CP70" s="46" t="n">
        <f aca="false">-(In_Fixed_Opex*$F24+In_Admin)*CP65*CP15*CP$6</f>
        <v>-521.602402297194</v>
      </c>
      <c r="CQ70" s="46" t="n">
        <f aca="false">-(In_Fixed_Opex*$F24+In_Admin)*CQ65*CQ15*CQ$6</f>
        <v>-528.831131242074</v>
      </c>
      <c r="CR70" s="46" t="n">
        <f aca="false">-(In_Fixed_Opex*$F24+In_Admin)*CR65*CR15*CR$6</f>
        <v>-528.831131242074</v>
      </c>
      <c r="CS70" s="46" t="n">
        <f aca="false">-(In_Fixed_Opex*$F24+In_Admin)*CS65*CS15*CS$6</f>
        <v>-534.642462354624</v>
      </c>
      <c r="CT70" s="46" t="n">
        <f aca="false">-(In_Fixed_Opex*$F24+In_Admin)*CT65*CT15*CT$6</f>
        <v>-534.642462354624</v>
      </c>
      <c r="CU70" s="46" t="n">
        <f aca="false">-(In_Fixed_Opex*$F24+In_Admin)*CU65*CU15*CU$6</f>
        <v>-536.095295132761</v>
      </c>
      <c r="CV70" s="46" t="n">
        <f aca="false">-(In_Fixed_Opex*$F24+In_Admin)*CV65*CV15*CV$6</f>
        <v>-542.051909523125</v>
      </c>
      <c r="CW70" s="46" t="n">
        <f aca="false">-(In_Fixed_Opex*$F24+In_Admin)*CW65*CW15*CW$6</f>
        <v>-548.008523913489</v>
      </c>
      <c r="CX70" s="46" t="n">
        <f aca="false">-(In_Fixed_Opex*$F24+In_Admin)*CX65*CX15*CX$6</f>
        <v>-548.008523913489</v>
      </c>
      <c r="CY70" s="46" t="n">
        <f aca="false">-(In_Fixed_Opex*$F24+In_Admin)*CY65*CY15*CY$6</f>
        <v>-549.49767751108</v>
      </c>
      <c r="CZ70" s="46" t="n">
        <f aca="false">-(In_Fixed_Opex*$F24+In_Admin)*CZ65*CZ15*CZ$6</f>
        <v>-555.603207261203</v>
      </c>
      <c r="DA70" s="46" t="n">
        <f aca="false">-(In_Fixed_Opex*$F24+In_Admin)*DA65*DA15*DA$6</f>
        <v>-561.708737011326</v>
      </c>
      <c r="DB70" s="46" t="n">
        <f aca="false">-(In_Fixed_Opex*$F24+In_Admin)*DB65*DB15*DB$6</f>
        <v>-561.708737011326</v>
      </c>
      <c r="DC70" s="46" t="n">
        <f aca="false">-(In_Fixed_Opex*$F24+In_Admin)*DC65*DC15*DC$6</f>
        <v>-563.235119448857</v>
      </c>
      <c r="DD70" s="46" t="n">
        <f aca="false">-(In_Fixed_Opex*$F24+In_Admin)*DD65*DD15*DD$6</f>
        <v>-569.493287442734</v>
      </c>
      <c r="DE70" s="46" t="n">
        <f aca="false">-(In_Fixed_Opex*$F24+In_Admin)*DE65*DE15*DE$6</f>
        <v>-575.75145543661</v>
      </c>
      <c r="DF70" s="46" t="n">
        <f aca="false">-(In_Fixed_Opex*$F24+In_Admin)*DF65*DF15*DF$6</f>
        <v>-575.75145543661</v>
      </c>
      <c r="DG70" s="46" t="n">
        <f aca="false">-(In_Fixed_Opex*$F24+In_Admin)*DG65*DG15*DG$6</f>
        <v>-583.730619628802</v>
      </c>
      <c r="DH70" s="46" t="n">
        <f aca="false">-(In_Fixed_Opex*$F24+In_Admin)*DH65*DH15*DH$6</f>
        <v>-583.730619628802</v>
      </c>
      <c r="DI70" s="46" t="n">
        <f aca="false">-(In_Fixed_Opex*$F24+In_Admin)*DI65*DI15*DI$6</f>
        <v>-590.145241822525</v>
      </c>
      <c r="DJ70" s="46" t="n">
        <f aca="false">-(In_Fixed_Opex*$F24+In_Admin)*DJ65*DJ15*DJ$6</f>
        <v>-590.145241822525</v>
      </c>
      <c r="DK70" s="46" t="n">
        <f aca="false">-(In_Fixed_Opex*$F24+In_Admin)*DK65*DK15*DK$6</f>
        <v>-591.748897370955</v>
      </c>
      <c r="DL70" s="46" t="n">
        <f aca="false">-(In_Fixed_Opex*$F24+In_Admin)*DL65*DL15*DL$6</f>
        <v>-598.323885119522</v>
      </c>
      <c r="DM70" s="46" t="n">
        <f aca="false">-(In_Fixed_Opex*$F24+In_Admin)*DM65*DM15*DM$6</f>
        <v>-604.898872868088</v>
      </c>
      <c r="DN70" s="46" t="n">
        <f aca="false">-(In_Fixed_Opex*$F24+In_Admin)*DN65*DN15*DN$6</f>
        <v>-604.898872868088</v>
      </c>
      <c r="DO70" s="46" t="n">
        <f aca="false">-(In_Fixed_Opex*$F24+In_Admin)*DO65*DO15*DO$6</f>
        <v>-606.542619805229</v>
      </c>
      <c r="DP70" s="46" t="n">
        <f aca="false">-(In_Fixed_Opex*$F24+In_Admin)*DP65*DP15*DP$6</f>
        <v>-613.28198224751</v>
      </c>
      <c r="DQ70" s="46" t="n">
        <f aca="false">-(In_Fixed_Opex*$F24+In_Admin)*DQ65*DQ15*DQ$6</f>
        <v>-620.02134468979</v>
      </c>
      <c r="DR70" s="46" t="n">
        <f aca="false">-(In_Fixed_Opex*$F24+In_Admin)*DR65*DR15*DR$6</f>
        <v>-620.02134468979</v>
      </c>
      <c r="DS70" s="46" t="n">
        <f aca="false">-(In_Fixed_Opex*$F24+In_Admin)*DS65*DS15*DS$6</f>
        <v>-621.70618530036</v>
      </c>
      <c r="DT70" s="46" t="n">
        <f aca="false">-(In_Fixed_Opex*$F24+In_Admin)*DT65*DT15*DT$6</f>
        <v>-628.614031803698</v>
      </c>
      <c r="DU70" s="46" t="n">
        <f aca="false">-(In_Fixed_Opex*$F24+In_Admin)*DU65*DU15*DU$6</f>
        <v>-635.521878307035</v>
      </c>
      <c r="DV70" s="46" t="n">
        <f aca="false">-(In_Fixed_Opex*$F24+In_Admin)*DV65*DV15*DV$6</f>
        <v>-635.521878307035</v>
      </c>
      <c r="DW70" s="46" t="n">
        <f aca="false">-(In_Fixed_Opex*$F24+In_Admin)*DW65*DW15*DW$6</f>
        <v>-644.32938259879</v>
      </c>
      <c r="DX70" s="46" t="n">
        <f aca="false">-(In_Fixed_Opex*$F24+In_Admin)*DX65*DX15*DX$6</f>
        <v>-644.32938259879</v>
      </c>
      <c r="DY70" s="46" t="n">
        <f aca="false">-(In_Fixed_Opex*$F24+In_Admin)*DY65*DY15*DY$6</f>
        <v>-651.409925264711</v>
      </c>
      <c r="DZ70" s="46" t="n">
        <f aca="false">-(In_Fixed_Opex*$F24+In_Admin)*DZ65*DZ15*DZ$6</f>
        <v>-651.409925264711</v>
      </c>
      <c r="EA70" s="46" t="n">
        <f aca="false">-(In_Fixed_Opex*$F24+In_Admin)*EA65*EA15*EA$6</f>
        <v>-653.180060931191</v>
      </c>
      <c r="EB70" s="46" t="n">
        <f aca="false">-(In_Fixed_Opex*$F24+In_Admin)*EB65*EB15*EB$6</f>
        <v>-660.43761716376</v>
      </c>
      <c r="EC70" s="46" t="n">
        <f aca="false">-(In_Fixed_Opex*$F24+In_Admin)*EC65*EC15*EC$6</f>
        <v>-667.695173396328</v>
      </c>
      <c r="ED70" s="46" t="n">
        <f aca="false">-(In_Fixed_Opex*$F24+In_Admin)*ED65*ED15*ED$6</f>
        <v>-667.695173396328</v>
      </c>
      <c r="EE70" s="46" t="n">
        <f aca="false">-(In_Fixed_Opex*$F24+In_Admin)*EE65*EE15*EE$6</f>
        <v>-669.50956245447</v>
      </c>
      <c r="EF70" s="46" t="n">
        <f aca="false">-(In_Fixed_Opex*$F24+In_Admin)*EF65*EF15*EF$6</f>
        <v>-676.948557592854</v>
      </c>
      <c r="EG70" s="46" t="n">
        <f aca="false">-(In_Fixed_Opex*$F24+In_Admin)*EG65*EG15*EG$6</f>
        <v>-684.387552731237</v>
      </c>
      <c r="EH70" s="46" t="n">
        <f aca="false">-(In_Fixed_Opex*$F24+In_Admin)*EH65*EH15*EH$6</f>
        <v>-684.387552731237</v>
      </c>
      <c r="EI70" s="46" t="n">
        <f aca="false">-(In_Fixed_Opex*$F24+In_Admin)*EI65*EI15*EI$6</f>
        <v>-686.247301515832</v>
      </c>
      <c r="EJ70" s="46" t="n">
        <f aca="false">-(In_Fixed_Opex*$F24+In_Admin)*EJ65*EJ15*EJ$6</f>
        <v>-693.872271532675</v>
      </c>
      <c r="EK70" s="46" t="n">
        <f aca="false">-(In_Fixed_Opex*$F24+In_Admin)*EK65*EK15*EK$6</f>
        <v>-701.497241549517</v>
      </c>
      <c r="EL70" s="46" t="n">
        <f aca="false">-(In_Fixed_Opex*$F24+In_Admin)*EL65*EL15*EL$6</f>
        <v>-701.497241549517</v>
      </c>
      <c r="EM70" s="46" t="n">
        <f aca="false">-(In_Fixed_Opex*$F24+In_Admin)*EM65*EM15*EM$6</f>
        <v>-711.219078320991</v>
      </c>
      <c r="EN70" s="46" t="n">
        <f aca="false">-(In_Fixed_Opex*$F24+In_Admin)*EN65*EN15*EN$6</f>
        <v>-711.219078320991</v>
      </c>
      <c r="EO70" s="46" t="n">
        <f aca="false">-(In_Fixed_Opex*$F24+In_Admin)*EO65*EO15*EO$6</f>
        <v>-719.034672588255</v>
      </c>
    </row>
    <row r="71" customFormat="false" ht="15" hidden="false" customHeight="false" outlineLevel="0" collapsed="false">
      <c r="C71" s="0" t="s">
        <v>401</v>
      </c>
      <c r="D71" s="11" t="s">
        <v>33</v>
      </c>
      <c r="I71" s="46" t="n">
        <f aca="false">SUM(J71:EO71)</f>
        <v>-7708.87664873263</v>
      </c>
      <c r="J71" s="46" t="n">
        <f aca="false">-In_Lease*$F24*J65*J16*J$6</f>
        <v>-0</v>
      </c>
      <c r="K71" s="46" t="n">
        <f aca="false">-In_Lease*$F24*K65*K16*K$6</f>
        <v>-0</v>
      </c>
      <c r="L71" s="46" t="n">
        <f aca="false">-In_Lease*$F24*L65*L16*L$6</f>
        <v>-0</v>
      </c>
      <c r="M71" s="46" t="n">
        <f aca="false">-In_Lease*$F24*M65*M16*M$6</f>
        <v>-0</v>
      </c>
      <c r="N71" s="46" t="n">
        <f aca="false">-In_Lease*$F24*N65*N16*N$6</f>
        <v>-0</v>
      </c>
      <c r="O71" s="46" t="n">
        <f aca="false">-In_Lease*$F24*O65*O16*O$6</f>
        <v>-0</v>
      </c>
      <c r="P71" s="46" t="n">
        <f aca="false">-In_Lease*$F24*P65*P16*P$6</f>
        <v>-0</v>
      </c>
      <c r="Q71" s="46" t="n">
        <f aca="false">-In_Lease*$F24*Q65*Q16*Q$6</f>
        <v>-0</v>
      </c>
      <c r="R71" s="46" t="n">
        <f aca="false">-In_Lease*$F24*R65*R16*R$6</f>
        <v>-39.5850480389201</v>
      </c>
      <c r="S71" s="46" t="n">
        <f aca="false">-In_Lease*$F24*S65*S16*S$6</f>
        <v>-39.6926161042432</v>
      </c>
      <c r="T71" s="46" t="n">
        <f aca="false">-In_Lease*$F24*T65*T16*T$6</f>
        <v>-40.1336451720682</v>
      </c>
      <c r="U71" s="46" t="n">
        <f aca="false">-In_Lease*$F24*U65*U16*U$6</f>
        <v>-40.5746742398931</v>
      </c>
      <c r="V71" s="46" t="n">
        <f aca="false">-In_Lease*$F24*V65*V16*V$6</f>
        <v>-40.5746742398931</v>
      </c>
      <c r="W71" s="46" t="n">
        <f aca="false">-In_Lease*$F24*W65*W16*W$6</f>
        <v>-40.6849315068493</v>
      </c>
      <c r="X71" s="46" t="n">
        <f aca="false">-In_Lease*$F24*X65*X16*X$6</f>
        <v>-41.1369863013699</v>
      </c>
      <c r="Y71" s="46" t="n">
        <f aca="false">-In_Lease*$F24*Y65*Y16*Y$6</f>
        <v>-41.5890410958904</v>
      </c>
      <c r="Z71" s="46" t="n">
        <f aca="false">-In_Lease*$F24*Z65*Z16*Z$6</f>
        <v>-41.5890410958904</v>
      </c>
      <c r="AA71" s="46" t="n">
        <f aca="false">-In_Lease*$F24*AA65*AA16*AA$6</f>
        <v>-41.7020547945206</v>
      </c>
      <c r="AB71" s="46" t="n">
        <f aca="false">-In_Lease*$F24*AB65*AB16*AB$6</f>
        <v>-42.1654109589041</v>
      </c>
      <c r="AC71" s="46" t="n">
        <f aca="false">-In_Lease*$F24*AC65*AC16*AC$6</f>
        <v>-42.6287671232877</v>
      </c>
      <c r="AD71" s="46" t="n">
        <f aca="false">-In_Lease*$F24*AD65*AD16*AD$6</f>
        <v>-42.6287671232877</v>
      </c>
      <c r="AE71" s="46" t="n">
        <f aca="false">-In_Lease*$F24*AE65*AE16*AE$6</f>
        <v>-43.2195462328767</v>
      </c>
      <c r="AF71" s="46" t="n">
        <f aca="false">-In_Lease*$F24*AF65*AF16*AF$6</f>
        <v>-43.2195462328767</v>
      </c>
      <c r="AG71" s="46" t="n">
        <f aca="false">-In_Lease*$F24*AG65*AG16*AG$6</f>
        <v>-43.6944863013699</v>
      </c>
      <c r="AH71" s="46" t="n">
        <f aca="false">-In_Lease*$F24*AH65*AH16*AH$6</f>
        <v>-43.6944863013699</v>
      </c>
      <c r="AI71" s="46" t="n">
        <f aca="false">-In_Lease*$F24*AI65*AI16*AI$6</f>
        <v>-43.8132213184931</v>
      </c>
      <c r="AJ71" s="46" t="n">
        <f aca="false">-In_Lease*$F24*AJ65*AJ16*AJ$6</f>
        <v>-44.3000348886986</v>
      </c>
      <c r="AK71" s="46" t="n">
        <f aca="false">-In_Lease*$F24*AK65*AK16*AK$6</f>
        <v>-44.7868484589041</v>
      </c>
      <c r="AL71" s="46" t="n">
        <f aca="false">-In_Lease*$F24*AL65*AL16*AL$6</f>
        <v>-44.7868484589041</v>
      </c>
      <c r="AM71" s="46" t="n">
        <f aca="false">-In_Lease*$F24*AM65*AM16*AM$6</f>
        <v>-44.9085518514555</v>
      </c>
      <c r="AN71" s="46" t="n">
        <f aca="false">-In_Lease*$F24*AN65*AN16*AN$6</f>
        <v>-45.4075357609161</v>
      </c>
      <c r="AO71" s="46" t="n">
        <f aca="false">-In_Lease*$F24*AO65*AO16*AO$6</f>
        <v>-45.9065196703767</v>
      </c>
      <c r="AP71" s="46" t="n">
        <f aca="false">-In_Lease*$F24*AP65*AP16*AP$6</f>
        <v>-45.9065196703767</v>
      </c>
      <c r="AQ71" s="46" t="n">
        <f aca="false">-In_Lease*$F24*AQ65*AQ16*AQ$6</f>
        <v>-46.0312656477419</v>
      </c>
      <c r="AR71" s="46" t="n">
        <f aca="false">-In_Lease*$F24*AR65*AR16*AR$6</f>
        <v>-46.542724154939</v>
      </c>
      <c r="AS71" s="46" t="n">
        <f aca="false">-In_Lease*$F24*AS65*AS16*AS$6</f>
        <v>-47.0541826621361</v>
      </c>
      <c r="AT71" s="46" t="n">
        <f aca="false">-In_Lease*$F24*AT65*AT16*AT$6</f>
        <v>-47.0541826621361</v>
      </c>
      <c r="AU71" s="46" t="n">
        <f aca="false">-In_Lease*$F24*AU65*AU16*AU$6</f>
        <v>-47.7062922588125</v>
      </c>
      <c r="AV71" s="46" t="n">
        <f aca="false">-In_Lease*$F24*AV65*AV16*AV$6</f>
        <v>-47.7062922588125</v>
      </c>
      <c r="AW71" s="46" t="n">
        <f aca="false">-In_Lease*$F24*AW65*AW16*AW$6</f>
        <v>-48.2305372286895</v>
      </c>
      <c r="AX71" s="46" t="n">
        <f aca="false">-In_Lease*$F24*AX65*AX16*AX$6</f>
        <v>-48.2305372286895</v>
      </c>
      <c r="AY71" s="46" t="n">
        <f aca="false">-In_Lease*$F24*AY65*AY16*AY$6</f>
        <v>-48.3615984711588</v>
      </c>
      <c r="AZ71" s="46" t="n">
        <f aca="false">-In_Lease*$F24*AZ65*AZ16*AZ$6</f>
        <v>-48.8989495652828</v>
      </c>
      <c r="BA71" s="46" t="n">
        <f aca="false">-In_Lease*$F24*BA65*BA16*BA$6</f>
        <v>-49.4363006594068</v>
      </c>
      <c r="BB71" s="46" t="n">
        <f aca="false">-In_Lease*$F24*BB65*BB16*BB$6</f>
        <v>-49.4363006594068</v>
      </c>
      <c r="BC71" s="46" t="n">
        <f aca="false">-In_Lease*$F24*BC65*BC16*BC$6</f>
        <v>-49.5706384329377</v>
      </c>
      <c r="BD71" s="46" t="n">
        <f aca="false">-In_Lease*$F24*BD65*BD16*BD$6</f>
        <v>-50.1214233044148</v>
      </c>
      <c r="BE71" s="46" t="n">
        <f aca="false">-In_Lease*$F24*BE65*BE16*BE$6</f>
        <v>-50.6722081758919</v>
      </c>
      <c r="BF71" s="46" t="n">
        <f aca="false">-In_Lease*$F24*BF65*BF16*BF$6</f>
        <v>-50.6722081758919</v>
      </c>
      <c r="BG71" s="46" t="n">
        <f aca="false">-In_Lease*$F24*BG65*BG16*BG$6</f>
        <v>-50.8099043937612</v>
      </c>
      <c r="BH71" s="46" t="n">
        <f aca="false">-In_Lease*$F24*BH65*BH16*BH$6</f>
        <v>-51.3744588870252</v>
      </c>
      <c r="BI71" s="46" t="n">
        <f aca="false">-In_Lease*$F24*BI65*BI16*BI$6</f>
        <v>-51.9390133802892</v>
      </c>
      <c r="BJ71" s="46" t="n">
        <f aca="false">-In_Lease*$F24*BJ65*BJ16*BJ$6</f>
        <v>-51.9390133802892</v>
      </c>
      <c r="BK71" s="46" t="n">
        <f aca="false">-In_Lease*$F24*BK65*BK16*BK$6</f>
        <v>-52.6588203592008</v>
      </c>
      <c r="BL71" s="46" t="n">
        <f aca="false">-In_Lease*$F24*BL65*BL16*BL$6</f>
        <v>-52.6588203592008</v>
      </c>
      <c r="BM71" s="46" t="n">
        <f aca="false">-In_Lease*$F24*BM65*BM16*BM$6</f>
        <v>-53.2374887147964</v>
      </c>
      <c r="BN71" s="46" t="n">
        <f aca="false">-In_Lease*$F24*BN65*BN16*BN$6</f>
        <v>-53.2374887147964</v>
      </c>
      <c r="BO71" s="46" t="n">
        <f aca="false">-In_Lease*$F24*BO65*BO16*BO$6</f>
        <v>-53.3821558036953</v>
      </c>
      <c r="BP71" s="46" t="n">
        <f aca="false">-In_Lease*$F24*BP65*BP16*BP$6</f>
        <v>-53.9752908681808</v>
      </c>
      <c r="BQ71" s="46" t="n">
        <f aca="false">-In_Lease*$F24*BQ65*BQ16*BQ$6</f>
        <v>-54.5684259326664</v>
      </c>
      <c r="BR71" s="46" t="n">
        <f aca="false">-In_Lease*$F24*BR65*BR16*BR$6</f>
        <v>-54.5684259326664</v>
      </c>
      <c r="BS71" s="46" t="n">
        <f aca="false">-In_Lease*$F24*BS65*BS16*BS$6</f>
        <v>-54.7167096987877</v>
      </c>
      <c r="BT71" s="46" t="n">
        <f aca="false">-In_Lease*$F24*BT65*BT16*BT$6</f>
        <v>-55.3246731398854</v>
      </c>
      <c r="BU71" s="46" t="n">
        <f aca="false">-In_Lease*$F24*BU65*BU16*BU$6</f>
        <v>-55.932636580983</v>
      </c>
      <c r="BV71" s="46" t="n">
        <f aca="false">-In_Lease*$F24*BV65*BV16*BV$6</f>
        <v>-55.932636580983</v>
      </c>
      <c r="BW71" s="46" t="n">
        <f aca="false">-In_Lease*$F24*BW65*BW16*BW$6</f>
        <v>-56.0846274412574</v>
      </c>
      <c r="BX71" s="46" t="n">
        <f aca="false">-In_Lease*$F24*BX65*BX16*BX$6</f>
        <v>-56.7077899683825</v>
      </c>
      <c r="BY71" s="46" t="n">
        <f aca="false">-In_Lease*$F24*BY65*BY16*BY$6</f>
        <v>-57.3309524955076</v>
      </c>
      <c r="BZ71" s="46" t="n">
        <f aca="false">-In_Lease*$F24*BZ65*BZ16*BZ$6</f>
        <v>-57.3309524955076</v>
      </c>
      <c r="CA71" s="46" t="n">
        <f aca="false">-In_Lease*$F24*CA65*CA16*CA$6</f>
        <v>-58.125484717592</v>
      </c>
      <c r="CB71" s="46" t="n">
        <f aca="false">-In_Lease*$F24*CB65*CB16*CB$6</f>
        <v>-58.125484717592</v>
      </c>
      <c r="CC71" s="46" t="n">
        <f aca="false">-In_Lease*$F24*CC65*CC16*CC$6</f>
        <v>-58.7642263078953</v>
      </c>
      <c r="CD71" s="46" t="n">
        <f aca="false">-In_Lease*$F24*CD65*CD16*CD$6</f>
        <v>-58.7642263078953</v>
      </c>
      <c r="CE71" s="46" t="n">
        <f aca="false">-In_Lease*$F24*CE65*CE16*CE$6</f>
        <v>-58.923911705471</v>
      </c>
      <c r="CF71" s="46" t="n">
        <f aca="false">-In_Lease*$F24*CF65*CF16*CF$6</f>
        <v>-59.5786218355318</v>
      </c>
      <c r="CG71" s="46" t="n">
        <f aca="false">-In_Lease*$F24*CG65*CG16*CG$6</f>
        <v>-60.2333319655926</v>
      </c>
      <c r="CH71" s="46" t="n">
        <f aca="false">-In_Lease*$F24*CH65*CH16*CH$6</f>
        <v>-60.2333319655926</v>
      </c>
      <c r="CI71" s="46" t="n">
        <f aca="false">-In_Lease*$F24*CI65*CI16*CI$6</f>
        <v>-60.3970094981078</v>
      </c>
      <c r="CJ71" s="46" t="n">
        <f aca="false">-In_Lease*$F24*CJ65*CJ16*CJ$6</f>
        <v>-61.0680873814201</v>
      </c>
      <c r="CK71" s="46" t="n">
        <f aca="false">-In_Lease*$F24*CK65*CK16*CK$6</f>
        <v>-61.7391652647324</v>
      </c>
      <c r="CL71" s="46" t="n">
        <f aca="false">-In_Lease*$F24*CL65*CL16*CL$6</f>
        <v>-61.7391652647324</v>
      </c>
      <c r="CM71" s="46" t="n">
        <f aca="false">-In_Lease*$F24*CM65*CM16*CM$6</f>
        <v>-61.9069347355605</v>
      </c>
      <c r="CN71" s="46" t="n">
        <f aca="false">-In_Lease*$F24*CN65*CN16*CN$6</f>
        <v>-62.5947895659556</v>
      </c>
      <c r="CO71" s="46" t="n">
        <f aca="false">-In_Lease*$F24*CO65*CO16*CO$6</f>
        <v>-63.2826443963507</v>
      </c>
      <c r="CP71" s="46" t="n">
        <f aca="false">-In_Lease*$F24*CP65*CP16*CP$6</f>
        <v>-63.2826443963507</v>
      </c>
      <c r="CQ71" s="46" t="n">
        <f aca="false">-In_Lease*$F24*CQ65*CQ16*CQ$6</f>
        <v>-64.1596593051045</v>
      </c>
      <c r="CR71" s="46" t="n">
        <f aca="false">-In_Lease*$F24*CR65*CR16*CR$6</f>
        <v>-64.1596593051045</v>
      </c>
      <c r="CS71" s="46" t="n">
        <f aca="false">-In_Lease*$F24*CS65*CS16*CS$6</f>
        <v>-64.8647105062595</v>
      </c>
      <c r="CT71" s="46" t="n">
        <f aca="false">-In_Lease*$F24*CT65*CT16*CT$6</f>
        <v>-64.8647105062595</v>
      </c>
      <c r="CU71" s="46" t="n">
        <f aca="false">-In_Lease*$F24*CU65*CU16*CU$6</f>
        <v>-65.0409733065482</v>
      </c>
      <c r="CV71" s="46" t="n">
        <f aca="false">-In_Lease*$F24*CV65*CV16*CV$6</f>
        <v>-65.7636507877321</v>
      </c>
      <c r="CW71" s="46" t="n">
        <f aca="false">-In_Lease*$F24*CW65*CW16*CW$6</f>
        <v>-66.486328268916</v>
      </c>
      <c r="CX71" s="46" t="n">
        <f aca="false">-In_Lease*$F24*CX65*CX16*CX$6</f>
        <v>-66.486328268916</v>
      </c>
      <c r="CY71" s="46" t="n">
        <f aca="false">-In_Lease*$F24*CY65*CY16*CY$6</f>
        <v>-66.6669976392119</v>
      </c>
      <c r="CZ71" s="46" t="n">
        <f aca="false">-In_Lease*$F24*CZ65*CZ16*CZ$6</f>
        <v>-67.4077420574254</v>
      </c>
      <c r="DA71" s="46" t="n">
        <f aca="false">-In_Lease*$F24*DA65*DA16*DA$6</f>
        <v>-68.1484864756389</v>
      </c>
      <c r="DB71" s="46" t="n">
        <f aca="false">-In_Lease*$F24*DB65*DB16*DB$6</f>
        <v>-68.1484864756389</v>
      </c>
      <c r="DC71" s="46" t="n">
        <f aca="false">-In_Lease*$F24*DC65*DC16*DC$6</f>
        <v>-68.3336725801922</v>
      </c>
      <c r="DD71" s="46" t="n">
        <f aca="false">-In_Lease*$F24*DD65*DD16*DD$6</f>
        <v>-69.0929356088611</v>
      </c>
      <c r="DE71" s="46" t="n">
        <f aca="false">-In_Lease*$F24*DE65*DE16*DE$6</f>
        <v>-69.8521986375299</v>
      </c>
      <c r="DF71" s="46" t="n">
        <f aca="false">-In_Lease*$F24*DF65*DF16*DF$6</f>
        <v>-69.8521986375299</v>
      </c>
      <c r="DG71" s="46" t="n">
        <f aca="false">-In_Lease*$F24*DG65*DG16*DG$6</f>
        <v>-70.8202589990826</v>
      </c>
      <c r="DH71" s="46" t="n">
        <f aca="false">-In_Lease*$F24*DH65*DH16*DH$6</f>
        <v>-70.8202589990826</v>
      </c>
      <c r="DI71" s="46" t="n">
        <f aca="false">-In_Lease*$F24*DI65*DI16*DI$6</f>
        <v>-71.5985036034681</v>
      </c>
      <c r="DJ71" s="46" t="n">
        <f aca="false">-In_Lease*$F24*DJ65*DJ16*DJ$6</f>
        <v>-71.5985036034681</v>
      </c>
      <c r="DK71" s="46" t="n">
        <f aca="false">-In_Lease*$F24*DK65*DK16*DK$6</f>
        <v>-71.7930647545645</v>
      </c>
      <c r="DL71" s="46" t="n">
        <f aca="false">-In_Lease*$F24*DL65*DL16*DL$6</f>
        <v>-72.5907654740596</v>
      </c>
      <c r="DM71" s="46" t="n">
        <f aca="false">-In_Lease*$F24*DM65*DM16*DM$6</f>
        <v>-73.3884661935548</v>
      </c>
      <c r="DN71" s="46" t="n">
        <f aca="false">-In_Lease*$F24*DN65*DN16*DN$6</f>
        <v>-73.3884661935548</v>
      </c>
      <c r="DO71" s="46" t="n">
        <f aca="false">-In_Lease*$F24*DO65*DO16*DO$6</f>
        <v>-73.5878913734286</v>
      </c>
      <c r="DP71" s="46" t="n">
        <f aca="false">-In_Lease*$F24*DP65*DP16*DP$6</f>
        <v>-74.4055346109111</v>
      </c>
      <c r="DQ71" s="46" t="n">
        <f aca="false">-In_Lease*$F24*DQ65*DQ16*DQ$6</f>
        <v>-75.2231778483937</v>
      </c>
      <c r="DR71" s="46" t="n">
        <f aca="false">-In_Lease*$F24*DR65*DR16*DR$6</f>
        <v>-75.2231778483937</v>
      </c>
      <c r="DS71" s="46" t="n">
        <f aca="false">-In_Lease*$F24*DS65*DS16*DS$6</f>
        <v>-75.4275886577643</v>
      </c>
      <c r="DT71" s="46" t="n">
        <f aca="false">-In_Lease*$F24*DT65*DT16*DT$6</f>
        <v>-76.2656729761839</v>
      </c>
      <c r="DU71" s="46" t="n">
        <f aca="false">-In_Lease*$F24*DU65*DU16*DU$6</f>
        <v>-77.1037572946035</v>
      </c>
      <c r="DV71" s="46" t="n">
        <f aca="false">-In_Lease*$F24*DV65*DV16*DV$6</f>
        <v>-77.1037572946035</v>
      </c>
      <c r="DW71" s="46" t="n">
        <f aca="false">-In_Lease*$F24*DW65*DW16*DW$6</f>
        <v>-78.1723148005885</v>
      </c>
      <c r="DX71" s="46" t="n">
        <f aca="false">-In_Lease*$F24*DX65*DX16*DX$6</f>
        <v>-78.1723148005885</v>
      </c>
      <c r="DY71" s="46" t="n">
        <f aca="false">-In_Lease*$F24*DY65*DY16*DY$6</f>
        <v>-79.0313512269686</v>
      </c>
      <c r="DZ71" s="46" t="n">
        <f aca="false">-In_Lease*$F24*DZ65*DZ16*DZ$6</f>
        <v>-79.0313512269686</v>
      </c>
      <c r="EA71" s="46" t="n">
        <f aca="false">-In_Lease*$F24*EA65*EA16*EA$6</f>
        <v>-79.2461103335636</v>
      </c>
      <c r="EB71" s="46" t="n">
        <f aca="false">-In_Lease*$F24*EB65*EB16*EB$6</f>
        <v>-80.1266226706032</v>
      </c>
      <c r="EC71" s="46" t="n">
        <f aca="false">-In_Lease*$F24*EC65*EC16*EC$6</f>
        <v>-81.0071350076428</v>
      </c>
      <c r="ED71" s="46" t="n">
        <f aca="false">-In_Lease*$F24*ED65*ED16*ED$6</f>
        <v>-81.0071350076428</v>
      </c>
      <c r="EE71" s="46" t="n">
        <f aca="false">-In_Lease*$F24*EE65*EE16*EE$6</f>
        <v>-81.2272630919027</v>
      </c>
      <c r="EF71" s="46" t="n">
        <f aca="false">-In_Lease*$F24*EF65*EF16*EF$6</f>
        <v>-82.1297882373683</v>
      </c>
      <c r="EG71" s="46" t="n">
        <f aca="false">-In_Lease*$F24*EG65*EG16*EG$6</f>
        <v>-83.0323133828338</v>
      </c>
      <c r="EH71" s="46" t="n">
        <f aca="false">-In_Lease*$F24*EH65*EH16*EH$6</f>
        <v>-83.0323133828338</v>
      </c>
      <c r="EI71" s="46" t="n">
        <f aca="false">-In_Lease*$F24*EI65*EI16*EI$6</f>
        <v>-83.2579446692002</v>
      </c>
      <c r="EJ71" s="46" t="n">
        <f aca="false">-In_Lease*$F24*EJ65*EJ16*EJ$6</f>
        <v>-84.1830329433024</v>
      </c>
      <c r="EK71" s="46" t="n">
        <f aca="false">-In_Lease*$F24*EK65*EK16*EK$6</f>
        <v>-85.1081212174047</v>
      </c>
      <c r="EL71" s="46" t="n">
        <f aca="false">-In_Lease*$F24*EL65*EL16*EL$6</f>
        <v>-85.1081212174047</v>
      </c>
      <c r="EM71" s="46" t="n">
        <f aca="false">-In_Lease*$F24*EM65*EM16*EM$6</f>
        <v>-86.287608766885</v>
      </c>
      <c r="EN71" s="46" t="n">
        <f aca="false">-In_Lease*$F24*EN65*EN16*EN$6</f>
        <v>-86.287608766885</v>
      </c>
      <c r="EO71" s="46" t="n">
        <f aca="false">-In_Lease*$F24*EO65*EO16*EO$6</f>
        <v>-87.2358242478398</v>
      </c>
    </row>
    <row r="72" customFormat="false" ht="15" hidden="false" customHeight="false" outlineLevel="0" collapsed="false">
      <c r="C72" s="0" t="s">
        <v>402</v>
      </c>
      <c r="D72" s="11" t="s">
        <v>33</v>
      </c>
      <c r="I72" s="46" t="n">
        <f aca="false">SUM(J72:EO72)</f>
        <v>-9554.32311667406</v>
      </c>
      <c r="J72" s="46" t="n">
        <f aca="false">-J68*(In_MEKH+In_HIPA+In_Innovation)</f>
        <v>-0</v>
      </c>
      <c r="K72" s="46" t="n">
        <f aca="false">-K68*(In_MEKH+In_HIPA+In_Innovation)</f>
        <v>-0</v>
      </c>
      <c r="L72" s="46" t="n">
        <f aca="false">-L68*(In_MEKH+In_HIPA+In_Innovation)</f>
        <v>-0</v>
      </c>
      <c r="M72" s="46" t="n">
        <f aca="false">-M68*(In_MEKH+In_HIPA+In_Innovation)</f>
        <v>-0</v>
      </c>
      <c r="N72" s="46" t="n">
        <f aca="false">-N68*(In_MEKH+In_HIPA+In_Innovation)</f>
        <v>-0</v>
      </c>
      <c r="O72" s="46" t="n">
        <f aca="false">-O68*(In_MEKH+In_HIPA+In_Innovation)</f>
        <v>-0</v>
      </c>
      <c r="P72" s="46" t="n">
        <f aca="false">-P68*(In_MEKH+In_HIPA+In_Innovation)</f>
        <v>-0</v>
      </c>
      <c r="Q72" s="46" t="n">
        <f aca="false">-Q68*(In_MEKH+In_HIPA+In_Innovation)</f>
        <v>-0</v>
      </c>
      <c r="R72" s="46" t="n">
        <f aca="false">-R68*(In_MEKH+In_HIPA+In_Innovation)</f>
        <v>-0</v>
      </c>
      <c r="S72" s="46" t="n">
        <f aca="false">-S68*(In_MEKH+In_HIPA+In_Innovation)</f>
        <v>-0</v>
      </c>
      <c r="T72" s="46" t="n">
        <f aca="false">-T68*(In_MEKH+In_HIPA+In_Innovation)</f>
        <v>-0</v>
      </c>
      <c r="U72" s="46" t="n">
        <f aca="false">-U68*(In_MEKH+In_HIPA+In_Innovation)</f>
        <v>-0</v>
      </c>
      <c r="V72" s="46" t="n">
        <f aca="false">-V68*(In_MEKH+In_HIPA+In_Innovation)</f>
        <v>-0</v>
      </c>
      <c r="W72" s="46" t="n">
        <f aca="false">-W68*(In_MEKH+In_HIPA+In_Innovation)</f>
        <v>-0</v>
      </c>
      <c r="X72" s="46" t="n">
        <f aca="false">-X68*(In_MEKH+In_HIPA+In_Innovation)</f>
        <v>-0</v>
      </c>
      <c r="Y72" s="46" t="n">
        <f aca="false">-Y68*(In_MEKH+In_HIPA+In_Innovation)</f>
        <v>-0</v>
      </c>
      <c r="Z72" s="46" t="n">
        <f aca="false">-Z68*(In_MEKH+In_HIPA+In_Innovation)</f>
        <v>-71.8611264</v>
      </c>
      <c r="AA72" s="46" t="n">
        <f aca="false">-AA68*(In_MEKH+In_HIPA+In_Innovation)</f>
        <v>-71.00191728</v>
      </c>
      <c r="AB72" s="46" t="n">
        <f aca="false">-AB68*(In_MEKH+In_HIPA+In_Innovation)</f>
        <v>-71.790827472</v>
      </c>
      <c r="AC72" s="46" t="n">
        <f aca="false">-AC68*(In_MEKH+In_HIPA+In_Innovation)</f>
        <v>-72.579737664</v>
      </c>
      <c r="AD72" s="46" t="n">
        <f aca="false">-AD68*(In_MEKH+In_HIPA+In_Innovation)</f>
        <v>-72.361998451008</v>
      </c>
      <c r="AE72" s="46" t="n">
        <f aca="false">-AE68*(In_MEKH+In_HIPA+In_Innovation)</f>
        <v>-72.2912095394799</v>
      </c>
      <c r="AF72" s="46" t="n">
        <f aca="false">-AF68*(In_MEKH+In_HIPA+In_Innovation)</f>
        <v>-72.2912095394799</v>
      </c>
      <c r="AG72" s="46" t="n">
        <f aca="false">-AG68*(In_MEKH+In_HIPA+In_Innovation)</f>
        <v>-73.0856184355181</v>
      </c>
      <c r="AH72" s="46" t="n">
        <f aca="false">-AH68*(In_MEKH+In_HIPA+In_Innovation)</f>
        <v>-72.8663615802116</v>
      </c>
      <c r="AI72" s="46" t="n">
        <f aca="false">-AI68*(In_MEKH+In_HIPA+In_Innovation)</f>
        <v>-71.9951333439264</v>
      </c>
      <c r="AJ72" s="46" t="n">
        <f aca="false">-AJ68*(In_MEKH+In_HIPA+In_Innovation)</f>
        <v>-72.7950792699701</v>
      </c>
      <c r="AK72" s="46" t="n">
        <f aca="false">-AK68*(In_MEKH+In_HIPA+In_Innovation)</f>
        <v>-73.5950251960137</v>
      </c>
      <c r="AL72" s="46" t="n">
        <f aca="false">-AL68*(In_MEKH+In_HIPA+In_Innovation)</f>
        <v>-73.3742401204257</v>
      </c>
      <c r="AM72" s="46" t="n">
        <f aca="false">-AM68*(In_MEKH+In_HIPA+In_Innovation)</f>
        <v>-72.4969394233336</v>
      </c>
      <c r="AN72" s="46" t="n">
        <f aca="false">-AN68*(In_MEKH+In_HIPA+In_Innovation)</f>
        <v>-73.3024609724817</v>
      </c>
      <c r="AO72" s="46" t="n">
        <f aca="false">-AO68*(In_MEKH+In_HIPA+In_Innovation)</f>
        <v>-74.1079825216299</v>
      </c>
      <c r="AP72" s="46" t="n">
        <f aca="false">-AP68*(In_MEKH+In_HIPA+In_Innovation)</f>
        <v>-73.885658574065</v>
      </c>
      <c r="AQ72" s="46" t="n">
        <f aca="false">-AQ68*(In_MEKH+In_HIPA+In_Innovation)</f>
        <v>-73.0022430911142</v>
      </c>
      <c r="AR72" s="46" t="n">
        <f aca="false">-AR68*(In_MEKH+In_HIPA+In_Innovation)</f>
        <v>-73.81337912546</v>
      </c>
      <c r="AS72" s="46" t="n">
        <f aca="false">-AS68*(In_MEKH+In_HIPA+In_Innovation)</f>
        <v>-74.6245151598057</v>
      </c>
      <c r="AT72" s="46" t="n">
        <f aca="false">-AT68*(In_MEKH+In_HIPA+In_Innovation)</f>
        <v>-74.4006416143263</v>
      </c>
      <c r="AU72" s="46" t="n">
        <f aca="false">-AU68*(In_MEKH+In_HIPA+In_Innovation)</f>
        <v>-74.3278583779644</v>
      </c>
      <c r="AV72" s="46" t="n">
        <f aca="false">-AV68*(In_MEKH+In_HIPA+In_Innovation)</f>
        <v>-74.3278583779644</v>
      </c>
      <c r="AW72" s="46" t="n">
        <f aca="false">-AW68*(In_MEKH+In_HIPA+In_Innovation)</f>
        <v>-75.1446480304695</v>
      </c>
      <c r="AX72" s="46" t="n">
        <f aca="false">-AX68*(In_MEKH+In_HIPA+In_Innovation)</f>
        <v>-74.9192140863781</v>
      </c>
      <c r="AY72" s="46" t="n">
        <f aca="false">-AY68*(In_MEKH+In_HIPA+In_Innovation)</f>
        <v>-74.0234408744757</v>
      </c>
      <c r="AZ72" s="46" t="n">
        <f aca="false">-AZ68*(In_MEKH+In_HIPA+In_Innovation)</f>
        <v>-74.8459235508588</v>
      </c>
      <c r="BA72" s="46" t="n">
        <f aca="false">-BA68*(In_MEKH+In_HIPA+In_Innovation)</f>
        <v>-75.6684062272419</v>
      </c>
      <c r="BB72" s="46" t="n">
        <f aca="false">-BB68*(In_MEKH+In_HIPA+In_Innovation)</f>
        <v>-75.4414010085602</v>
      </c>
      <c r="BC72" s="46" t="n">
        <f aca="false">-BC68*(In_MEKH+In_HIPA+In_Innovation)</f>
        <v>-74.5393842573708</v>
      </c>
      <c r="BD72" s="46" t="n">
        <f aca="false">-BD68*(In_MEKH+In_HIPA+In_Innovation)</f>
        <v>-75.3675996380083</v>
      </c>
      <c r="BE72" s="46" t="n">
        <f aca="false">-BE68*(In_MEKH+In_HIPA+In_Innovation)</f>
        <v>-76.1958150186458</v>
      </c>
      <c r="BF72" s="46" t="n">
        <f aca="false">-BF68*(In_MEKH+In_HIPA+In_Innovation)</f>
        <v>-75.9672275735898</v>
      </c>
      <c r="BG72" s="46" t="n">
        <f aca="false">-BG68*(In_MEKH+In_HIPA+In_Innovation)</f>
        <v>-75.0589237656447</v>
      </c>
      <c r="BH72" s="46" t="n">
        <f aca="false">-BH68*(In_MEKH+In_HIPA+In_Innovation)</f>
        <v>-75.8929118074852</v>
      </c>
      <c r="BI72" s="46" t="n">
        <f aca="false">-BI68*(In_MEKH+In_HIPA+In_Innovation)</f>
        <v>-76.7268998493257</v>
      </c>
      <c r="BJ72" s="46" t="n">
        <f aca="false">-BJ68*(In_MEKH+In_HIPA+In_Innovation)</f>
        <v>-76.4967191497777</v>
      </c>
      <c r="BK72" s="46" t="n">
        <f aca="false">-BK68*(In_MEKH+In_HIPA+In_Innovation)</f>
        <v>-76.4218854027834</v>
      </c>
      <c r="BL72" s="46" t="n">
        <f aca="false">-BL68*(In_MEKH+In_HIPA+In_Innovation)</f>
        <v>-76.4218854027834</v>
      </c>
      <c r="BM72" s="46" t="n">
        <f aca="false">-BM68*(In_MEKH+In_HIPA+In_Innovation)</f>
        <v>-77.2616863412755</v>
      </c>
      <c r="BN72" s="46" t="n">
        <f aca="false">-BN68*(In_MEKH+In_HIPA+In_Innovation)</f>
        <v>-77.0299012822517</v>
      </c>
      <c r="BO72" s="46" t="n">
        <f aca="false">-BO68*(In_MEKH+In_HIPA+In_Innovation)</f>
        <v>-76.1088915930074</v>
      </c>
      <c r="BP72" s="46" t="n">
        <f aca="false">-BP68*(In_MEKH+In_HIPA+In_Innovation)</f>
        <v>-76.9545459440408</v>
      </c>
      <c r="BQ72" s="46" t="n">
        <f aca="false">-BQ68*(In_MEKH+In_HIPA+In_Innovation)</f>
        <v>-77.8002002950742</v>
      </c>
      <c r="BR72" s="46" t="n">
        <f aca="false">-BR68*(In_MEKH+In_HIPA+In_Innovation)</f>
        <v>-77.566799694189</v>
      </c>
      <c r="BS72" s="46" t="n">
        <f aca="false">-BS68*(In_MEKH+In_HIPA+In_Innovation)</f>
        <v>-76.6393705674106</v>
      </c>
      <c r="BT72" s="46" t="n">
        <f aca="false">-BT68*(In_MEKH+In_HIPA+In_Innovation)</f>
        <v>-77.4909191292708</v>
      </c>
      <c r="BU72" s="46" t="n">
        <f aca="false">-BU68*(In_MEKH+In_HIPA+In_Innovation)</f>
        <v>-78.3424676911309</v>
      </c>
      <c r="BV72" s="46" t="n">
        <f aca="false">-BV68*(In_MEKH+In_HIPA+In_Innovation)</f>
        <v>-78.1074402880575</v>
      </c>
      <c r="BW72" s="46" t="n">
        <f aca="false">-BW68*(In_MEKH+In_HIPA+In_Innovation)</f>
        <v>-77.1735469802655</v>
      </c>
      <c r="BX72" s="46" t="n">
        <f aca="false">-BX68*(In_MEKH+In_HIPA+In_Innovation)</f>
        <v>-78.0310308356018</v>
      </c>
      <c r="BY72" s="46" t="n">
        <f aca="false">-BY68*(In_MEKH+In_HIPA+In_Innovation)</f>
        <v>-78.888514690938</v>
      </c>
      <c r="BZ72" s="46" t="n">
        <f aca="false">-BZ68*(In_MEKH+In_HIPA+In_Innovation)</f>
        <v>-78.6518491468652</v>
      </c>
      <c r="CA72" s="46" t="n">
        <f aca="false">-CA68*(In_MEKH+In_HIPA+In_Innovation)</f>
        <v>-78.5749071205259</v>
      </c>
      <c r="CB72" s="46" t="n">
        <f aca="false">-CB68*(In_MEKH+In_HIPA+In_Innovation)</f>
        <v>-78.5749071205259</v>
      </c>
      <c r="CC72" s="46" t="n">
        <f aca="false">-CC68*(In_MEKH+In_HIPA+In_Innovation)</f>
        <v>-79.4383676383339</v>
      </c>
      <c r="CD72" s="46" t="n">
        <f aca="false">-CD68*(In_MEKH+In_HIPA+In_Innovation)</f>
        <v>-79.2000525354189</v>
      </c>
      <c r="CE72" s="46" t="n">
        <f aca="false">-CE68*(In_MEKH+In_HIPA+In_Innovation)</f>
        <v>-78.2530953855389</v>
      </c>
      <c r="CF72" s="46" t="n">
        <f aca="false">-CF68*(In_MEKH+In_HIPA+In_Innovation)</f>
        <v>-79.122574223156</v>
      </c>
      <c r="CG72" s="46" t="n">
        <f aca="false">-CG68*(In_MEKH+In_HIPA+In_Innovation)</f>
        <v>-79.9920530607731</v>
      </c>
      <c r="CH72" s="46" t="n">
        <f aca="false">-CH68*(In_MEKH+In_HIPA+In_Innovation)</f>
        <v>-79.7520769015908</v>
      </c>
      <c r="CI72" s="46" t="n">
        <f aca="false">-CI68*(In_MEKH+In_HIPA+In_Innovation)</f>
        <v>-78.7985194603761</v>
      </c>
      <c r="CJ72" s="46" t="n">
        <f aca="false">-CJ68*(In_MEKH+In_HIPA+In_Innovation)</f>
        <v>-79.6740585654914</v>
      </c>
      <c r="CK72" s="46" t="n">
        <f aca="false">-CK68*(In_MEKH+In_HIPA+In_Innovation)</f>
        <v>-80.5495976706067</v>
      </c>
      <c r="CL72" s="46" t="n">
        <f aca="false">-CL68*(In_MEKH+In_HIPA+In_Innovation)</f>
        <v>-80.3079488775948</v>
      </c>
      <c r="CM72" s="46" t="n">
        <f aca="false">-CM68*(In_MEKH+In_HIPA+In_Innovation)</f>
        <v>-79.3477451410149</v>
      </c>
      <c r="CN72" s="46" t="n">
        <f aca="false">-CN68*(In_MEKH+In_HIPA+In_Innovation)</f>
        <v>-80.2293867536928</v>
      </c>
      <c r="CO72" s="46" t="n">
        <f aca="false">-CO68*(In_MEKH+In_HIPA+In_Innovation)</f>
        <v>-81.1110283663708</v>
      </c>
      <c r="CP72" s="46" t="n">
        <f aca="false">-CP68*(In_MEKH+In_HIPA+In_Innovation)</f>
        <v>-80.8676952812717</v>
      </c>
      <c r="CQ72" s="46" t="n">
        <f aca="false">-CQ68*(In_MEKH+In_HIPA+In_Innovation)</f>
        <v>-80.7885855793661</v>
      </c>
      <c r="CR72" s="46" t="n">
        <f aca="false">-CR68*(In_MEKH+In_HIPA+In_Innovation)</f>
        <v>-80.7885855793661</v>
      </c>
      <c r="CS72" s="46" t="n">
        <f aca="false">-CS68*(In_MEKH+In_HIPA+In_Innovation)</f>
        <v>-81.6763722340844</v>
      </c>
      <c r="CT72" s="46" t="n">
        <f aca="false">-CT68*(In_MEKH+In_HIPA+In_Innovation)</f>
        <v>-81.4313431173821</v>
      </c>
      <c r="CU72" s="46" t="n">
        <f aca="false">-CU68*(In_MEKH+In_HIPA+In_Innovation)</f>
        <v>-80.4577074931526</v>
      </c>
      <c r="CV72" s="46" t="n">
        <f aca="false">-CV68*(In_MEKH+In_HIPA+In_Innovation)</f>
        <v>-81.3516820208543</v>
      </c>
      <c r="CW72" s="46" t="n">
        <f aca="false">-CW68*(In_MEKH+In_HIPA+In_Innovation)</f>
        <v>-82.245656548556</v>
      </c>
      <c r="CX72" s="46" t="n">
        <f aca="false">-CX68*(In_MEKH+In_HIPA+In_Innovation)</f>
        <v>-81.9989195789103</v>
      </c>
      <c r="CY72" s="46" t="n">
        <f aca="false">-CY68*(In_MEKH+In_HIPA+In_Innovation)</f>
        <v>-81.0184977143799</v>
      </c>
      <c r="CZ72" s="46" t="n">
        <f aca="false">-CZ68*(In_MEKH+In_HIPA+In_Innovation)</f>
        <v>-81.9187032445396</v>
      </c>
      <c r="DA72" s="46" t="n">
        <f aca="false">-DA68*(In_MEKH+In_HIPA+In_Innovation)</f>
        <v>-82.8189087746994</v>
      </c>
      <c r="DB72" s="46" t="n">
        <f aca="false">-DB68*(In_MEKH+In_HIPA+In_Innovation)</f>
        <v>-82.5704520483753</v>
      </c>
      <c r="DC72" s="46" t="n">
        <f aca="false">-DC68*(In_MEKH+In_HIPA+In_Innovation)</f>
        <v>-81.5831966434491</v>
      </c>
      <c r="DD72" s="46" t="n">
        <f aca="false">-DD68*(In_MEKH+In_HIPA+In_Innovation)</f>
        <v>-82.4896766061541</v>
      </c>
      <c r="DE72" s="46" t="n">
        <f aca="false">-DE68*(In_MEKH+In_HIPA+In_Innovation)</f>
        <v>-83.3961565688591</v>
      </c>
      <c r="DF72" s="46" t="n">
        <f aca="false">-DF68*(In_MEKH+In_HIPA+In_Innovation)</f>
        <v>-83.1459680991525</v>
      </c>
      <c r="DG72" s="46" t="n">
        <f aca="false">-DG68*(In_MEKH+In_HIPA+In_Innovation)</f>
        <v>-83.0646296520989</v>
      </c>
      <c r="DH72" s="46" t="n">
        <f aca="false">-DH68*(In_MEKH+In_HIPA+In_Innovation)</f>
        <v>-83.0646296520989</v>
      </c>
      <c r="DI72" s="46" t="n">
        <f aca="false">-DI68*(In_MEKH+In_HIPA+In_Innovation)</f>
        <v>-83.977427780144</v>
      </c>
      <c r="DJ72" s="46" t="n">
        <f aca="false">-DJ68*(In_MEKH+In_HIPA+In_Innovation)</f>
        <v>-83.7254954968036</v>
      </c>
      <c r="DK72" s="46" t="n">
        <f aca="false">-DK68*(In_MEKH+In_HIPA+In_Innovation)</f>
        <v>-82.7244297897766</v>
      </c>
      <c r="DL72" s="46" t="n">
        <f aca="false">-DL68*(In_MEKH+In_HIPA+In_Innovation)</f>
        <v>-83.6435901207741</v>
      </c>
      <c r="DM72" s="46" t="n">
        <f aca="false">-DM68*(In_MEKH+In_HIPA+In_Innovation)</f>
        <v>-84.5627504517716</v>
      </c>
      <c r="DN72" s="46" t="n">
        <f aca="false">-DN68*(In_MEKH+In_HIPA+In_Innovation)</f>
        <v>-84.3090622004163</v>
      </c>
      <c r="DO72" s="46" t="n">
        <f aca="false">-DO68*(In_MEKH+In_HIPA+In_Innovation)</f>
        <v>-83.3010190654113</v>
      </c>
      <c r="DP72" s="46" t="n">
        <f aca="false">-DP68*(In_MEKH+In_HIPA+In_Innovation)</f>
        <v>-84.2265859439159</v>
      </c>
      <c r="DQ72" s="46" t="n">
        <f aca="false">-DQ68*(In_MEKH+In_HIPA+In_Innovation)</f>
        <v>-85.1521528224205</v>
      </c>
      <c r="DR72" s="46" t="n">
        <f aca="false">-DR68*(In_MEKH+In_HIPA+In_Innovation)</f>
        <v>-84.8966963639532</v>
      </c>
      <c r="DS72" s="46" t="n">
        <f aca="false">-DS68*(In_MEKH+In_HIPA+In_Innovation)</f>
        <v>-83.8816271682972</v>
      </c>
      <c r="DT72" s="46" t="n">
        <f aca="false">-DT68*(In_MEKH+In_HIPA+In_Innovation)</f>
        <v>-84.813645247945</v>
      </c>
      <c r="DU72" s="46" t="n">
        <f aca="false">-DU68*(In_MEKH+In_HIPA+In_Innovation)</f>
        <v>-85.7456633275927</v>
      </c>
      <c r="DV72" s="46" t="n">
        <f aca="false">-DV68*(In_MEKH+In_HIPA+In_Innovation)</f>
        <v>-85.48842633761</v>
      </c>
      <c r="DW72" s="46" t="n">
        <f aca="false">-DW68*(In_MEKH+In_HIPA+In_Innovation)</f>
        <v>-85.4047963553232</v>
      </c>
      <c r="DX72" s="46" t="n">
        <f aca="false">-DX68*(In_MEKH+In_HIPA+In_Innovation)</f>
        <v>-85.4047963553232</v>
      </c>
      <c r="DY72" s="46" t="n">
        <f aca="false">-DY68*(In_MEKH+In_HIPA+In_Innovation)</f>
        <v>-86.3433106009861</v>
      </c>
      <c r="DZ72" s="46" t="n">
        <f aca="false">-DZ68*(In_MEKH+In_HIPA+In_Innovation)</f>
        <v>-86.0842806691831</v>
      </c>
      <c r="EA72" s="46" t="n">
        <f aca="false">-EA68*(In_MEKH+In_HIPA+In_Innovation)</f>
        <v>-85.0550120959646</v>
      </c>
      <c r="EB72" s="46" t="n">
        <f aca="false">-EB68*(In_MEKH+In_HIPA+In_Innovation)</f>
        <v>-86.0000677859198</v>
      </c>
      <c r="EC72" s="46" t="n">
        <f aca="false">-EC68*(In_MEKH+In_HIPA+In_Innovation)</f>
        <v>-86.9451234758749</v>
      </c>
      <c r="ED72" s="46" t="n">
        <f aca="false">-ED68*(In_MEKH+In_HIPA+In_Innovation)</f>
        <v>-86.6842881054473</v>
      </c>
      <c r="EE72" s="46" t="n">
        <f aca="false">-EE68*(In_MEKH+In_HIPA+In_Innovation)</f>
        <v>-85.6478455302735</v>
      </c>
      <c r="EF72" s="46" t="n">
        <f aca="false">-EF68*(In_MEKH+In_HIPA+In_Innovation)</f>
        <v>-86.5994882583876</v>
      </c>
      <c r="EG72" s="46" t="n">
        <f aca="false">-EG68*(In_MEKH+In_HIPA+In_Innovation)</f>
        <v>-87.5511309865018</v>
      </c>
      <c r="EH72" s="46" t="n">
        <f aca="false">-EH68*(In_MEKH+In_HIPA+In_Innovation)</f>
        <v>-87.2884775935423</v>
      </c>
      <c r="EI72" s="46" t="n">
        <f aca="false">-EI68*(In_MEKH+In_HIPA+In_Innovation)</f>
        <v>-86.2448110136195</v>
      </c>
      <c r="EJ72" s="46" t="n">
        <f aca="false">-EJ68*(In_MEKH+In_HIPA+In_Innovation)</f>
        <v>-87.2030866915486</v>
      </c>
      <c r="EK72" s="46" t="n">
        <f aca="false">-EK68*(In_MEKH+In_HIPA+In_Innovation)</f>
        <v>-88.1613623694777</v>
      </c>
      <c r="EL72" s="46" t="n">
        <f aca="false">-EL68*(In_MEKH+In_HIPA+In_Innovation)</f>
        <v>-87.8968782823693</v>
      </c>
      <c r="EM72" s="46" t="n">
        <f aca="false">-EM68*(In_MEKH+In_HIPA+In_Innovation)</f>
        <v>-87.8108922057887</v>
      </c>
      <c r="EN72" s="46" t="n">
        <f aca="false">-EN68*(In_MEKH+In_HIPA+In_Innovation)</f>
        <v>-87.8108922057887</v>
      </c>
      <c r="EO72" s="46" t="n">
        <f aca="false">-EO68*(In_MEKH+In_HIPA+In_Innovation)</f>
        <v>-88.775847065193</v>
      </c>
    </row>
    <row r="73" customFormat="false" ht="15" hidden="false" customHeight="false" outlineLevel="0" collapsed="false">
      <c r="C73" s="0" t="s">
        <v>290</v>
      </c>
      <c r="D73" s="11" t="s">
        <v>33</v>
      </c>
      <c r="I73" s="46" t="n">
        <f aca="false">SUM(J73:EO73)</f>
        <v>-4855.44410223627</v>
      </c>
      <c r="J73" s="46" t="n">
        <f aca="false">In_Opex_Contingency*(J69+J70+J71-J68*In_MEKH)</f>
        <v>-0</v>
      </c>
      <c r="K73" s="46" t="n">
        <f aca="false">In_Opex_Contingency*(K69+K70+K71-K68*In_MEKH)</f>
        <v>-0</v>
      </c>
      <c r="L73" s="46" t="n">
        <f aca="false">In_Opex_Contingency*(L69+L70+L71-L68*In_MEKH)</f>
        <v>-0</v>
      </c>
      <c r="M73" s="46" t="n">
        <f aca="false">In_Opex_Contingency*(M69+M70+M71-M68*In_MEKH)</f>
        <v>-0</v>
      </c>
      <c r="N73" s="46" t="n">
        <f aca="false">In_Opex_Contingency*(N69+N70+N71-N68*In_MEKH)</f>
        <v>-0</v>
      </c>
      <c r="O73" s="46" t="n">
        <f aca="false">In_Opex_Contingency*(O69+O70+O71-O68*In_MEKH)</f>
        <v>-0</v>
      </c>
      <c r="P73" s="46" t="n">
        <f aca="false">In_Opex_Contingency*(P69+P70+P71-P68*In_MEKH)</f>
        <v>-0</v>
      </c>
      <c r="Q73" s="46" t="n">
        <f aca="false">In_Opex_Contingency*(Q69+Q70+Q71-Q68*In_MEKH)</f>
        <v>-0</v>
      </c>
      <c r="R73" s="46" t="n">
        <f aca="false">In_Opex_Contingency*(R69+R70+R71-R68*In_MEKH)</f>
        <v>-1.979252401946</v>
      </c>
      <c r="S73" s="46" t="n">
        <f aca="false">In_Opex_Contingency*(S69+S70+S71-S68*In_MEKH)</f>
        <v>-1.98463080521216</v>
      </c>
      <c r="T73" s="46" t="n">
        <f aca="false">In_Opex_Contingency*(T69+T70+T71-T68*In_MEKH)</f>
        <v>-2.00668225860341</v>
      </c>
      <c r="U73" s="46" t="n">
        <f aca="false">In_Opex_Contingency*(U69+U70+U71-U68*In_MEKH)</f>
        <v>-2.02873371199466</v>
      </c>
      <c r="V73" s="46" t="n">
        <f aca="false">In_Opex_Contingency*(V69+V70+V71-V68*In_MEKH)</f>
        <v>-2.02873371199466</v>
      </c>
      <c r="W73" s="46" t="n">
        <f aca="false">In_Opex_Contingency*(W69+W70+W71-W68*In_MEKH)</f>
        <v>-2.03424657534247</v>
      </c>
      <c r="X73" s="46" t="n">
        <f aca="false">In_Opex_Contingency*(X69+X70+X71-X68*In_MEKH)</f>
        <v>-2.05684931506849</v>
      </c>
      <c r="Y73" s="46" t="n">
        <f aca="false">In_Opex_Contingency*(Y69+Y70+Y71-Y68*In_MEKH)</f>
        <v>-2.07945205479452</v>
      </c>
      <c r="Z73" s="46" t="n">
        <f aca="false">In_Opex_Contingency*(Z69+Z70+Z71-Z68*In_MEKH)</f>
        <v>-27.6861487621918</v>
      </c>
      <c r="AA73" s="46" t="n">
        <f aca="false">In_Opex_Contingency*(AA69+AA70+AA71-AA68*In_MEKH)</f>
        <v>-27.759186020589</v>
      </c>
      <c r="AB73" s="46" t="n">
        <f aca="false">In_Opex_Contingency*(AB69+AB70+AB71-AB68*In_MEKH)</f>
        <v>-28.0676214208178</v>
      </c>
      <c r="AC73" s="46" t="n">
        <f aca="false">In_Opex_Contingency*(AC69+AC70+AC71-AC68*In_MEKH)</f>
        <v>-28.3760568210466</v>
      </c>
      <c r="AD73" s="46" t="n">
        <f aca="false">In_Opex_Contingency*(AD69+AD70+AD71-AD68*In_MEKH)</f>
        <v>-28.3500276231862</v>
      </c>
      <c r="AE73" s="46" t="n">
        <f aca="false">In_Opex_Contingency*(AE69+AE70+AE71-AE68*In_MEKH)</f>
        <v>-28.7406852947782</v>
      </c>
      <c r="AF73" s="46" t="n">
        <f aca="false">In_Opex_Contingency*(AF69+AF70+AF71-AF68*In_MEKH)</f>
        <v>-28.7406852947782</v>
      </c>
      <c r="AG73" s="46" t="n">
        <f aca="false">In_Opex_Contingency*(AG69+AG70+AG71-AG68*In_MEKH)</f>
        <v>-29.0565170013142</v>
      </c>
      <c r="AH73" s="46" t="n">
        <f aca="false">In_Opex_Contingency*(AH69+AH70+AH71-AH68*In_MEKH)</f>
        <v>-29.0299238972281</v>
      </c>
      <c r="AI73" s="46" t="n">
        <f aca="false">In_Opex_Contingency*(AI69+AI70+AI71-AI68*In_MEKH)</f>
        <v>-29.1065819877973</v>
      </c>
      <c r="AJ73" s="46" t="n">
        <f aca="false">In_Opex_Contingency*(AJ69+AJ70+AJ71-AJ68*In_MEKH)</f>
        <v>-29.4299884543283</v>
      </c>
      <c r="AK73" s="46" t="n">
        <f aca="false">In_Opex_Contingency*(AK69+AK70+AK71-AK68*In_MEKH)</f>
        <v>-29.7533949208594</v>
      </c>
      <c r="AL73" s="46" t="n">
        <f aca="false">In_Opex_Contingency*(AL69+AL70+AL71-AL68*In_MEKH)</f>
        <v>-29.7262255941876</v>
      </c>
      <c r="AM73" s="46" t="n">
        <f aca="false">In_Opex_Contingency*(AM69+AM70+AM71-AM68*In_MEKH)</f>
        <v>-29.8047602827551</v>
      </c>
      <c r="AN73" s="46" t="n">
        <f aca="false">In_Opex_Contingency*(AN69+AN70+AN71-AN68*In_MEKH)</f>
        <v>-30.1359242858968</v>
      </c>
      <c r="AO73" s="46" t="n">
        <f aca="false">In_Opex_Contingency*(AO69+AO70+AO71-AO68*In_MEKH)</f>
        <v>-30.4670882890385</v>
      </c>
      <c r="AP73" s="46" t="n">
        <f aca="false">In_Opex_Contingency*(AP69+AP70+AP71-AP68*In_MEKH)</f>
        <v>-30.4393301537144</v>
      </c>
      <c r="AQ73" s="46" t="n">
        <f aca="false">In_Opex_Contingency*(AQ69+AQ70+AQ71-AQ68*In_MEKH)</f>
        <v>-30.5197869920154</v>
      </c>
      <c r="AR73" s="46" t="n">
        <f aca="false">In_Opex_Contingency*(AR69+AR70+AR71-AR68*In_MEKH)</f>
        <v>-30.8588957363711</v>
      </c>
      <c r="AS73" s="46" t="n">
        <f aca="false">In_Opex_Contingency*(AS69+AS70+AS71-AS68*In_MEKH)</f>
        <v>-31.1980044807269</v>
      </c>
      <c r="AT73" s="46" t="n">
        <f aca="false">In_Opex_Contingency*(AT69+AT70+AT71-AT68*In_MEKH)</f>
        <v>-31.1696446750663</v>
      </c>
      <c r="AU73" s="46" t="n">
        <f aca="false">In_Opex_Contingency*(AU69+AU70+AU71-AU68*In_MEKH)</f>
        <v>-31.599315546111</v>
      </c>
      <c r="AV73" s="46" t="n">
        <f aca="false">In_Opex_Contingency*(AV69+AV70+AV71-AV68*In_MEKH)</f>
        <v>-31.599315546111</v>
      </c>
      <c r="AW73" s="46" t="n">
        <f aca="false">In_Opex_Contingency*(AW69+AW70+AW71-AW68*In_MEKH)</f>
        <v>-31.9465607718925</v>
      </c>
      <c r="AX73" s="46" t="n">
        <f aca="false">In_Opex_Contingency*(AX69+AX70+AX71-AX68*In_MEKH)</f>
        <v>-31.9175861525529</v>
      </c>
      <c r="AY73" s="46" t="n">
        <f aca="false">In_Opex_Contingency*(AY69+AY70+AY71-AY68*In_MEKH)</f>
        <v>-32.0020283943847</v>
      </c>
      <c r="AZ73" s="46" t="n">
        <f aca="false">In_Opex_Contingency*(AZ69+AZ70+AZ71-AZ68*In_MEKH)</f>
        <v>-32.3576064876556</v>
      </c>
      <c r="BA73" s="46" t="n">
        <f aca="false">In_Opex_Contingency*(BA69+BA70+BA71-BA68*In_MEKH)</f>
        <v>-32.7131845809266</v>
      </c>
      <c r="BB73" s="46" t="n">
        <f aca="false">In_Opex_Contingency*(BB69+BB70+BB71-BB68*In_MEKH)</f>
        <v>-32.6835817167343</v>
      </c>
      <c r="BC73" s="46" t="n">
        <f aca="false">In_Opex_Contingency*(BC69+BC70+BC71-BC68*In_MEKH)</f>
        <v>-32.7700895046566</v>
      </c>
      <c r="BD73" s="46" t="n">
        <f aca="false">In_Opex_Contingency*(BD69+BD70+BD71-BD68*In_MEKH)</f>
        <v>-33.1342016102639</v>
      </c>
      <c r="BE73" s="46" t="n">
        <f aca="false">In_Opex_Contingency*(BE69+BE70+BE71-BE68*In_MEKH)</f>
        <v>-33.4983137158712</v>
      </c>
      <c r="BF73" s="46" t="n">
        <f aca="false">In_Opex_Contingency*(BF69+BF70+BF71-BF68*In_MEKH)</f>
        <v>-33.4680688815128</v>
      </c>
      <c r="BG73" s="46" t="n">
        <f aca="false">In_Opex_Contingency*(BG69+BG70+BG71-BG68*In_MEKH)</f>
        <v>-33.556692353174</v>
      </c>
      <c r="BH73" s="46" t="n">
        <f aca="false">In_Opex_Contingency*(BH69+BH70+BH71-BH68*In_MEKH)</f>
        <v>-33.9295444904315</v>
      </c>
      <c r="BI73" s="46" t="n">
        <f aca="false">In_Opex_Contingency*(BI69+BI70+BI71-BI68*In_MEKH)</f>
        <v>-34.302396627689</v>
      </c>
      <c r="BJ73" s="46" t="n">
        <f aca="false">In_Opex_Contingency*(BJ69+BJ70+BJ71-BJ68*In_MEKH)</f>
        <v>-34.271495797265</v>
      </c>
      <c r="BK73" s="46" t="n">
        <f aca="false">In_Opex_Contingency*(BK69+BK70+BK71-BK68*In_MEKH)</f>
        <v>-34.7440894885305</v>
      </c>
      <c r="BL73" s="46" t="n">
        <f aca="false">In_Opex_Contingency*(BL69+BL70+BL71-BL68*In_MEKH)</f>
        <v>-34.7440894885305</v>
      </c>
      <c r="BM73" s="46" t="n">
        <f aca="false">In_Opex_Contingency*(BM69+BM70+BM71-BM68*In_MEKH)</f>
        <v>-35.1258926697232</v>
      </c>
      <c r="BN73" s="46" t="n">
        <f aca="false">In_Opex_Contingency*(BN69+BN70+BN71-BN68*In_MEKH)</f>
        <v>-35.0943215101595</v>
      </c>
      <c r="BO73" s="46" t="n">
        <f aca="false">In_Opex_Contingency*(BO69+BO70+BO71-BO68*In_MEKH)</f>
        <v>-35.1873316599441</v>
      </c>
      <c r="BP73" s="46" t="n">
        <f aca="false">In_Opex_Contingency*(BP69+BP70+BP71-BP68*In_MEKH)</f>
        <v>-35.5783020117213</v>
      </c>
      <c r="BQ73" s="46" t="n">
        <f aca="false">In_Opex_Contingency*(BQ69+BQ70+BQ71-BQ68*In_MEKH)</f>
        <v>-35.9692723634984</v>
      </c>
      <c r="BR73" s="46" t="n">
        <f aca="false">In_Opex_Contingency*(BR69+BR70+BR71-BR68*In_MEKH)</f>
        <v>-35.9370162278146</v>
      </c>
      <c r="BS73" s="46" t="n">
        <f aca="false">In_Opex_Contingency*(BS69+BS70+BS71-BS68*In_MEKH)</f>
        <v>-36.0322998955625</v>
      </c>
      <c r="BT73" s="46" t="n">
        <f aca="false">In_Opex_Contingency*(BT69+BT70+BT71-BT68*In_MEKH)</f>
        <v>-36.432658783291</v>
      </c>
      <c r="BU73" s="46" t="n">
        <f aca="false">In_Opex_Contingency*(BU69+BU70+BU71-BU68*In_MEKH)</f>
        <v>-36.8330176710195</v>
      </c>
      <c r="BV73" s="46" t="n">
        <f aca="false">In_Opex_Contingency*(BV69+BV70+BV71-BV68*In_MEKH)</f>
        <v>-36.8000615914482</v>
      </c>
      <c r="BW73" s="46" t="n">
        <f aca="false">In_Opex_Contingency*(BW69+BW70+BW71-BW68*In_MEKH)</f>
        <v>-36.897673963427</v>
      </c>
      <c r="BX73" s="46" t="n">
        <f aca="false">In_Opex_Contingency*(BX69+BX70+BX71-BX68*In_MEKH)</f>
        <v>-37.3076481185762</v>
      </c>
      <c r="BY73" s="46" t="n">
        <f aca="false">In_Opex_Contingency*(BY69+BY70+BY71-BY68*In_MEKH)</f>
        <v>-37.7176222737254</v>
      </c>
      <c r="BZ73" s="46" t="n">
        <f aca="false">In_Opex_Contingency*(BZ69+BZ70+BZ71-BZ68*In_MEKH)</f>
        <v>-37.6839509546821</v>
      </c>
      <c r="CA73" s="46" t="n">
        <f aca="false">In_Opex_Contingency*(CA69+CA70+CA71-CA68*In_MEKH)</f>
        <v>-38.20377020763</v>
      </c>
      <c r="CB73" s="46" t="n">
        <f aca="false">In_Opex_Contingency*(CB69+CB70+CB71-CB68*In_MEKH)</f>
        <v>-38.20377020763</v>
      </c>
      <c r="CC73" s="46" t="n">
        <f aca="false">In_Opex_Contingency*(CC69+CC70+CC71-CC68*In_MEKH)</f>
        <v>-38.6235918582633</v>
      </c>
      <c r="CD73" s="46" t="n">
        <f aca="false">In_Opex_Contingency*(CD69+CD70+CD71-CD68*In_MEKH)</f>
        <v>-38.5891896691609</v>
      </c>
      <c r="CE73" s="46" t="n">
        <f aca="false">In_Opex_Contingency*(CE69+CE70+CE71-CE68*In_MEKH)</f>
        <v>-38.6916304003514</v>
      </c>
      <c r="CF73" s="46" t="n">
        <f aca="false">In_Opex_Contingency*(CF69+CF70+CF71-CF68*In_MEKH)</f>
        <v>-39.1215374047998</v>
      </c>
      <c r="CG73" s="46" t="n">
        <f aca="false">In_Opex_Contingency*(CG69+CG70+CG71-CG68*In_MEKH)</f>
        <v>-39.5514444092481</v>
      </c>
      <c r="CH73" s="46" t="n">
        <f aca="false">In_Opex_Contingency*(CH69+CH70+CH71-CH68*In_MEKH)</f>
        <v>-39.5162953771545</v>
      </c>
      <c r="CI73" s="46" t="n">
        <f aca="false">In_Opex_Contingency*(CI69+CI70+CI71-CI68*In_MEKH)</f>
        <v>-39.6212385415893</v>
      </c>
      <c r="CJ73" s="46" t="n">
        <f aca="false">In_Opex_Contingency*(CJ69+CJ70+CJ71-CJ68*In_MEKH)</f>
        <v>-40.0614745253848</v>
      </c>
      <c r="CK73" s="46" t="n">
        <f aca="false">In_Opex_Contingency*(CK69+CK70+CK71-CK68*In_MEKH)</f>
        <v>-40.5017105091802</v>
      </c>
      <c r="CL73" s="46" t="n">
        <f aca="false">In_Opex_Contingency*(CL69+CL70+CL71-CL68*In_MEKH)</f>
        <v>-40.4657983113151</v>
      </c>
      <c r="CM73" s="46" t="n">
        <f aca="false">In_Opex_Contingency*(CM69+CM70+CM71-CM68*In_MEKH)</f>
        <v>-40.5733046533978</v>
      </c>
      <c r="CN73" s="46" t="n">
        <f aca="false">In_Opex_Contingency*(CN69+CN70+CN71-CN68*In_MEKH)</f>
        <v>-41.0241191495467</v>
      </c>
      <c r="CO73" s="46" t="n">
        <f aca="false">In_Opex_Contingency*(CO69+CO70+CO71-CO68*In_MEKH)</f>
        <v>-41.4749336456956</v>
      </c>
      <c r="CP73" s="46" t="n">
        <f aca="false">In_Opex_Contingency*(CP69+CP70+CP71-CP68*In_MEKH)</f>
        <v>-41.4382416017625</v>
      </c>
      <c r="CQ73" s="46" t="n">
        <f aca="false">In_Opex_Contingency*(CQ69+CQ70+CQ71-CQ68*In_MEKH)</f>
        <v>-42.0100219336516</v>
      </c>
      <c r="CR73" s="46" t="n">
        <f aca="false">In_Opex_Contingency*(CR69+CR70+CR71-CR68*In_MEKH)</f>
        <v>-42.0100219336516</v>
      </c>
      <c r="CS73" s="46" t="n">
        <f aca="false">In_Opex_Contingency*(CS69+CS70+CS71-CS68*In_MEKH)</f>
        <v>-42.471670526329</v>
      </c>
      <c r="CT73" s="46" t="n">
        <f aca="false">In_Opex_Contingency*(CT69+CT70+CT71-CT68*In_MEKH)</f>
        <v>-42.4341815906792</v>
      </c>
      <c r="CU73" s="46" t="n">
        <f aca="false">In_Opex_Contingency*(CU69+CU70+CU71-CU68*In_MEKH)</f>
        <v>-42.5470024574743</v>
      </c>
      <c r="CV73" s="46" t="n">
        <f aca="false">In_Opex_Contingency*(CV69+CV70+CV71-CV68*In_MEKH)</f>
        <v>-43.019746929224</v>
      </c>
      <c r="CW73" s="46" t="n">
        <f aca="false">In_Opex_Contingency*(CW69+CW70+CW71-CW68*In_MEKH)</f>
        <v>-43.4924914009738</v>
      </c>
      <c r="CX73" s="46" t="n">
        <f aca="false">In_Opex_Contingency*(CX69+CX70+CX71-CX68*In_MEKH)</f>
        <v>-43.4541881545982</v>
      </c>
      <c r="CY73" s="46" t="n">
        <f aca="false">In_Opex_Contingency*(CY69+CY70+CY71-CY68*In_MEKH)</f>
        <v>-43.5697634271779</v>
      </c>
      <c r="CZ73" s="46" t="n">
        <f aca="false">In_Opex_Contingency*(CZ69+CZ70+CZ71-CZ68*In_MEKH)</f>
        <v>-44.0538719097021</v>
      </c>
      <c r="DA73" s="46" t="n">
        <f aca="false">In_Opex_Contingency*(DA69+DA70+DA71-DA68*In_MEKH)</f>
        <v>-44.5379803922263</v>
      </c>
      <c r="DB73" s="46" t="n">
        <f aca="false">In_Opex_Contingency*(DB69+DB70+DB71-DB68*In_MEKH)</f>
        <v>-44.4988450345726</v>
      </c>
      <c r="DC73" s="46" t="n">
        <f aca="false">In_Opex_Contingency*(DC69+DC70+DC71-DC68*In_MEKH)</f>
        <v>-44.6172415765537</v>
      </c>
      <c r="DD73" s="46" t="n">
        <f aca="false">In_Opex_Contingency*(DD69+DD70+DD71-DD68*In_MEKH)</f>
        <v>-45.1129887051821</v>
      </c>
      <c r="DE73" s="46" t="n">
        <f aca="false">In_Opex_Contingency*(DE69+DE70+DE71-DE68*In_MEKH)</f>
        <v>-45.6087358338105</v>
      </c>
      <c r="DF73" s="46" t="n">
        <f aca="false">In_Opex_Contingency*(DF69+DF70+DF71-DF68*In_MEKH)</f>
        <v>-45.5687501744202</v>
      </c>
      <c r="DG73" s="46" t="n">
        <f aca="false">In_Opex_Contingency*(DG69+DG70+DG71-DG68*In_MEKH)</f>
        <v>-46.1977035453506</v>
      </c>
      <c r="DH73" s="46" t="n">
        <f aca="false">In_Opex_Contingency*(DH69+DH70+DH71-DH68*In_MEKH)</f>
        <v>-46.1977035453506</v>
      </c>
      <c r="DI73" s="46" t="n">
        <f aca="false">In_Opex_Contingency*(DI69+DI70+DI71-DI68*In_MEKH)</f>
        <v>-46.7053706172776</v>
      </c>
      <c r="DJ73" s="46" t="n">
        <f aca="false">In_Opex_Contingency*(DJ69+DJ70+DJ71-DJ68*In_MEKH)</f>
        <v>-46.6645160672396</v>
      </c>
      <c r="DK73" s="46" t="n">
        <f aca="false">In_Opex_Contingency*(DK69+DK70+DK71-DK68*In_MEKH)</f>
        <v>-46.7887622744214</v>
      </c>
      <c r="DL73" s="46" t="n">
        <f aca="false">In_Opex_Contingency*(DL69+DL70+DL71-DL68*In_MEKH)</f>
        <v>-47.3086374108039</v>
      </c>
      <c r="DM73" s="46" t="n">
        <f aca="false">In_Opex_Contingency*(DM69+DM70+DM71-DM68*In_MEKH)</f>
        <v>-47.8285125471863</v>
      </c>
      <c r="DN73" s="46" t="n">
        <f aca="false">In_Opex_Contingency*(DN69+DN70+DN71-DN68*In_MEKH)</f>
        <v>-47.786770110404</v>
      </c>
      <c r="DO73" s="46" t="n">
        <f aca="false">In_Opex_Contingency*(DO69+DO70+DO71-DO68*In_MEKH)</f>
        <v>-47.9140480809492</v>
      </c>
      <c r="DP73" s="46" t="n">
        <f aca="false">In_Opex_Contingency*(DP69+DP70+DP71-DP68*In_MEKH)</f>
        <v>-48.4464263929598</v>
      </c>
      <c r="DQ73" s="46" t="n">
        <f aca="false">In_Opex_Contingency*(DQ69+DQ70+DQ71-DQ68*In_MEKH)</f>
        <v>-48.9788047049703</v>
      </c>
      <c r="DR73" s="46" t="n">
        <f aca="false">In_Opex_Contingency*(DR69+DR70+DR71-DR68*In_MEKH)</f>
        <v>-48.9361549692362</v>
      </c>
      <c r="DS73" s="46" t="n">
        <f aca="false">In_Opex_Contingency*(DS69+DS70+DS71-DS68*In_MEKH)</f>
        <v>-49.0665383038425</v>
      </c>
      <c r="DT73" s="46" t="n">
        <f aca="false">In_Opex_Contingency*(DT69+DT70+DT71-DT68*In_MEKH)</f>
        <v>-49.6117220627741</v>
      </c>
      <c r="DU73" s="46" t="n">
        <f aca="false">In_Opex_Contingency*(DU69+DU70+DU71-DU68*In_MEKH)</f>
        <v>-50.1569058217057</v>
      </c>
      <c r="DV73" s="46" t="n">
        <f aca="false">In_Opex_Contingency*(DV69+DV70+DV71-DV68*In_MEKH)</f>
        <v>-50.1133289495808</v>
      </c>
      <c r="DW73" s="46" t="n">
        <f aca="false">In_Opex_Contingency*(DW69+DW70+DW71-DW68*In_MEKH)</f>
        <v>-50.8051918484756</v>
      </c>
      <c r="DX73" s="46" t="n">
        <f aca="false">In_Opex_Contingency*(DX69+DX70+DX71-DX68*In_MEKH)</f>
        <v>-50.8051918484756</v>
      </c>
      <c r="DY73" s="46" t="n">
        <f aca="false">In_Opex_Contingency*(DY69+DY70+DY71-DY68*In_MEKH)</f>
        <v>-51.3634906599973</v>
      </c>
      <c r="DZ73" s="46" t="n">
        <f aca="false">In_Opex_Contingency*(DZ69+DZ70+DZ71-DZ68*In_MEKH)</f>
        <v>-51.318966379491</v>
      </c>
      <c r="EA73" s="46" t="n">
        <f aca="false">In_Opex_Contingency*(EA69+EA70+EA71-EA68*In_MEKH)</f>
        <v>-51.4557884398768</v>
      </c>
      <c r="EB73" s="46" t="n">
        <f aca="false">In_Opex_Contingency*(EB69+EB70+EB71-EB68*In_MEKH)</f>
        <v>-52.0275194225421</v>
      </c>
      <c r="EC73" s="46" t="n">
        <f aca="false">In_Opex_Contingency*(EC69+EC70+EC71-EC68*In_MEKH)</f>
        <v>-52.5992504052074</v>
      </c>
      <c r="ED73" s="46" t="n">
        <f aca="false">In_Opex_Contingency*(ED69+ED70+ED71-ED68*In_MEKH)</f>
        <v>-52.5537580002524</v>
      </c>
      <c r="EE73" s="46" t="n">
        <f aca="false">In_Opex_Contingency*(EE69+EE70+EE71-EE68*In_MEKH)</f>
        <v>-52.6939171300324</v>
      </c>
      <c r="EF73" s="46" t="n">
        <f aca="false">In_Opex_Contingency*(EF69+EF70+EF71-EF68*In_MEKH)</f>
        <v>-53.2794050981439</v>
      </c>
      <c r="EG73" s="46" t="n">
        <f aca="false">In_Opex_Contingency*(EG69+EG70+EG71-EG68*In_MEKH)</f>
        <v>-53.8648930662554</v>
      </c>
      <c r="EH73" s="46" t="n">
        <f aca="false">In_Opex_Contingency*(EH69+EH70+EH71-EH68*In_MEKH)</f>
        <v>-53.8184113669737</v>
      </c>
      <c r="EI73" s="46" t="n">
        <f aca="false">In_Opex_Contingency*(EI69+EI70+EI71-EI68*In_MEKH)</f>
        <v>-53.9619885843489</v>
      </c>
      <c r="EJ73" s="46" t="n">
        <f aca="false">In_Opex_Contingency*(EJ69+EJ70+EJ71-EJ68*In_MEKH)</f>
        <v>-54.5615662352861</v>
      </c>
      <c r="EK73" s="46" t="n">
        <f aca="false">In_Opex_Contingency*(EK69+EK70+EK71-EK68*In_MEKH)</f>
        <v>-55.1611438862233</v>
      </c>
      <c r="EL73" s="46" t="n">
        <f aca="false">In_Opex_Contingency*(EL69+EL70+EL71-EL68*In_MEKH)</f>
        <v>-55.1136512589796</v>
      </c>
      <c r="EM73" s="46" t="n">
        <f aca="false">In_Opex_Contingency*(EM69+EM70+EM71-EM68*In_MEKH)</f>
        <v>-55.8747376568881</v>
      </c>
      <c r="EN73" s="46" t="n">
        <f aca="false">In_Opex_Contingency*(EN69+EN70+EN71-EN68*In_MEKH)</f>
        <v>-55.8747376568881</v>
      </c>
      <c r="EO73" s="46" t="n">
        <f aca="false">In_Opex_Contingency*(EO69+EO70+EO71-EO68*In_MEKH)</f>
        <v>-56.4887457630078</v>
      </c>
    </row>
    <row r="74" customFormat="false" ht="15" hidden="false" customHeight="false" outlineLevel="0" collapsed="false">
      <c r="C74" s="0" t="s">
        <v>23</v>
      </c>
      <c r="D74" s="11" t="s">
        <v>33</v>
      </c>
      <c r="I74" s="46" t="n">
        <f aca="false">SUM(J74:EO74)</f>
        <v>-9487.45919844699</v>
      </c>
      <c r="J74" s="46" t="n">
        <f aca="false">-$E30*J67/Thousand</f>
        <v>-0</v>
      </c>
      <c r="K74" s="46" t="n">
        <f aca="false">-$E30*K67/Thousand</f>
        <v>-0</v>
      </c>
      <c r="L74" s="46" t="n">
        <f aca="false">-$E30*L67/Thousand</f>
        <v>-0</v>
      </c>
      <c r="M74" s="46" t="n">
        <f aca="false">-$E30*M67/Thousand</f>
        <v>-0</v>
      </c>
      <c r="N74" s="46" t="n">
        <f aca="false">-$E30*N67/Thousand</f>
        <v>-0</v>
      </c>
      <c r="O74" s="46" t="n">
        <f aca="false">-$E30*O67/Thousand</f>
        <v>-0</v>
      </c>
      <c r="P74" s="46" t="n">
        <f aca="false">-$E30*P67/Thousand</f>
        <v>-0</v>
      </c>
      <c r="Q74" s="46" t="n">
        <f aca="false">-$E30*Q67/Thousand</f>
        <v>-0</v>
      </c>
      <c r="R74" s="46" t="n">
        <f aca="false">-$E30*R67/Thousand</f>
        <v>-0</v>
      </c>
      <c r="S74" s="46" t="n">
        <f aca="false">-$E30*S67/Thousand</f>
        <v>-0</v>
      </c>
      <c r="T74" s="46" t="n">
        <f aca="false">-$E30*T67/Thousand</f>
        <v>-0</v>
      </c>
      <c r="U74" s="46" t="n">
        <f aca="false">-$E30*U67/Thousand</f>
        <v>-0</v>
      </c>
      <c r="V74" s="46" t="n">
        <f aca="false">-$E30*V67/Thousand</f>
        <v>-0</v>
      </c>
      <c r="W74" s="46" t="n">
        <f aca="false">-$E30*W67/Thousand</f>
        <v>-0</v>
      </c>
      <c r="X74" s="46" t="n">
        <f aca="false">-$E30*X67/Thousand</f>
        <v>-0</v>
      </c>
      <c r="Y74" s="46" t="n">
        <f aca="false">-$E30*Y67/Thousand</f>
        <v>-0</v>
      </c>
      <c r="Z74" s="46" t="n">
        <f aca="false">-$E30*Z67/Thousand</f>
        <v>-83.1726</v>
      </c>
      <c r="AA74" s="46" t="n">
        <f aca="false">-$E30*AA67/Thousand</f>
        <v>-81.3645</v>
      </c>
      <c r="AB74" s="46" t="n">
        <f aca="false">-$E30*AB67/Thousand</f>
        <v>-82.26855</v>
      </c>
      <c r="AC74" s="46" t="n">
        <f aca="false">-$E30*AC67/Thousand</f>
        <v>-83.1726</v>
      </c>
      <c r="AD74" s="46" t="n">
        <f aca="false">-$E30*AD67/Thousand</f>
        <v>-82.9230822</v>
      </c>
      <c r="AE74" s="46" t="n">
        <f aca="false">-$E30*AE67/Thousand</f>
        <v>-82.02174435</v>
      </c>
      <c r="AF74" s="46" t="n">
        <f aca="false">-$E30*AF67/Thousand</f>
        <v>-82.02174435</v>
      </c>
      <c r="AG74" s="46" t="n">
        <f aca="false">-$E30*AG67/Thousand</f>
        <v>-82.9230822</v>
      </c>
      <c r="AH74" s="46" t="n">
        <f aca="false">-$E30*AH67/Thousand</f>
        <v>-82.6743129534001</v>
      </c>
      <c r="AI74" s="46" t="n">
        <f aca="false">-$E30*AI67/Thousand</f>
        <v>-80.8770452805</v>
      </c>
      <c r="AJ74" s="46" t="n">
        <f aca="false">-$E30*AJ67/Thousand</f>
        <v>-81.77567911695</v>
      </c>
      <c r="AK74" s="46" t="n">
        <f aca="false">-$E30*AK67/Thousand</f>
        <v>-82.6743129534001</v>
      </c>
      <c r="AL74" s="46" t="n">
        <f aca="false">-$E30*AL67/Thousand</f>
        <v>-82.4262900145398</v>
      </c>
      <c r="AM74" s="46" t="n">
        <f aca="false">-$E30*AM67/Thousand</f>
        <v>-80.6344141446585</v>
      </c>
      <c r="AN74" s="46" t="n">
        <f aca="false">-$E30*AN67/Thousand</f>
        <v>-81.5303520795992</v>
      </c>
      <c r="AO74" s="46" t="n">
        <f aca="false">-$E30*AO67/Thousand</f>
        <v>-82.4262900145398</v>
      </c>
      <c r="AP74" s="46" t="n">
        <f aca="false">-$E30*AP67/Thousand</f>
        <v>-82.1790111444962</v>
      </c>
      <c r="AQ74" s="46" t="n">
        <f aca="false">-$E30*AQ67/Thousand</f>
        <v>-80.3925109022245</v>
      </c>
      <c r="AR74" s="46" t="n">
        <f aca="false">-$E30*AR67/Thousand</f>
        <v>-81.2857610233604</v>
      </c>
      <c r="AS74" s="46" t="n">
        <f aca="false">-$E30*AS67/Thousand</f>
        <v>-82.1790111444962</v>
      </c>
      <c r="AT74" s="46" t="n">
        <f aca="false">-$E30*AT67/Thousand</f>
        <v>-81.9324741110627</v>
      </c>
      <c r="AU74" s="46" t="n">
        <f aca="false">-$E30*AU67/Thousand</f>
        <v>-81.0419037402903</v>
      </c>
      <c r="AV74" s="46" t="n">
        <f aca="false">-$E30*AV67/Thousand</f>
        <v>-81.0419037402903</v>
      </c>
      <c r="AW74" s="46" t="n">
        <f aca="false">-$E30*AW67/Thousand</f>
        <v>-81.9324741110627</v>
      </c>
      <c r="AX74" s="46" t="n">
        <f aca="false">-$E30*AX67/Thousand</f>
        <v>-81.6866766887295</v>
      </c>
      <c r="AY74" s="46" t="n">
        <f aca="false">-$E30*AY67/Thousand</f>
        <v>-79.9108793694093</v>
      </c>
      <c r="AZ74" s="46" t="n">
        <f aca="false">-$E30*AZ67/Thousand</f>
        <v>-80.7987780290694</v>
      </c>
      <c r="BA74" s="46" t="n">
        <f aca="false">-$E30*BA67/Thousand</f>
        <v>-81.6866766887295</v>
      </c>
      <c r="BB74" s="46" t="n">
        <f aca="false">-$E30*BB67/Thousand</f>
        <v>-81.4416166586634</v>
      </c>
      <c r="BC74" s="46" t="n">
        <f aca="false">-$E30*BC67/Thousand</f>
        <v>-79.6711467313011</v>
      </c>
      <c r="BD74" s="46" t="n">
        <f aca="false">-$E30*BD67/Thousand</f>
        <v>-80.5563816949822</v>
      </c>
      <c r="BE74" s="46" t="n">
        <f aca="false">-$E30*BE67/Thousand</f>
        <v>-81.4416166586634</v>
      </c>
      <c r="BF74" s="46" t="n">
        <f aca="false">-$E30*BF67/Thousand</f>
        <v>-81.1972918086874</v>
      </c>
      <c r="BG74" s="46" t="n">
        <f aca="false">-$E30*BG67/Thousand</f>
        <v>-79.4321332911072</v>
      </c>
      <c r="BH74" s="46" t="n">
        <f aca="false">-$E30*BH67/Thousand</f>
        <v>-80.3147125498973</v>
      </c>
      <c r="BI74" s="46" t="n">
        <f aca="false">-$E30*BI67/Thousand</f>
        <v>-81.1972918086874</v>
      </c>
      <c r="BJ74" s="46" t="n">
        <f aca="false">-$E30*BJ67/Thousand</f>
        <v>-80.9536999332613</v>
      </c>
      <c r="BK74" s="46" t="n">
        <f aca="false">-$E30*BK67/Thousand</f>
        <v>-80.0737684122476</v>
      </c>
      <c r="BL74" s="46" t="n">
        <f aca="false">-$E30*BL67/Thousand</f>
        <v>-80.0737684122476</v>
      </c>
      <c r="BM74" s="46" t="n">
        <f aca="false">-$E30*BM67/Thousand</f>
        <v>-80.9536999332613</v>
      </c>
      <c r="BN74" s="46" t="n">
        <f aca="false">-$E30*BN67/Thousand</f>
        <v>-80.7108388334615</v>
      </c>
      <c r="BO74" s="46" t="n">
        <f aca="false">-$E30*BO67/Thousand</f>
        <v>-78.9562553805602</v>
      </c>
      <c r="BP74" s="46" t="n">
        <f aca="false">-$E30*BP67/Thousand</f>
        <v>-79.8335471070108</v>
      </c>
      <c r="BQ74" s="46" t="n">
        <f aca="false">-$E30*BQ67/Thousand</f>
        <v>-80.7108388334615</v>
      </c>
      <c r="BR74" s="46" t="n">
        <f aca="false">-$E30*BR67/Thousand</f>
        <v>-80.4687063169611</v>
      </c>
      <c r="BS74" s="46" t="n">
        <f aca="false">-$E30*BS67/Thousand</f>
        <v>-78.7193866144185</v>
      </c>
      <c r="BT74" s="46" t="n">
        <f aca="false">-$E30*BT67/Thousand</f>
        <v>-79.5940464656898</v>
      </c>
      <c r="BU74" s="46" t="n">
        <f aca="false">-$E30*BU67/Thousand</f>
        <v>-80.4687063169611</v>
      </c>
      <c r="BV74" s="46" t="n">
        <f aca="false">-$E30*BV67/Thousand</f>
        <v>-80.2273001980102</v>
      </c>
      <c r="BW74" s="46" t="n">
        <f aca="false">-$E30*BW67/Thousand</f>
        <v>-78.4832284545752</v>
      </c>
      <c r="BX74" s="46" t="n">
        <f aca="false">-$E30*BX67/Thousand</f>
        <v>-79.3552643262927</v>
      </c>
      <c r="BY74" s="46" t="n">
        <f aca="false">-$E30*BY67/Thousand</f>
        <v>-80.2273001980102</v>
      </c>
      <c r="BZ74" s="46" t="n">
        <f aca="false">-$E30*BZ67/Thousand</f>
        <v>-79.9866182974162</v>
      </c>
      <c r="CA74" s="46" t="n">
        <f aca="false">-$E30*CA67/Thousand</f>
        <v>-79.1171985333138</v>
      </c>
      <c r="CB74" s="46" t="n">
        <f aca="false">-$E30*CB67/Thousand</f>
        <v>-79.1171985333138</v>
      </c>
      <c r="CC74" s="46" t="n">
        <f aca="false">-$E30*CC67/Thousand</f>
        <v>-79.9866182974162</v>
      </c>
      <c r="CD74" s="46" t="n">
        <f aca="false">-$E30*CD67/Thousand</f>
        <v>-79.746658442524</v>
      </c>
      <c r="CE74" s="46" t="n">
        <f aca="false">-$E30*CE67/Thousand</f>
        <v>-78.0130354329039</v>
      </c>
      <c r="CF74" s="46" t="n">
        <f aca="false">-$E30*CF67/Thousand</f>
        <v>-78.8798469377139</v>
      </c>
      <c r="CG74" s="46" t="n">
        <f aca="false">-$E30*CG67/Thousand</f>
        <v>-79.746658442524</v>
      </c>
      <c r="CH74" s="46" t="n">
        <f aca="false">-$E30*CH67/Thousand</f>
        <v>-79.5074184671964</v>
      </c>
      <c r="CI74" s="46" t="n">
        <f aca="false">-$E30*CI67/Thousand</f>
        <v>-77.7789963266052</v>
      </c>
      <c r="CJ74" s="46" t="n">
        <f aca="false">-$E30*CJ67/Thousand</f>
        <v>-78.6432073969008</v>
      </c>
      <c r="CK74" s="46" t="n">
        <f aca="false">-$E30*CK67/Thousand</f>
        <v>-79.5074184671964</v>
      </c>
      <c r="CL74" s="46" t="n">
        <f aca="false">-$E30*CL67/Thousand</f>
        <v>-79.2688962117948</v>
      </c>
      <c r="CM74" s="46" t="n">
        <f aca="false">-$E30*CM67/Thousand</f>
        <v>-77.5456593376253</v>
      </c>
      <c r="CN74" s="46" t="n">
        <f aca="false">-$E30*CN67/Thousand</f>
        <v>-78.4072777747101</v>
      </c>
      <c r="CO74" s="46" t="n">
        <f aca="false">-$E30*CO67/Thousand</f>
        <v>-79.2688962117948</v>
      </c>
      <c r="CP74" s="46" t="n">
        <f aca="false">-$E30*CP67/Thousand</f>
        <v>-79.0310895231594</v>
      </c>
      <c r="CQ74" s="46" t="n">
        <f aca="false">-$E30*CQ67/Thousand</f>
        <v>-78.172055941386</v>
      </c>
      <c r="CR74" s="46" t="n">
        <f aca="false">-$E30*CR67/Thousand</f>
        <v>-78.172055941386</v>
      </c>
      <c r="CS74" s="46" t="n">
        <f aca="false">-$E30*CS67/Thousand</f>
        <v>-79.0310895231594</v>
      </c>
      <c r="CT74" s="46" t="n">
        <f aca="false">-$E30*CT67/Thousand</f>
        <v>-78.7939962545899</v>
      </c>
      <c r="CU74" s="46" t="n">
        <f aca="false">-$E30*CU67/Thousand</f>
        <v>-77.0810832925336</v>
      </c>
      <c r="CV74" s="46" t="n">
        <f aca="false">-$E30*CV67/Thousand</f>
        <v>-77.9375397735618</v>
      </c>
      <c r="CW74" s="46" t="n">
        <f aca="false">-$E30*CW67/Thousand</f>
        <v>-78.7939962545899</v>
      </c>
      <c r="CX74" s="46" t="n">
        <f aca="false">-$E30*CX67/Thousand</f>
        <v>-78.5576142658262</v>
      </c>
      <c r="CY74" s="46" t="n">
        <f aca="false">-$E30*CY67/Thousand</f>
        <v>-76.849840042656</v>
      </c>
      <c r="CZ74" s="46" t="n">
        <f aca="false">-$E30*CZ67/Thousand</f>
        <v>-77.7037271542411</v>
      </c>
      <c r="DA74" s="46" t="n">
        <f aca="false">-$E30*DA67/Thousand</f>
        <v>-78.5576142658262</v>
      </c>
      <c r="DB74" s="46" t="n">
        <f aca="false">-$E30*DB67/Thousand</f>
        <v>-78.3219414230287</v>
      </c>
      <c r="DC74" s="46" t="n">
        <f aca="false">-$E30*DC67/Thousand</f>
        <v>-76.6192905225281</v>
      </c>
      <c r="DD74" s="46" t="n">
        <f aca="false">-$E30*DD67/Thousand</f>
        <v>-77.4706159727784</v>
      </c>
      <c r="DE74" s="46" t="n">
        <f aca="false">-$E30*DE67/Thousand</f>
        <v>-78.3219414230287</v>
      </c>
      <c r="DF74" s="46" t="n">
        <f aca="false">-$E30*DF67/Thousand</f>
        <v>-78.0869755987596</v>
      </c>
      <c r="DG74" s="46" t="n">
        <f aca="false">-$E30*DG67/Thousand</f>
        <v>-77.2382041248601</v>
      </c>
      <c r="DH74" s="46" t="n">
        <f aca="false">-$E30*DH67/Thousand</f>
        <v>-77.2382041248601</v>
      </c>
      <c r="DI74" s="46" t="n">
        <f aca="false">-$E30*DI67/Thousand</f>
        <v>-78.0869755987596</v>
      </c>
      <c r="DJ74" s="46" t="n">
        <f aca="false">-$E30*DJ67/Thousand</f>
        <v>-77.8527146719633</v>
      </c>
      <c r="DK74" s="46" t="n">
        <f aca="false">-$E30*DK67/Thousand</f>
        <v>-76.1602643530076</v>
      </c>
      <c r="DL74" s="46" t="n">
        <f aca="false">-$E30*DL67/Thousand</f>
        <v>-77.0064895124855</v>
      </c>
      <c r="DM74" s="46" t="n">
        <f aca="false">-$E30*DM67/Thousand</f>
        <v>-77.8527146719633</v>
      </c>
      <c r="DN74" s="46" t="n">
        <f aca="false">-$E30*DN67/Thousand</f>
        <v>-77.6191565279474</v>
      </c>
      <c r="DO74" s="46" t="n">
        <f aca="false">-$E30*DO67/Thousand</f>
        <v>-75.9317835599486</v>
      </c>
      <c r="DP74" s="46" t="n">
        <f aca="false">-$E30*DP67/Thousand</f>
        <v>-76.775470043948</v>
      </c>
      <c r="DQ74" s="46" t="n">
        <f aca="false">-$E30*DQ67/Thousand</f>
        <v>-77.6191565279474</v>
      </c>
      <c r="DR74" s="46" t="n">
        <f aca="false">-$E30*DR67/Thousand</f>
        <v>-77.3862990583636</v>
      </c>
      <c r="DS74" s="46" t="n">
        <f aca="false">-$E30*DS67/Thousand</f>
        <v>-75.7039882092687</v>
      </c>
      <c r="DT74" s="46" t="n">
        <f aca="false">-$E30*DT67/Thousand</f>
        <v>-76.5451436338162</v>
      </c>
      <c r="DU74" s="46" t="n">
        <f aca="false">-$E30*DU67/Thousand</f>
        <v>-77.3862990583636</v>
      </c>
      <c r="DV74" s="46" t="n">
        <f aca="false">-$E30*DV67/Thousand</f>
        <v>-77.1541401611885</v>
      </c>
      <c r="DW74" s="46" t="n">
        <f aca="false">-$E30*DW67/Thousand</f>
        <v>-76.3155082029147</v>
      </c>
      <c r="DX74" s="46" t="n">
        <f aca="false">-$E30*DX67/Thousand</f>
        <v>-76.3155082029147</v>
      </c>
      <c r="DY74" s="46" t="n">
        <f aca="false">-$E30*DY67/Thousand</f>
        <v>-77.1541401611885</v>
      </c>
      <c r="DZ74" s="46" t="n">
        <f aca="false">-$E30*DZ67/Thousand</f>
        <v>-76.9226777407049</v>
      </c>
      <c r="EA74" s="46" t="n">
        <f aca="false">-$E30*EA67/Thousand</f>
        <v>-75.250445615907</v>
      </c>
      <c r="EB74" s="46" t="n">
        <f aca="false">-$E30*EB67/Thousand</f>
        <v>-76.086561678306</v>
      </c>
      <c r="EC74" s="46" t="n">
        <f aca="false">-$E30*EC67/Thousand</f>
        <v>-76.9226777407049</v>
      </c>
      <c r="ED74" s="46" t="n">
        <f aca="false">-$E30*ED67/Thousand</f>
        <v>-76.6919097074828</v>
      </c>
      <c r="EE74" s="46" t="n">
        <f aca="false">-$E30*EE67/Thousand</f>
        <v>-75.0246942790593</v>
      </c>
      <c r="EF74" s="46" t="n">
        <f aca="false">-$E30*EF67/Thousand</f>
        <v>-75.858301993271</v>
      </c>
      <c r="EG74" s="46" t="n">
        <f aca="false">-$E30*EG67/Thousand</f>
        <v>-76.6919097074828</v>
      </c>
      <c r="EH74" s="46" t="n">
        <f aca="false">-$E30*EH67/Thousand</f>
        <v>-76.4618339783604</v>
      </c>
      <c r="EI74" s="46" t="n">
        <f aca="false">-$E30*EI67/Thousand</f>
        <v>-74.7996201962221</v>
      </c>
      <c r="EJ74" s="46" t="n">
        <f aca="false">-$E30*EJ67/Thousand</f>
        <v>-75.6307270872912</v>
      </c>
      <c r="EK74" s="46" t="n">
        <f aca="false">-$E30*EK67/Thousand</f>
        <v>-76.4618339783604</v>
      </c>
      <c r="EL74" s="46" t="n">
        <f aca="false">-$E30*EL67/Thousand</f>
        <v>-76.2324484764253</v>
      </c>
      <c r="EM74" s="46" t="n">
        <f aca="false">-$E30*EM67/Thousand</f>
        <v>-75.4038349060294</v>
      </c>
      <c r="EN74" s="46" t="n">
        <f aca="false">-$E30*EN67/Thousand</f>
        <v>-75.4038349060294</v>
      </c>
      <c r="EO74" s="46" t="n">
        <f aca="false">-$E30*EO67/Thousand</f>
        <v>-76.2324484764253</v>
      </c>
    </row>
    <row r="75" customFormat="false" ht="15" hidden="false" customHeight="false" outlineLevel="0" collapsed="false">
      <c r="C75" s="24" t="s">
        <v>403</v>
      </c>
      <c r="D75" s="11" t="s">
        <v>33</v>
      </c>
      <c r="E75" s="56" t="n">
        <f aca="false">SUMIF($J$7:$EO$7,YEAR(In_COD)+1,$J75:$EO75)</f>
        <v>9019.85169682936</v>
      </c>
      <c r="I75" s="56" t="n">
        <f aca="false">SUM(J75:EO75)</f>
        <v>277488.784862531</v>
      </c>
      <c r="J75" s="56" t="n">
        <f aca="false">SUM(J68:J74)</f>
        <v>0</v>
      </c>
      <c r="K75" s="56" t="n">
        <f aca="false">SUM(K68:K74)</f>
        <v>0</v>
      </c>
      <c r="L75" s="56" t="n">
        <f aca="false">SUM(L68:L74)</f>
        <v>0</v>
      </c>
      <c r="M75" s="56" t="n">
        <f aca="false">SUM(M68:M74)</f>
        <v>0</v>
      </c>
      <c r="N75" s="56" t="n">
        <f aca="false">SUM(N68:N74)</f>
        <v>0</v>
      </c>
      <c r="O75" s="56" t="n">
        <f aca="false">SUM(O68:O74)</f>
        <v>0</v>
      </c>
      <c r="P75" s="56" t="n">
        <f aca="false">SUM(P68:P74)</f>
        <v>0</v>
      </c>
      <c r="Q75" s="56" t="n">
        <f aca="false">SUM(Q68:Q74)</f>
        <v>0</v>
      </c>
      <c r="R75" s="56" t="n">
        <f aca="false">SUM(R68:R74)</f>
        <v>-41.5643004408661</v>
      </c>
      <c r="S75" s="56" t="n">
        <f aca="false">SUM(S68:S74)</f>
        <v>-41.6772469094554</v>
      </c>
      <c r="T75" s="56" t="n">
        <f aca="false">SUM(T68:T74)</f>
        <v>-42.1403274306716</v>
      </c>
      <c r="U75" s="56" t="n">
        <f aca="false">SUM(U68:U74)</f>
        <v>-42.6034079518878</v>
      </c>
      <c r="V75" s="56" t="n">
        <f aca="false">SUM(V68:V74)</f>
        <v>-42.6034079518878</v>
      </c>
      <c r="W75" s="56" t="n">
        <f aca="false">SUM(W68:W74)</f>
        <v>-42.7191780821918</v>
      </c>
      <c r="X75" s="56" t="n">
        <f aca="false">SUM(X68:X74)</f>
        <v>-43.1938356164384</v>
      </c>
      <c r="Y75" s="56" t="n">
        <f aca="false">SUM(Y68:Y74)</f>
        <v>-43.6684931506849</v>
      </c>
      <c r="Z75" s="56" t="n">
        <f aca="false">SUM(Z68:Z74)</f>
        <v>2260.76496319397</v>
      </c>
      <c r="AA75" s="56" t="n">
        <f aca="false">SUM(AA68:AA74)</f>
        <v>2226.06230950763</v>
      </c>
      <c r="AB75" s="56" t="n">
        <f aca="false">SUM(AB68:AB74)</f>
        <v>2250.79633516883</v>
      </c>
      <c r="AC75" s="56" t="n">
        <f aca="false">SUM(AC68:AC74)</f>
        <v>2275.53036083002</v>
      </c>
      <c r="AD75" s="56" t="n">
        <f aca="false">SUM(AD68:AD74)</f>
        <v>2267.46269132288</v>
      </c>
      <c r="AE75" s="56" t="n">
        <f aca="false">SUM(AE68:AE74)</f>
        <v>2257.27851946265</v>
      </c>
      <c r="AF75" s="56" t="n">
        <f aca="false">SUM(AF68:AF74)</f>
        <v>2257.27851946265</v>
      </c>
      <c r="AG75" s="56" t="n">
        <f aca="false">SUM(AG68:AG74)</f>
        <v>2282.08377791828</v>
      </c>
      <c r="AH75" s="56" t="n">
        <f aca="false">SUM(AH68:AH74)</f>
        <v>2273.96542119925</v>
      </c>
      <c r="AI75" s="56" t="n">
        <f aca="false">SUM(AI68:AI74)</f>
        <v>2238.6866195181</v>
      </c>
      <c r="AJ75" s="56" t="n">
        <f aca="false">SUM(AJ68:AJ74)</f>
        <v>2263.56091529052</v>
      </c>
      <c r="AK75" s="56" t="n">
        <f aca="false">SUM(AK68:AK74)</f>
        <v>2288.43521106294</v>
      </c>
      <c r="AL75" s="56" t="n">
        <f aca="false">SUM(AL68:AL74)</f>
        <v>2280.26599740985</v>
      </c>
      <c r="AM75" s="56" t="n">
        <f aca="false">SUM(AM68:AM74)</f>
        <v>2244.69519560902</v>
      </c>
      <c r="AN75" s="56" t="n">
        <f aca="false">SUM(AN68:AN74)</f>
        <v>2269.63625333801</v>
      </c>
      <c r="AO75" s="56" t="n">
        <f aca="false">SUM(AO68:AO74)</f>
        <v>2294.577311067</v>
      </c>
      <c r="AP75" s="56" t="n">
        <f aca="false">SUM(AP68:AP74)</f>
        <v>2286.3570734134</v>
      </c>
      <c r="AQ75" s="56" t="n">
        <f aca="false">SUM(AQ68:AQ74)</f>
        <v>2250.49160809956</v>
      </c>
      <c r="AR75" s="56" t="n">
        <f aca="false">SUM(AR68:AR74)</f>
        <v>2275.49707041178</v>
      </c>
      <c r="AS75" s="56" t="n">
        <f aca="false">SUM(AS68:AS74)</f>
        <v>2300.502532724</v>
      </c>
      <c r="AT75" s="56" t="n">
        <f aca="false">SUM(AT68:AT74)</f>
        <v>2292.23110676241</v>
      </c>
      <c r="AU75" s="56" t="n">
        <f aca="false">SUM(AU68:AU74)</f>
        <v>2281.13570459435</v>
      </c>
      <c r="AV75" s="56" t="n">
        <f aca="false">SUM(AV68:AV74)</f>
        <v>2281.13570459435</v>
      </c>
      <c r="AW75" s="56" t="n">
        <f aca="false">SUM(AW68:AW74)</f>
        <v>2306.20312991956</v>
      </c>
      <c r="AX75" s="56" t="n">
        <f aca="false">SUM(AX68:AX74)</f>
        <v>2297.8803542073</v>
      </c>
      <c r="AY75" s="56" t="n">
        <f aca="false">SUM(AY68:AY74)</f>
        <v>2261.41742994696</v>
      </c>
      <c r="AZ75" s="56" t="n">
        <f aca="false">SUM(AZ68:AZ74)</f>
        <v>2286.54429027971</v>
      </c>
      <c r="BA75" s="56" t="n">
        <f aca="false">SUM(BA68:BA74)</f>
        <v>2311.67115061245</v>
      </c>
      <c r="BB75" s="56" t="n">
        <f aca="false">SUM(BB68:BB74)</f>
        <v>2303.29686668005</v>
      </c>
      <c r="BC75" s="56" t="n">
        <f aca="false">SUM(BC68:BC74)</f>
        <v>2266.53107448138</v>
      </c>
      <c r="BD75" s="56" t="n">
        <f aca="false">SUM(BD68:BD74)</f>
        <v>2291.71475308673</v>
      </c>
      <c r="BE75" s="56" t="n">
        <f aca="false">SUM(BE68:BE74)</f>
        <v>2316.89843169208</v>
      </c>
      <c r="BF75" s="56" t="n">
        <f aca="false">SUM(BF68:BF74)</f>
        <v>2308.47248415443</v>
      </c>
      <c r="BG75" s="56" t="n">
        <f aca="false">SUM(BG68:BG74)</f>
        <v>2271.40101558536</v>
      </c>
      <c r="BH75" s="56" t="n">
        <f aca="false">SUM(BH68:BH74)</f>
        <v>2296.63880464742</v>
      </c>
      <c r="BI75" s="56" t="n">
        <f aca="false">SUM(BI68:BI74)</f>
        <v>2321.87659370948</v>
      </c>
      <c r="BJ75" s="56" t="n">
        <f aca="false">SUM(BJ68:BJ74)</f>
        <v>2313.39883037971</v>
      </c>
      <c r="BK75" s="56" t="n">
        <f aca="false">SUM(BK68:BK74)</f>
        <v>2301.30793726692</v>
      </c>
      <c r="BL75" s="56" t="n">
        <f aca="false">SUM(BL68:BL74)</f>
        <v>2301.30793726692</v>
      </c>
      <c r="BM75" s="56" t="n">
        <f aca="false">SUM(BM68:BM74)</f>
        <v>2326.59703547864</v>
      </c>
      <c r="BN75" s="56" t="n">
        <f aca="false">SUM(BN68:BN74)</f>
        <v>2318.06730748485</v>
      </c>
      <c r="BO75" s="56" t="n">
        <f aca="false">SUM(BO68:BO74)</f>
        <v>2280.37590835929</v>
      </c>
      <c r="BP75" s="56" t="n">
        <f aca="false">SUM(BP68:BP74)</f>
        <v>2305.71341845217</v>
      </c>
      <c r="BQ75" s="56" t="n">
        <f aca="false">SUM(BQ68:BQ74)</f>
        <v>2331.05092854505</v>
      </c>
      <c r="BR75" s="56" t="n">
        <f aca="false">SUM(BR68:BR74)</f>
        <v>2322.46909044988</v>
      </c>
      <c r="BS75" s="56" t="n">
        <f aca="false">SUM(BS68:BS74)</f>
        <v>2284.46335909378</v>
      </c>
      <c r="BT75" s="56" t="n">
        <f aca="false">SUM(BT68:BT74)</f>
        <v>2309.84628530593</v>
      </c>
      <c r="BU75" s="56" t="n">
        <f aca="false">SUM(BU68:BU74)</f>
        <v>2335.22921151808</v>
      </c>
      <c r="BV75" s="56" t="n">
        <f aca="false">SUM(BV68:BV74)</f>
        <v>2326.59512144125</v>
      </c>
      <c r="BW75" s="56" t="n">
        <f aca="false">SUM(BW68:BW74)</f>
        <v>2288.27209330176</v>
      </c>
      <c r="BX75" s="56" t="n">
        <f aca="false">SUM(BX68:BX74)</f>
        <v>2313.69733878289</v>
      </c>
      <c r="BY75" s="56" t="n">
        <f aca="false">SUM(BY68:BY74)</f>
        <v>2339.12258426403</v>
      </c>
      <c r="BZ75" s="56" t="n">
        <f aca="false">SUM(BZ68:BZ74)</f>
        <v>2330.4361040079</v>
      </c>
      <c r="CA75" s="56" t="n">
        <f aca="false">SUM(CA68:CA74)</f>
        <v>2317.25713780453</v>
      </c>
      <c r="CB75" s="56" t="n">
        <f aca="false">SUM(CB68:CB74)</f>
        <v>2317.25713780453</v>
      </c>
      <c r="CC75" s="56" t="n">
        <f aca="false">SUM(CC68:CC74)</f>
        <v>2342.72150195623</v>
      </c>
      <c r="CD75" s="56" t="n">
        <f aca="false">SUM(CD68:CD74)</f>
        <v>2333.98249713444</v>
      </c>
      <c r="CE75" s="56" t="n">
        <f aca="false">SUM(CE68:CE74)</f>
        <v>2295.01581747936</v>
      </c>
      <c r="CF75" s="56" t="n">
        <f aca="false">SUM(CF68:CF74)</f>
        <v>2320.51599322913</v>
      </c>
      <c r="CG75" s="56" t="n">
        <f aca="false">SUM(CG68:CG74)</f>
        <v>2346.0161689789</v>
      </c>
      <c r="CH75" s="56" t="n">
        <f aca="false">SUM(CH68:CH74)</f>
        <v>2337.22450914815</v>
      </c>
      <c r="CI75" s="56" t="n">
        <f aca="false">SUM(CI68:CI74)</f>
        <v>2297.93139066616</v>
      </c>
      <c r="CJ75" s="56" t="n">
        <f aca="false">SUM(CJ68:CJ74)</f>
        <v>2323.46396167356</v>
      </c>
      <c r="CK75" s="56" t="n">
        <f aca="false">SUM(CK68:CK74)</f>
        <v>2348.99653268097</v>
      </c>
      <c r="CL75" s="56" t="n">
        <f aca="false">SUM(CL68:CL74)</f>
        <v>2340.15209147601</v>
      </c>
      <c r="CM75" s="56" t="n">
        <f aca="false">SUM(CM68:CM74)</f>
        <v>2300.52940138983</v>
      </c>
      <c r="CN75" s="56" t="n">
        <f aca="false">SUM(CN68:CN74)</f>
        <v>2326.09083918305</v>
      </c>
      <c r="CO75" s="56" t="n">
        <f aca="false">SUM(CO68:CO74)</f>
        <v>2351.65227697628</v>
      </c>
      <c r="CP75" s="56" t="n">
        <f aca="false">SUM(CP68:CP74)</f>
        <v>2342.75493224826</v>
      </c>
      <c r="CQ75" s="56" t="n">
        <f aca="false">SUM(CQ68:CQ74)</f>
        <v>2328.38615474529</v>
      </c>
      <c r="CR75" s="56" t="n">
        <f aca="false">SUM(CR68:CR74)</f>
        <v>2328.38615474529</v>
      </c>
      <c r="CS75" s="56" t="n">
        <f aca="false">SUM(CS68:CS74)</f>
        <v>2353.97281578645</v>
      </c>
      <c r="CT75" s="56" t="n">
        <f aca="false">SUM(CT68:CT74)</f>
        <v>2345.02244974458</v>
      </c>
      <c r="CU75" s="56" t="n">
        <f aca="false">SUM(CU68:CU74)</f>
        <v>2304.73104096759</v>
      </c>
      <c r="CV75" s="56" t="n">
        <f aca="false">SUM(CV68:CV74)</f>
        <v>2330.33916364501</v>
      </c>
      <c r="CW75" s="56" t="n">
        <f aca="false">SUM(CW68:CW74)</f>
        <v>2355.94728632243</v>
      </c>
      <c r="CX75" s="56" t="n">
        <f aca="false">SUM(CX68:CX74)</f>
        <v>2346.94378567909</v>
      </c>
      <c r="CY75" s="56" t="n">
        <f aca="false">SUM(CY68:CY74)</f>
        <v>2306.31313910949</v>
      </c>
      <c r="CZ75" s="56" t="n">
        <f aca="false">SUM(CZ68:CZ74)</f>
        <v>2331.93884065515</v>
      </c>
      <c r="DA75" s="56" t="n">
        <f aca="false">SUM(DA68:DA74)</f>
        <v>2357.56454220081</v>
      </c>
      <c r="DB75" s="56" t="n">
        <f aca="false">SUM(DB68:DB74)</f>
        <v>2348.50779832022</v>
      </c>
      <c r="DC75" s="56" t="n">
        <f aca="false">SUM(DC68:DC74)</f>
        <v>2307.53459973025</v>
      </c>
      <c r="DD75" s="56" t="n">
        <f aca="false">SUM(DD68:DD74)</f>
        <v>2333.17387306059</v>
      </c>
      <c r="DE75" s="56" t="n">
        <f aca="false">SUM(DE68:DE74)</f>
        <v>2358.81314639092</v>
      </c>
      <c r="DF75" s="56" t="n">
        <f aca="false">SUM(DF68:DF74)</f>
        <v>2349.70305544142</v>
      </c>
      <c r="DG75" s="56" t="n">
        <f aca="false">SUM(DG68:DG74)</f>
        <v>2334.0326535103</v>
      </c>
      <c r="DH75" s="56" t="n">
        <f aca="false">SUM(DH68:DH74)</f>
        <v>2334.0326535103</v>
      </c>
      <c r="DI75" s="56" t="n">
        <f aca="false">SUM(DI68:DI74)</f>
        <v>2359.68136398844</v>
      </c>
      <c r="DJ75" s="56" t="n">
        <f aca="false">SUM(DJ68:DJ74)</f>
        <v>2350.51782709838</v>
      </c>
      <c r="DK75" s="56" t="n">
        <f aca="false">SUM(DK68:DK74)</f>
        <v>2308.8493905763</v>
      </c>
      <c r="DL75" s="56" t="n">
        <f aca="false">SUM(DL68:DL74)</f>
        <v>2334.50327269381</v>
      </c>
      <c r="DM75" s="56" t="n">
        <f aca="false">SUM(DM68:DM74)</f>
        <v>2360.15715481133</v>
      </c>
      <c r="DN75" s="56" t="n">
        <f aca="false">SUM(DN68:DN74)</f>
        <v>2350.94007822885</v>
      </c>
      <c r="DO75" s="56" t="n">
        <f aca="false">SUM(DO68:DO74)</f>
        <v>2308.91885786124</v>
      </c>
      <c r="DP75" s="56" t="n">
        <f aca="false">SUM(DP68:DP74)</f>
        <v>2334.57351183747</v>
      </c>
      <c r="DQ75" s="56" t="n">
        <f aca="false">SUM(DQ68:DQ74)</f>
        <v>2360.22816581371</v>
      </c>
      <c r="DR75" s="56" t="n">
        <f aca="false">SUM(DR68:DR74)</f>
        <v>2350.95746107027</v>
      </c>
      <c r="DS75" s="56" t="n">
        <f aca="false">SUM(DS68:DS74)</f>
        <v>2308.57994671947</v>
      </c>
      <c r="DT75" s="56" t="n">
        <f aca="false">SUM(DT68:DT74)</f>
        <v>2334.23083501635</v>
      </c>
      <c r="DU75" s="56" t="n">
        <f aca="false">SUM(DU68:DU74)</f>
        <v>2359.88172331324</v>
      </c>
      <c r="DV75" s="56" t="n">
        <f aca="false">SUM(DV68:DV74)</f>
        <v>2350.55730739115</v>
      </c>
      <c r="DW75" s="56" t="n">
        <f aca="false">SUM(DW68:DW74)</f>
        <v>2333.46238127704</v>
      </c>
      <c r="DX75" s="56" t="n">
        <f aca="false">SUM(DX68:DX74)</f>
        <v>2333.46238127704</v>
      </c>
      <c r="DY75" s="56" t="n">
        <f aca="false">SUM(DY68:DY74)</f>
        <v>2359.10482502734</v>
      </c>
      <c r="DZ75" s="56" t="n">
        <f aca="false">SUM(DZ68:DZ74)</f>
        <v>2349.72662053131</v>
      </c>
      <c r="EA75" s="56" t="n">
        <f aca="false">SUM(EA68:EA74)</f>
        <v>2306.62578121991</v>
      </c>
      <c r="EB75" s="56" t="n">
        <f aca="false">SUM(EB68:EB74)</f>
        <v>2332.25495656679</v>
      </c>
      <c r="EC75" s="56" t="n">
        <f aca="false">SUM(EC68:EC74)</f>
        <v>2357.88413191368</v>
      </c>
      <c r="ED75" s="56" t="n">
        <f aca="false">SUM(ED68:ED74)</f>
        <v>2348.45206724647</v>
      </c>
      <c r="EE75" s="56" t="n">
        <f aca="false">SUM(EE68:EE74)</f>
        <v>2304.98409111847</v>
      </c>
      <c r="EF75" s="56" t="n">
        <f aca="false">SUM(EF68:EF74)</f>
        <v>2330.59502546424</v>
      </c>
      <c r="EG75" s="56" t="n">
        <f aca="false">SUM(EG68:EG74)</f>
        <v>2356.20595981</v>
      </c>
      <c r="EH75" s="56" t="n">
        <f aca="false">SUM(EH68:EH74)</f>
        <v>2346.71996935231</v>
      </c>
      <c r="EI75" s="56" t="n">
        <f aca="false">SUM(EI68:EI74)</f>
        <v>2302.88113454521</v>
      </c>
      <c r="EJ75" s="56" t="n">
        <f aca="false">SUM(EJ68:EJ74)</f>
        <v>2328.46870270683</v>
      </c>
      <c r="EK75" s="56" t="n">
        <f aca="false">SUM(EK68:EK74)</f>
        <v>2354.05627086844</v>
      </c>
      <c r="EL75" s="56" t="n">
        <f aca="false">SUM(EL68:EL74)</f>
        <v>2344.51629516312</v>
      </c>
      <c r="EM75" s="56" t="n">
        <f aca="false">SUM(EM68:EM74)</f>
        <v>2325.86174450997</v>
      </c>
      <c r="EN75" s="56" t="n">
        <f aca="false">SUM(EN68:EN74)</f>
        <v>2325.86174450997</v>
      </c>
      <c r="EO75" s="56" t="n">
        <f aca="false">SUM(EO68:EO74)</f>
        <v>2351.42066477931</v>
      </c>
    </row>
    <row r="77" customFormat="false" ht="15" hidden="false" customHeight="false" outlineLevel="0" collapsed="false">
      <c r="A77" s="9" t="s">
        <v>13</v>
      </c>
      <c r="B77" s="9"/>
      <c r="C77" s="9" t="s">
        <v>404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</row>
    <row r="78" customFormat="false" ht="15" hidden="false" customHeight="false" outlineLevel="0" collapsed="false">
      <c r="C78" s="0" t="s">
        <v>405</v>
      </c>
      <c r="D78" s="11" t="s">
        <v>33</v>
      </c>
      <c r="J78" s="57" t="n">
        <v>0</v>
      </c>
      <c r="K78" s="57" t="n">
        <v>0</v>
      </c>
      <c r="L78" s="57" t="n">
        <v>0</v>
      </c>
      <c r="M78" s="57" t="n">
        <v>0</v>
      </c>
      <c r="N78" s="57" t="n">
        <v>0</v>
      </c>
      <c r="O78" s="57" t="n">
        <v>0</v>
      </c>
      <c r="P78" s="57" t="n">
        <v>0</v>
      </c>
      <c r="Q78" s="57" t="n">
        <v>0</v>
      </c>
      <c r="R78" s="57" t="n">
        <v>0</v>
      </c>
      <c r="S78" s="57" t="n">
        <v>0</v>
      </c>
      <c r="T78" s="57" t="n">
        <v>0</v>
      </c>
      <c r="U78" s="57" t="n">
        <v>0</v>
      </c>
      <c r="V78" s="57" t="n">
        <v>0</v>
      </c>
      <c r="W78" s="57" t="n">
        <v>0</v>
      </c>
      <c r="X78" s="57" t="n">
        <v>0</v>
      </c>
      <c r="Y78" s="57" t="n">
        <v>0</v>
      </c>
      <c r="Z78" s="57" t="n">
        <v>-15.06045400976</v>
      </c>
      <c r="AA78" s="57" t="n">
        <v>-14.8998859231381</v>
      </c>
      <c r="AB78" s="57" t="n">
        <v>-15.7731235687658</v>
      </c>
      <c r="AC78" s="57" t="n">
        <v>-16.6583455365834</v>
      </c>
      <c r="AD78" s="57" t="n">
        <v>-16.6239425207664</v>
      </c>
      <c r="AE78" s="57" t="n">
        <v>-17.0399410245549</v>
      </c>
      <c r="AF78" s="57" t="n">
        <v>-17.3704503844995</v>
      </c>
      <c r="AG78" s="57" t="n">
        <v>-18.2768918226036</v>
      </c>
      <c r="AH78" s="57" t="n">
        <v>-18.2584643919327</v>
      </c>
      <c r="AI78" s="57" t="n">
        <v>-18.107987484879</v>
      </c>
      <c r="AJ78" s="57" t="n">
        <v>-20.146949398953</v>
      </c>
      <c r="AK78" s="57" t="n">
        <v>-21.0958419010427</v>
      </c>
      <c r="AL78" s="57" t="n">
        <v>-42.2051397054352</v>
      </c>
      <c r="AM78" s="57" t="n">
        <v>-41.869425024459</v>
      </c>
      <c r="AN78" s="57" t="n">
        <v>-43.7726923239001</v>
      </c>
      <c r="AO78" s="57" t="n">
        <v>-45.7009662010469</v>
      </c>
      <c r="AP78" s="57" t="n">
        <v>-45.7339834129914</v>
      </c>
      <c r="AQ78" s="57" t="n">
        <v>-45.4107838143115</v>
      </c>
      <c r="AR78" s="57" t="n">
        <v>-47.3591572547684</v>
      </c>
      <c r="AS78" s="57" t="n">
        <v>-49.333042026534</v>
      </c>
      <c r="AT78" s="57" t="n">
        <v>-49.4017774859033</v>
      </c>
      <c r="AU78" s="57" t="n">
        <v>-50.2846944679</v>
      </c>
      <c r="AV78" s="57" t="n">
        <v>-51.104152808499</v>
      </c>
      <c r="AW78" s="57" t="n">
        <v>-53.125396326319</v>
      </c>
      <c r="AX78" s="57" t="n">
        <v>-53.2318247858931</v>
      </c>
      <c r="AY78" s="57" t="n">
        <v>-52.9384045434251</v>
      </c>
      <c r="AZ78" s="57" t="n">
        <v>-54.9818639084801</v>
      </c>
      <c r="BA78" s="57" t="n">
        <v>-57.0519048515582</v>
      </c>
      <c r="BB78" s="57" t="n">
        <v>-57.1976963256834</v>
      </c>
      <c r="BC78" s="57" t="n">
        <v>-56.9215036952897</v>
      </c>
      <c r="BD78" s="57" t="n">
        <v>-59.0148965411397</v>
      </c>
      <c r="BE78" s="57" t="n">
        <v>-61.1354359870437</v>
      </c>
      <c r="BF78" s="57" t="n">
        <v>-61.3225342879946</v>
      </c>
      <c r="BG78" s="57" t="n">
        <v>-61.0652973245524</v>
      </c>
      <c r="BH78" s="57" t="n">
        <v>-63.2103823759951</v>
      </c>
      <c r="BI78" s="57" t="n">
        <v>-65.3832009826708</v>
      </c>
      <c r="BJ78" s="57" t="n">
        <v>-65.613638967109</v>
      </c>
      <c r="BK78" s="57" t="n">
        <v>-66.5892328557986</v>
      </c>
      <c r="BL78" s="57" t="n">
        <v>-67.592486115371</v>
      </c>
      <c r="BM78" s="57" t="n">
        <v>-69.8196451006829</v>
      </c>
      <c r="BN78" s="57" t="n">
        <v>-70.0957482505396</v>
      </c>
      <c r="BO78" s="57" t="n">
        <v>-69.8821582586953</v>
      </c>
      <c r="BP78" s="57" t="n">
        <v>-72.1364417932234</v>
      </c>
      <c r="BQ78" s="57" t="n">
        <v>-74.4197051059749</v>
      </c>
      <c r="BR78" s="57" t="n">
        <v>-74.7435071114457</v>
      </c>
      <c r="BS78" s="57" t="n">
        <v>-74.5546016332545</v>
      </c>
      <c r="BT78" s="57" t="n">
        <v>-76.8663741308503</v>
      </c>
      <c r="BU78" s="57" t="n">
        <v>-79.2077855539784</v>
      </c>
      <c r="BV78" s="57" t="n">
        <v>-79.5816124703244</v>
      </c>
      <c r="BW78" s="57" t="n">
        <v>-79.4194910444966</v>
      </c>
      <c r="BX78" s="57" t="n">
        <v>-81.7908662048951</v>
      </c>
      <c r="BY78" s="57" t="n">
        <v>-84.1925657302195</v>
      </c>
      <c r="BZ78" s="57" t="n">
        <v>-84.6188504305031</v>
      </c>
      <c r="CA78" s="57" t="n">
        <v>-85.7135513367299</v>
      </c>
      <c r="CB78" s="57" t="n">
        <v>-86.9357140246296</v>
      </c>
      <c r="CC78" s="57" t="n">
        <v>-89.4001409437361</v>
      </c>
      <c r="CD78" s="57" t="n">
        <v>-89.8816288596117</v>
      </c>
      <c r="CE78" s="57" t="n">
        <v>-89.779998510478</v>
      </c>
      <c r="CF78" s="57" t="n">
        <v>-92.2775290853972</v>
      </c>
      <c r="CG78" s="57" t="n">
        <v>-94.8068411506425</v>
      </c>
      <c r="CH78" s="57" t="n">
        <v>-95.3460028340153</v>
      </c>
      <c r="CI78" s="57" t="n">
        <v>-95.2781093631541</v>
      </c>
      <c r="CJ78" s="57" t="n">
        <v>-97.8422110842385</v>
      </c>
      <c r="CK78" s="57" t="n">
        <v>-100.43886629194</v>
      </c>
      <c r="CL78" s="57" t="n">
        <v>-101.038486331829</v>
      </c>
      <c r="CM78" s="57" t="n">
        <v>-101.006876682173</v>
      </c>
      <c r="CN78" s="57" t="n">
        <v>-103.640092302555</v>
      </c>
      <c r="CO78" s="57" t="n">
        <v>-106.30666494986</v>
      </c>
      <c r="CP78" s="57" t="n">
        <v>-106.969656128916</v>
      </c>
      <c r="CQ78" s="57" t="n">
        <v>-108.215843996629</v>
      </c>
      <c r="CR78" s="57" t="n">
        <v>-109.69887869969</v>
      </c>
      <c r="CS78" s="57" t="n">
        <v>-112.438264359359</v>
      </c>
      <c r="CT78" s="57" t="n">
        <v>-113.167875326848</v>
      </c>
      <c r="CU78" s="57" t="n">
        <v>-111.669564735835</v>
      </c>
      <c r="CV78" s="57" t="n">
        <v>-112.910337677345</v>
      </c>
      <c r="CW78" s="57" t="n">
        <v>-114.151110618854</v>
      </c>
      <c r="CX78" s="57" t="n">
        <v>-113.340795560953</v>
      </c>
      <c r="CY78" s="57" t="n">
        <v>-111.811953568606</v>
      </c>
      <c r="CZ78" s="57" t="n">
        <v>-113.054308608257</v>
      </c>
      <c r="DA78" s="57" t="n">
        <v>-114.296663647909</v>
      </c>
      <c r="DB78" s="57" t="n">
        <v>-211.36570184882</v>
      </c>
      <c r="DC78" s="57" t="n">
        <v>-207.678113975722</v>
      </c>
      <c r="DD78" s="57" t="n">
        <v>-209.985648575453</v>
      </c>
      <c r="DE78" s="57" t="n">
        <v>-212.293183175183</v>
      </c>
      <c r="DF78" s="57" t="n">
        <v>-211.473274989727</v>
      </c>
      <c r="DG78" s="57" t="n">
        <v>-210.062938815927</v>
      </c>
      <c r="DH78" s="57" t="n">
        <v>-210.062938815927</v>
      </c>
      <c r="DI78" s="57" t="n">
        <v>-212.371322758959</v>
      </c>
      <c r="DJ78" s="57" t="n">
        <v>-211.546604438854</v>
      </c>
      <c r="DK78" s="57" t="n">
        <v>-207.796445151866</v>
      </c>
      <c r="DL78" s="57" t="n">
        <v>-210.105294542443</v>
      </c>
      <c r="DM78" s="57" t="n">
        <v>-212.414143933019</v>
      </c>
      <c r="DN78" s="57" t="n">
        <v>-211.584607040596</v>
      </c>
      <c r="DO78" s="57" t="n">
        <v>-207.802697207511</v>
      </c>
      <c r="DP78" s="57" t="n">
        <v>-210.111616065372</v>
      </c>
      <c r="DQ78" s="57" t="n">
        <v>-212.420534923233</v>
      </c>
      <c r="DR78" s="57" t="n">
        <v>-211.586171496324</v>
      </c>
      <c r="DS78" s="57" t="n">
        <v>-207.772195204752</v>
      </c>
      <c r="DT78" s="57" t="n">
        <v>-210.080775151471</v>
      </c>
      <c r="DU78" s="57" t="n">
        <v>-212.389355098191</v>
      </c>
      <c r="DV78" s="57" t="n">
        <v>-211.550157665203</v>
      </c>
      <c r="DW78" s="57" t="n">
        <v>-210.011614314934</v>
      </c>
      <c r="DX78" s="57" t="n">
        <v>-210.011614314934</v>
      </c>
      <c r="DY78" s="57" t="n">
        <v>-212.319434252461</v>
      </c>
      <c r="DZ78" s="57" t="n">
        <v>-211.475395847818</v>
      </c>
      <c r="EA78" s="57" t="n">
        <v>-207.596320309791</v>
      </c>
      <c r="EB78" s="57" t="n">
        <v>-209.902946091011</v>
      </c>
      <c r="EC78" s="57" t="n">
        <v>-212.209571872231</v>
      </c>
      <c r="ED78" s="57" t="n">
        <v>-211.360686052182</v>
      </c>
      <c r="EE78" s="57" t="n">
        <v>-207.448568200662</v>
      </c>
      <c r="EF78" s="57" t="n">
        <v>-209.753552291781</v>
      </c>
      <c r="EG78" s="57" t="n">
        <v>-212.058536382899</v>
      </c>
      <c r="EH78" s="57" t="n">
        <v>-211.204797241707</v>
      </c>
      <c r="EI78" s="57" t="n">
        <v>-207.259302109069</v>
      </c>
      <c r="EJ78" s="57" t="n">
        <v>-209.562183243614</v>
      </c>
      <c r="EK78" s="57" t="n">
        <v>-211.865064378159</v>
      </c>
      <c r="EL78" s="57" t="n">
        <v>-211.00646656468</v>
      </c>
      <c r="EM78" s="57" t="n">
        <v>-209.327557005897</v>
      </c>
      <c r="EN78" s="57" t="n">
        <v>-209.327557005897</v>
      </c>
      <c r="EO78" s="57" t="n">
        <v>-211.627859830137</v>
      </c>
    </row>
    <row r="79" customFormat="false" ht="15" hidden="false" customHeight="false" outlineLevel="0" collapsed="false">
      <c r="C79" s="0" t="s">
        <v>406</v>
      </c>
      <c r="D79" s="11" t="s">
        <v>33</v>
      </c>
      <c r="I79" s="46" t="n">
        <f aca="false">SUM(J79:EO79)</f>
        <v>263640.150090988</v>
      </c>
      <c r="J79" s="46" t="n">
        <f aca="false">(J75+J52+J78)*(J$4&gt;In_COD)</f>
        <v>-0</v>
      </c>
      <c r="K79" s="46" t="n">
        <f aca="false">(K75+K52+K78)*(K$4&gt;In_COD)</f>
        <v>-0</v>
      </c>
      <c r="L79" s="46" t="n">
        <f aca="false">(L75+L52+L78)*(L$4&gt;In_COD)</f>
        <v>-0</v>
      </c>
      <c r="M79" s="46" t="n">
        <f aca="false">(M75+M52+M78)*(M$4&gt;In_COD)</f>
        <v>-0</v>
      </c>
      <c r="N79" s="46" t="n">
        <f aca="false">(N75+N52+N78)*(N$4&gt;In_COD)</f>
        <v>-0</v>
      </c>
      <c r="O79" s="46" t="n">
        <f aca="false">(O75+O52+O78)*(O$4&gt;In_COD)</f>
        <v>-0</v>
      </c>
      <c r="P79" s="46" t="n">
        <f aca="false">(P75+P52+P78)*(P$4&gt;In_COD)</f>
        <v>-0</v>
      </c>
      <c r="Q79" s="46" t="n">
        <f aca="false">(Q75+Q52+Q78)*(Q$4&gt;In_COD)</f>
        <v>-0</v>
      </c>
      <c r="R79" s="46" t="n">
        <f aca="false">(R75+R52+R78)*(R$4&gt;In_COD)</f>
        <v>-0</v>
      </c>
      <c r="S79" s="46" t="n">
        <f aca="false">(S75+S52+S78)*(S$4&gt;In_COD)</f>
        <v>-0</v>
      </c>
      <c r="T79" s="46" t="n">
        <f aca="false">(T75+T52+T78)*(T$4&gt;In_COD)</f>
        <v>-0</v>
      </c>
      <c r="U79" s="46" t="n">
        <f aca="false">(U75+U52+U78)*(U$4&gt;In_COD)</f>
        <v>-0</v>
      </c>
      <c r="V79" s="46" t="n">
        <f aca="false">(V75+V52+V78)*(V$4&gt;In_COD)</f>
        <v>-0</v>
      </c>
      <c r="W79" s="46" t="n">
        <f aca="false">(W75+W52+W78)*(W$4&gt;In_COD)</f>
        <v>-0</v>
      </c>
      <c r="X79" s="46" t="n">
        <f aca="false">(X75+X52+X78)*(X$4&gt;In_COD)</f>
        <v>-0</v>
      </c>
      <c r="Y79" s="46" t="n">
        <f aca="false">(Y75+Y52+Y78)*(Y$4&gt;In_COD)</f>
        <v>-0</v>
      </c>
      <c r="Z79" s="46" t="n">
        <f aca="false">(Z75+Z52+Z78)*(Z$4&gt;In_COD)</f>
        <v>2220.47140728892</v>
      </c>
      <c r="AA79" s="46" t="n">
        <f aca="false">(AA75+AA52+AA78)*(AA$4&gt;In_COD)</f>
        <v>2186.47786738258</v>
      </c>
      <c r="AB79" s="46" t="n">
        <f aca="false">(AB75+AB52+AB78)*(AB$4&gt;In_COD)</f>
        <v>2210.06438255146</v>
      </c>
      <c r="AC79" s="46" t="n">
        <f aca="false">(AC75+AC52+AC78)*(AC$4&gt;In_COD)</f>
        <v>2233.63891339815</v>
      </c>
      <c r="AD79" s="46" t="n">
        <f aca="false">(AD75+AD52+AD78)*(AD$4&gt;In_COD)</f>
        <v>2225.60564690682</v>
      </c>
      <c r="AE79" s="46" t="n">
        <f aca="false">(AE75+AE52+AE78)*(AE$4&gt;In_COD)</f>
        <v>2215.27974938949</v>
      </c>
      <c r="AF79" s="46" t="n">
        <f aca="false">(AF75+AF52+AF78)*(AF$4&gt;In_COD)</f>
        <v>2214.94924002955</v>
      </c>
      <c r="AG79" s="46" t="n">
        <f aca="false">(AG75+AG52+AG78)*(AG$4&gt;In_COD)</f>
        <v>2238.57378420039</v>
      </c>
      <c r="AH79" s="46" t="n">
        <f aca="false">(AH75+AH52+AH78)*(AH$4&gt;In_COD)</f>
        <v>2230.47385491203</v>
      </c>
      <c r="AI79" s="46" t="n">
        <f aca="false">(AI75+AI52+AI78)*(AI$4&gt;In_COD)</f>
        <v>2195.8940758313</v>
      </c>
      <c r="AJ79" s="46" t="n">
        <f aca="false">(AJ75+AJ52+AJ78)*(AJ$4&gt;In_COD)</f>
        <v>2243.41396589157</v>
      </c>
      <c r="AK79" s="46" t="n">
        <f aca="false">(AK75+AK52+AK78)*(AK$4&gt;In_COD)</f>
        <v>2267.3393691619</v>
      </c>
      <c r="AL79" s="46" t="n">
        <f aca="false">(AL75+AL52+AL78)*(AL$4&gt;In_COD)</f>
        <v>2238.06085770441</v>
      </c>
      <c r="AM79" s="46" t="n">
        <f aca="false">(AM75+AM52+AM78)*(AM$4&gt;In_COD)</f>
        <v>2202.82577058456</v>
      </c>
      <c r="AN79" s="46" t="n">
        <f aca="false">(AN75+AN52+AN78)*(AN$4&gt;In_COD)</f>
        <v>2225.86356101411</v>
      </c>
      <c r="AO79" s="46" t="n">
        <f aca="false">(AO75+AO52+AO78)*(AO$4&gt;In_COD)</f>
        <v>2248.87634486595</v>
      </c>
      <c r="AP79" s="46" t="n">
        <f aca="false">(AP75+AP52+AP78)*(AP$4&gt;In_COD)</f>
        <v>2240.62309000041</v>
      </c>
      <c r="AQ79" s="46" t="n">
        <f aca="false">(AQ75+AQ52+AQ78)*(AQ$4&gt;In_COD)</f>
        <v>2205.08082428525</v>
      </c>
      <c r="AR79" s="46" t="n">
        <f aca="false">(AR75+AR52+AR78)*(AR$4&gt;In_COD)</f>
        <v>2228.13791315701</v>
      </c>
      <c r="AS79" s="46" t="n">
        <f aca="false">(AS75+AS52+AS78)*(AS$4&gt;In_COD)</f>
        <v>2251.16949069746</v>
      </c>
      <c r="AT79" s="46" t="n">
        <f aca="false">(AT75+AT52+AT78)*(AT$4&gt;In_COD)</f>
        <v>2242.82932927651</v>
      </c>
      <c r="AU79" s="46" t="n">
        <f aca="false">(AU75+AU52+AU78)*(AU$4&gt;In_COD)</f>
        <v>2230.85101012645</v>
      </c>
      <c r="AV79" s="46" t="n">
        <f aca="false">(AV75+AV52+AV78)*(AV$4&gt;In_COD)</f>
        <v>2230.03155178585</v>
      </c>
      <c r="AW79" s="46" t="n">
        <f aca="false">(AW75+AW52+AW78)*(AW$4&gt;In_COD)</f>
        <v>2253.07773359324</v>
      </c>
      <c r="AX79" s="46" t="n">
        <f aca="false">(AX75+AX52+AX78)*(AX$4&gt;In_COD)</f>
        <v>2244.64852942141</v>
      </c>
      <c r="AY79" s="46" t="n">
        <f aca="false">(AY75+AY52+AY78)*(AY$4&gt;In_COD)</f>
        <v>2208.47902540354</v>
      </c>
      <c r="AZ79" s="46" t="n">
        <f aca="false">(AZ75+AZ52+AZ78)*(AZ$4&gt;In_COD)</f>
        <v>2231.56242637123</v>
      </c>
      <c r="BA79" s="46" t="n">
        <f aca="false">(BA75+BA52+BA78)*(BA$4&gt;In_COD)</f>
        <v>2254.61924576089</v>
      </c>
      <c r="BB79" s="46" t="n">
        <f aca="false">(BB75+BB52+BB78)*(BB$4&gt;In_COD)</f>
        <v>2246.09917035437</v>
      </c>
      <c r="BC79" s="46" t="n">
        <f aca="false">(BC75+BC52+BC78)*(BC$4&gt;In_COD)</f>
        <v>2209.60957078609</v>
      </c>
      <c r="BD79" s="46" t="n">
        <f aca="false">(BD75+BD52+BD78)*(BD$4&gt;In_COD)</f>
        <v>2232.69985654559</v>
      </c>
      <c r="BE79" s="46" t="n">
        <f aca="false">(BE75+BE52+BE78)*(BE$4&gt;In_COD)</f>
        <v>2255.76299570504</v>
      </c>
      <c r="BF79" s="46" t="n">
        <f aca="false">(BF75+BF52+BF78)*(BF$4&gt;In_COD)</f>
        <v>2247.14994986643</v>
      </c>
      <c r="BG79" s="46" t="n">
        <f aca="false">(BG75+BG52+BG78)*(BG$4&gt;In_COD)</f>
        <v>2210.33571826081</v>
      </c>
      <c r="BH79" s="46" t="n">
        <f aca="false">(BH75+BH52+BH78)*(BH$4&gt;In_COD)</f>
        <v>2233.42842227142</v>
      </c>
      <c r="BI79" s="46" t="n">
        <f aca="false">(BI75+BI52+BI78)*(BI$4&gt;In_COD)</f>
        <v>2256.49339272681</v>
      </c>
      <c r="BJ79" s="46" t="n">
        <f aca="false">(BJ75+BJ52+BJ78)*(BJ$4&gt;In_COD)</f>
        <v>2247.7851914126</v>
      </c>
      <c r="BK79" s="46" t="n">
        <f aca="false">(BK75+BK52+BK78)*(BK$4&gt;In_COD)</f>
        <v>2234.71870441112</v>
      </c>
      <c r="BL79" s="46" t="n">
        <f aca="false">(BL75+BL52+BL78)*(BL$4&gt;In_COD)</f>
        <v>2233.71545115155</v>
      </c>
      <c r="BM79" s="46" t="n">
        <f aca="false">(BM75+BM52+BM78)*(BM$4&gt;In_COD)</f>
        <v>2256.77739037796</v>
      </c>
      <c r="BN79" s="46" t="n">
        <f aca="false">(BN75+BN52+BN78)*(BN$4&gt;In_COD)</f>
        <v>2247.97155923431</v>
      </c>
      <c r="BO79" s="46" t="n">
        <f aca="false">(BO75+BO52+BO78)*(BO$4&gt;In_COD)</f>
        <v>2210.49375010059</v>
      </c>
      <c r="BP79" s="46" t="n">
        <f aca="false">(BP75+BP52+BP78)*(BP$4&gt;In_COD)</f>
        <v>2233.57697665895</v>
      </c>
      <c r="BQ79" s="46" t="n">
        <f aca="false">(BQ75+BQ52+BQ78)*(BQ$4&gt;In_COD)</f>
        <v>2256.63122343908</v>
      </c>
      <c r="BR79" s="46" t="n">
        <f aca="false">(BR75+BR52+BR78)*(BR$4&gt;In_COD)</f>
        <v>2247.72558333843</v>
      </c>
      <c r="BS79" s="46" t="n">
        <f aca="false">(BS75+BS52+BS78)*(BS$4&gt;In_COD)</f>
        <v>2209.90875746052</v>
      </c>
      <c r="BT79" s="46" t="n">
        <f aca="false">(BT75+BT52+BT78)*(BT$4&gt;In_COD)</f>
        <v>2232.97991117508</v>
      </c>
      <c r="BU79" s="46" t="n">
        <f aca="false">(BU75+BU52+BU78)*(BU$4&gt;In_COD)</f>
        <v>2256.0214259641</v>
      </c>
      <c r="BV79" s="46" t="n">
        <f aca="false">(BV75+BV52+BV78)*(BV$4&gt;In_COD)</f>
        <v>2247.01350897093</v>
      </c>
      <c r="BW79" s="46" t="n">
        <f aca="false">(BW75+BW52+BW78)*(BW$4&gt;In_COD)</f>
        <v>2208.85260225727</v>
      </c>
      <c r="BX79" s="46" t="n">
        <f aca="false">(BX75+BX52+BX78)*(BX$4&gt;In_COD)</f>
        <v>2231.906472578</v>
      </c>
      <c r="BY79" s="46" t="n">
        <f aca="false">(BY75+BY52+BY78)*(BY$4&gt;In_COD)</f>
        <v>2254.93001853381</v>
      </c>
      <c r="BZ79" s="46" t="n">
        <f aca="false">(BZ75+BZ52+BZ78)*(BZ$4&gt;In_COD)</f>
        <v>2245.81725357739</v>
      </c>
      <c r="CA79" s="46" t="n">
        <f aca="false">(CA75+CA52+CA78)*(CA$4&gt;In_COD)</f>
        <v>2231.5435864678</v>
      </c>
      <c r="CB79" s="46" t="n">
        <f aca="false">(CB75+CB52+CB78)*(CB$4&gt;In_COD)</f>
        <v>2230.3214237799</v>
      </c>
      <c r="CC79" s="46" t="n">
        <f aca="false">(CC75+CC52+CC78)*(CC$4&gt;In_COD)</f>
        <v>2253.32136101249</v>
      </c>
      <c r="CD79" s="46" t="n">
        <f aca="false">(CD75+CD52+CD78)*(CD$4&gt;In_COD)</f>
        <v>2244.10086827483</v>
      </c>
      <c r="CE79" s="46" t="n">
        <f aca="false">(CE75+CE52+CE78)*(CE$4&gt;In_COD)</f>
        <v>2205.23581896888</v>
      </c>
      <c r="CF79" s="46" t="n">
        <f aca="false">(CF75+CF52+CF78)*(CF$4&gt;In_COD)</f>
        <v>2228.23846414373</v>
      </c>
      <c r="CG79" s="46" t="n">
        <f aca="false">(CG75+CG52+CG78)*(CG$4&gt;In_COD)</f>
        <v>2251.20932782826</v>
      </c>
      <c r="CH79" s="46" t="n">
        <f aca="false">(CH75+CH52+CH78)*(CH$4&gt;In_COD)</f>
        <v>2241.87850631413</v>
      </c>
      <c r="CI79" s="46" t="n">
        <f aca="false">(CI75+CI52+CI78)*(CI$4&gt;In_COD)</f>
        <v>2202.65328130301</v>
      </c>
      <c r="CJ79" s="46" t="n">
        <f aca="false">(CJ75+CJ52+CJ78)*(CJ$4&gt;In_COD)</f>
        <v>2225.62175058933</v>
      </c>
      <c r="CK79" s="46" t="n">
        <f aca="false">(CK75+CK52+CK78)*(CK$4&gt;In_COD)</f>
        <v>2248.55766638903</v>
      </c>
      <c r="CL79" s="46" t="n">
        <f aca="false">(CL75+CL52+CL78)*(CL$4&gt;In_COD)</f>
        <v>2239.11360514418</v>
      </c>
      <c r="CM79" s="46" t="n">
        <f aca="false">(CM75+CM52+CM78)*(CM$4&gt;In_COD)</f>
        <v>2199.52252470766</v>
      </c>
      <c r="CN79" s="46" t="n">
        <f aca="false">(CN75+CN52+CN78)*(CN$4&gt;In_COD)</f>
        <v>2222.4507468805</v>
      </c>
      <c r="CO79" s="46" t="n">
        <f aca="false">(CO75+CO52+CO78)*(CO$4&gt;In_COD)</f>
        <v>2245.34561202642</v>
      </c>
      <c r="CP79" s="46" t="n">
        <f aca="false">(CP75+CP52+CP78)*(CP$4&gt;In_COD)</f>
        <v>2235.78527611935</v>
      </c>
      <c r="CQ79" s="46" t="n">
        <f aca="false">(CQ75+CQ52+CQ78)*(CQ$4&gt;In_COD)</f>
        <v>2220.17031074866</v>
      </c>
      <c r="CR79" s="46" t="n">
        <f aca="false">(CR75+CR52+CR78)*(CR$4&gt;In_COD)</f>
        <v>2218.6872760456</v>
      </c>
      <c r="CS79" s="46" t="n">
        <f aca="false">(CS75+CS52+CS78)*(CS$4&gt;In_COD)</f>
        <v>2241.53455142709</v>
      </c>
      <c r="CT79" s="46" t="n">
        <f aca="false">(CT75+CT52+CT78)*(CT$4&gt;In_COD)</f>
        <v>2231.85457441773</v>
      </c>
      <c r="CU79" s="46" t="n">
        <f aca="false">(CU75+CU52+CU78)*(CU$4&gt;In_COD)</f>
        <v>2193.06147623176</v>
      </c>
      <c r="CV79" s="46" t="n">
        <f aca="false">(CV75+CV52+CV78)*(CV$4&gt;In_COD)</f>
        <v>2217.42882596766</v>
      </c>
      <c r="CW79" s="46" t="n">
        <f aca="false">(CW75+CW52+CW78)*(CW$4&gt;In_COD)</f>
        <v>2241.79617570357</v>
      </c>
      <c r="CX79" s="46" t="n">
        <f aca="false">(CX75+CX52+CX78)*(CX$4&gt;In_COD)</f>
        <v>2233.60299011813</v>
      </c>
      <c r="CY79" s="46" t="n">
        <f aca="false">(CY75+CY52+CY78)*(CY$4&gt;In_COD)</f>
        <v>2194.50118554088</v>
      </c>
      <c r="CZ79" s="46" t="n">
        <f aca="false">(CZ75+CZ52+CZ78)*(CZ$4&gt;In_COD)</f>
        <v>2218.88453204689</v>
      </c>
      <c r="DA79" s="46" t="n">
        <f aca="false">(DA75+DA52+DA78)*(DA$4&gt;In_COD)</f>
        <v>2243.2678785529</v>
      </c>
      <c r="DB79" s="46" t="n">
        <f aca="false">(DB75+DB52+DB78)*(DB$4&gt;In_COD)</f>
        <v>2137.1420964714</v>
      </c>
      <c r="DC79" s="46" t="n">
        <f aca="false">(DC75+DC52+DC78)*(DC$4&gt;In_COD)</f>
        <v>2099.85648575453</v>
      </c>
      <c r="DD79" s="46" t="n">
        <f aca="false">(DD75+DD52+DD78)*(DD$4&gt;In_COD)</f>
        <v>2123.18822448513</v>
      </c>
      <c r="DE79" s="46" t="n">
        <f aca="false">(DE75+DE52+DE78)*(DE$4&gt;In_COD)</f>
        <v>2146.51996321574</v>
      </c>
      <c r="DF79" s="46" t="n">
        <f aca="false">(DF75+DF52+DF78)*(DF$4&gt;In_COD)</f>
        <v>2138.22978045169</v>
      </c>
      <c r="DG79" s="46" t="n">
        <f aca="false">(DG75+DG52+DG78)*(DG$4&gt;In_COD)</f>
        <v>2123.96971469438</v>
      </c>
      <c r="DH79" s="46" t="n">
        <f aca="false">(DH75+DH52+DH78)*(DH$4&gt;In_COD)</f>
        <v>2123.96971469438</v>
      </c>
      <c r="DI79" s="46" t="n">
        <f aca="false">(DI75+DI52+DI78)*(DI$4&gt;In_COD)</f>
        <v>2147.31004122948</v>
      </c>
      <c r="DJ79" s="46" t="n">
        <f aca="false">(DJ75+DJ52+DJ78)*(DJ$4&gt;In_COD)</f>
        <v>2138.97122265953</v>
      </c>
      <c r="DK79" s="46" t="n">
        <f aca="false">(DK75+DK52+DK78)*(DK$4&gt;In_COD)</f>
        <v>2101.05294542443</v>
      </c>
      <c r="DL79" s="46" t="n">
        <f aca="false">(DL75+DL52+DL78)*(DL$4&gt;In_COD)</f>
        <v>2124.39797815137</v>
      </c>
      <c r="DM79" s="46" t="n">
        <f aca="false">(DM75+DM52+DM78)*(DM$4&gt;In_COD)</f>
        <v>2147.74301087831</v>
      </c>
      <c r="DN79" s="46" t="n">
        <f aca="false">(DN75+DN52+DN78)*(DN$4&gt;In_COD)</f>
        <v>2139.35547118825</v>
      </c>
      <c r="DO79" s="46" t="n">
        <f aca="false">(DO75+DO52+DO78)*(DO$4&gt;In_COD)</f>
        <v>2101.11616065373</v>
      </c>
      <c r="DP79" s="46" t="n">
        <f aca="false">(DP75+DP52+DP78)*(DP$4&gt;In_COD)</f>
        <v>2124.4618957721</v>
      </c>
      <c r="DQ79" s="46" t="n">
        <f aca="false">(DQ75+DQ52+DQ78)*(DQ$4&gt;In_COD)</f>
        <v>2147.80763089048</v>
      </c>
      <c r="DR79" s="46" t="n">
        <f aca="false">(DR75+DR52+DR78)*(DR$4&gt;In_COD)</f>
        <v>2139.37128957395</v>
      </c>
      <c r="DS79" s="46" t="n">
        <f aca="false">(DS75+DS52+DS78)*(DS$4&gt;In_COD)</f>
        <v>2100.80775151472</v>
      </c>
      <c r="DT79" s="46" t="n">
        <f aca="false">(DT75+DT52+DT78)*(DT$4&gt;In_COD)</f>
        <v>2124.15005986488</v>
      </c>
      <c r="DU79" s="46" t="n">
        <f aca="false">(DU75+DU52+DU78)*(DU$4&gt;In_COD)</f>
        <v>2147.49236821505</v>
      </c>
      <c r="DV79" s="46" t="n">
        <f aca="false">(DV75+DV52+DV78)*(DV$4&gt;In_COD)</f>
        <v>2139.00714972595</v>
      </c>
      <c r="DW79" s="46" t="n">
        <f aca="false">(DW75+DW52+DW78)*(DW$4&gt;In_COD)</f>
        <v>2123.45076696211</v>
      </c>
      <c r="DX79" s="46" t="n">
        <f aca="false">(DX75+DX52+DX78)*(DX$4&gt;In_COD)</f>
        <v>2123.45076696211</v>
      </c>
      <c r="DY79" s="46" t="n">
        <f aca="false">(DY75+DY52+DY78)*(DY$4&gt;In_COD)</f>
        <v>2146.78539077488</v>
      </c>
      <c r="DZ79" s="46" t="n">
        <f aca="false">(DZ75+DZ52+DZ78)*(DZ$4&gt;In_COD)</f>
        <v>2138.25122468349</v>
      </c>
      <c r="EA79" s="46" t="n">
        <f aca="false">(EA75+EA52+EA78)*(EA$4&gt;In_COD)</f>
        <v>2099.02946091011</v>
      </c>
      <c r="EB79" s="46" t="n">
        <f aca="false">(EB75+EB52+EB78)*(EB$4&gt;In_COD)</f>
        <v>2122.35201047578</v>
      </c>
      <c r="EC79" s="46" t="n">
        <f aca="false">(EC75+EC52+EC78)*(EC$4&gt;In_COD)</f>
        <v>2145.67456004145</v>
      </c>
      <c r="ED79" s="46" t="n">
        <f aca="false">(ED75+ED52+ED78)*(ED$4&gt;In_COD)</f>
        <v>2137.09138119429</v>
      </c>
      <c r="EE79" s="46" t="n">
        <f aca="false">(EE75+EE52+EE78)*(EE$4&gt;In_COD)</f>
        <v>2097.53552291781</v>
      </c>
      <c r="EF79" s="46" t="n">
        <f aca="false">(EF75+EF52+EF78)*(EF$4&gt;In_COD)</f>
        <v>2120.84147317245</v>
      </c>
      <c r="EG79" s="46" t="n">
        <f aca="false">(EG75+EG52+EG78)*(EG$4&gt;In_COD)</f>
        <v>2144.1474234271</v>
      </c>
      <c r="EH79" s="46" t="n">
        <f aca="false">(EH75+EH52+EH78)*(EH$4&gt;In_COD)</f>
        <v>2135.5151721106</v>
      </c>
      <c r="EI79" s="46" t="n">
        <f aca="false">(EI75+EI52+EI78)*(EI$4&gt;In_COD)</f>
        <v>2095.62183243614</v>
      </c>
      <c r="EJ79" s="46" t="n">
        <f aca="false">(EJ75+EJ52+EJ78)*(EJ$4&gt;In_COD)</f>
        <v>2118.90651946321</v>
      </c>
      <c r="EK79" s="46" t="n">
        <f aca="false">(EK75+EK52+EK78)*(EK$4&gt;In_COD)</f>
        <v>2142.19120649028</v>
      </c>
      <c r="EL79" s="46" t="n">
        <f aca="false">(EL75+EL52+EL78)*(EL$4&gt;In_COD)</f>
        <v>2133.50982859844</v>
      </c>
      <c r="EM79" s="46" t="n">
        <f aca="false">(EM75+EM52+EM78)*(EM$4&gt;In_COD)</f>
        <v>2116.53418750407</v>
      </c>
      <c r="EN79" s="46" t="n">
        <f aca="false">(EN75+EN52+EN78)*(EN$4&gt;In_COD)</f>
        <v>2116.53418750407</v>
      </c>
      <c r="EO79" s="46" t="n">
        <f aca="false">(EO75+EO52+EO78)*(EO$4&gt;In_COD)</f>
        <v>2139.79280494917</v>
      </c>
    </row>
    <row r="80" customFormat="false" ht="15" hidden="false" customHeight="false" outlineLevel="0" collapsed="false">
      <c r="C80" s="0" t="s">
        <v>407</v>
      </c>
      <c r="D80" s="11" t="s">
        <v>33</v>
      </c>
      <c r="E80" s="46" t="n">
        <f aca="false">SUMPRODUCT($J80:$EO80/$J21:$EO21)*$E21</f>
        <v>87960.6665662843</v>
      </c>
      <c r="I80" s="46" t="n">
        <f aca="false">SUM(J80:EO80)</f>
        <v>133960.513146935</v>
      </c>
      <c r="J80" s="46" t="n">
        <f aca="false">J79/In_DSCR*J17</f>
        <v>-0</v>
      </c>
      <c r="K80" s="46" t="n">
        <f aca="false">K79/In_DSCR*K17</f>
        <v>-0</v>
      </c>
      <c r="L80" s="46" t="n">
        <f aca="false">L79/In_DSCR*L17</f>
        <v>-0</v>
      </c>
      <c r="M80" s="46" t="n">
        <f aca="false">M79/In_DSCR*M17</f>
        <v>-0</v>
      </c>
      <c r="N80" s="46" t="n">
        <f aca="false">N79/In_DSCR*N17</f>
        <v>-0</v>
      </c>
      <c r="O80" s="46" t="n">
        <f aca="false">O79/In_DSCR*O17</f>
        <v>-0</v>
      </c>
      <c r="P80" s="46" t="n">
        <f aca="false">P79/In_DSCR*P17</f>
        <v>-0</v>
      </c>
      <c r="Q80" s="46" t="n">
        <f aca="false">Q79/In_DSCR*Q17</f>
        <v>-0</v>
      </c>
      <c r="R80" s="46" t="n">
        <f aca="false">R79/In_DSCR*R17</f>
        <v>-0</v>
      </c>
      <c r="S80" s="46" t="n">
        <f aca="false">S79/In_DSCR*S17</f>
        <v>-0</v>
      </c>
      <c r="T80" s="46" t="n">
        <f aca="false">T79/In_DSCR*T17</f>
        <v>-0</v>
      </c>
      <c r="U80" s="46" t="n">
        <f aca="false">U79/In_DSCR*U17</f>
        <v>-0</v>
      </c>
      <c r="V80" s="46" t="n">
        <f aca="false">V79/In_DSCR*V17</f>
        <v>-0</v>
      </c>
      <c r="W80" s="46" t="n">
        <f aca="false">W79/In_DSCR*W17</f>
        <v>-0</v>
      </c>
      <c r="X80" s="46" t="n">
        <f aca="false">X79/In_DSCR*X17</f>
        <v>-0</v>
      </c>
      <c r="Y80" s="46" t="n">
        <f aca="false">Y79/In_DSCR*Y17</f>
        <v>-0</v>
      </c>
      <c r="Z80" s="46" t="n">
        <f aca="false">Z79/In_DSCR*Z17</f>
        <v>1850.39283940744</v>
      </c>
      <c r="AA80" s="46" t="n">
        <f aca="false">AA79/In_DSCR*AA17</f>
        <v>1822.06488948548</v>
      </c>
      <c r="AB80" s="46" t="n">
        <f aca="false">AB79/In_DSCR*AB17</f>
        <v>1841.72031879288</v>
      </c>
      <c r="AC80" s="46" t="n">
        <f aca="false">AC79/In_DSCR*AC17</f>
        <v>1861.36576116513</v>
      </c>
      <c r="AD80" s="46" t="n">
        <f aca="false">AD79/In_DSCR*AD17</f>
        <v>1854.67137242235</v>
      </c>
      <c r="AE80" s="46" t="n">
        <f aca="false">AE79/In_DSCR*AE17</f>
        <v>1846.06645782458</v>
      </c>
      <c r="AF80" s="46" t="n">
        <f aca="false">AF79/In_DSCR*AF17</f>
        <v>1845.79103335796</v>
      </c>
      <c r="AG80" s="46" t="n">
        <f aca="false">AG79/In_DSCR*AG17</f>
        <v>1865.47815350033</v>
      </c>
      <c r="AH80" s="46" t="n">
        <f aca="false">AH79/In_DSCR*AH17</f>
        <v>1858.72821242669</v>
      </c>
      <c r="AI80" s="46" t="n">
        <f aca="false">AI79/In_DSCR*AI17</f>
        <v>1829.91172985942</v>
      </c>
      <c r="AJ80" s="46" t="n">
        <f aca="false">AJ79/In_DSCR*AJ17</f>
        <v>1869.51163824297</v>
      </c>
      <c r="AK80" s="46" t="n">
        <f aca="false">AK79/In_DSCR*AK17</f>
        <v>1889.44947430158</v>
      </c>
      <c r="AL80" s="46" t="n">
        <f aca="false">AL79/In_DSCR*AL17</f>
        <v>1865.05071475368</v>
      </c>
      <c r="AM80" s="46" t="n">
        <f aca="false">AM79/In_DSCR*AM17</f>
        <v>1835.6881421538</v>
      </c>
      <c r="AN80" s="46" t="n">
        <f aca="false">AN79/In_DSCR*AN17</f>
        <v>1854.88630084509</v>
      </c>
      <c r="AO80" s="46" t="n">
        <f aca="false">AO79/In_DSCR*AO17</f>
        <v>1874.06362072163</v>
      </c>
      <c r="AP80" s="46" t="n">
        <f aca="false">AP79/In_DSCR*AP17</f>
        <v>1867.18590833367</v>
      </c>
      <c r="AQ80" s="46" t="n">
        <f aca="false">AQ79/In_DSCR*AQ17</f>
        <v>1837.56735357104</v>
      </c>
      <c r="AR80" s="46" t="n">
        <f aca="false">AR79/In_DSCR*AR17</f>
        <v>1856.78159429751</v>
      </c>
      <c r="AS80" s="46" t="n">
        <f aca="false">AS79/In_DSCR*AS17</f>
        <v>1875.97457558122</v>
      </c>
      <c r="AT80" s="46" t="n">
        <f aca="false">AT79/In_DSCR*AT17</f>
        <v>1869.02444106376</v>
      </c>
      <c r="AU80" s="46" t="n">
        <f aca="false">AU79/In_DSCR*AU17</f>
        <v>1859.0425084387</v>
      </c>
      <c r="AV80" s="46" t="n">
        <f aca="false">AV79/In_DSCR*AV17</f>
        <v>1858.35962648821</v>
      </c>
      <c r="AW80" s="46" t="n">
        <f aca="false">AW79/In_DSCR*AW17</f>
        <v>1877.56477799437</v>
      </c>
      <c r="AX80" s="46" t="n">
        <f aca="false">AX79/In_DSCR*AX17</f>
        <v>1870.54044118451</v>
      </c>
      <c r="AY80" s="46" t="n">
        <f aca="false">AY79/In_DSCR*AY17</f>
        <v>1840.39918783628</v>
      </c>
      <c r="AZ80" s="46" t="n">
        <f aca="false">AZ79/In_DSCR*AZ17</f>
        <v>1859.63535530936</v>
      </c>
      <c r="BA80" s="46" t="n">
        <f aca="false">BA79/In_DSCR*BA17</f>
        <v>1878.84937146741</v>
      </c>
      <c r="BB80" s="46" t="n">
        <f aca="false">BB79/In_DSCR*BB17</f>
        <v>1871.74930862864</v>
      </c>
      <c r="BC80" s="46" t="n">
        <f aca="false">BC79/In_DSCR*BC17</f>
        <v>1841.34130898841</v>
      </c>
      <c r="BD80" s="46" t="n">
        <f aca="false">BD79/In_DSCR*BD17</f>
        <v>1860.58321378799</v>
      </c>
      <c r="BE80" s="46" t="n">
        <f aca="false">BE79/In_DSCR*BE17</f>
        <v>1879.80249642086</v>
      </c>
      <c r="BF80" s="46" t="n">
        <f aca="false">BF79/In_DSCR*BF17</f>
        <v>1872.62495822203</v>
      </c>
      <c r="BG80" s="46" t="n">
        <f aca="false">BG79/In_DSCR*BG17</f>
        <v>1841.94643188401</v>
      </c>
      <c r="BH80" s="46" t="n">
        <f aca="false">BH79/In_DSCR*BH17</f>
        <v>1861.19035189285</v>
      </c>
      <c r="BI80" s="46" t="n">
        <f aca="false">BI79/In_DSCR*BI17</f>
        <v>1880.41116060567</v>
      </c>
      <c r="BJ80" s="46" t="n">
        <f aca="false">BJ79/In_DSCR*BJ17</f>
        <v>1873.15432617717</v>
      </c>
      <c r="BK80" s="46" t="n">
        <f aca="false">BK79/In_DSCR*BK17</f>
        <v>1862.26558700927</v>
      </c>
      <c r="BL80" s="46" t="n">
        <f aca="false">BL79/In_DSCR*BL17</f>
        <v>1861.42954262629</v>
      </c>
      <c r="BM80" s="46" t="n">
        <f aca="false">BM79/In_DSCR*BM17</f>
        <v>1880.64782531497</v>
      </c>
      <c r="BN80" s="46" t="n">
        <f aca="false">BN79/In_DSCR*BN17</f>
        <v>1873.30963269526</v>
      </c>
      <c r="BO80" s="46" t="n">
        <f aca="false">BO79/In_DSCR*BO17</f>
        <v>1842.07812508383</v>
      </c>
      <c r="BP80" s="46" t="n">
        <f aca="false">BP79/In_DSCR*BP17</f>
        <v>1861.31414721579</v>
      </c>
      <c r="BQ80" s="46" t="n">
        <f aca="false">BQ79/In_DSCR*BQ17</f>
        <v>1880.52601953256</v>
      </c>
      <c r="BR80" s="46" t="n">
        <f aca="false">BR79/In_DSCR*BR17</f>
        <v>1873.10465278203</v>
      </c>
      <c r="BS80" s="46" t="n">
        <f aca="false">BS79/In_DSCR*BS17</f>
        <v>1841.5906312171</v>
      </c>
      <c r="BT80" s="46" t="n">
        <f aca="false">BT79/In_DSCR*BT17</f>
        <v>1860.8165926459</v>
      </c>
      <c r="BU80" s="46" t="n">
        <f aca="false">BU79/In_DSCR*BU17</f>
        <v>1880.01785497009</v>
      </c>
      <c r="BV80" s="46" t="n">
        <f aca="false">BV79/In_DSCR*BV17</f>
        <v>1872.51125747577</v>
      </c>
      <c r="BW80" s="46" t="n">
        <f aca="false">BW79/In_DSCR*BW17</f>
        <v>1840.71050188106</v>
      </c>
      <c r="BX80" s="46" t="n">
        <f aca="false">BX79/In_DSCR*BX17</f>
        <v>1859.92206048167</v>
      </c>
      <c r="BY80" s="46" t="n">
        <f aca="false">BY79/In_DSCR*BY17</f>
        <v>1879.10834877817</v>
      </c>
      <c r="BZ80" s="46" t="n">
        <f aca="false">BZ79/In_DSCR*BZ17</f>
        <v>1871.51437798116</v>
      </c>
      <c r="CA80" s="46" t="n">
        <f aca="false">CA79/In_DSCR*CA17</f>
        <v>1859.61965538983</v>
      </c>
      <c r="CB80" s="46" t="n">
        <f aca="false">CB79/In_DSCR*CB17</f>
        <v>1858.60118648325</v>
      </c>
      <c r="CC80" s="46" t="n">
        <f aca="false">CC79/In_DSCR*CC17</f>
        <v>1877.76780084374</v>
      </c>
      <c r="CD80" s="46" t="n">
        <f aca="false">CD79/In_DSCR*CD17</f>
        <v>1870.08405689569</v>
      </c>
      <c r="CE80" s="46" t="n">
        <f aca="false">CE79/In_DSCR*CE17</f>
        <v>1837.6965158074</v>
      </c>
      <c r="CF80" s="46" t="n">
        <f aca="false">CF79/In_DSCR*CF17</f>
        <v>1856.86538678645</v>
      </c>
      <c r="CG80" s="46" t="n">
        <f aca="false">CG79/In_DSCR*CG17</f>
        <v>1876.00777319022</v>
      </c>
      <c r="CH80" s="46" t="n">
        <f aca="false">CH79/In_DSCR*CH17</f>
        <v>1868.23208859511</v>
      </c>
      <c r="CI80" s="46" t="n">
        <f aca="false">CI79/In_DSCR*CI17</f>
        <v>1835.54440108584</v>
      </c>
      <c r="CJ80" s="46" t="n">
        <f aca="false">CJ79/In_DSCR*CJ17</f>
        <v>1854.68479215777</v>
      </c>
      <c r="CK80" s="46" t="n">
        <f aca="false">CK79/In_DSCR*CK17</f>
        <v>1873.79805532419</v>
      </c>
      <c r="CL80" s="46" t="n">
        <f aca="false">CL79/In_DSCR*CL17</f>
        <v>1865.92800428682</v>
      </c>
      <c r="CM80" s="46" t="n">
        <f aca="false">CM79/In_DSCR*CM17</f>
        <v>1832.93543725639</v>
      </c>
      <c r="CN80" s="46" t="n">
        <f aca="false">CN79/In_DSCR*CN17</f>
        <v>1852.04228906708</v>
      </c>
      <c r="CO80" s="46" t="n">
        <f aca="false">CO79/In_DSCR*CO17</f>
        <v>1871.12134335535</v>
      </c>
      <c r="CP80" s="46" t="n">
        <f aca="false">CP79/In_DSCR*CP17</f>
        <v>1863.15439676612</v>
      </c>
      <c r="CQ80" s="46" t="n">
        <f aca="false">CQ79/In_DSCR*CQ17</f>
        <v>1850.14192562389</v>
      </c>
      <c r="CR80" s="46" t="n">
        <f aca="false">CR79/In_DSCR*CR17</f>
        <v>1848.90606337133</v>
      </c>
      <c r="CS80" s="46" t="n">
        <f aca="false">CS79/In_DSCR*CS17</f>
        <v>1867.94545952258</v>
      </c>
      <c r="CT80" s="46" t="n">
        <f aca="false">CT79/In_DSCR*CT17</f>
        <v>0</v>
      </c>
      <c r="CU80" s="46" t="n">
        <f aca="false">CU79/In_DSCR*CU17</f>
        <v>0</v>
      </c>
      <c r="CV80" s="46" t="n">
        <f aca="false">CV79/In_DSCR*CV17</f>
        <v>0</v>
      </c>
      <c r="CW80" s="46" t="n">
        <f aca="false">CW79/In_DSCR*CW17</f>
        <v>0</v>
      </c>
      <c r="CX80" s="46" t="n">
        <f aca="false">CX79/In_DSCR*CX17</f>
        <v>0</v>
      </c>
      <c r="CY80" s="46" t="n">
        <f aca="false">CY79/In_DSCR*CY17</f>
        <v>0</v>
      </c>
      <c r="CZ80" s="46" t="n">
        <f aca="false">CZ79/In_DSCR*CZ17</f>
        <v>0</v>
      </c>
      <c r="DA80" s="46" t="n">
        <f aca="false">DA79/In_DSCR*DA17</f>
        <v>0</v>
      </c>
      <c r="DB80" s="46" t="n">
        <f aca="false">DB79/In_DSCR*DB17</f>
        <v>0</v>
      </c>
      <c r="DC80" s="46" t="n">
        <f aca="false">DC79/In_DSCR*DC17</f>
        <v>0</v>
      </c>
      <c r="DD80" s="46" t="n">
        <f aca="false">DD79/In_DSCR*DD17</f>
        <v>0</v>
      </c>
      <c r="DE80" s="46" t="n">
        <f aca="false">DE79/In_DSCR*DE17</f>
        <v>0</v>
      </c>
      <c r="DF80" s="46" t="n">
        <f aca="false">DF79/In_DSCR*DF17</f>
        <v>0</v>
      </c>
      <c r="DG80" s="46" t="n">
        <f aca="false">DG79/In_DSCR*DG17</f>
        <v>0</v>
      </c>
      <c r="DH80" s="46" t="n">
        <f aca="false">DH79/In_DSCR*DH17</f>
        <v>0</v>
      </c>
      <c r="DI80" s="46" t="n">
        <f aca="false">DI79/In_DSCR*DI17</f>
        <v>0</v>
      </c>
      <c r="DJ80" s="46" t="n">
        <f aca="false">DJ79/In_DSCR*DJ17</f>
        <v>0</v>
      </c>
      <c r="DK80" s="46" t="n">
        <f aca="false">DK79/In_DSCR*DK17</f>
        <v>0</v>
      </c>
      <c r="DL80" s="46" t="n">
        <f aca="false">DL79/In_DSCR*DL17</f>
        <v>0</v>
      </c>
      <c r="DM80" s="46" t="n">
        <f aca="false">DM79/In_DSCR*DM17</f>
        <v>0</v>
      </c>
      <c r="DN80" s="46" t="n">
        <f aca="false">DN79/In_DSCR*DN17</f>
        <v>0</v>
      </c>
      <c r="DO80" s="46" t="n">
        <f aca="false">DO79/In_DSCR*DO17</f>
        <v>0</v>
      </c>
      <c r="DP80" s="46" t="n">
        <f aca="false">DP79/In_DSCR*DP17</f>
        <v>0</v>
      </c>
      <c r="DQ80" s="46" t="n">
        <f aca="false">DQ79/In_DSCR*DQ17</f>
        <v>0</v>
      </c>
      <c r="DR80" s="46" t="n">
        <f aca="false">DR79/In_DSCR*DR17</f>
        <v>0</v>
      </c>
      <c r="DS80" s="46" t="n">
        <f aca="false">DS79/In_DSCR*DS17</f>
        <v>0</v>
      </c>
      <c r="DT80" s="46" t="n">
        <f aca="false">DT79/In_DSCR*DT17</f>
        <v>0</v>
      </c>
      <c r="DU80" s="46" t="n">
        <f aca="false">DU79/In_DSCR*DU17</f>
        <v>0</v>
      </c>
      <c r="DV80" s="46" t="n">
        <f aca="false">DV79/In_DSCR*DV17</f>
        <v>0</v>
      </c>
      <c r="DW80" s="46" t="n">
        <f aca="false">DW79/In_DSCR*DW17</f>
        <v>0</v>
      </c>
      <c r="DX80" s="46" t="n">
        <f aca="false">DX79/In_DSCR*DX17</f>
        <v>0</v>
      </c>
      <c r="DY80" s="46" t="n">
        <f aca="false">DY79/In_DSCR*DY17</f>
        <v>0</v>
      </c>
      <c r="DZ80" s="46" t="n">
        <f aca="false">DZ79/In_DSCR*DZ17</f>
        <v>0</v>
      </c>
      <c r="EA80" s="46" t="n">
        <f aca="false">EA79/In_DSCR*EA17</f>
        <v>0</v>
      </c>
      <c r="EB80" s="46" t="n">
        <f aca="false">EB79/In_DSCR*EB17</f>
        <v>0</v>
      </c>
      <c r="EC80" s="46" t="n">
        <f aca="false">EC79/In_DSCR*EC17</f>
        <v>0</v>
      </c>
      <c r="ED80" s="46" t="n">
        <f aca="false">ED79/In_DSCR*ED17</f>
        <v>0</v>
      </c>
      <c r="EE80" s="46" t="n">
        <f aca="false">EE79/In_DSCR*EE17</f>
        <v>0</v>
      </c>
      <c r="EF80" s="46" t="n">
        <f aca="false">EF79/In_DSCR*EF17</f>
        <v>0</v>
      </c>
      <c r="EG80" s="46" t="n">
        <f aca="false">EG79/In_DSCR*EG17</f>
        <v>0</v>
      </c>
      <c r="EH80" s="46" t="n">
        <f aca="false">EH79/In_DSCR*EH17</f>
        <v>0</v>
      </c>
      <c r="EI80" s="46" t="n">
        <f aca="false">EI79/In_DSCR*EI17</f>
        <v>0</v>
      </c>
      <c r="EJ80" s="46" t="n">
        <f aca="false">EJ79/In_DSCR*EJ17</f>
        <v>0</v>
      </c>
      <c r="EK80" s="46" t="n">
        <f aca="false">EK79/In_DSCR*EK17</f>
        <v>0</v>
      </c>
      <c r="EL80" s="46" t="n">
        <f aca="false">EL79/In_DSCR*EL17</f>
        <v>0</v>
      </c>
      <c r="EM80" s="46" t="n">
        <f aca="false">EM79/In_DSCR*EM17</f>
        <v>0</v>
      </c>
      <c r="EN80" s="46" t="n">
        <f aca="false">EN79/In_DSCR*EN17</f>
        <v>0</v>
      </c>
      <c r="EO80" s="46" t="n">
        <f aca="false">EO79/In_DSCR*EO17</f>
        <v>0</v>
      </c>
    </row>
    <row r="81" customFormat="false" ht="15" hidden="false" customHeight="false" outlineLevel="0" collapsed="false">
      <c r="C81" s="0" t="s">
        <v>408</v>
      </c>
      <c r="D81" s="11" t="s">
        <v>27</v>
      </c>
      <c r="E81" s="47" t="n">
        <f aca="false">IF($E35=1,In_Gearing,In_Gearing_CN)</f>
        <v>0.8</v>
      </c>
    </row>
    <row r="82" customFormat="false" ht="15" hidden="false" customHeight="false" outlineLevel="0" collapsed="false">
      <c r="C82" s="24" t="s">
        <v>409</v>
      </c>
      <c r="D82" s="11" t="s">
        <v>27</v>
      </c>
      <c r="E82" s="32" t="n">
        <f aca="false">MIN($E81,$E80/-$E62)</f>
        <v>0.8</v>
      </c>
      <c r="F82" s="32" t="n">
        <f aca="false">$E82*-$E62/$E80</f>
        <v>0.739651959898505</v>
      </c>
    </row>
    <row r="84" customFormat="false" ht="15" hidden="false" customHeight="false" outlineLevel="0" collapsed="false">
      <c r="A84" s="9" t="s">
        <v>13</v>
      </c>
      <c r="B84" s="9"/>
      <c r="C84" s="9" t="s">
        <v>300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410</v>
      </c>
      <c r="D85" s="11" t="s">
        <v>33</v>
      </c>
      <c r="I85" s="46" t="n">
        <f aca="false">SUM(J85:EO85)</f>
        <v>-34023.876678409</v>
      </c>
      <c r="J85" s="46" t="n">
        <f aca="false">-I91*$F21*(J$4&gt;In_COD)</f>
        <v>-0</v>
      </c>
      <c r="K85" s="46" t="n">
        <f aca="false">-J91*$F21*(K$4&gt;In_COD)</f>
        <v>-0</v>
      </c>
      <c r="L85" s="46" t="n">
        <f aca="false">-K91*$F21*(L$4&gt;In_COD)</f>
        <v>-0</v>
      </c>
      <c r="M85" s="46" t="n">
        <f aca="false">-L91*$F21*(M$4&gt;In_COD)</f>
        <v>-0</v>
      </c>
      <c r="N85" s="46" t="n">
        <f aca="false">-M91*$F21*(N$4&gt;In_COD)</f>
        <v>-0</v>
      </c>
      <c r="O85" s="46" t="n">
        <f aca="false">-N91*$F21*(O$4&gt;In_COD)</f>
        <v>-0</v>
      </c>
      <c r="P85" s="46" t="n">
        <f aca="false">-O91*$F21*(P$4&gt;In_COD)</f>
        <v>-0</v>
      </c>
      <c r="Q85" s="46" t="n">
        <f aca="false">-P91*$F21*(Q$4&gt;In_COD)</f>
        <v>-0</v>
      </c>
      <c r="R85" s="46" t="n">
        <f aca="false">-Q91*$F21*(R$4&gt;In_COD)</f>
        <v>-0</v>
      </c>
      <c r="S85" s="46" t="n">
        <f aca="false">-R91*$F21*(S$4&gt;In_COD)</f>
        <v>-0</v>
      </c>
      <c r="T85" s="46" t="n">
        <f aca="false">-S91*$F21*(T$4&gt;In_COD)</f>
        <v>-0</v>
      </c>
      <c r="U85" s="46" t="n">
        <f aca="false">-T91*$F21*(U$4&gt;In_COD)</f>
        <v>-0</v>
      </c>
      <c r="V85" s="46" t="n">
        <f aca="false">-U91*$F21*(V$4&gt;In_COD)</f>
        <v>-0</v>
      </c>
      <c r="W85" s="46" t="n">
        <f aca="false">-V91*$F21*(W$4&gt;In_COD)</f>
        <v>-0</v>
      </c>
      <c r="X85" s="46" t="n">
        <f aca="false">-W91*$F21*(X$4&gt;In_COD)</f>
        <v>-0</v>
      </c>
      <c r="Y85" s="46" t="n">
        <f aca="false">-X91*$F21*(Y$4&gt;In_COD)</f>
        <v>-0</v>
      </c>
      <c r="Z85" s="46" t="n">
        <f aca="false">-Y91*$F21*(Z$4&gt;In_COD)</f>
        <v>-813.253492746639</v>
      </c>
      <c r="AA85" s="46" t="n">
        <f aca="false">-Z91*$F21*(AA$4&gt;In_COD)</f>
        <v>-806.311077777849</v>
      </c>
      <c r="AB85" s="46" t="n">
        <f aca="false">-AA91*$F21*(AB$4&gt;In_COD)</f>
        <v>-799.543792917944</v>
      </c>
      <c r="AC85" s="46" t="n">
        <f aca="false">-AB91*$F21*(AC$4&gt;In_COD)</f>
        <v>-792.510189787168</v>
      </c>
      <c r="AD85" s="46" t="n">
        <f aca="false">-AC91*$F21*(AD$4&gt;In_COD)</f>
        <v>-785.207031742836</v>
      </c>
      <c r="AE85" s="46" t="n">
        <f aca="false">-AD91*$F21*(AE$4&gt;In_COD)</f>
        <v>-777.874478194873</v>
      </c>
      <c r="AF85" s="46" t="n">
        <f aca="false">-AE91*$F21*(AF$4&gt;In_COD)</f>
        <v>-770.529825751898</v>
      </c>
      <c r="AG85" s="46" t="n">
        <f aca="false">-AF91*$F21*(AG$4&gt;In_COD)</f>
        <v>-763.095911631468</v>
      </c>
      <c r="AH85" s="46" t="n">
        <f aca="false">-AG91*$F21*(AH$4&gt;In_COD)</f>
        <v>-755.387053372057</v>
      </c>
      <c r="AI85" s="46" t="n">
        <f aca="false">-AH91*$F21*(AI$4&gt;In_COD)</f>
        <v>-747.644241973707</v>
      </c>
      <c r="AJ85" s="46" t="n">
        <f aca="false">-AI91*$F21*(AJ$4&gt;In_COD)</f>
        <v>-740.071072530481</v>
      </c>
      <c r="AK85" s="46" t="n">
        <f aca="false">-AJ91*$F21*(AK$4&gt;In_COD)</f>
        <v>-732.037111596119</v>
      </c>
      <c r="AL85" s="46" t="n">
        <f aca="false">-AK91*$F21*(AL$4&gt;In_COD)</f>
        <v>-723.718387906116</v>
      </c>
      <c r="AM85" s="46" t="n">
        <f aca="false">-AL91*$F21*(AM$4&gt;In_COD)</f>
        <v>-715.521262548971</v>
      </c>
      <c r="AN85" s="46" t="n">
        <f aca="false">-AM91*$F21*(AN$4&gt;In_COD)</f>
        <v>-707.493149179502</v>
      </c>
      <c r="AO85" s="46" t="n">
        <f aca="false">-AN91*$F21*(AO$4&gt;In_COD)</f>
        <v>-699.187184946634</v>
      </c>
      <c r="AP85" s="46" t="n">
        <f aca="false">-AO91*$F21*(AP$4&gt;In_COD)</f>
        <v>-690.600089382951</v>
      </c>
      <c r="AQ85" s="46" t="n">
        <f aca="false">-AP91*$F21*(AQ$4&gt;In_COD)</f>
        <v>-681.969244042815</v>
      </c>
      <c r="AR85" s="46" t="n">
        <f aca="false">-AQ91*$F21*(AR$4&gt;In_COD)</f>
        <v>-673.504355911921</v>
      </c>
      <c r="AS85" s="46" t="n">
        <f aca="false">-AR91*$F21*(AS$4&gt;In_COD)</f>
        <v>-664.75600854425</v>
      </c>
      <c r="AT85" s="46" t="n">
        <f aca="false">-AS91*$F21*(AT$4&gt;In_COD)</f>
        <v>-655.720855256698</v>
      </c>
      <c r="AU85" s="46" t="n">
        <f aca="false">-AT91*$F21*(AU$4&gt;In_COD)</f>
        <v>-646.637021060769</v>
      </c>
      <c r="AV85" s="46" t="n">
        <f aca="false">-AU91*$F21*(AV$4&gt;In_COD)</f>
        <v>-637.531928387762</v>
      </c>
      <c r="AW85" s="46" t="n">
        <f aca="false">-AV91*$F21*(AW$4&gt;In_COD)</f>
        <v>-628.319335743506</v>
      </c>
      <c r="AX85" s="46" t="n">
        <f aca="false">-AW91*$F21*(AX$4&gt;In_COD)</f>
        <v>-618.8140215918</v>
      </c>
      <c r="AY85" s="46" t="n">
        <f aca="false">-AX91*$F21*(AY$4&gt;In_COD)</f>
        <v>-609.254835569304</v>
      </c>
      <c r="AZ85" s="46" t="n">
        <f aca="false">-AY91*$F21*(AZ$4&gt;In_COD)</f>
        <v>-599.854835185436</v>
      </c>
      <c r="BA85" s="46" t="n">
        <f aca="false">-AZ91*$F21*(BA$4&gt;In_COD)</f>
        <v>-590.159483934615</v>
      </c>
      <c r="BB85" s="46" t="n">
        <f aca="false">-BA91*$F21*(BB$4&gt;In_COD)</f>
        <v>-580.165294734298</v>
      </c>
      <c r="BC85" s="46" t="n">
        <f aca="false">-BB91*$F21*(BC$4&gt;In_COD)</f>
        <v>-570.111822861404</v>
      </c>
      <c r="BD85" s="46" t="n">
        <f aca="false">-BC91*$F21*(BD$4&gt;In_COD)</f>
        <v>-560.21382429673</v>
      </c>
      <c r="BE85" s="46" t="n">
        <f aca="false">-BD91*$F21*(BE$4&gt;In_COD)</f>
        <v>-550.014196842532</v>
      </c>
      <c r="BF85" s="46" t="n">
        <f aca="false">-BE91*$F21*(BF$4&gt;In_COD)</f>
        <v>-539.509379294316</v>
      </c>
      <c r="BG85" s="46" t="n">
        <f aca="false">-BF91*$F21*(BG$4&gt;In_COD)</f>
        <v>-528.939612529198</v>
      </c>
      <c r="BH85" s="46" t="n">
        <f aca="false">-BG91*$F21*(BH$4&gt;In_COD)</f>
        <v>-518.521366581174</v>
      </c>
      <c r="BI85" s="46" t="n">
        <f aca="false">-BH91*$F21*(BI$4&gt;In_COD)</f>
        <v>-507.794970019417</v>
      </c>
      <c r="BJ85" s="46" t="n">
        <f aca="false">-BI91*$F21*(BJ$4&gt;In_COD)</f>
        <v>-496.756784640197</v>
      </c>
      <c r="BK85" s="46" t="n">
        <f aca="false">-BJ91*$F21*(BK$4&gt;In_COD)</f>
        <v>-485.647716091334</v>
      </c>
      <c r="BL85" s="46" t="n">
        <f aca="false">-BK91*$F21*(BL$4&gt;In_COD)</f>
        <v>-474.500457651439</v>
      </c>
      <c r="BM85" s="46" t="n">
        <f aca="false">-BL91*$F21*(BM$4&gt;In_COD)</f>
        <v>-463.221588254375</v>
      </c>
      <c r="BN85" s="46" t="n">
        <f aca="false">-BM91*$F21*(BN$4&gt;In_COD)</f>
        <v>-451.624047484141</v>
      </c>
      <c r="BO85" s="46" t="n">
        <f aca="false">-BN91*$F21*(BO$4&gt;In_COD)</f>
        <v>-439.949383811196</v>
      </c>
      <c r="BP85" s="46" t="n">
        <f aca="false">-BO91*$F21*(BP$4&gt;In_COD)</f>
        <v>-428.41754241503</v>
      </c>
      <c r="BQ85" s="46" t="n">
        <f aca="false">-BP91*$F21*(BQ$4&gt;In_COD)</f>
        <v>-416.563703483031</v>
      </c>
      <c r="BR85" s="46" t="n">
        <f aca="false">-BQ91*$F21*(BR$4&gt;In_COD)</f>
        <v>-404.384065326727</v>
      </c>
      <c r="BS85" s="46" t="n">
        <f aca="false">-BR91*$F21*(BS$4&gt;In_COD)</f>
        <v>-392.120797049245</v>
      </c>
      <c r="BT85" s="46" t="n">
        <f aca="false">-BS91*$F21*(BT$4&gt;In_COD)</f>
        <v>-379.99560551598</v>
      </c>
      <c r="BU85" s="46" t="n">
        <f aca="false">-BT91*$F21*(BU$4&gt;In_COD)</f>
        <v>-367.541092587902</v>
      </c>
      <c r="BV85" s="46" t="n">
        <f aca="false">-BU91*$F21*(BV$4&gt;In_COD)</f>
        <v>-354.753370106841</v>
      </c>
      <c r="BW85" s="46" t="n">
        <f aca="false">-BV91*$F21*(BW$4&gt;In_COD)</f>
        <v>-341.875204464127</v>
      </c>
      <c r="BX85" s="46" t="n">
        <f aca="false">-BW91*$F21*(BX$4&gt;In_COD)</f>
        <v>-329.130080390902</v>
      </c>
      <c r="BY85" s="46" t="n">
        <f aca="false">-BX91*$F21*(BY$4&gt;In_COD)</f>
        <v>-316.048018929617</v>
      </c>
      <c r="BZ85" s="46" t="n">
        <f aca="false">-BY91*$F21*(BZ$4&gt;In_COD)</f>
        <v>-302.625042003295</v>
      </c>
      <c r="CA85" s="46" t="n">
        <f aca="false">-BZ91*$F21*(CA$4&gt;In_COD)</f>
        <v>-289.104489057686</v>
      </c>
      <c r="CB85" s="46" t="n">
        <f aca="false">-CA91*$F21*(CB$4&gt;In_COD)</f>
        <v>-275.524903636221</v>
      </c>
      <c r="CC85" s="46" t="n">
        <f aca="false">-CB91*$F21*(CC$4&gt;In_COD)</f>
        <v>-261.784989803523</v>
      </c>
      <c r="CD85" s="46" t="n">
        <f aca="false">-CC91*$F21*(CD$4&gt;In_COD)</f>
        <v>-247.696119249463</v>
      </c>
      <c r="CE85" s="46" t="n">
        <f aca="false">-CD91*$F21*(CE$4&gt;In_COD)</f>
        <v>-233.502179016858</v>
      </c>
      <c r="CF85" s="46" t="n">
        <f aca="false">-CE91*$F21*(CF$4&gt;In_COD)</f>
        <v>-219.430258384374</v>
      </c>
      <c r="CG85" s="46" t="n">
        <f aca="false">-CF91*$F21*(CG$4&gt;In_COD)</f>
        <v>-205.005210081625</v>
      </c>
      <c r="CH85" s="46" t="n">
        <f aca="false">-CG91*$F21*(CH$4&gt;In_COD)</f>
        <v>-190.222864879833</v>
      </c>
      <c r="CI85" s="46" t="n">
        <f aca="false">-CH91*$F21*(CI$4&gt;In_COD)</f>
        <v>-175.327631617397</v>
      </c>
      <c r="CJ85" s="46" t="n">
        <f aca="false">-CI91*$F21*(CJ$4&gt;In_COD)</f>
        <v>-160.548426840817</v>
      </c>
      <c r="CK85" s="46" t="n">
        <f aca="false">-CJ91*$F21*(CK$4&gt;In_COD)</f>
        <v>-145.407516657409</v>
      </c>
      <c r="CL85" s="46" t="n">
        <f aca="false">-CK91*$F21*(CL$4&gt;In_COD)</f>
        <v>-129.900630564694</v>
      </c>
      <c r="CM85" s="46" t="n">
        <f aca="false">-CL91*$F21*(CM$4&gt;In_COD)</f>
        <v>-114.27267212925</v>
      </c>
      <c r="CN85" s="46" t="n">
        <f aca="false">-CM91*$F21*(CN$4&gt;In_COD)</f>
        <v>-98.7544019241892</v>
      </c>
      <c r="CO85" s="46" t="n">
        <f aca="false">-CN91*$F21*(CO$4&gt;In_COD)</f>
        <v>-82.8654980866993</v>
      </c>
      <c r="CP85" s="46" t="n">
        <f aca="false">-CO91*$F21*(CP$4&gt;In_COD)</f>
        <v>-66.6015847025242</v>
      </c>
      <c r="CQ85" s="46" t="n">
        <f aca="false">-CP91*$F21*(CQ$4&gt;In_COD)</f>
        <v>-50.2080319967861</v>
      </c>
      <c r="CR85" s="46" t="n">
        <f aca="false">-CQ91*$F21*(CR$4&gt;In_COD)</f>
        <v>-33.7298686295196</v>
      </c>
      <c r="CS85" s="46" t="n">
        <f aca="false">-CR91*$F21*(CS$4&gt;In_COD)</f>
        <v>-17.0571545693781</v>
      </c>
      <c r="CT85" s="46" t="n">
        <f aca="false">-CS91*$F21*(CT$4&gt;In_COD)</f>
        <v>-3.00701685773674E-012</v>
      </c>
      <c r="CU85" s="46" t="n">
        <f aca="false">-CT91*$F21*(CU$4&gt;In_COD)</f>
        <v>-3.04460456845845E-012</v>
      </c>
      <c r="CV85" s="46" t="n">
        <f aca="false">-CU91*$F21*(CV$4&gt;In_COD)</f>
        <v>-3.08266212556418E-012</v>
      </c>
      <c r="CW85" s="46" t="n">
        <f aca="false">-CV91*$F21*(CW$4&gt;In_COD)</f>
        <v>-3.12119540213374E-012</v>
      </c>
      <c r="CX85" s="46" t="n">
        <f aca="false">-CW91*$F21*(CX$4&gt;In_COD)</f>
        <v>-3.16021034466041E-012</v>
      </c>
      <c r="CY85" s="46" t="n">
        <f aca="false">-CX91*$F21*(CY$4&gt;In_COD)</f>
        <v>-3.19971297396866E-012</v>
      </c>
      <c r="CZ85" s="46" t="n">
        <f aca="false">-CY91*$F21*(CZ$4&gt;In_COD)</f>
        <v>-3.23970938614327E-012</v>
      </c>
      <c r="DA85" s="46" t="n">
        <f aca="false">-CZ91*$F21*(DA$4&gt;In_COD)</f>
        <v>-3.28020575347006E-012</v>
      </c>
      <c r="DB85" s="46" t="n">
        <f aca="false">-DA91*$F21*(DB$4&gt;In_COD)</f>
        <v>-3.32120832538844E-012</v>
      </c>
      <c r="DC85" s="46" t="n">
        <f aca="false">-DB91*$F21*(DC$4&gt;In_COD)</f>
        <v>-3.36272342945579E-012</v>
      </c>
      <c r="DD85" s="46" t="n">
        <f aca="false">-DC91*$F21*(DD$4&gt;In_COD)</f>
        <v>-3.40475747232399E-012</v>
      </c>
      <c r="DE85" s="46" t="n">
        <f aca="false">-DD91*$F21*(DE$4&gt;In_COD)</f>
        <v>-3.44731694072804E-012</v>
      </c>
      <c r="DF85" s="46" t="n">
        <f aca="false">-DE91*$F21*(DF$4&gt;In_COD)</f>
        <v>-3.49040840248714E-012</v>
      </c>
      <c r="DG85" s="46" t="n">
        <f aca="false">-DF91*$F21*(DG$4&gt;In_COD)</f>
        <v>-3.53403850751823E-012</v>
      </c>
      <c r="DH85" s="46" t="n">
        <f aca="false">-DG91*$F21*(DH$4&gt;In_COD)</f>
        <v>-3.57821398886221E-012</v>
      </c>
      <c r="DI85" s="46" t="n">
        <f aca="false">-DH91*$F21*(DI$4&gt;In_COD)</f>
        <v>-3.62294166372299E-012</v>
      </c>
      <c r="DJ85" s="46" t="n">
        <f aca="false">-DI91*$F21*(DJ$4&gt;In_COD)</f>
        <v>-3.66822843451952E-012</v>
      </c>
      <c r="DK85" s="46" t="n">
        <f aca="false">-DJ91*$F21*(DK$4&gt;In_COD)</f>
        <v>-3.71408128995102E-012</v>
      </c>
      <c r="DL85" s="46" t="n">
        <f aca="false">-DK91*$F21*(DL$4&gt;In_COD)</f>
        <v>-3.76050730607541E-012</v>
      </c>
      <c r="DM85" s="46" t="n">
        <f aca="false">-DL91*$F21*(DM$4&gt;In_COD)</f>
        <v>-3.80751364740135E-012</v>
      </c>
      <c r="DN85" s="46" t="n">
        <f aca="false">-DM91*$F21*(DN$4&gt;In_COD)</f>
        <v>-3.85510756799386E-012</v>
      </c>
      <c r="DO85" s="46" t="n">
        <f aca="false">-DN91*$F21*(DO$4&gt;In_COD)</f>
        <v>-3.90329641259379E-012</v>
      </c>
      <c r="DP85" s="46" t="n">
        <f aca="false">-DO91*$F21*(DP$4&gt;In_COD)</f>
        <v>-3.95208761775121E-012</v>
      </c>
      <c r="DQ85" s="46" t="n">
        <f aca="false">-DP91*$F21*(DQ$4&gt;In_COD)</f>
        <v>-4.0014887129731E-012</v>
      </c>
      <c r="DR85" s="46" t="n">
        <f aca="false">-DQ91*$F21*(DR$4&gt;In_COD)</f>
        <v>-4.05150732188526E-012</v>
      </c>
      <c r="DS85" s="46" t="n">
        <f aca="false">-DR91*$F21*(DS$4&gt;In_COD)</f>
        <v>-4.10215116340883E-012</v>
      </c>
      <c r="DT85" s="46" t="n">
        <f aca="false">-DS91*$F21*(DT$4&gt;In_COD)</f>
        <v>-4.15342805295144E-012</v>
      </c>
      <c r="DU85" s="46" t="n">
        <f aca="false">-DT91*$F21*(DU$4&gt;In_COD)</f>
        <v>-4.20534590361333E-012</v>
      </c>
      <c r="DV85" s="46" t="n">
        <f aca="false">-DU91*$F21*(DV$4&gt;In_COD)</f>
        <v>-4.2579127274085E-012</v>
      </c>
      <c r="DW85" s="46" t="n">
        <f aca="false">-DV91*$F21*(DW$4&gt;In_COD)</f>
        <v>-4.31113663650111E-012</v>
      </c>
      <c r="DX85" s="46" t="n">
        <f aca="false">-DW91*$F21*(DX$4&gt;In_COD)</f>
        <v>-4.36502584445737E-012</v>
      </c>
      <c r="DY85" s="46" t="n">
        <f aca="false">-DX91*$F21*(DY$4&gt;In_COD)</f>
        <v>-4.41958866751309E-012</v>
      </c>
      <c r="DZ85" s="46" t="n">
        <f aca="false">-DY91*$F21*(DZ$4&gt;In_COD)</f>
        <v>-4.474833525857E-012</v>
      </c>
      <c r="EA85" s="46" t="n">
        <f aca="false">-DZ91*$F21*(EA$4&gt;In_COD)</f>
        <v>-4.53076894493021E-012</v>
      </c>
      <c r="EB85" s="46" t="n">
        <f aca="false">-EA91*$F21*(EB$4&gt;In_COD)</f>
        <v>-4.58740355674184E-012</v>
      </c>
      <c r="EC85" s="46" t="n">
        <f aca="false">-EB91*$F21*(EC$4&gt;In_COD)</f>
        <v>-4.64474610120111E-012</v>
      </c>
      <c r="ED85" s="46" t="n">
        <f aca="false">-EC91*$F21*(ED$4&gt;In_COD)</f>
        <v>-4.70280542746613E-012</v>
      </c>
      <c r="EE85" s="46" t="n">
        <f aca="false">-ED91*$F21*(EE$4&gt;In_COD)</f>
        <v>-4.76159049530946E-012</v>
      </c>
      <c r="EF85" s="46" t="n">
        <f aca="false">-EE91*$F21*(EF$4&gt;In_COD)</f>
        <v>-4.82111037650082E-012</v>
      </c>
      <c r="EG85" s="46" t="n">
        <f aca="false">-EF91*$F21*(EG$4&gt;In_COD)</f>
        <v>-4.88137425620708E-012</v>
      </c>
      <c r="EH85" s="46" t="n">
        <f aca="false">-EG91*$F21*(EH$4&gt;In_COD)</f>
        <v>-4.94239143440967E-012</v>
      </c>
      <c r="EI85" s="46" t="n">
        <f aca="false">-EH91*$F21*(EI$4&gt;In_COD)</f>
        <v>-5.00417132733979E-012</v>
      </c>
      <c r="EJ85" s="46" t="n">
        <f aca="false">-EI91*$F21*(EJ$4&gt;In_COD)</f>
        <v>-5.06672346893154E-012</v>
      </c>
      <c r="EK85" s="46" t="n">
        <f aca="false">-EJ91*$F21*(EK$4&gt;In_COD)</f>
        <v>-5.13005751229318E-012</v>
      </c>
      <c r="EL85" s="46" t="n">
        <f aca="false">-EK91*$F21*(EL$4&gt;In_COD)</f>
        <v>-5.19418323119685E-012</v>
      </c>
      <c r="EM85" s="46" t="n">
        <f aca="false">-EL91*$F21*(EM$4&gt;In_COD)</f>
        <v>-5.25911052158681E-012</v>
      </c>
      <c r="EN85" s="46" t="n">
        <f aca="false">-EM91*$F21*(EN$4&gt;In_COD)</f>
        <v>-5.32484940310665E-012</v>
      </c>
      <c r="EO85" s="46" t="n">
        <f aca="false">-EN91*$F21*(EO$4&gt;In_COD)</f>
        <v>-5.39141002064548E-012</v>
      </c>
    </row>
    <row r="86" customFormat="false" ht="15" hidden="false" customHeight="false" outlineLevel="0" collapsed="false">
      <c r="C86" s="0" t="s">
        <v>411</v>
      </c>
      <c r="D86" s="11" t="s">
        <v>33</v>
      </c>
      <c r="I86" s="46" t="n">
        <f aca="false">SUM(J86:EO86)</f>
        <v>-99084.1560981397</v>
      </c>
      <c r="J86" s="46" t="n">
        <f aca="false">-J80*$F82</f>
        <v>0</v>
      </c>
      <c r="K86" s="46" t="n">
        <f aca="false">-K80*$F82</f>
        <v>0</v>
      </c>
      <c r="L86" s="46" t="n">
        <f aca="false">-L80*$F82</f>
        <v>0</v>
      </c>
      <c r="M86" s="46" t="n">
        <f aca="false">-M80*$F82</f>
        <v>0</v>
      </c>
      <c r="N86" s="46" t="n">
        <f aca="false">-N80*$F82</f>
        <v>0</v>
      </c>
      <c r="O86" s="46" t="n">
        <f aca="false">-O80*$F82</f>
        <v>0</v>
      </c>
      <c r="P86" s="46" t="n">
        <f aca="false">-P80*$F82</f>
        <v>0</v>
      </c>
      <c r="Q86" s="46" t="n">
        <f aca="false">-Q80*$F82</f>
        <v>0</v>
      </c>
      <c r="R86" s="46" t="n">
        <f aca="false">-R80*$F82</f>
        <v>0</v>
      </c>
      <c r="S86" s="46" t="n">
        <f aca="false">-S80*$F82</f>
        <v>0</v>
      </c>
      <c r="T86" s="46" t="n">
        <f aca="false">-T80*$F82</f>
        <v>0</v>
      </c>
      <c r="U86" s="46" t="n">
        <f aca="false">-U80*$F82</f>
        <v>0</v>
      </c>
      <c r="V86" s="46" t="n">
        <f aca="false">-V80*$F82</f>
        <v>0</v>
      </c>
      <c r="W86" s="46" t="n">
        <f aca="false">-W80*$F82</f>
        <v>0</v>
      </c>
      <c r="X86" s="46" t="n">
        <f aca="false">-X80*$F82</f>
        <v>0</v>
      </c>
      <c r="Y86" s="46" t="n">
        <f aca="false">-Y80*$F82</f>
        <v>0</v>
      </c>
      <c r="Z86" s="46" t="n">
        <f aca="false">-Z80*$F82</f>
        <v>-1368.64669024987</v>
      </c>
      <c r="AA86" s="46" t="n">
        <f aca="false">-AA80*$F82</f>
        <v>-1347.69386657019</v>
      </c>
      <c r="AB86" s="46" t="n">
        <f aca="false">-AB80*$F82</f>
        <v>-1362.23204338006</v>
      </c>
      <c r="AC86" s="46" t="n">
        <f aca="false">-AC80*$F82</f>
        <v>-1376.76283333376</v>
      </c>
      <c r="AD86" s="46" t="n">
        <f aca="false">-AD80*$F82</f>
        <v>-1371.81131557984</v>
      </c>
      <c r="AE86" s="46" t="n">
        <f aca="false">-AE80*$F82</f>
        <v>-1365.44667363284</v>
      </c>
      <c r="AF86" s="46" t="n">
        <f aca="false">-AF80*$F82</f>
        <v>-1365.2429553863</v>
      </c>
      <c r="AG86" s="46" t="n">
        <f aca="false">-AG80*$F82</f>
        <v>-1379.80457238436</v>
      </c>
      <c r="AH86" s="46" t="n">
        <f aca="false">-AH80*$F82</f>
        <v>-1374.81196524005</v>
      </c>
      <c r="AI86" s="46" t="n">
        <f aca="false">-AI80*$F82</f>
        <v>-1353.49779743178</v>
      </c>
      <c r="AJ86" s="46" t="n">
        <f aca="false">-AJ80*$F82</f>
        <v>-1382.78794727948</v>
      </c>
      <c r="AK86" s="46" t="n">
        <f aca="false">-AK80*$F82</f>
        <v>-1397.53500679637</v>
      </c>
      <c r="AL86" s="46" t="n">
        <f aca="false">-AL80*$F82</f>
        <v>-1379.48841647767</v>
      </c>
      <c r="AM86" s="46" t="n">
        <f aca="false">-AM80*$F82</f>
        <v>-1357.77033210651</v>
      </c>
      <c r="AN86" s="46" t="n">
        <f aca="false">-AN80*$F82</f>
        <v>-1371.97028780896</v>
      </c>
      <c r="AO86" s="46" t="n">
        <f aca="false">-AO80*$F82</f>
        <v>-1386.15483004124</v>
      </c>
      <c r="AP86" s="46" t="n">
        <f aca="false">-AP80*$F82</f>
        <v>-1381.06771659387</v>
      </c>
      <c r="AQ86" s="46" t="n">
        <f aca="false">-AQ80*$F82</f>
        <v>-1359.16029451433</v>
      </c>
      <c r="AR86" s="46" t="n">
        <f aca="false">-AR80*$F82</f>
        <v>-1373.37214532562</v>
      </c>
      <c r="AS86" s="46" t="n">
        <f aca="false">-AS80*$F82</f>
        <v>-1387.56827154841</v>
      </c>
      <c r="AT86" s="46" t="n">
        <f aca="false">-AT80*$F82</f>
        <v>-1382.42759093102</v>
      </c>
      <c r="AU86" s="46" t="n">
        <f aca="false">-AU80*$F82</f>
        <v>-1375.04443490132</v>
      </c>
      <c r="AV86" s="46" t="n">
        <f aca="false">-AV80*$F82</f>
        <v>-1374.53933992826</v>
      </c>
      <c r="AW86" s="46" t="n">
        <f aca="false">-AW80*$F82</f>
        <v>-1388.74446787994</v>
      </c>
      <c r="AX86" s="46" t="n">
        <f aca="false">-AX80*$F82</f>
        <v>-1383.54890339153</v>
      </c>
      <c r="AY86" s="46" t="n">
        <f aca="false">-AY80*$F82</f>
        <v>-1361.25486627872</v>
      </c>
      <c r="AZ86" s="46" t="n">
        <f aca="false">-AZ80*$F82</f>
        <v>-1375.48293525112</v>
      </c>
      <c r="BA86" s="46" t="n">
        <f aca="false">-BA80*$F82</f>
        <v>-1389.69461995995</v>
      </c>
      <c r="BB86" s="46" t="n">
        <f aca="false">-BB80*$F82</f>
        <v>-1384.44304456585</v>
      </c>
      <c r="BC86" s="46" t="n">
        <f aca="false">-BC80*$F82</f>
        <v>-1361.95170803536</v>
      </c>
      <c r="BD86" s="46" t="n">
        <f aca="false">-BD80*$F82</f>
        <v>-1376.18402063255</v>
      </c>
      <c r="BE86" s="46" t="n">
        <f aca="false">-BE80*$F82</f>
        <v>-1390.39960069979</v>
      </c>
      <c r="BF86" s="46" t="n">
        <f aca="false">-BF80*$F82</f>
        <v>-1385.09072050378</v>
      </c>
      <c r="BG86" s="46" t="n">
        <f aca="false">-BG80*$F82</f>
        <v>-1362.39928837106</v>
      </c>
      <c r="BH86" s="46" t="n">
        <f aca="false">-BH80*$F82</f>
        <v>-1376.63309152174</v>
      </c>
      <c r="BI86" s="46" t="n">
        <f aca="false">-BI80*$F82</f>
        <v>-1390.84980035701</v>
      </c>
      <c r="BJ86" s="46" t="n">
        <f aca="false">-BJ80*$F82</f>
        <v>-1385.48226854931</v>
      </c>
      <c r="BK86" s="46" t="n">
        <f aca="false">-BK80*$F82</f>
        <v>-1377.42839128294</v>
      </c>
      <c r="BL86" s="46" t="n">
        <f aca="false">-BL80*$F82</f>
        <v>-1376.81000941651</v>
      </c>
      <c r="BM86" s="46" t="n">
        <f aca="false">-BM80*$F82</f>
        <v>-1391.02484987308</v>
      </c>
      <c r="BN86" s="46" t="n">
        <f aca="false">-BN80*$F82</f>
        <v>-1385.5971413198</v>
      </c>
      <c r="BO86" s="46" t="n">
        <f aca="false">-BO80*$F82</f>
        <v>-1362.49669550442</v>
      </c>
      <c r="BP86" s="46" t="n">
        <f aca="false">-BP80*$F82</f>
        <v>-1376.72465697497</v>
      </c>
      <c r="BQ86" s="46" t="n">
        <f aca="false">-BQ80*$F82</f>
        <v>-1390.9347559874</v>
      </c>
      <c r="BR86" s="46" t="n">
        <f aca="false">-BR80*$F82</f>
        <v>-1385.44552752523</v>
      </c>
      <c r="BS86" s="46" t="n">
        <f aca="false">-BS80*$F82</f>
        <v>-1362.13611971045</v>
      </c>
      <c r="BT86" s="46" t="n">
        <f aca="false">-BT80*$F82</f>
        <v>-1376.3566397622</v>
      </c>
      <c r="BU86" s="46" t="n">
        <f aca="false">-BU80*$F82</f>
        <v>-1390.55889107281</v>
      </c>
      <c r="BV86" s="46" t="n">
        <f aca="false">-BV80*$F82</f>
        <v>-1385.00662152397</v>
      </c>
      <c r="BW86" s="46" t="n">
        <f aca="false">-BW80*$F82</f>
        <v>-1361.48513032208</v>
      </c>
      <c r="BX86" s="46" t="n">
        <f aca="false">-BX80*$F82</f>
        <v>-1375.69499729373</v>
      </c>
      <c r="BY86" s="46" t="n">
        <f aca="false">-BY80*$F82</f>
        <v>-1389.88617303542</v>
      </c>
      <c r="BZ86" s="46" t="n">
        <f aca="false">-BZ80*$F82</f>
        <v>-1384.269277652</v>
      </c>
      <c r="CA86" s="46" t="n">
        <f aca="false">-CA80*$F82</f>
        <v>-1375.47132277487</v>
      </c>
      <c r="CB86" s="46" t="n">
        <f aca="false">-CB80*$F82</f>
        <v>-1374.71801025202</v>
      </c>
      <c r="CC86" s="46" t="n">
        <f aca="false">-CC80*$F82</f>
        <v>-1388.89463412838</v>
      </c>
      <c r="CD86" s="46" t="n">
        <f aca="false">-CD80*$F82</f>
        <v>-1383.21133785785</v>
      </c>
      <c r="CE86" s="46" t="n">
        <f aca="false">-CE80*$F82</f>
        <v>-1359.2558296156</v>
      </c>
      <c r="CF86" s="46" t="n">
        <f aca="false">-CF80*$F82</f>
        <v>-1373.43412260429</v>
      </c>
      <c r="CG86" s="46" t="n">
        <f aca="false">-CG80*$F82</f>
        <v>-1387.59282622497</v>
      </c>
      <c r="CH86" s="46" t="n">
        <f aca="false">-CH80*$F82</f>
        <v>-1381.84152587465</v>
      </c>
      <c r="CI86" s="46" t="n">
        <f aca="false">-CI80*$F82</f>
        <v>-1357.66401374387</v>
      </c>
      <c r="CJ86" s="46" t="n">
        <f aca="false">-CJ80*$F82</f>
        <v>-1371.82124151345</v>
      </c>
      <c r="CK86" s="46" t="n">
        <f aca="false">-CK80*$F82</f>
        <v>-1385.95840407454</v>
      </c>
      <c r="CL86" s="46" t="n">
        <f aca="false">-CL80*$F82</f>
        <v>-1380.13730540025</v>
      </c>
      <c r="CM86" s="46" t="n">
        <f aca="false">-CM80*$F82</f>
        <v>-1355.73428853411</v>
      </c>
      <c r="CN86" s="46" t="n">
        <f aca="false">-CN80*$F82</f>
        <v>-1369.86670892338</v>
      </c>
      <c r="CO86" s="46" t="n">
        <f aca="false">-CO80*$F82</f>
        <v>-1383.97856882071</v>
      </c>
      <c r="CP86" s="46" t="n">
        <f aca="false">-CP80*$F82</f>
        <v>-1378.08580116158</v>
      </c>
      <c r="CQ86" s="46" t="n">
        <f aca="false">-CQ80*$F82</f>
        <v>-1368.4611013781</v>
      </c>
      <c r="CR86" s="46" t="n">
        <f aca="false">-CR80*$F82</f>
        <v>-1367.54699344084</v>
      </c>
      <c r="CS86" s="46" t="n">
        <f aca="false">-CS80*$F82</f>
        <v>-1381.62952011939</v>
      </c>
      <c r="CT86" s="46" t="n">
        <f aca="false">-CT80*$F82</f>
        <v>-0</v>
      </c>
      <c r="CU86" s="46" t="n">
        <f aca="false">-CU80*$F82</f>
        <v>-0</v>
      </c>
      <c r="CV86" s="46" t="n">
        <f aca="false">-CV80*$F82</f>
        <v>-0</v>
      </c>
      <c r="CW86" s="46" t="n">
        <f aca="false">-CW80*$F82</f>
        <v>-0</v>
      </c>
      <c r="CX86" s="46" t="n">
        <f aca="false">-CX80*$F82</f>
        <v>-0</v>
      </c>
      <c r="CY86" s="46" t="n">
        <f aca="false">-CY80*$F82</f>
        <v>-0</v>
      </c>
      <c r="CZ86" s="46" t="n">
        <f aca="false">-CZ80*$F82</f>
        <v>-0</v>
      </c>
      <c r="DA86" s="46" t="n">
        <f aca="false">-DA80*$F82</f>
        <v>-0</v>
      </c>
      <c r="DB86" s="46" t="n">
        <f aca="false">-DB80*$F82</f>
        <v>-0</v>
      </c>
      <c r="DC86" s="46" t="n">
        <f aca="false">-DC80*$F82</f>
        <v>-0</v>
      </c>
      <c r="DD86" s="46" t="n">
        <f aca="false">-DD80*$F82</f>
        <v>-0</v>
      </c>
      <c r="DE86" s="46" t="n">
        <f aca="false">-DE80*$F82</f>
        <v>-0</v>
      </c>
      <c r="DF86" s="46" t="n">
        <f aca="false">-DF80*$F82</f>
        <v>-0</v>
      </c>
      <c r="DG86" s="46" t="n">
        <f aca="false">-DG80*$F82</f>
        <v>-0</v>
      </c>
      <c r="DH86" s="46" t="n">
        <f aca="false">-DH80*$F82</f>
        <v>-0</v>
      </c>
      <c r="DI86" s="46" t="n">
        <f aca="false">-DI80*$F82</f>
        <v>-0</v>
      </c>
      <c r="DJ86" s="46" t="n">
        <f aca="false">-DJ80*$F82</f>
        <v>-0</v>
      </c>
      <c r="DK86" s="46" t="n">
        <f aca="false">-DK80*$F82</f>
        <v>-0</v>
      </c>
      <c r="DL86" s="46" t="n">
        <f aca="false">-DL80*$F82</f>
        <v>-0</v>
      </c>
      <c r="DM86" s="46" t="n">
        <f aca="false">-DM80*$F82</f>
        <v>-0</v>
      </c>
      <c r="DN86" s="46" t="n">
        <f aca="false">-DN80*$F82</f>
        <v>-0</v>
      </c>
      <c r="DO86" s="46" t="n">
        <f aca="false">-DO80*$F82</f>
        <v>-0</v>
      </c>
      <c r="DP86" s="46" t="n">
        <f aca="false">-DP80*$F82</f>
        <v>-0</v>
      </c>
      <c r="DQ86" s="46" t="n">
        <f aca="false">-DQ80*$F82</f>
        <v>-0</v>
      </c>
      <c r="DR86" s="46" t="n">
        <f aca="false">-DR80*$F82</f>
        <v>-0</v>
      </c>
      <c r="DS86" s="46" t="n">
        <f aca="false">-DS80*$F82</f>
        <v>-0</v>
      </c>
      <c r="DT86" s="46" t="n">
        <f aca="false">-DT80*$F82</f>
        <v>-0</v>
      </c>
      <c r="DU86" s="46" t="n">
        <f aca="false">-DU80*$F82</f>
        <v>-0</v>
      </c>
      <c r="DV86" s="46" t="n">
        <f aca="false">-DV80*$F82</f>
        <v>-0</v>
      </c>
      <c r="DW86" s="46" t="n">
        <f aca="false">-DW80*$F82</f>
        <v>-0</v>
      </c>
      <c r="DX86" s="46" t="n">
        <f aca="false">-DX80*$F82</f>
        <v>-0</v>
      </c>
      <c r="DY86" s="46" t="n">
        <f aca="false">-DY80*$F82</f>
        <v>-0</v>
      </c>
      <c r="DZ86" s="46" t="n">
        <f aca="false">-DZ80*$F82</f>
        <v>-0</v>
      </c>
      <c r="EA86" s="46" t="n">
        <f aca="false">-EA80*$F82</f>
        <v>-0</v>
      </c>
      <c r="EB86" s="46" t="n">
        <f aca="false">-EB80*$F82</f>
        <v>-0</v>
      </c>
      <c r="EC86" s="46" t="n">
        <f aca="false">-EC80*$F82</f>
        <v>-0</v>
      </c>
      <c r="ED86" s="46" t="n">
        <f aca="false">-ED80*$F82</f>
        <v>-0</v>
      </c>
      <c r="EE86" s="46" t="n">
        <f aca="false">-EE80*$F82</f>
        <v>-0</v>
      </c>
      <c r="EF86" s="46" t="n">
        <f aca="false">-EF80*$F82</f>
        <v>-0</v>
      </c>
      <c r="EG86" s="46" t="n">
        <f aca="false">-EG80*$F82</f>
        <v>-0</v>
      </c>
      <c r="EH86" s="46" t="n">
        <f aca="false">-EH80*$F82</f>
        <v>-0</v>
      </c>
      <c r="EI86" s="46" t="n">
        <f aca="false">-EI80*$F82</f>
        <v>-0</v>
      </c>
      <c r="EJ86" s="46" t="n">
        <f aca="false">-EJ80*$F82</f>
        <v>-0</v>
      </c>
      <c r="EK86" s="46" t="n">
        <f aca="false">-EK80*$F82</f>
        <v>-0</v>
      </c>
      <c r="EL86" s="46" t="n">
        <f aca="false">-EL80*$F82</f>
        <v>-0</v>
      </c>
      <c r="EM86" s="46" t="n">
        <f aca="false">-EM80*$F82</f>
        <v>-0</v>
      </c>
      <c r="EN86" s="46" t="n">
        <f aca="false">-EN80*$F82</f>
        <v>-0</v>
      </c>
      <c r="EO86" s="46" t="n">
        <f aca="false">-EO80*$F82</f>
        <v>-0</v>
      </c>
    </row>
    <row r="87" customFormat="false" ht="15" hidden="false" customHeight="false" outlineLevel="0" collapsed="false">
      <c r="C87" s="0" t="s">
        <v>412</v>
      </c>
      <c r="D87" s="11" t="s">
        <v>33</v>
      </c>
      <c r="J87" s="19" t="n">
        <f aca="false">I91</f>
        <v>0</v>
      </c>
      <c r="K87" s="19" t="n">
        <f aca="false">J91</f>
        <v>0</v>
      </c>
      <c r="L87" s="19" t="n">
        <f aca="false">K91</f>
        <v>0</v>
      </c>
      <c r="M87" s="19" t="n">
        <f aca="false">L91</f>
        <v>0</v>
      </c>
      <c r="N87" s="19" t="n">
        <f aca="false">M91</f>
        <v>0</v>
      </c>
      <c r="O87" s="19" t="n">
        <f aca="false">N91</f>
        <v>0</v>
      </c>
      <c r="P87" s="19" t="n">
        <f aca="false">O91</f>
        <v>0</v>
      </c>
      <c r="Q87" s="19" t="n">
        <f aca="false">P91</f>
        <v>0</v>
      </c>
      <c r="R87" s="19" t="n">
        <f aca="false">Q91</f>
        <v>0</v>
      </c>
      <c r="S87" s="19" t="n">
        <f aca="false">R91</f>
        <v>6830.81095890411</v>
      </c>
      <c r="T87" s="19" t="n">
        <f aca="false">S91</f>
        <v>20122.3696849315</v>
      </c>
      <c r="U87" s="19" t="n">
        <f aca="false">T91</f>
        <v>27130.4623196918</v>
      </c>
      <c r="V87" s="19" t="n">
        <f aca="false">U91</f>
        <v>34300.404057592</v>
      </c>
      <c r="W87" s="19" t="n">
        <f aca="false">V91</f>
        <v>41559.9700672161</v>
      </c>
      <c r="X87" s="19" t="n">
        <f aca="false">W91</f>
        <v>48761.7847615494</v>
      </c>
      <c r="Y87" s="19" t="n">
        <f aca="false">X91</f>
        <v>56127.8700847674</v>
      </c>
      <c r="Z87" s="19" t="n">
        <f aca="false">Y91</f>
        <v>65060.2794197311</v>
      </c>
      <c r="AA87" s="19" t="n">
        <f aca="false">Z91</f>
        <v>64504.8862222279</v>
      </c>
      <c r="AB87" s="19" t="n">
        <f aca="false">AA91</f>
        <v>63963.5034334355</v>
      </c>
      <c r="AC87" s="19" t="n">
        <f aca="false">AB91</f>
        <v>63400.8151829734</v>
      </c>
      <c r="AD87" s="19" t="n">
        <f aca="false">AC91</f>
        <v>62816.5625394268</v>
      </c>
      <c r="AE87" s="19" t="n">
        <f aca="false">AD91</f>
        <v>62229.9582555898</v>
      </c>
      <c r="AF87" s="19" t="n">
        <f aca="false">AE91</f>
        <v>61642.3860601519</v>
      </c>
      <c r="AG87" s="19" t="n">
        <f aca="false">AF91</f>
        <v>61047.6729305175</v>
      </c>
      <c r="AH87" s="19" t="n">
        <f aca="false">AG91</f>
        <v>60430.9642697646</v>
      </c>
      <c r="AI87" s="19" t="n">
        <f aca="false">AH91</f>
        <v>59811.5393578966</v>
      </c>
      <c r="AJ87" s="19" t="n">
        <f aca="false">AI91</f>
        <v>59205.6858024385</v>
      </c>
      <c r="AK87" s="19" t="n">
        <f aca="false">AJ91</f>
        <v>58562.9689276895</v>
      </c>
      <c r="AL87" s="19" t="n">
        <f aca="false">AK91</f>
        <v>57897.4710324893</v>
      </c>
      <c r="AM87" s="19" t="n">
        <f aca="false">AL91</f>
        <v>57241.7010039177</v>
      </c>
      <c r="AN87" s="19" t="n">
        <f aca="false">AM91</f>
        <v>56599.4519343602</v>
      </c>
      <c r="AO87" s="19" t="n">
        <f aca="false">AN91</f>
        <v>55934.9747957307</v>
      </c>
      <c r="AP87" s="19" t="n">
        <f aca="false">AO91</f>
        <v>55248.0071506361</v>
      </c>
      <c r="AQ87" s="19" t="n">
        <f aca="false">AP91</f>
        <v>54557.5395234252</v>
      </c>
      <c r="AR87" s="19" t="n">
        <f aca="false">AQ91</f>
        <v>53880.3484729537</v>
      </c>
      <c r="AS87" s="19" t="n">
        <f aca="false">AR91</f>
        <v>53180.48068354</v>
      </c>
      <c r="AT87" s="19" t="n">
        <f aca="false">AS91</f>
        <v>52457.6684205358</v>
      </c>
      <c r="AU87" s="19" t="n">
        <f aca="false">AT91</f>
        <v>51730.9616848615</v>
      </c>
      <c r="AV87" s="19" t="n">
        <f aca="false">AU91</f>
        <v>51002.5542710209</v>
      </c>
      <c r="AW87" s="19" t="n">
        <f aca="false">AV91</f>
        <v>50265.5468594805</v>
      </c>
      <c r="AX87" s="19" t="n">
        <f aca="false">AW91</f>
        <v>49505.121727344</v>
      </c>
      <c r="AY87" s="19" t="n">
        <f aca="false">AX91</f>
        <v>48740.3868455443</v>
      </c>
      <c r="AZ87" s="19" t="n">
        <f aca="false">AY91</f>
        <v>47988.3868148349</v>
      </c>
      <c r="BA87" s="19" t="n">
        <f aca="false">AZ91</f>
        <v>47212.7587147692</v>
      </c>
      <c r="BB87" s="19" t="n">
        <f aca="false">BA91</f>
        <v>46413.2235787439</v>
      </c>
      <c r="BC87" s="19" t="n">
        <f aca="false">BB91</f>
        <v>45608.9458289123</v>
      </c>
      <c r="BD87" s="19" t="n">
        <f aca="false">BC91</f>
        <v>44817.1059437384</v>
      </c>
      <c r="BE87" s="19" t="n">
        <f aca="false">BD91</f>
        <v>44001.1357474025</v>
      </c>
      <c r="BF87" s="19" t="n">
        <f aca="false">BE91</f>
        <v>43160.7503435453</v>
      </c>
      <c r="BG87" s="19" t="n">
        <f aca="false">BF91</f>
        <v>42315.1690023358</v>
      </c>
      <c r="BH87" s="19" t="n">
        <f aca="false">BG91</f>
        <v>41481.709326494</v>
      </c>
      <c r="BI87" s="19" t="n">
        <f aca="false">BH91</f>
        <v>40623.5976015534</v>
      </c>
      <c r="BJ87" s="19" t="n">
        <f aca="false">BI91</f>
        <v>39740.5427712158</v>
      </c>
      <c r="BK87" s="19" t="n">
        <f aca="false">BJ91</f>
        <v>38851.8172873067</v>
      </c>
      <c r="BL87" s="19" t="n">
        <f aca="false">BK91</f>
        <v>37960.0366121151</v>
      </c>
      <c r="BM87" s="19" t="n">
        <f aca="false">BL91</f>
        <v>37057.72706035</v>
      </c>
      <c r="BN87" s="19" t="n">
        <f aca="false">BM91</f>
        <v>36129.9237987313</v>
      </c>
      <c r="BO87" s="19" t="n">
        <f aca="false">BN91</f>
        <v>35195.9507048956</v>
      </c>
      <c r="BP87" s="19" t="n">
        <f aca="false">BO91</f>
        <v>34273.4033932024</v>
      </c>
      <c r="BQ87" s="19" t="n">
        <f aca="false">BP91</f>
        <v>33325.0962786425</v>
      </c>
      <c r="BR87" s="19" t="n">
        <f aca="false">BQ91</f>
        <v>32350.7252261381</v>
      </c>
      <c r="BS87" s="19" t="n">
        <f aca="false">BR91</f>
        <v>31369.6637639396</v>
      </c>
      <c r="BT87" s="19" t="n">
        <f aca="false">BS91</f>
        <v>30399.6484412784</v>
      </c>
      <c r="BU87" s="19" t="n">
        <f aca="false">BT91</f>
        <v>29403.2874070322</v>
      </c>
      <c r="BV87" s="19" t="n">
        <f aca="false">BU91</f>
        <v>28380.2696085473</v>
      </c>
      <c r="BW87" s="19" t="n">
        <f aca="false">BV91</f>
        <v>27350.0163571301</v>
      </c>
      <c r="BX87" s="19" t="n">
        <f aca="false">BW91</f>
        <v>26330.4064312722</v>
      </c>
      <c r="BY87" s="19" t="n">
        <f aca="false">BX91</f>
        <v>25283.8415143694</v>
      </c>
      <c r="BZ87" s="19" t="n">
        <f aca="false">BY91</f>
        <v>24210.0033602636</v>
      </c>
      <c r="CA87" s="19" t="n">
        <f aca="false">BZ91</f>
        <v>23128.3591246149</v>
      </c>
      <c r="CB87" s="19" t="n">
        <f aca="false">CA91</f>
        <v>22041.9922908977</v>
      </c>
      <c r="CC87" s="19" t="n">
        <f aca="false">CB91</f>
        <v>20942.7991842819</v>
      </c>
      <c r="CD87" s="19" t="n">
        <f aca="false">CC91</f>
        <v>19815.689539957</v>
      </c>
      <c r="CE87" s="19" t="n">
        <f aca="false">CD91</f>
        <v>18680.1743213486</v>
      </c>
      <c r="CF87" s="19" t="n">
        <f aca="false">CE91</f>
        <v>17554.4206707499</v>
      </c>
      <c r="CG87" s="19" t="n">
        <f aca="false">CF91</f>
        <v>16400.41680653</v>
      </c>
      <c r="CH87" s="19" t="n">
        <f aca="false">CG91</f>
        <v>15217.8291903866</v>
      </c>
      <c r="CI87" s="19" t="n">
        <f aca="false">CH91</f>
        <v>14026.2105293918</v>
      </c>
      <c r="CJ87" s="19" t="n">
        <f aca="false">CI91</f>
        <v>12843.8741472653</v>
      </c>
      <c r="CK87" s="19" t="n">
        <f aca="false">CJ91</f>
        <v>11632.6013325927</v>
      </c>
      <c r="CL87" s="19" t="n">
        <f aca="false">CK91</f>
        <v>10392.0504451756</v>
      </c>
      <c r="CM87" s="19" t="n">
        <f aca="false">CL91</f>
        <v>9141.81377034</v>
      </c>
      <c r="CN87" s="19" t="n">
        <f aca="false">CM91</f>
        <v>7900.35215393514</v>
      </c>
      <c r="CO87" s="19" t="n">
        <f aca="false">CN91</f>
        <v>6629.23984693595</v>
      </c>
      <c r="CP87" s="19" t="n">
        <f aca="false">CO91</f>
        <v>5328.12677620194</v>
      </c>
      <c r="CQ87" s="19" t="n">
        <f aca="false">CP91</f>
        <v>4016.64255974288</v>
      </c>
      <c r="CR87" s="19" t="n">
        <f aca="false">CQ91</f>
        <v>2698.38949036157</v>
      </c>
      <c r="CS87" s="19" t="n">
        <f aca="false">CR91</f>
        <v>1364.57236555025</v>
      </c>
      <c r="CT87" s="19" t="n">
        <f aca="false">CS91</f>
        <v>2.4056134861894E-010</v>
      </c>
      <c r="CU87" s="19" t="n">
        <f aca="false">CT91</f>
        <v>2.43568365476676E-010</v>
      </c>
      <c r="CV87" s="19" t="n">
        <f aca="false">CU91</f>
        <v>2.46612970045135E-010</v>
      </c>
      <c r="CW87" s="19" t="n">
        <f aca="false">CV91</f>
        <v>2.49695632170699E-010</v>
      </c>
      <c r="CX87" s="19" t="n">
        <f aca="false">CW91</f>
        <v>2.52816827572833E-010</v>
      </c>
      <c r="CY87" s="19" t="n">
        <f aca="false">CX91</f>
        <v>2.55977037917493E-010</v>
      </c>
      <c r="CZ87" s="19" t="n">
        <f aca="false">CY91</f>
        <v>2.59176750891462E-010</v>
      </c>
      <c r="DA87" s="19" t="n">
        <f aca="false">CZ91</f>
        <v>2.62416460277605E-010</v>
      </c>
      <c r="DB87" s="19" t="n">
        <f aca="false">DA91</f>
        <v>2.65696666031075E-010</v>
      </c>
      <c r="DC87" s="19" t="n">
        <f aca="false">DB91</f>
        <v>2.69017874356463E-010</v>
      </c>
      <c r="DD87" s="19" t="n">
        <f aca="false">DC91</f>
        <v>2.72380597785919E-010</v>
      </c>
      <c r="DE87" s="19" t="n">
        <f aca="false">DD91</f>
        <v>2.75785355258243E-010</v>
      </c>
      <c r="DF87" s="19" t="n">
        <f aca="false">DE91</f>
        <v>2.79232672198971E-010</v>
      </c>
      <c r="DG87" s="19" t="n">
        <f aca="false">DF91</f>
        <v>2.82723080601458E-010</v>
      </c>
      <c r="DH87" s="19" t="n">
        <f aca="false">DG91</f>
        <v>2.86257119108977E-010</v>
      </c>
      <c r="DI87" s="19" t="n">
        <f aca="false">DH91</f>
        <v>2.89835333097839E-010</v>
      </c>
      <c r="DJ87" s="19" t="n">
        <f aca="false">DI91</f>
        <v>2.93458274761562E-010</v>
      </c>
      <c r="DK87" s="19" t="n">
        <f aca="false">DJ91</f>
        <v>2.97126503196081E-010</v>
      </c>
      <c r="DL87" s="19" t="n">
        <f aca="false">DK91</f>
        <v>3.00840584486032E-010</v>
      </c>
      <c r="DM87" s="19" t="n">
        <f aca="false">DL91</f>
        <v>3.04601091792108E-010</v>
      </c>
      <c r="DN87" s="19" t="n">
        <f aca="false">DM91</f>
        <v>3.08408605439509E-010</v>
      </c>
      <c r="DO87" s="19" t="n">
        <f aca="false">DN91</f>
        <v>3.12263713007503E-010</v>
      </c>
      <c r="DP87" s="19" t="n">
        <f aca="false">DO91</f>
        <v>3.16167009420097E-010</v>
      </c>
      <c r="DQ87" s="19" t="n">
        <f aca="false">DP91</f>
        <v>3.20119097037848E-010</v>
      </c>
      <c r="DR87" s="19" t="n">
        <f aca="false">DQ91</f>
        <v>3.24120585750821E-010</v>
      </c>
      <c r="DS87" s="19" t="n">
        <f aca="false">DR91</f>
        <v>3.28172093072706E-010</v>
      </c>
      <c r="DT87" s="19" t="n">
        <f aca="false">DS91</f>
        <v>3.32274244236115E-010</v>
      </c>
      <c r="DU87" s="19" t="n">
        <f aca="false">DT91</f>
        <v>3.36427672289067E-010</v>
      </c>
      <c r="DV87" s="19" t="n">
        <f aca="false">DU91</f>
        <v>3.4063301819268E-010</v>
      </c>
      <c r="DW87" s="19" t="n">
        <f aca="false">DV91</f>
        <v>3.44890930920088E-010</v>
      </c>
      <c r="DX87" s="19" t="n">
        <f aca="false">DW91</f>
        <v>3.4920206755659E-010</v>
      </c>
      <c r="DY87" s="19" t="n">
        <f aca="false">DX91</f>
        <v>3.53567093401047E-010</v>
      </c>
      <c r="DZ87" s="19" t="n">
        <f aca="false">DY91</f>
        <v>3.5798668206856E-010</v>
      </c>
      <c r="EA87" s="19" t="n">
        <f aca="false">DZ91</f>
        <v>3.62461515594417E-010</v>
      </c>
      <c r="EB87" s="19" t="n">
        <f aca="false">EA91</f>
        <v>3.66992284539347E-010</v>
      </c>
      <c r="EC87" s="19" t="n">
        <f aca="false">EB91</f>
        <v>3.71579688096089E-010</v>
      </c>
      <c r="ED87" s="19" t="n">
        <f aca="false">EC91</f>
        <v>3.7622443419729E-010</v>
      </c>
      <c r="EE87" s="19" t="n">
        <f aca="false">ED91</f>
        <v>3.80927239624756E-010</v>
      </c>
      <c r="EF87" s="19" t="n">
        <f aca="false">EE91</f>
        <v>3.85688830120066E-010</v>
      </c>
      <c r="EG87" s="19" t="n">
        <f aca="false">EF91</f>
        <v>3.90509940496567E-010</v>
      </c>
      <c r="EH87" s="19" t="n">
        <f aca="false">EG91</f>
        <v>3.95391314752774E-010</v>
      </c>
      <c r="EI87" s="19" t="n">
        <f aca="false">EH91</f>
        <v>4.00333706187183E-010</v>
      </c>
      <c r="EJ87" s="19" t="n">
        <f aca="false">EI91</f>
        <v>4.05337877514523E-010</v>
      </c>
      <c r="EK87" s="19" t="n">
        <f aca="false">EJ91</f>
        <v>4.10404600983455E-010</v>
      </c>
      <c r="EL87" s="19" t="n">
        <f aca="false">EK91</f>
        <v>4.15534658495748E-010</v>
      </c>
      <c r="EM87" s="19" t="n">
        <f aca="false">EL91</f>
        <v>4.20728841726945E-010</v>
      </c>
      <c r="EN87" s="19" t="n">
        <f aca="false">EM91</f>
        <v>4.25987952248532E-010</v>
      </c>
      <c r="EO87" s="19" t="n">
        <f aca="false">EN91</f>
        <v>4.31312801651638E-010</v>
      </c>
    </row>
    <row r="88" customFormat="false" ht="15" hidden="false" customHeight="false" outlineLevel="0" collapsed="false">
      <c r="C88" s="0" t="s">
        <v>413</v>
      </c>
      <c r="D88" s="11" t="s">
        <v>33</v>
      </c>
      <c r="I88" s="46" t="n">
        <f aca="false">SUM(J88:EO88)</f>
        <v>62124.858520548</v>
      </c>
      <c r="J88" s="46" t="n">
        <f aca="false">-$E82*J62</f>
        <v>0</v>
      </c>
      <c r="K88" s="46" t="n">
        <f aca="false">-$E82*K62</f>
        <v>0</v>
      </c>
      <c r="L88" s="46" t="n">
        <f aca="false">-$E82*L62</f>
        <v>0</v>
      </c>
      <c r="M88" s="46" t="n">
        <f aca="false">-$E82*M62</f>
        <v>0</v>
      </c>
      <c r="N88" s="46" t="n">
        <f aca="false">-$E82*N62</f>
        <v>0</v>
      </c>
      <c r="O88" s="46" t="n">
        <f aca="false">-$E82*O62</f>
        <v>0</v>
      </c>
      <c r="P88" s="46" t="n">
        <f aca="false">-$E82*P62</f>
        <v>0</v>
      </c>
      <c r="Q88" s="46" t="n">
        <f aca="false">-$E82*Q62</f>
        <v>0</v>
      </c>
      <c r="R88" s="46" t="n">
        <f aca="false">-$E82*R62</f>
        <v>6830.81095890411</v>
      </c>
      <c r="S88" s="46" t="n">
        <f aca="false">-$E82*S62</f>
        <v>13206.1735890411</v>
      </c>
      <c r="T88" s="46" t="n">
        <f aca="false">-$E82*T62</f>
        <v>6756.56301369863</v>
      </c>
      <c r="U88" s="46" t="n">
        <f aca="false">-$E82*U62</f>
        <v>6830.81095890411</v>
      </c>
      <c r="V88" s="46" t="n">
        <f aca="false">-$E82*V62</f>
        <v>6830.81095890411</v>
      </c>
      <c r="W88" s="46" t="n">
        <f aca="false">-$E82*W62</f>
        <v>6682.31506849315</v>
      </c>
      <c r="X88" s="46" t="n">
        <f aca="false">-$E82*X62</f>
        <v>6756.56301369863</v>
      </c>
      <c r="Y88" s="46" t="n">
        <f aca="false">-$E82*Y62</f>
        <v>8230.81095890411</v>
      </c>
      <c r="Z88" s="46" t="n">
        <f aca="false">-$E82*Z62</f>
        <v>0</v>
      </c>
      <c r="AA88" s="46" t="n">
        <f aca="false">-$E82*AA62</f>
        <v>0</v>
      </c>
      <c r="AB88" s="46" t="n">
        <f aca="false">-$E82*AB62</f>
        <v>0</v>
      </c>
      <c r="AC88" s="46" t="n">
        <f aca="false">-$E82*AC62</f>
        <v>0</v>
      </c>
      <c r="AD88" s="46" t="n">
        <f aca="false">-$E82*AD62</f>
        <v>0</v>
      </c>
      <c r="AE88" s="46" t="n">
        <f aca="false">-$E82*AE62</f>
        <v>0</v>
      </c>
      <c r="AF88" s="46" t="n">
        <f aca="false">-$E82*AF62</f>
        <v>0</v>
      </c>
      <c r="AG88" s="46" t="n">
        <f aca="false">-$E82*AG62</f>
        <v>0</v>
      </c>
      <c r="AH88" s="46" t="n">
        <f aca="false">-$E82*AH62</f>
        <v>0</v>
      </c>
      <c r="AI88" s="46" t="n">
        <f aca="false">-$E82*AI62</f>
        <v>0</v>
      </c>
      <c r="AJ88" s="46" t="n">
        <f aca="false">-$E82*AJ62</f>
        <v>0</v>
      </c>
      <c r="AK88" s="46" t="n">
        <f aca="false">-$E82*AK62</f>
        <v>0</v>
      </c>
      <c r="AL88" s="46" t="n">
        <f aca="false">-$E82*AL62</f>
        <v>0</v>
      </c>
      <c r="AM88" s="46" t="n">
        <f aca="false">-$E82*AM62</f>
        <v>0</v>
      </c>
      <c r="AN88" s="46" t="n">
        <f aca="false">-$E82*AN62</f>
        <v>0</v>
      </c>
      <c r="AO88" s="46" t="n">
        <f aca="false">-$E82*AO62</f>
        <v>0</v>
      </c>
      <c r="AP88" s="46" t="n">
        <f aca="false">-$E82*AP62</f>
        <v>0</v>
      </c>
      <c r="AQ88" s="46" t="n">
        <f aca="false">-$E82*AQ62</f>
        <v>0</v>
      </c>
      <c r="AR88" s="46" t="n">
        <f aca="false">-$E82*AR62</f>
        <v>0</v>
      </c>
      <c r="AS88" s="46" t="n">
        <f aca="false">-$E82*AS62</f>
        <v>0</v>
      </c>
      <c r="AT88" s="46" t="n">
        <f aca="false">-$E82*AT62</f>
        <v>0</v>
      </c>
      <c r="AU88" s="46" t="n">
        <f aca="false">-$E82*AU62</f>
        <v>0</v>
      </c>
      <c r="AV88" s="46" t="n">
        <f aca="false">-$E82*AV62</f>
        <v>0</v>
      </c>
      <c r="AW88" s="46" t="n">
        <f aca="false">-$E82*AW62</f>
        <v>0</v>
      </c>
      <c r="AX88" s="46" t="n">
        <f aca="false">-$E82*AX62</f>
        <v>0</v>
      </c>
      <c r="AY88" s="46" t="n">
        <f aca="false">-$E82*AY62</f>
        <v>0</v>
      </c>
      <c r="AZ88" s="46" t="n">
        <f aca="false">-$E82*AZ62</f>
        <v>0</v>
      </c>
      <c r="BA88" s="46" t="n">
        <f aca="false">-$E82*BA62</f>
        <v>0</v>
      </c>
      <c r="BB88" s="46" t="n">
        <f aca="false">-$E82*BB62</f>
        <v>0</v>
      </c>
      <c r="BC88" s="46" t="n">
        <f aca="false">-$E82*BC62</f>
        <v>0</v>
      </c>
      <c r="BD88" s="46" t="n">
        <f aca="false">-$E82*BD62</f>
        <v>0</v>
      </c>
      <c r="BE88" s="46" t="n">
        <f aca="false">-$E82*BE62</f>
        <v>0</v>
      </c>
      <c r="BF88" s="46" t="n">
        <f aca="false">-$E82*BF62</f>
        <v>0</v>
      </c>
      <c r="BG88" s="46" t="n">
        <f aca="false">-$E82*BG62</f>
        <v>0</v>
      </c>
      <c r="BH88" s="46" t="n">
        <f aca="false">-$E82*BH62</f>
        <v>0</v>
      </c>
      <c r="BI88" s="46" t="n">
        <f aca="false">-$E82*BI62</f>
        <v>0</v>
      </c>
      <c r="BJ88" s="46" t="n">
        <f aca="false">-$E82*BJ62</f>
        <v>0</v>
      </c>
      <c r="BK88" s="46" t="n">
        <f aca="false">-$E82*BK62</f>
        <v>0</v>
      </c>
      <c r="BL88" s="46" t="n">
        <f aca="false">-$E82*BL62</f>
        <v>0</v>
      </c>
      <c r="BM88" s="46" t="n">
        <f aca="false">-$E82*BM62</f>
        <v>0</v>
      </c>
      <c r="BN88" s="46" t="n">
        <f aca="false">-$E82*BN62</f>
        <v>0</v>
      </c>
      <c r="BO88" s="46" t="n">
        <f aca="false">-$E82*BO62</f>
        <v>0</v>
      </c>
      <c r="BP88" s="46" t="n">
        <f aca="false">-$E82*BP62</f>
        <v>0</v>
      </c>
      <c r="BQ88" s="46" t="n">
        <f aca="false">-$E82*BQ62</f>
        <v>0</v>
      </c>
      <c r="BR88" s="46" t="n">
        <f aca="false">-$E82*BR62</f>
        <v>0</v>
      </c>
      <c r="BS88" s="46" t="n">
        <f aca="false">-$E82*BS62</f>
        <v>0</v>
      </c>
      <c r="BT88" s="46" t="n">
        <f aca="false">-$E82*BT62</f>
        <v>0</v>
      </c>
      <c r="BU88" s="46" t="n">
        <f aca="false">-$E82*BU62</f>
        <v>0</v>
      </c>
      <c r="BV88" s="46" t="n">
        <f aca="false">-$E82*BV62</f>
        <v>0</v>
      </c>
      <c r="BW88" s="46" t="n">
        <f aca="false">-$E82*BW62</f>
        <v>0</v>
      </c>
      <c r="BX88" s="46" t="n">
        <f aca="false">-$E82*BX62</f>
        <v>0</v>
      </c>
      <c r="BY88" s="46" t="n">
        <f aca="false">-$E82*BY62</f>
        <v>0</v>
      </c>
      <c r="BZ88" s="46" t="n">
        <f aca="false">-$E82*BZ62</f>
        <v>0</v>
      </c>
      <c r="CA88" s="46" t="n">
        <f aca="false">-$E82*CA62</f>
        <v>0</v>
      </c>
      <c r="CB88" s="46" t="n">
        <f aca="false">-$E82*CB62</f>
        <v>0</v>
      </c>
      <c r="CC88" s="46" t="n">
        <f aca="false">-$E82*CC62</f>
        <v>0</v>
      </c>
      <c r="CD88" s="46" t="n">
        <f aca="false">-$E82*CD62</f>
        <v>0</v>
      </c>
      <c r="CE88" s="46" t="n">
        <f aca="false">-$E82*CE62</f>
        <v>0</v>
      </c>
      <c r="CF88" s="46" t="n">
        <f aca="false">-$E82*CF62</f>
        <v>0</v>
      </c>
      <c r="CG88" s="46" t="n">
        <f aca="false">-$E82*CG62</f>
        <v>0</v>
      </c>
      <c r="CH88" s="46" t="n">
        <f aca="false">-$E82*CH62</f>
        <v>0</v>
      </c>
      <c r="CI88" s="46" t="n">
        <f aca="false">-$E82*CI62</f>
        <v>0</v>
      </c>
      <c r="CJ88" s="46" t="n">
        <f aca="false">-$E82*CJ62</f>
        <v>0</v>
      </c>
      <c r="CK88" s="46" t="n">
        <f aca="false">-$E82*CK62</f>
        <v>0</v>
      </c>
      <c r="CL88" s="46" t="n">
        <f aca="false">-$E82*CL62</f>
        <v>0</v>
      </c>
      <c r="CM88" s="46" t="n">
        <f aca="false">-$E82*CM62</f>
        <v>0</v>
      </c>
      <c r="CN88" s="46" t="n">
        <f aca="false">-$E82*CN62</f>
        <v>0</v>
      </c>
      <c r="CO88" s="46" t="n">
        <f aca="false">-$E82*CO62</f>
        <v>0</v>
      </c>
      <c r="CP88" s="46" t="n">
        <f aca="false">-$E82*CP62</f>
        <v>0</v>
      </c>
      <c r="CQ88" s="46" t="n">
        <f aca="false">-$E82*CQ62</f>
        <v>0</v>
      </c>
      <c r="CR88" s="46" t="n">
        <f aca="false">-$E82*CR62</f>
        <v>0</v>
      </c>
      <c r="CS88" s="46" t="n">
        <f aca="false">-$E82*CS62</f>
        <v>0</v>
      </c>
      <c r="CT88" s="46" t="n">
        <f aca="false">-$E82*CT62</f>
        <v>0</v>
      </c>
      <c r="CU88" s="46" t="n">
        <f aca="false">-$E82*CU62</f>
        <v>0</v>
      </c>
      <c r="CV88" s="46" t="n">
        <f aca="false">-$E82*CV62</f>
        <v>0</v>
      </c>
      <c r="CW88" s="46" t="n">
        <f aca="false">-$E82*CW62</f>
        <v>0</v>
      </c>
      <c r="CX88" s="46" t="n">
        <f aca="false">-$E82*CX62</f>
        <v>0</v>
      </c>
      <c r="CY88" s="46" t="n">
        <f aca="false">-$E82*CY62</f>
        <v>0</v>
      </c>
      <c r="CZ88" s="46" t="n">
        <f aca="false">-$E82*CZ62</f>
        <v>0</v>
      </c>
      <c r="DA88" s="46" t="n">
        <f aca="false">-$E82*DA62</f>
        <v>0</v>
      </c>
      <c r="DB88" s="46" t="n">
        <f aca="false">-$E82*DB62</f>
        <v>0</v>
      </c>
      <c r="DC88" s="46" t="n">
        <f aca="false">-$E82*DC62</f>
        <v>0</v>
      </c>
      <c r="DD88" s="46" t="n">
        <f aca="false">-$E82*DD62</f>
        <v>0</v>
      </c>
      <c r="DE88" s="46" t="n">
        <f aca="false">-$E82*DE62</f>
        <v>0</v>
      </c>
      <c r="DF88" s="46" t="n">
        <f aca="false">-$E82*DF62</f>
        <v>0</v>
      </c>
      <c r="DG88" s="46" t="n">
        <f aca="false">-$E82*DG62</f>
        <v>0</v>
      </c>
      <c r="DH88" s="46" t="n">
        <f aca="false">-$E82*DH62</f>
        <v>0</v>
      </c>
      <c r="DI88" s="46" t="n">
        <f aca="false">-$E82*DI62</f>
        <v>0</v>
      </c>
      <c r="DJ88" s="46" t="n">
        <f aca="false">-$E82*DJ62</f>
        <v>0</v>
      </c>
      <c r="DK88" s="46" t="n">
        <f aca="false">-$E82*DK62</f>
        <v>0</v>
      </c>
      <c r="DL88" s="46" t="n">
        <f aca="false">-$E82*DL62</f>
        <v>0</v>
      </c>
      <c r="DM88" s="46" t="n">
        <f aca="false">-$E82*DM62</f>
        <v>0</v>
      </c>
      <c r="DN88" s="46" t="n">
        <f aca="false">-$E82*DN62</f>
        <v>0</v>
      </c>
      <c r="DO88" s="46" t="n">
        <f aca="false">-$E82*DO62</f>
        <v>0</v>
      </c>
      <c r="DP88" s="46" t="n">
        <f aca="false">-$E82*DP62</f>
        <v>0</v>
      </c>
      <c r="DQ88" s="46" t="n">
        <f aca="false">-$E82*DQ62</f>
        <v>0</v>
      </c>
      <c r="DR88" s="46" t="n">
        <f aca="false">-$E82*DR62</f>
        <v>0</v>
      </c>
      <c r="DS88" s="46" t="n">
        <f aca="false">-$E82*DS62</f>
        <v>0</v>
      </c>
      <c r="DT88" s="46" t="n">
        <f aca="false">-$E82*DT62</f>
        <v>0</v>
      </c>
      <c r="DU88" s="46" t="n">
        <f aca="false">-$E82*DU62</f>
        <v>0</v>
      </c>
      <c r="DV88" s="46" t="n">
        <f aca="false">-$E82*DV62</f>
        <v>0</v>
      </c>
      <c r="DW88" s="46" t="n">
        <f aca="false">-$E82*DW62</f>
        <v>0</v>
      </c>
      <c r="DX88" s="46" t="n">
        <f aca="false">-$E82*DX62</f>
        <v>0</v>
      </c>
      <c r="DY88" s="46" t="n">
        <f aca="false">-$E82*DY62</f>
        <v>0</v>
      </c>
      <c r="DZ88" s="46" t="n">
        <f aca="false">-$E82*DZ62</f>
        <v>0</v>
      </c>
      <c r="EA88" s="46" t="n">
        <f aca="false">-$E82*EA62</f>
        <v>0</v>
      </c>
      <c r="EB88" s="46" t="n">
        <f aca="false">-$E82*EB62</f>
        <v>0</v>
      </c>
      <c r="EC88" s="46" t="n">
        <f aca="false">-$E82*EC62</f>
        <v>0</v>
      </c>
      <c r="ED88" s="46" t="n">
        <f aca="false">-$E82*ED62</f>
        <v>0</v>
      </c>
      <c r="EE88" s="46" t="n">
        <f aca="false">-$E82*EE62</f>
        <v>0</v>
      </c>
      <c r="EF88" s="46" t="n">
        <f aca="false">-$E82*EF62</f>
        <v>0</v>
      </c>
      <c r="EG88" s="46" t="n">
        <f aca="false">-$E82*EG62</f>
        <v>0</v>
      </c>
      <c r="EH88" s="46" t="n">
        <f aca="false">-$E82*EH62</f>
        <v>0</v>
      </c>
      <c r="EI88" s="46" t="n">
        <f aca="false">-$E82*EI62</f>
        <v>0</v>
      </c>
      <c r="EJ88" s="46" t="n">
        <f aca="false">-$E82*EJ62</f>
        <v>0</v>
      </c>
      <c r="EK88" s="46" t="n">
        <f aca="false">-$E82*EK62</f>
        <v>0</v>
      </c>
      <c r="EL88" s="46" t="n">
        <f aca="false">-$E82*EL62</f>
        <v>0</v>
      </c>
      <c r="EM88" s="46" t="n">
        <f aca="false">-$E82*EM62</f>
        <v>0</v>
      </c>
      <c r="EN88" s="46" t="n">
        <f aca="false">-$E82*EN62</f>
        <v>0</v>
      </c>
      <c r="EO88" s="46" t="n">
        <f aca="false">-$E82*EO62</f>
        <v>0</v>
      </c>
    </row>
    <row r="89" customFormat="false" ht="15" hidden="false" customHeight="false" outlineLevel="0" collapsed="false">
      <c r="C89" s="0" t="s">
        <v>414</v>
      </c>
      <c r="D89" s="11" t="s">
        <v>33</v>
      </c>
      <c r="I89" s="46" t="n">
        <f aca="false">SUM(J89:EO89)</f>
        <v>2935.42089918315</v>
      </c>
      <c r="J89" s="46" t="n">
        <f aca="false">J87*$F21*(J$4&lt;=In_COD)</f>
        <v>0</v>
      </c>
      <c r="K89" s="46" t="n">
        <f aca="false">K87*$F21*(K$4&lt;=In_COD)</f>
        <v>0</v>
      </c>
      <c r="L89" s="46" t="n">
        <f aca="false">L87*$F21*(L$4&lt;=In_COD)</f>
        <v>0</v>
      </c>
      <c r="M89" s="46" t="n">
        <f aca="false">M87*$F21*(M$4&lt;=In_COD)</f>
        <v>0</v>
      </c>
      <c r="N89" s="46" t="n">
        <f aca="false">N87*$F21*(N$4&lt;=In_COD)</f>
        <v>0</v>
      </c>
      <c r="O89" s="46" t="n">
        <f aca="false">O87*$F21*(O$4&lt;=In_COD)</f>
        <v>0</v>
      </c>
      <c r="P89" s="46" t="n">
        <f aca="false">P87*$F21*(P$4&lt;=In_COD)</f>
        <v>0</v>
      </c>
      <c r="Q89" s="46" t="n">
        <f aca="false">Q87*$F21*(Q$4&lt;=In_COD)</f>
        <v>0</v>
      </c>
      <c r="R89" s="46" t="n">
        <f aca="false">R87*$F21*(R$4&lt;=In_COD)</f>
        <v>0</v>
      </c>
      <c r="S89" s="46" t="n">
        <f aca="false">S87*$F21*(S$4&lt;=In_COD)</f>
        <v>85.3851369863014</v>
      </c>
      <c r="T89" s="46" t="n">
        <f aca="false">T87*$F21*(T$4&lt;=In_COD)</f>
        <v>251.529621061644</v>
      </c>
      <c r="U89" s="46" t="n">
        <f aca="false">U87*$F21*(U$4&lt;=In_COD)</f>
        <v>339.130778996147</v>
      </c>
      <c r="V89" s="46" t="n">
        <f aca="false">V87*$F21*(V$4&lt;=In_COD)</f>
        <v>428.755050719901</v>
      </c>
      <c r="W89" s="46" t="n">
        <f aca="false">W87*$F21*(W$4&lt;=In_COD)</f>
        <v>519.499625840201</v>
      </c>
      <c r="X89" s="46" t="n">
        <f aca="false">X87*$F21*(X$4&lt;=In_COD)</f>
        <v>609.522309519368</v>
      </c>
      <c r="Y89" s="46" t="n">
        <f aca="false">Y87*$F21*(Y$4&lt;=In_COD)</f>
        <v>701.598376059593</v>
      </c>
      <c r="Z89" s="46" t="n">
        <f aca="false">Z87*$F21*(Z$4&lt;=In_COD)</f>
        <v>0</v>
      </c>
      <c r="AA89" s="46" t="n">
        <f aca="false">AA87*$F21*(AA$4&lt;=In_COD)</f>
        <v>0</v>
      </c>
      <c r="AB89" s="46" t="n">
        <f aca="false">AB87*$F21*(AB$4&lt;=In_COD)</f>
        <v>0</v>
      </c>
      <c r="AC89" s="46" t="n">
        <f aca="false">AC87*$F21*(AC$4&lt;=In_COD)</f>
        <v>0</v>
      </c>
      <c r="AD89" s="46" t="n">
        <f aca="false">AD87*$F21*(AD$4&lt;=In_COD)</f>
        <v>0</v>
      </c>
      <c r="AE89" s="46" t="n">
        <f aca="false">AE87*$F21*(AE$4&lt;=In_COD)</f>
        <v>0</v>
      </c>
      <c r="AF89" s="46" t="n">
        <f aca="false">AF87*$F21*(AF$4&lt;=In_COD)</f>
        <v>0</v>
      </c>
      <c r="AG89" s="46" t="n">
        <f aca="false">AG87*$F21*(AG$4&lt;=In_COD)</f>
        <v>0</v>
      </c>
      <c r="AH89" s="46" t="n">
        <f aca="false">AH87*$F21*(AH$4&lt;=In_COD)</f>
        <v>0</v>
      </c>
      <c r="AI89" s="46" t="n">
        <f aca="false">AI87*$F21*(AI$4&lt;=In_COD)</f>
        <v>0</v>
      </c>
      <c r="AJ89" s="46" t="n">
        <f aca="false">AJ87*$F21*(AJ$4&lt;=In_COD)</f>
        <v>0</v>
      </c>
      <c r="AK89" s="46" t="n">
        <f aca="false">AK87*$F21*(AK$4&lt;=In_COD)</f>
        <v>0</v>
      </c>
      <c r="AL89" s="46" t="n">
        <f aca="false">AL87*$F21*(AL$4&lt;=In_COD)</f>
        <v>0</v>
      </c>
      <c r="AM89" s="46" t="n">
        <f aca="false">AM87*$F21*(AM$4&lt;=In_COD)</f>
        <v>0</v>
      </c>
      <c r="AN89" s="46" t="n">
        <f aca="false">AN87*$F21*(AN$4&lt;=In_COD)</f>
        <v>0</v>
      </c>
      <c r="AO89" s="46" t="n">
        <f aca="false">AO87*$F21*(AO$4&lt;=In_COD)</f>
        <v>0</v>
      </c>
      <c r="AP89" s="46" t="n">
        <f aca="false">AP87*$F21*(AP$4&lt;=In_COD)</f>
        <v>0</v>
      </c>
      <c r="AQ89" s="46" t="n">
        <f aca="false">AQ87*$F21*(AQ$4&lt;=In_COD)</f>
        <v>0</v>
      </c>
      <c r="AR89" s="46" t="n">
        <f aca="false">AR87*$F21*(AR$4&lt;=In_COD)</f>
        <v>0</v>
      </c>
      <c r="AS89" s="46" t="n">
        <f aca="false">AS87*$F21*(AS$4&lt;=In_COD)</f>
        <v>0</v>
      </c>
      <c r="AT89" s="46" t="n">
        <f aca="false">AT87*$F21*(AT$4&lt;=In_COD)</f>
        <v>0</v>
      </c>
      <c r="AU89" s="46" t="n">
        <f aca="false">AU87*$F21*(AU$4&lt;=In_COD)</f>
        <v>0</v>
      </c>
      <c r="AV89" s="46" t="n">
        <f aca="false">AV87*$F21*(AV$4&lt;=In_COD)</f>
        <v>0</v>
      </c>
      <c r="AW89" s="46" t="n">
        <f aca="false">AW87*$F21*(AW$4&lt;=In_COD)</f>
        <v>0</v>
      </c>
      <c r="AX89" s="46" t="n">
        <f aca="false">AX87*$F21*(AX$4&lt;=In_COD)</f>
        <v>0</v>
      </c>
      <c r="AY89" s="46" t="n">
        <f aca="false">AY87*$F21*(AY$4&lt;=In_COD)</f>
        <v>0</v>
      </c>
      <c r="AZ89" s="46" t="n">
        <f aca="false">AZ87*$F21*(AZ$4&lt;=In_COD)</f>
        <v>0</v>
      </c>
      <c r="BA89" s="46" t="n">
        <f aca="false">BA87*$F21*(BA$4&lt;=In_COD)</f>
        <v>0</v>
      </c>
      <c r="BB89" s="46" t="n">
        <f aca="false">BB87*$F21*(BB$4&lt;=In_COD)</f>
        <v>0</v>
      </c>
      <c r="BC89" s="46" t="n">
        <f aca="false">BC87*$F21*(BC$4&lt;=In_COD)</f>
        <v>0</v>
      </c>
      <c r="BD89" s="46" t="n">
        <f aca="false">BD87*$F21*(BD$4&lt;=In_COD)</f>
        <v>0</v>
      </c>
      <c r="BE89" s="46" t="n">
        <f aca="false">BE87*$F21*(BE$4&lt;=In_COD)</f>
        <v>0</v>
      </c>
      <c r="BF89" s="46" t="n">
        <f aca="false">BF87*$F21*(BF$4&lt;=In_COD)</f>
        <v>0</v>
      </c>
      <c r="BG89" s="46" t="n">
        <f aca="false">BG87*$F21*(BG$4&lt;=In_COD)</f>
        <v>0</v>
      </c>
      <c r="BH89" s="46" t="n">
        <f aca="false">BH87*$F21*(BH$4&lt;=In_COD)</f>
        <v>0</v>
      </c>
      <c r="BI89" s="46" t="n">
        <f aca="false">BI87*$F21*(BI$4&lt;=In_COD)</f>
        <v>0</v>
      </c>
      <c r="BJ89" s="46" t="n">
        <f aca="false">BJ87*$F21*(BJ$4&lt;=In_COD)</f>
        <v>0</v>
      </c>
      <c r="BK89" s="46" t="n">
        <f aca="false">BK87*$F21*(BK$4&lt;=In_COD)</f>
        <v>0</v>
      </c>
      <c r="BL89" s="46" t="n">
        <f aca="false">BL87*$F21*(BL$4&lt;=In_COD)</f>
        <v>0</v>
      </c>
      <c r="BM89" s="46" t="n">
        <f aca="false">BM87*$F21*(BM$4&lt;=In_COD)</f>
        <v>0</v>
      </c>
      <c r="BN89" s="46" t="n">
        <f aca="false">BN87*$F21*(BN$4&lt;=In_COD)</f>
        <v>0</v>
      </c>
      <c r="BO89" s="46" t="n">
        <f aca="false">BO87*$F21*(BO$4&lt;=In_COD)</f>
        <v>0</v>
      </c>
      <c r="BP89" s="46" t="n">
        <f aca="false">BP87*$F21*(BP$4&lt;=In_COD)</f>
        <v>0</v>
      </c>
      <c r="BQ89" s="46" t="n">
        <f aca="false">BQ87*$F21*(BQ$4&lt;=In_COD)</f>
        <v>0</v>
      </c>
      <c r="BR89" s="46" t="n">
        <f aca="false">BR87*$F21*(BR$4&lt;=In_COD)</f>
        <v>0</v>
      </c>
      <c r="BS89" s="46" t="n">
        <f aca="false">BS87*$F21*(BS$4&lt;=In_COD)</f>
        <v>0</v>
      </c>
      <c r="BT89" s="46" t="n">
        <f aca="false">BT87*$F21*(BT$4&lt;=In_COD)</f>
        <v>0</v>
      </c>
      <c r="BU89" s="46" t="n">
        <f aca="false">BU87*$F21*(BU$4&lt;=In_COD)</f>
        <v>0</v>
      </c>
      <c r="BV89" s="46" t="n">
        <f aca="false">BV87*$F21*(BV$4&lt;=In_COD)</f>
        <v>0</v>
      </c>
      <c r="BW89" s="46" t="n">
        <f aca="false">BW87*$F21*(BW$4&lt;=In_COD)</f>
        <v>0</v>
      </c>
      <c r="BX89" s="46" t="n">
        <f aca="false">BX87*$F21*(BX$4&lt;=In_COD)</f>
        <v>0</v>
      </c>
      <c r="BY89" s="46" t="n">
        <f aca="false">BY87*$F21*(BY$4&lt;=In_COD)</f>
        <v>0</v>
      </c>
      <c r="BZ89" s="46" t="n">
        <f aca="false">BZ87*$F21*(BZ$4&lt;=In_COD)</f>
        <v>0</v>
      </c>
      <c r="CA89" s="46" t="n">
        <f aca="false">CA87*$F21*(CA$4&lt;=In_COD)</f>
        <v>0</v>
      </c>
      <c r="CB89" s="46" t="n">
        <f aca="false">CB87*$F21*(CB$4&lt;=In_COD)</f>
        <v>0</v>
      </c>
      <c r="CC89" s="46" t="n">
        <f aca="false">CC87*$F21*(CC$4&lt;=In_COD)</f>
        <v>0</v>
      </c>
      <c r="CD89" s="46" t="n">
        <f aca="false">CD87*$F21*(CD$4&lt;=In_COD)</f>
        <v>0</v>
      </c>
      <c r="CE89" s="46" t="n">
        <f aca="false">CE87*$F21*(CE$4&lt;=In_COD)</f>
        <v>0</v>
      </c>
      <c r="CF89" s="46" t="n">
        <f aca="false">CF87*$F21*(CF$4&lt;=In_COD)</f>
        <v>0</v>
      </c>
      <c r="CG89" s="46" t="n">
        <f aca="false">CG87*$F21*(CG$4&lt;=In_COD)</f>
        <v>0</v>
      </c>
      <c r="CH89" s="46" t="n">
        <f aca="false">CH87*$F21*(CH$4&lt;=In_COD)</f>
        <v>0</v>
      </c>
      <c r="CI89" s="46" t="n">
        <f aca="false">CI87*$F21*(CI$4&lt;=In_COD)</f>
        <v>0</v>
      </c>
      <c r="CJ89" s="46" t="n">
        <f aca="false">CJ87*$F21*(CJ$4&lt;=In_COD)</f>
        <v>0</v>
      </c>
      <c r="CK89" s="46" t="n">
        <f aca="false">CK87*$F21*(CK$4&lt;=In_COD)</f>
        <v>0</v>
      </c>
      <c r="CL89" s="46" t="n">
        <f aca="false">CL87*$F21*(CL$4&lt;=In_COD)</f>
        <v>0</v>
      </c>
      <c r="CM89" s="46" t="n">
        <f aca="false">CM87*$F21*(CM$4&lt;=In_COD)</f>
        <v>0</v>
      </c>
      <c r="CN89" s="46" t="n">
        <f aca="false">CN87*$F21*(CN$4&lt;=In_COD)</f>
        <v>0</v>
      </c>
      <c r="CO89" s="46" t="n">
        <f aca="false">CO87*$F21*(CO$4&lt;=In_COD)</f>
        <v>0</v>
      </c>
      <c r="CP89" s="46" t="n">
        <f aca="false">CP87*$F21*(CP$4&lt;=In_COD)</f>
        <v>0</v>
      </c>
      <c r="CQ89" s="46" t="n">
        <f aca="false">CQ87*$F21*(CQ$4&lt;=In_COD)</f>
        <v>0</v>
      </c>
      <c r="CR89" s="46" t="n">
        <f aca="false">CR87*$F21*(CR$4&lt;=In_COD)</f>
        <v>0</v>
      </c>
      <c r="CS89" s="46" t="n">
        <f aca="false">CS87*$F21*(CS$4&lt;=In_COD)</f>
        <v>0</v>
      </c>
      <c r="CT89" s="46" t="n">
        <f aca="false">CT87*$F21*(CT$4&lt;=In_COD)</f>
        <v>0</v>
      </c>
      <c r="CU89" s="46" t="n">
        <f aca="false">CU87*$F21*(CU$4&lt;=In_COD)</f>
        <v>0</v>
      </c>
      <c r="CV89" s="46" t="n">
        <f aca="false">CV87*$F21*(CV$4&lt;=In_COD)</f>
        <v>0</v>
      </c>
      <c r="CW89" s="46" t="n">
        <f aca="false">CW87*$F21*(CW$4&lt;=In_COD)</f>
        <v>0</v>
      </c>
      <c r="CX89" s="46" t="n">
        <f aca="false">CX87*$F21*(CX$4&lt;=In_COD)</f>
        <v>0</v>
      </c>
      <c r="CY89" s="46" t="n">
        <f aca="false">CY87*$F21*(CY$4&lt;=In_COD)</f>
        <v>0</v>
      </c>
      <c r="CZ89" s="46" t="n">
        <f aca="false">CZ87*$F21*(CZ$4&lt;=In_COD)</f>
        <v>0</v>
      </c>
      <c r="DA89" s="46" t="n">
        <f aca="false">DA87*$F21*(DA$4&lt;=In_COD)</f>
        <v>0</v>
      </c>
      <c r="DB89" s="46" t="n">
        <f aca="false">DB87*$F21*(DB$4&lt;=In_COD)</f>
        <v>0</v>
      </c>
      <c r="DC89" s="46" t="n">
        <f aca="false">DC87*$F21*(DC$4&lt;=In_COD)</f>
        <v>0</v>
      </c>
      <c r="DD89" s="46" t="n">
        <f aca="false">DD87*$F21*(DD$4&lt;=In_COD)</f>
        <v>0</v>
      </c>
      <c r="DE89" s="46" t="n">
        <f aca="false">DE87*$F21*(DE$4&lt;=In_COD)</f>
        <v>0</v>
      </c>
      <c r="DF89" s="46" t="n">
        <f aca="false">DF87*$F21*(DF$4&lt;=In_COD)</f>
        <v>0</v>
      </c>
      <c r="DG89" s="46" t="n">
        <f aca="false">DG87*$F21*(DG$4&lt;=In_COD)</f>
        <v>0</v>
      </c>
      <c r="DH89" s="46" t="n">
        <f aca="false">DH87*$F21*(DH$4&lt;=In_COD)</f>
        <v>0</v>
      </c>
      <c r="DI89" s="46" t="n">
        <f aca="false">DI87*$F21*(DI$4&lt;=In_COD)</f>
        <v>0</v>
      </c>
      <c r="DJ89" s="46" t="n">
        <f aca="false">DJ87*$F21*(DJ$4&lt;=In_COD)</f>
        <v>0</v>
      </c>
      <c r="DK89" s="46" t="n">
        <f aca="false">DK87*$F21*(DK$4&lt;=In_COD)</f>
        <v>0</v>
      </c>
      <c r="DL89" s="46" t="n">
        <f aca="false">DL87*$F21*(DL$4&lt;=In_COD)</f>
        <v>0</v>
      </c>
      <c r="DM89" s="46" t="n">
        <f aca="false">DM87*$F21*(DM$4&lt;=In_COD)</f>
        <v>0</v>
      </c>
      <c r="DN89" s="46" t="n">
        <f aca="false">DN87*$F21*(DN$4&lt;=In_COD)</f>
        <v>0</v>
      </c>
      <c r="DO89" s="46" t="n">
        <f aca="false">DO87*$F21*(DO$4&lt;=In_COD)</f>
        <v>0</v>
      </c>
      <c r="DP89" s="46" t="n">
        <f aca="false">DP87*$F21*(DP$4&lt;=In_COD)</f>
        <v>0</v>
      </c>
      <c r="DQ89" s="46" t="n">
        <f aca="false">DQ87*$F21*(DQ$4&lt;=In_COD)</f>
        <v>0</v>
      </c>
      <c r="DR89" s="46" t="n">
        <f aca="false">DR87*$F21*(DR$4&lt;=In_COD)</f>
        <v>0</v>
      </c>
      <c r="DS89" s="46" t="n">
        <f aca="false">DS87*$F21*(DS$4&lt;=In_COD)</f>
        <v>0</v>
      </c>
      <c r="DT89" s="46" t="n">
        <f aca="false">DT87*$F21*(DT$4&lt;=In_COD)</f>
        <v>0</v>
      </c>
      <c r="DU89" s="46" t="n">
        <f aca="false">DU87*$F21*(DU$4&lt;=In_COD)</f>
        <v>0</v>
      </c>
      <c r="DV89" s="46" t="n">
        <f aca="false">DV87*$F21*(DV$4&lt;=In_COD)</f>
        <v>0</v>
      </c>
      <c r="DW89" s="46" t="n">
        <f aca="false">DW87*$F21*(DW$4&lt;=In_COD)</f>
        <v>0</v>
      </c>
      <c r="DX89" s="46" t="n">
        <f aca="false">DX87*$F21*(DX$4&lt;=In_COD)</f>
        <v>0</v>
      </c>
      <c r="DY89" s="46" t="n">
        <f aca="false">DY87*$F21*(DY$4&lt;=In_COD)</f>
        <v>0</v>
      </c>
      <c r="DZ89" s="46" t="n">
        <f aca="false">DZ87*$F21*(DZ$4&lt;=In_COD)</f>
        <v>0</v>
      </c>
      <c r="EA89" s="46" t="n">
        <f aca="false">EA87*$F21*(EA$4&lt;=In_COD)</f>
        <v>0</v>
      </c>
      <c r="EB89" s="46" t="n">
        <f aca="false">EB87*$F21*(EB$4&lt;=In_COD)</f>
        <v>0</v>
      </c>
      <c r="EC89" s="46" t="n">
        <f aca="false">EC87*$F21*(EC$4&lt;=In_COD)</f>
        <v>0</v>
      </c>
      <c r="ED89" s="46" t="n">
        <f aca="false">ED87*$F21*(ED$4&lt;=In_COD)</f>
        <v>0</v>
      </c>
      <c r="EE89" s="46" t="n">
        <f aca="false">EE87*$F21*(EE$4&lt;=In_COD)</f>
        <v>0</v>
      </c>
      <c r="EF89" s="46" t="n">
        <f aca="false">EF87*$F21*(EF$4&lt;=In_COD)</f>
        <v>0</v>
      </c>
      <c r="EG89" s="46" t="n">
        <f aca="false">EG87*$F21*(EG$4&lt;=In_COD)</f>
        <v>0</v>
      </c>
      <c r="EH89" s="46" t="n">
        <f aca="false">EH87*$F21*(EH$4&lt;=In_COD)</f>
        <v>0</v>
      </c>
      <c r="EI89" s="46" t="n">
        <f aca="false">EI87*$F21*(EI$4&lt;=In_COD)</f>
        <v>0</v>
      </c>
      <c r="EJ89" s="46" t="n">
        <f aca="false">EJ87*$F21*(EJ$4&lt;=In_COD)</f>
        <v>0</v>
      </c>
      <c r="EK89" s="46" t="n">
        <f aca="false">EK87*$F21*(EK$4&lt;=In_COD)</f>
        <v>0</v>
      </c>
      <c r="EL89" s="46" t="n">
        <f aca="false">EL87*$F21*(EL$4&lt;=In_COD)</f>
        <v>0</v>
      </c>
      <c r="EM89" s="46" t="n">
        <f aca="false">EM87*$F21*(EM$4&lt;=In_COD)</f>
        <v>0</v>
      </c>
      <c r="EN89" s="46" t="n">
        <f aca="false">EN87*$F21*(EN$4&lt;=In_COD)</f>
        <v>0</v>
      </c>
      <c r="EO89" s="46" t="n">
        <f aca="false">EO87*$F21*(EO$4&lt;=In_COD)</f>
        <v>0</v>
      </c>
    </row>
    <row r="90" customFormat="false" ht="15" hidden="false" customHeight="false" outlineLevel="0" collapsed="false">
      <c r="C90" s="0" t="s">
        <v>415</v>
      </c>
      <c r="D90" s="11" t="s">
        <v>33</v>
      </c>
      <c r="I90" s="46" t="n">
        <f aca="false">SUM(J90:EO90)</f>
        <v>-65060.2794197307</v>
      </c>
      <c r="J90" s="46" t="n">
        <f aca="false">J86-J85</f>
        <v>0</v>
      </c>
      <c r="K90" s="46" t="n">
        <f aca="false">K86-K85</f>
        <v>0</v>
      </c>
      <c r="L90" s="46" t="n">
        <f aca="false">L86-L85</f>
        <v>0</v>
      </c>
      <c r="M90" s="46" t="n">
        <f aca="false">M86-M85</f>
        <v>0</v>
      </c>
      <c r="N90" s="46" t="n">
        <f aca="false">N86-N85</f>
        <v>0</v>
      </c>
      <c r="O90" s="46" t="n">
        <f aca="false">O86-O85</f>
        <v>0</v>
      </c>
      <c r="P90" s="46" t="n">
        <f aca="false">P86-P85</f>
        <v>0</v>
      </c>
      <c r="Q90" s="46" t="n">
        <f aca="false">Q86-Q85</f>
        <v>0</v>
      </c>
      <c r="R90" s="46" t="n">
        <f aca="false">R86-R85</f>
        <v>0</v>
      </c>
      <c r="S90" s="46" t="n">
        <f aca="false">S86-S85</f>
        <v>0</v>
      </c>
      <c r="T90" s="46" t="n">
        <f aca="false">T86-T85</f>
        <v>0</v>
      </c>
      <c r="U90" s="46" t="n">
        <f aca="false">U86-U85</f>
        <v>0</v>
      </c>
      <c r="V90" s="46" t="n">
        <f aca="false">V86-V85</f>
        <v>0</v>
      </c>
      <c r="W90" s="46" t="n">
        <f aca="false">W86-W85</f>
        <v>0</v>
      </c>
      <c r="X90" s="46" t="n">
        <f aca="false">X86-X85</f>
        <v>0</v>
      </c>
      <c r="Y90" s="46" t="n">
        <f aca="false">Y86-Y85</f>
        <v>0</v>
      </c>
      <c r="Z90" s="46" t="n">
        <f aca="false">Z86-Z85</f>
        <v>-555.393197503232</v>
      </c>
      <c r="AA90" s="46" t="n">
        <f aca="false">AA86-AA85</f>
        <v>-541.382788792342</v>
      </c>
      <c r="AB90" s="46" t="n">
        <f aca="false">AB86-AB85</f>
        <v>-562.688250462111</v>
      </c>
      <c r="AC90" s="46" t="n">
        <f aca="false">AC86-AC85</f>
        <v>-584.25264354659</v>
      </c>
      <c r="AD90" s="46" t="n">
        <f aca="false">AD86-AD85</f>
        <v>-586.604283837006</v>
      </c>
      <c r="AE90" s="46" t="n">
        <f aca="false">AE86-AE85</f>
        <v>-587.572195437967</v>
      </c>
      <c r="AF90" s="46" t="n">
        <f aca="false">AF86-AF85</f>
        <v>-594.713129634402</v>
      </c>
      <c r="AG90" s="46" t="n">
        <f aca="false">AG86-AG85</f>
        <v>-616.708660752892</v>
      </c>
      <c r="AH90" s="46" t="n">
        <f aca="false">AH86-AH85</f>
        <v>-619.424911867992</v>
      </c>
      <c r="AI90" s="46" t="n">
        <f aca="false">AI86-AI85</f>
        <v>-605.853555458076</v>
      </c>
      <c r="AJ90" s="46" t="n">
        <f aca="false">AJ86-AJ85</f>
        <v>-642.716874748998</v>
      </c>
      <c r="AK90" s="46" t="n">
        <f aca="false">AK86-AK85</f>
        <v>-665.497895200248</v>
      </c>
      <c r="AL90" s="46" t="n">
        <f aca="false">AL86-AL85</f>
        <v>-655.77002857155</v>
      </c>
      <c r="AM90" s="46" t="n">
        <f aca="false">AM86-AM85</f>
        <v>-642.249069557535</v>
      </c>
      <c r="AN90" s="46" t="n">
        <f aca="false">AN86-AN85</f>
        <v>-664.477138629459</v>
      </c>
      <c r="AO90" s="46" t="n">
        <f aca="false">AO86-AO85</f>
        <v>-686.967645094607</v>
      </c>
      <c r="AP90" s="46" t="n">
        <f aca="false">AP86-AP85</f>
        <v>-690.46762721092</v>
      </c>
      <c r="AQ90" s="46" t="n">
        <f aca="false">AQ86-AQ85</f>
        <v>-677.191050471515</v>
      </c>
      <c r="AR90" s="46" t="n">
        <f aca="false">AR86-AR85</f>
        <v>-699.867789413702</v>
      </c>
      <c r="AS90" s="46" t="n">
        <f aca="false">AS86-AS85</f>
        <v>-722.812263004165</v>
      </c>
      <c r="AT90" s="46" t="n">
        <f aca="false">AT86-AT85</f>
        <v>-726.706735674317</v>
      </c>
      <c r="AU90" s="46" t="n">
        <f aca="false">AU86-AU85</f>
        <v>-728.407413840553</v>
      </c>
      <c r="AV90" s="46" t="n">
        <f aca="false">AV86-AV85</f>
        <v>-737.007411540494</v>
      </c>
      <c r="AW90" s="46" t="n">
        <f aca="false">AW86-AW85</f>
        <v>-760.425132136429</v>
      </c>
      <c r="AX90" s="46" t="n">
        <f aca="false">AX86-AX85</f>
        <v>-764.734881799735</v>
      </c>
      <c r="AY90" s="46" t="n">
        <f aca="false">AY86-AY85</f>
        <v>-752.000030709419</v>
      </c>
      <c r="AZ90" s="46" t="n">
        <f aca="false">AZ86-AZ85</f>
        <v>-775.628100065682</v>
      </c>
      <c r="BA90" s="46" t="n">
        <f aca="false">BA86-BA85</f>
        <v>-799.53513602533</v>
      </c>
      <c r="BB90" s="46" t="n">
        <f aca="false">BB86-BB85</f>
        <v>-804.277749831548</v>
      </c>
      <c r="BC90" s="46" t="n">
        <f aca="false">BC86-BC85</f>
        <v>-791.839885173953</v>
      </c>
      <c r="BD90" s="46" t="n">
        <f aca="false">BD86-BD85</f>
        <v>-815.970196335819</v>
      </c>
      <c r="BE90" s="46" t="n">
        <f aca="false">BE86-BE85</f>
        <v>-840.385403857263</v>
      </c>
      <c r="BF90" s="46" t="n">
        <f aca="false">BF86-BF85</f>
        <v>-845.581341209464</v>
      </c>
      <c r="BG90" s="46" t="n">
        <f aca="false">BG86-BG85</f>
        <v>-833.459675841865</v>
      </c>
      <c r="BH90" s="46" t="n">
        <f aca="false">BH86-BH85</f>
        <v>-858.111724940563</v>
      </c>
      <c r="BI90" s="46" t="n">
        <f aca="false">BI86-BI85</f>
        <v>-883.054830337592</v>
      </c>
      <c r="BJ90" s="46" t="n">
        <f aca="false">BJ86-BJ85</f>
        <v>-888.725483909108</v>
      </c>
      <c r="BK90" s="46" t="n">
        <f aca="false">BK86-BK85</f>
        <v>-891.78067519161</v>
      </c>
      <c r="BL90" s="46" t="n">
        <f aca="false">BL86-BL85</f>
        <v>-902.309551765074</v>
      </c>
      <c r="BM90" s="46" t="n">
        <f aca="false">BM86-BM85</f>
        <v>-927.803261618702</v>
      </c>
      <c r="BN90" s="46" t="n">
        <f aca="false">BN86-BN85</f>
        <v>-933.973093835657</v>
      </c>
      <c r="BO90" s="46" t="n">
        <f aca="false">BO86-BO85</f>
        <v>-922.547311693221</v>
      </c>
      <c r="BP90" s="46" t="n">
        <f aca="false">BP86-BP85</f>
        <v>-948.307114559942</v>
      </c>
      <c r="BQ90" s="46" t="n">
        <f aca="false">BQ86-BQ85</f>
        <v>-974.371052504364</v>
      </c>
      <c r="BR90" s="46" t="n">
        <f aca="false">BR86-BR85</f>
        <v>-981.061462198508</v>
      </c>
      <c r="BS90" s="46" t="n">
        <f aca="false">BS86-BS85</f>
        <v>-970.015322661209</v>
      </c>
      <c r="BT90" s="46" t="n">
        <f aca="false">BT86-BT85</f>
        <v>-996.361034246218</v>
      </c>
      <c r="BU90" s="46" t="n">
        <f aca="false">BU86-BU85</f>
        <v>-1023.01779848491</v>
      </c>
      <c r="BV90" s="46" t="n">
        <f aca="false">BV86-BV85</f>
        <v>-1030.25325141713</v>
      </c>
      <c r="BW90" s="46" t="n">
        <f aca="false">BW86-BW85</f>
        <v>-1019.60992585796</v>
      </c>
      <c r="BX90" s="46" t="n">
        <f aca="false">BX86-BX85</f>
        <v>-1046.56491690283</v>
      </c>
      <c r="BY90" s="46" t="n">
        <f aca="false">BY86-BY85</f>
        <v>-1073.8381541058</v>
      </c>
      <c r="BZ90" s="46" t="n">
        <f aca="false">BZ86-BZ85</f>
        <v>-1081.6442356487</v>
      </c>
      <c r="CA90" s="46" t="n">
        <f aca="false">CA86-CA85</f>
        <v>-1086.36683371719</v>
      </c>
      <c r="CB90" s="46" t="n">
        <f aca="false">CB86-CB85</f>
        <v>-1099.1931066158</v>
      </c>
      <c r="CC90" s="46" t="n">
        <f aca="false">CC86-CC85</f>
        <v>-1127.10964432486</v>
      </c>
      <c r="CD90" s="46" t="n">
        <f aca="false">CD86-CD85</f>
        <v>-1135.51521860838</v>
      </c>
      <c r="CE90" s="46" t="n">
        <f aca="false">CE86-CE85</f>
        <v>-1125.75365059874</v>
      </c>
      <c r="CF90" s="46" t="n">
        <f aca="false">CF86-CF85</f>
        <v>-1154.00386421992</v>
      </c>
      <c r="CG90" s="46" t="n">
        <f aca="false">CG86-CG85</f>
        <v>-1182.58761614335</v>
      </c>
      <c r="CH90" s="46" t="n">
        <f aca="false">CH86-CH85</f>
        <v>-1191.61866099482</v>
      </c>
      <c r="CI90" s="46" t="n">
        <f aca="false">CI86-CI85</f>
        <v>-1182.33638212647</v>
      </c>
      <c r="CJ90" s="46" t="n">
        <f aca="false">CJ86-CJ85</f>
        <v>-1211.27281467263</v>
      </c>
      <c r="CK90" s="46" t="n">
        <f aca="false">CK86-CK85</f>
        <v>-1240.55088741714</v>
      </c>
      <c r="CL90" s="46" t="n">
        <f aca="false">CL86-CL85</f>
        <v>-1250.23667483556</v>
      </c>
      <c r="CM90" s="46" t="n">
        <f aca="false">CM86-CM85</f>
        <v>-1241.46161640486</v>
      </c>
      <c r="CN90" s="46" t="n">
        <f aca="false">CN86-CN85</f>
        <v>-1271.11230699919</v>
      </c>
      <c r="CO90" s="46" t="n">
        <f aca="false">CO86-CO85</f>
        <v>-1301.11307073401</v>
      </c>
      <c r="CP90" s="46" t="n">
        <f aca="false">CP86-CP85</f>
        <v>-1311.48421645905</v>
      </c>
      <c r="CQ90" s="46" t="n">
        <f aca="false">CQ86-CQ85</f>
        <v>-1318.25306938132</v>
      </c>
      <c r="CR90" s="46" t="n">
        <f aca="false">CR86-CR85</f>
        <v>-1333.81712481132</v>
      </c>
      <c r="CS90" s="46" t="n">
        <f aca="false">CS86-CS85</f>
        <v>-1364.57236555001</v>
      </c>
      <c r="CT90" s="46" t="n">
        <f aca="false">CT86-CT85</f>
        <v>3.00701685773674E-012</v>
      </c>
      <c r="CU90" s="46" t="n">
        <f aca="false">CU86-CU85</f>
        <v>3.04460456845845E-012</v>
      </c>
      <c r="CV90" s="46" t="n">
        <f aca="false">CV86-CV85</f>
        <v>3.08266212556418E-012</v>
      </c>
      <c r="CW90" s="46" t="n">
        <f aca="false">CW86-CW85</f>
        <v>3.12119540213374E-012</v>
      </c>
      <c r="CX90" s="46" t="n">
        <f aca="false">CX86-CX85</f>
        <v>3.16021034466041E-012</v>
      </c>
      <c r="CY90" s="46" t="n">
        <f aca="false">CY86-CY85</f>
        <v>3.19971297396866E-012</v>
      </c>
      <c r="CZ90" s="46" t="n">
        <f aca="false">CZ86-CZ85</f>
        <v>3.23970938614327E-012</v>
      </c>
      <c r="DA90" s="46" t="n">
        <f aca="false">DA86-DA85</f>
        <v>3.28020575347006E-012</v>
      </c>
      <c r="DB90" s="46" t="n">
        <f aca="false">DB86-DB85</f>
        <v>3.32120832538844E-012</v>
      </c>
      <c r="DC90" s="46" t="n">
        <f aca="false">DC86-DC85</f>
        <v>3.36272342945579E-012</v>
      </c>
      <c r="DD90" s="46" t="n">
        <f aca="false">DD86-DD85</f>
        <v>3.40475747232399E-012</v>
      </c>
      <c r="DE90" s="46" t="n">
        <f aca="false">DE86-DE85</f>
        <v>3.44731694072804E-012</v>
      </c>
      <c r="DF90" s="46" t="n">
        <f aca="false">DF86-DF85</f>
        <v>3.49040840248714E-012</v>
      </c>
      <c r="DG90" s="46" t="n">
        <f aca="false">DG86-DG85</f>
        <v>3.53403850751823E-012</v>
      </c>
      <c r="DH90" s="46" t="n">
        <f aca="false">DH86-DH85</f>
        <v>3.57821398886221E-012</v>
      </c>
      <c r="DI90" s="46" t="n">
        <f aca="false">DI86-DI85</f>
        <v>3.62294166372299E-012</v>
      </c>
      <c r="DJ90" s="46" t="n">
        <f aca="false">DJ86-DJ85</f>
        <v>3.66822843451952E-012</v>
      </c>
      <c r="DK90" s="46" t="n">
        <f aca="false">DK86-DK85</f>
        <v>3.71408128995102E-012</v>
      </c>
      <c r="DL90" s="46" t="n">
        <f aca="false">DL86-DL85</f>
        <v>3.76050730607541E-012</v>
      </c>
      <c r="DM90" s="46" t="n">
        <f aca="false">DM86-DM85</f>
        <v>3.80751364740135E-012</v>
      </c>
      <c r="DN90" s="46" t="n">
        <f aca="false">DN86-DN85</f>
        <v>3.85510756799386E-012</v>
      </c>
      <c r="DO90" s="46" t="n">
        <f aca="false">DO86-DO85</f>
        <v>3.90329641259379E-012</v>
      </c>
      <c r="DP90" s="46" t="n">
        <f aca="false">DP86-DP85</f>
        <v>3.95208761775121E-012</v>
      </c>
      <c r="DQ90" s="46" t="n">
        <f aca="false">DQ86-DQ85</f>
        <v>4.0014887129731E-012</v>
      </c>
      <c r="DR90" s="46" t="n">
        <f aca="false">DR86-DR85</f>
        <v>4.05150732188526E-012</v>
      </c>
      <c r="DS90" s="46" t="n">
        <f aca="false">DS86-DS85</f>
        <v>4.10215116340883E-012</v>
      </c>
      <c r="DT90" s="46" t="n">
        <f aca="false">DT86-DT85</f>
        <v>4.15342805295144E-012</v>
      </c>
      <c r="DU90" s="46" t="n">
        <f aca="false">DU86-DU85</f>
        <v>4.20534590361333E-012</v>
      </c>
      <c r="DV90" s="46" t="n">
        <f aca="false">DV86-DV85</f>
        <v>4.2579127274085E-012</v>
      </c>
      <c r="DW90" s="46" t="n">
        <f aca="false">DW86-DW85</f>
        <v>4.31113663650111E-012</v>
      </c>
      <c r="DX90" s="46" t="n">
        <f aca="false">DX86-DX85</f>
        <v>4.36502584445737E-012</v>
      </c>
      <c r="DY90" s="46" t="n">
        <f aca="false">DY86-DY85</f>
        <v>4.41958866751309E-012</v>
      </c>
      <c r="DZ90" s="46" t="n">
        <f aca="false">DZ86-DZ85</f>
        <v>4.474833525857E-012</v>
      </c>
      <c r="EA90" s="46" t="n">
        <f aca="false">EA86-EA85</f>
        <v>4.53076894493021E-012</v>
      </c>
      <c r="EB90" s="46" t="n">
        <f aca="false">EB86-EB85</f>
        <v>4.58740355674184E-012</v>
      </c>
      <c r="EC90" s="46" t="n">
        <f aca="false">EC86-EC85</f>
        <v>4.64474610120111E-012</v>
      </c>
      <c r="ED90" s="46" t="n">
        <f aca="false">ED86-ED85</f>
        <v>4.70280542746613E-012</v>
      </c>
      <c r="EE90" s="46" t="n">
        <f aca="false">EE86-EE85</f>
        <v>4.76159049530946E-012</v>
      </c>
      <c r="EF90" s="46" t="n">
        <f aca="false">EF86-EF85</f>
        <v>4.82111037650082E-012</v>
      </c>
      <c r="EG90" s="46" t="n">
        <f aca="false">EG86-EG85</f>
        <v>4.88137425620708E-012</v>
      </c>
      <c r="EH90" s="46" t="n">
        <f aca="false">EH86-EH85</f>
        <v>4.94239143440967E-012</v>
      </c>
      <c r="EI90" s="46" t="n">
        <f aca="false">EI86-EI85</f>
        <v>5.00417132733979E-012</v>
      </c>
      <c r="EJ90" s="46" t="n">
        <f aca="false">EJ86-EJ85</f>
        <v>5.06672346893154E-012</v>
      </c>
      <c r="EK90" s="46" t="n">
        <f aca="false">EK86-EK85</f>
        <v>5.13005751229318E-012</v>
      </c>
      <c r="EL90" s="46" t="n">
        <f aca="false">EL86-EL85</f>
        <v>5.19418323119685E-012</v>
      </c>
      <c r="EM90" s="46" t="n">
        <f aca="false">EM86-EM85</f>
        <v>5.25911052158681E-012</v>
      </c>
      <c r="EN90" s="46" t="n">
        <f aca="false">EN86-EN85</f>
        <v>5.32484940310665E-012</v>
      </c>
      <c r="EO90" s="46" t="n">
        <f aca="false">EO86-EO85</f>
        <v>5.39141002064548E-012</v>
      </c>
    </row>
    <row r="91" customFormat="false" ht="15" hidden="false" customHeight="false" outlineLevel="0" collapsed="false">
      <c r="C91" s="24" t="s">
        <v>416</v>
      </c>
      <c r="D91" s="11" t="s">
        <v>33</v>
      </c>
      <c r="E91" s="56" t="n">
        <f aca="false">SUMIF($J$4:$EO$4,In_COD,$J91:$EO91)</f>
        <v>65060.2794197311</v>
      </c>
      <c r="I91" s="58"/>
      <c r="J91" s="56" t="n">
        <f aca="false">SUM(J87:J90)</f>
        <v>0</v>
      </c>
      <c r="K91" s="56" t="n">
        <f aca="false">SUM(K87:K90)</f>
        <v>0</v>
      </c>
      <c r="L91" s="56" t="n">
        <f aca="false">SUM(L87:L90)</f>
        <v>0</v>
      </c>
      <c r="M91" s="56" t="n">
        <f aca="false">SUM(M87:M90)</f>
        <v>0</v>
      </c>
      <c r="N91" s="56" t="n">
        <f aca="false">SUM(N87:N90)</f>
        <v>0</v>
      </c>
      <c r="O91" s="56" t="n">
        <f aca="false">SUM(O87:O90)</f>
        <v>0</v>
      </c>
      <c r="P91" s="56" t="n">
        <f aca="false">SUM(P87:P90)</f>
        <v>0</v>
      </c>
      <c r="Q91" s="56" t="n">
        <f aca="false">SUM(Q87:Q90)</f>
        <v>0</v>
      </c>
      <c r="R91" s="56" t="n">
        <f aca="false">SUM(R87:R90)</f>
        <v>6830.81095890411</v>
      </c>
      <c r="S91" s="56" t="n">
        <f aca="false">SUM(S87:S90)</f>
        <v>20122.3696849315</v>
      </c>
      <c r="T91" s="56" t="n">
        <f aca="false">SUM(T87:T90)</f>
        <v>27130.4623196918</v>
      </c>
      <c r="U91" s="56" t="n">
        <f aca="false">SUM(U87:U90)</f>
        <v>34300.404057592</v>
      </c>
      <c r="V91" s="56" t="n">
        <f aca="false">SUM(V87:V90)</f>
        <v>41559.9700672161</v>
      </c>
      <c r="W91" s="56" t="n">
        <f aca="false">SUM(W87:W90)</f>
        <v>48761.7847615494</v>
      </c>
      <c r="X91" s="56" t="n">
        <f aca="false">SUM(X87:X90)</f>
        <v>56127.8700847674</v>
      </c>
      <c r="Y91" s="56" t="n">
        <f aca="false">SUM(Y87:Y90)</f>
        <v>65060.2794197311</v>
      </c>
      <c r="Z91" s="56" t="n">
        <f aca="false">SUM(Z87:Z90)</f>
        <v>64504.8862222279</v>
      </c>
      <c r="AA91" s="56" t="n">
        <f aca="false">SUM(AA87:AA90)</f>
        <v>63963.5034334355</v>
      </c>
      <c r="AB91" s="56" t="n">
        <f aca="false">SUM(AB87:AB90)</f>
        <v>63400.8151829734</v>
      </c>
      <c r="AC91" s="56" t="n">
        <f aca="false">SUM(AC87:AC90)</f>
        <v>62816.5625394268</v>
      </c>
      <c r="AD91" s="56" t="n">
        <f aca="false">SUM(AD87:AD90)</f>
        <v>62229.9582555898</v>
      </c>
      <c r="AE91" s="56" t="n">
        <f aca="false">SUM(AE87:AE90)</f>
        <v>61642.3860601519</v>
      </c>
      <c r="AF91" s="56" t="n">
        <f aca="false">SUM(AF87:AF90)</f>
        <v>61047.6729305175</v>
      </c>
      <c r="AG91" s="56" t="n">
        <f aca="false">SUM(AG87:AG90)</f>
        <v>60430.9642697646</v>
      </c>
      <c r="AH91" s="56" t="n">
        <f aca="false">SUM(AH87:AH90)</f>
        <v>59811.5393578966</v>
      </c>
      <c r="AI91" s="56" t="n">
        <f aca="false">SUM(AI87:AI90)</f>
        <v>59205.6858024385</v>
      </c>
      <c r="AJ91" s="56" t="n">
        <f aca="false">SUM(AJ87:AJ90)</f>
        <v>58562.9689276895</v>
      </c>
      <c r="AK91" s="56" t="n">
        <f aca="false">SUM(AK87:AK90)</f>
        <v>57897.4710324893</v>
      </c>
      <c r="AL91" s="56" t="n">
        <f aca="false">SUM(AL87:AL90)</f>
        <v>57241.7010039177</v>
      </c>
      <c r="AM91" s="56" t="n">
        <f aca="false">SUM(AM87:AM90)</f>
        <v>56599.4519343602</v>
      </c>
      <c r="AN91" s="56" t="n">
        <f aca="false">SUM(AN87:AN90)</f>
        <v>55934.9747957307</v>
      </c>
      <c r="AO91" s="56" t="n">
        <f aca="false">SUM(AO87:AO90)</f>
        <v>55248.0071506361</v>
      </c>
      <c r="AP91" s="56" t="n">
        <f aca="false">SUM(AP87:AP90)</f>
        <v>54557.5395234252</v>
      </c>
      <c r="AQ91" s="56" t="n">
        <f aca="false">SUM(AQ87:AQ90)</f>
        <v>53880.3484729537</v>
      </c>
      <c r="AR91" s="56" t="n">
        <f aca="false">SUM(AR87:AR90)</f>
        <v>53180.48068354</v>
      </c>
      <c r="AS91" s="56" t="n">
        <f aca="false">SUM(AS87:AS90)</f>
        <v>52457.6684205358</v>
      </c>
      <c r="AT91" s="56" t="n">
        <f aca="false">SUM(AT87:AT90)</f>
        <v>51730.9616848615</v>
      </c>
      <c r="AU91" s="56" t="n">
        <f aca="false">SUM(AU87:AU90)</f>
        <v>51002.5542710209</v>
      </c>
      <c r="AV91" s="56" t="n">
        <f aca="false">SUM(AV87:AV90)</f>
        <v>50265.5468594805</v>
      </c>
      <c r="AW91" s="56" t="n">
        <f aca="false">SUM(AW87:AW90)</f>
        <v>49505.121727344</v>
      </c>
      <c r="AX91" s="56" t="n">
        <f aca="false">SUM(AX87:AX90)</f>
        <v>48740.3868455443</v>
      </c>
      <c r="AY91" s="56" t="n">
        <f aca="false">SUM(AY87:AY90)</f>
        <v>47988.3868148349</v>
      </c>
      <c r="AZ91" s="56" t="n">
        <f aca="false">SUM(AZ87:AZ90)</f>
        <v>47212.7587147692</v>
      </c>
      <c r="BA91" s="56" t="n">
        <f aca="false">SUM(BA87:BA90)</f>
        <v>46413.2235787439</v>
      </c>
      <c r="BB91" s="56" t="n">
        <f aca="false">SUM(BB87:BB90)</f>
        <v>45608.9458289123</v>
      </c>
      <c r="BC91" s="56" t="n">
        <f aca="false">SUM(BC87:BC90)</f>
        <v>44817.1059437384</v>
      </c>
      <c r="BD91" s="56" t="n">
        <f aca="false">SUM(BD87:BD90)</f>
        <v>44001.1357474025</v>
      </c>
      <c r="BE91" s="56" t="n">
        <f aca="false">SUM(BE87:BE90)</f>
        <v>43160.7503435453</v>
      </c>
      <c r="BF91" s="56" t="n">
        <f aca="false">SUM(BF87:BF90)</f>
        <v>42315.1690023358</v>
      </c>
      <c r="BG91" s="56" t="n">
        <f aca="false">SUM(BG87:BG90)</f>
        <v>41481.709326494</v>
      </c>
      <c r="BH91" s="56" t="n">
        <f aca="false">SUM(BH87:BH90)</f>
        <v>40623.5976015534</v>
      </c>
      <c r="BI91" s="56" t="n">
        <f aca="false">SUM(BI87:BI90)</f>
        <v>39740.5427712158</v>
      </c>
      <c r="BJ91" s="56" t="n">
        <f aca="false">SUM(BJ87:BJ90)</f>
        <v>38851.8172873067</v>
      </c>
      <c r="BK91" s="56" t="n">
        <f aca="false">SUM(BK87:BK90)</f>
        <v>37960.0366121151</v>
      </c>
      <c r="BL91" s="56" t="n">
        <f aca="false">SUM(BL87:BL90)</f>
        <v>37057.72706035</v>
      </c>
      <c r="BM91" s="56" t="n">
        <f aca="false">SUM(BM87:BM90)</f>
        <v>36129.9237987313</v>
      </c>
      <c r="BN91" s="56" t="n">
        <f aca="false">SUM(BN87:BN90)</f>
        <v>35195.9507048956</v>
      </c>
      <c r="BO91" s="56" t="n">
        <f aca="false">SUM(BO87:BO90)</f>
        <v>34273.4033932024</v>
      </c>
      <c r="BP91" s="56" t="n">
        <f aca="false">SUM(BP87:BP90)</f>
        <v>33325.0962786425</v>
      </c>
      <c r="BQ91" s="56" t="n">
        <f aca="false">SUM(BQ87:BQ90)</f>
        <v>32350.7252261381</v>
      </c>
      <c r="BR91" s="56" t="n">
        <f aca="false">SUM(BR87:BR90)</f>
        <v>31369.6637639396</v>
      </c>
      <c r="BS91" s="56" t="n">
        <f aca="false">SUM(BS87:BS90)</f>
        <v>30399.6484412784</v>
      </c>
      <c r="BT91" s="56" t="n">
        <f aca="false">SUM(BT87:BT90)</f>
        <v>29403.2874070322</v>
      </c>
      <c r="BU91" s="56" t="n">
        <f aca="false">SUM(BU87:BU90)</f>
        <v>28380.2696085473</v>
      </c>
      <c r="BV91" s="56" t="n">
        <f aca="false">SUM(BV87:BV90)</f>
        <v>27350.0163571301</v>
      </c>
      <c r="BW91" s="56" t="n">
        <f aca="false">SUM(BW87:BW90)</f>
        <v>26330.4064312722</v>
      </c>
      <c r="BX91" s="56" t="n">
        <f aca="false">SUM(BX87:BX90)</f>
        <v>25283.8415143694</v>
      </c>
      <c r="BY91" s="56" t="n">
        <f aca="false">SUM(BY87:BY90)</f>
        <v>24210.0033602636</v>
      </c>
      <c r="BZ91" s="56" t="n">
        <f aca="false">SUM(BZ87:BZ90)</f>
        <v>23128.3591246149</v>
      </c>
      <c r="CA91" s="56" t="n">
        <f aca="false">SUM(CA87:CA90)</f>
        <v>22041.9922908977</v>
      </c>
      <c r="CB91" s="56" t="n">
        <f aca="false">SUM(CB87:CB90)</f>
        <v>20942.7991842819</v>
      </c>
      <c r="CC91" s="56" t="n">
        <f aca="false">SUM(CC87:CC90)</f>
        <v>19815.689539957</v>
      </c>
      <c r="CD91" s="56" t="n">
        <f aca="false">SUM(CD87:CD90)</f>
        <v>18680.1743213486</v>
      </c>
      <c r="CE91" s="56" t="n">
        <f aca="false">SUM(CE87:CE90)</f>
        <v>17554.4206707499</v>
      </c>
      <c r="CF91" s="56" t="n">
        <f aca="false">SUM(CF87:CF90)</f>
        <v>16400.41680653</v>
      </c>
      <c r="CG91" s="56" t="n">
        <f aca="false">SUM(CG87:CG90)</f>
        <v>15217.8291903866</v>
      </c>
      <c r="CH91" s="56" t="n">
        <f aca="false">SUM(CH87:CH90)</f>
        <v>14026.2105293918</v>
      </c>
      <c r="CI91" s="56" t="n">
        <f aca="false">SUM(CI87:CI90)</f>
        <v>12843.8741472653</v>
      </c>
      <c r="CJ91" s="56" t="n">
        <f aca="false">SUM(CJ87:CJ90)</f>
        <v>11632.6013325927</v>
      </c>
      <c r="CK91" s="56" t="n">
        <f aca="false">SUM(CK87:CK90)</f>
        <v>10392.0504451756</v>
      </c>
      <c r="CL91" s="56" t="n">
        <f aca="false">SUM(CL87:CL90)</f>
        <v>9141.81377034</v>
      </c>
      <c r="CM91" s="56" t="n">
        <f aca="false">SUM(CM87:CM90)</f>
        <v>7900.35215393514</v>
      </c>
      <c r="CN91" s="56" t="n">
        <f aca="false">SUM(CN87:CN90)</f>
        <v>6629.23984693595</v>
      </c>
      <c r="CO91" s="56" t="n">
        <f aca="false">SUM(CO87:CO90)</f>
        <v>5328.12677620194</v>
      </c>
      <c r="CP91" s="56" t="n">
        <f aca="false">SUM(CP87:CP90)</f>
        <v>4016.64255974288</v>
      </c>
      <c r="CQ91" s="56" t="n">
        <f aca="false">SUM(CQ87:CQ90)</f>
        <v>2698.38949036157</v>
      </c>
      <c r="CR91" s="56" t="n">
        <f aca="false">SUM(CR87:CR90)</f>
        <v>1364.57236555025</v>
      </c>
      <c r="CS91" s="56" t="n">
        <f aca="false">SUM(CS87:CS90)</f>
        <v>2.4056134861894E-010</v>
      </c>
      <c r="CT91" s="56" t="n">
        <f aca="false">SUM(CT87:CT90)</f>
        <v>2.43568365476676E-010</v>
      </c>
      <c r="CU91" s="56" t="n">
        <f aca="false">SUM(CU87:CU90)</f>
        <v>2.46612970045135E-010</v>
      </c>
      <c r="CV91" s="56" t="n">
        <f aca="false">SUM(CV87:CV90)</f>
        <v>2.49695632170699E-010</v>
      </c>
      <c r="CW91" s="56" t="n">
        <f aca="false">SUM(CW87:CW90)</f>
        <v>2.52816827572833E-010</v>
      </c>
      <c r="CX91" s="56" t="n">
        <f aca="false">SUM(CX87:CX90)</f>
        <v>2.55977037917493E-010</v>
      </c>
      <c r="CY91" s="56" t="n">
        <f aca="false">SUM(CY87:CY90)</f>
        <v>2.59176750891462E-010</v>
      </c>
      <c r="CZ91" s="56" t="n">
        <f aca="false">SUM(CZ87:CZ90)</f>
        <v>2.62416460277605E-010</v>
      </c>
      <c r="DA91" s="56" t="n">
        <f aca="false">SUM(DA87:DA90)</f>
        <v>2.65696666031075E-010</v>
      </c>
      <c r="DB91" s="56" t="n">
        <f aca="false">SUM(DB87:DB90)</f>
        <v>2.69017874356463E-010</v>
      </c>
      <c r="DC91" s="56" t="n">
        <f aca="false">SUM(DC87:DC90)</f>
        <v>2.72380597785919E-010</v>
      </c>
      <c r="DD91" s="56" t="n">
        <f aca="false">SUM(DD87:DD90)</f>
        <v>2.75785355258243E-010</v>
      </c>
      <c r="DE91" s="56" t="n">
        <f aca="false">SUM(DE87:DE90)</f>
        <v>2.79232672198971E-010</v>
      </c>
      <c r="DF91" s="56" t="n">
        <f aca="false">SUM(DF87:DF90)</f>
        <v>2.82723080601458E-010</v>
      </c>
      <c r="DG91" s="56" t="n">
        <f aca="false">SUM(DG87:DG90)</f>
        <v>2.86257119108977E-010</v>
      </c>
      <c r="DH91" s="56" t="n">
        <f aca="false">SUM(DH87:DH90)</f>
        <v>2.89835333097839E-010</v>
      </c>
      <c r="DI91" s="56" t="n">
        <f aca="false">SUM(DI87:DI90)</f>
        <v>2.93458274761562E-010</v>
      </c>
      <c r="DJ91" s="56" t="n">
        <f aca="false">SUM(DJ87:DJ90)</f>
        <v>2.97126503196081E-010</v>
      </c>
      <c r="DK91" s="56" t="n">
        <f aca="false">SUM(DK87:DK90)</f>
        <v>3.00840584486032E-010</v>
      </c>
      <c r="DL91" s="56" t="n">
        <f aca="false">SUM(DL87:DL90)</f>
        <v>3.04601091792108E-010</v>
      </c>
      <c r="DM91" s="56" t="n">
        <f aca="false">SUM(DM87:DM90)</f>
        <v>3.08408605439509E-010</v>
      </c>
      <c r="DN91" s="56" t="n">
        <f aca="false">SUM(DN87:DN90)</f>
        <v>3.12263713007503E-010</v>
      </c>
      <c r="DO91" s="56" t="n">
        <f aca="false">SUM(DO87:DO90)</f>
        <v>3.16167009420097E-010</v>
      </c>
      <c r="DP91" s="56" t="n">
        <f aca="false">SUM(DP87:DP90)</f>
        <v>3.20119097037848E-010</v>
      </c>
      <c r="DQ91" s="56" t="n">
        <f aca="false">SUM(DQ87:DQ90)</f>
        <v>3.24120585750821E-010</v>
      </c>
      <c r="DR91" s="56" t="n">
        <f aca="false">SUM(DR87:DR90)</f>
        <v>3.28172093072706E-010</v>
      </c>
      <c r="DS91" s="56" t="n">
        <f aca="false">SUM(DS87:DS90)</f>
        <v>3.32274244236115E-010</v>
      </c>
      <c r="DT91" s="56" t="n">
        <f aca="false">SUM(DT87:DT90)</f>
        <v>3.36427672289067E-010</v>
      </c>
      <c r="DU91" s="56" t="n">
        <f aca="false">SUM(DU87:DU90)</f>
        <v>3.4063301819268E-010</v>
      </c>
      <c r="DV91" s="56" t="n">
        <f aca="false">SUM(DV87:DV90)</f>
        <v>3.44890930920088E-010</v>
      </c>
      <c r="DW91" s="56" t="n">
        <f aca="false">SUM(DW87:DW90)</f>
        <v>3.4920206755659E-010</v>
      </c>
      <c r="DX91" s="56" t="n">
        <f aca="false">SUM(DX87:DX90)</f>
        <v>3.53567093401047E-010</v>
      </c>
      <c r="DY91" s="56" t="n">
        <f aca="false">SUM(DY87:DY90)</f>
        <v>3.5798668206856E-010</v>
      </c>
      <c r="DZ91" s="56" t="n">
        <f aca="false">SUM(DZ87:DZ90)</f>
        <v>3.62461515594417E-010</v>
      </c>
      <c r="EA91" s="56" t="n">
        <f aca="false">SUM(EA87:EA90)</f>
        <v>3.66992284539347E-010</v>
      </c>
      <c r="EB91" s="56" t="n">
        <f aca="false">SUM(EB87:EB90)</f>
        <v>3.71579688096089E-010</v>
      </c>
      <c r="EC91" s="56" t="n">
        <f aca="false">SUM(EC87:EC90)</f>
        <v>3.7622443419729E-010</v>
      </c>
      <c r="ED91" s="56" t="n">
        <f aca="false">SUM(ED87:ED90)</f>
        <v>3.80927239624756E-010</v>
      </c>
      <c r="EE91" s="56" t="n">
        <f aca="false">SUM(EE87:EE90)</f>
        <v>3.85688830120066E-010</v>
      </c>
      <c r="EF91" s="56" t="n">
        <f aca="false">SUM(EF87:EF90)</f>
        <v>3.90509940496567E-010</v>
      </c>
      <c r="EG91" s="56" t="n">
        <f aca="false">SUM(EG87:EG90)</f>
        <v>3.95391314752774E-010</v>
      </c>
      <c r="EH91" s="56" t="n">
        <f aca="false">SUM(EH87:EH90)</f>
        <v>4.00333706187183E-010</v>
      </c>
      <c r="EI91" s="56" t="n">
        <f aca="false">SUM(EI87:EI90)</f>
        <v>4.05337877514523E-010</v>
      </c>
      <c r="EJ91" s="56" t="n">
        <f aca="false">SUM(EJ87:EJ90)</f>
        <v>4.10404600983455E-010</v>
      </c>
      <c r="EK91" s="56" t="n">
        <f aca="false">SUM(EK87:EK90)</f>
        <v>4.15534658495748E-010</v>
      </c>
      <c r="EL91" s="56" t="n">
        <f aca="false">SUM(EL87:EL90)</f>
        <v>4.20728841726945E-010</v>
      </c>
      <c r="EM91" s="56" t="n">
        <f aca="false">SUM(EM87:EM90)</f>
        <v>4.25987952248532E-010</v>
      </c>
      <c r="EN91" s="56" t="n">
        <f aca="false">SUM(EN87:EN90)</f>
        <v>4.31312801651638E-010</v>
      </c>
      <c r="EO91" s="56" t="n">
        <f aca="false">SUM(EO87:EO90)</f>
        <v>4.36704211672284E-010</v>
      </c>
    </row>
    <row r="92" customFormat="false" ht="15" hidden="false" customHeight="false" outlineLevel="0" collapsed="false">
      <c r="C92" s="0" t="s">
        <v>417</v>
      </c>
      <c r="D92" s="11" t="s">
        <v>33</v>
      </c>
      <c r="I92" s="46" t="n">
        <f aca="false">SUM(J92:EO92)</f>
        <v>-1138.55488984529</v>
      </c>
      <c r="J92" s="46" t="n">
        <f aca="false">-In_Upfront_Fee*$E91*(J87=0)*(J88&gt;0)</f>
        <v>-0</v>
      </c>
      <c r="K92" s="46" t="n">
        <f aca="false">-In_Upfront_Fee*$E91*(K87=0)*(K88&gt;0)</f>
        <v>-0</v>
      </c>
      <c r="L92" s="46" t="n">
        <f aca="false">-In_Upfront_Fee*$E91*(L87=0)*(L88&gt;0)</f>
        <v>-0</v>
      </c>
      <c r="M92" s="46" t="n">
        <f aca="false">-In_Upfront_Fee*$E91*(M87=0)*(M88&gt;0)</f>
        <v>-0</v>
      </c>
      <c r="N92" s="46" t="n">
        <f aca="false">-In_Upfront_Fee*$E91*(N87=0)*(N88&gt;0)</f>
        <v>-0</v>
      </c>
      <c r="O92" s="46" t="n">
        <f aca="false">-In_Upfront_Fee*$E91*(O87=0)*(O88&gt;0)</f>
        <v>-0</v>
      </c>
      <c r="P92" s="46" t="n">
        <f aca="false">-In_Upfront_Fee*$E91*(P87=0)*(P88&gt;0)</f>
        <v>-0</v>
      </c>
      <c r="Q92" s="46" t="n">
        <f aca="false">-In_Upfront_Fee*$E91*(Q87=0)*(Q88&gt;0)</f>
        <v>-0</v>
      </c>
      <c r="R92" s="46" t="n">
        <f aca="false">-In_Upfront_Fee*$E91*(R87=0)*(R88&gt;0)</f>
        <v>-1138.55488984529</v>
      </c>
      <c r="S92" s="46" t="n">
        <f aca="false">-In_Upfront_Fee*$E91*(S87=0)*(S88&gt;0)</f>
        <v>-0</v>
      </c>
      <c r="T92" s="46" t="n">
        <f aca="false">-In_Upfront_Fee*$E91*(T87=0)*(T88&gt;0)</f>
        <v>-0</v>
      </c>
      <c r="U92" s="46" t="n">
        <f aca="false">-In_Upfront_Fee*$E91*(U87=0)*(U88&gt;0)</f>
        <v>-0</v>
      </c>
      <c r="V92" s="46" t="n">
        <f aca="false">-In_Upfront_Fee*$E91*(V87=0)*(V88&gt;0)</f>
        <v>-0</v>
      </c>
      <c r="W92" s="46" t="n">
        <f aca="false">-In_Upfront_Fee*$E91*(W87=0)*(W88&gt;0)</f>
        <v>-0</v>
      </c>
      <c r="X92" s="46" t="n">
        <f aca="false">-In_Upfront_Fee*$E91*(X87=0)*(X88&gt;0)</f>
        <v>-0</v>
      </c>
      <c r="Y92" s="46" t="n">
        <f aca="false">-In_Upfront_Fee*$E91*(Y87=0)*(Y88&gt;0)</f>
        <v>-0</v>
      </c>
      <c r="Z92" s="46" t="n">
        <f aca="false">-In_Upfront_Fee*$E91*(Z87=0)*(Z88&gt;0)</f>
        <v>-0</v>
      </c>
      <c r="AA92" s="46" t="n">
        <f aca="false">-In_Upfront_Fee*$E91*(AA87=0)*(AA88&gt;0)</f>
        <v>-0</v>
      </c>
      <c r="AB92" s="46" t="n">
        <f aca="false">-In_Upfront_Fee*$E91*(AB87=0)*(AB88&gt;0)</f>
        <v>-0</v>
      </c>
      <c r="AC92" s="46" t="n">
        <f aca="false">-In_Upfront_Fee*$E91*(AC87=0)*(AC88&gt;0)</f>
        <v>-0</v>
      </c>
      <c r="AD92" s="46" t="n">
        <f aca="false">-In_Upfront_Fee*$E91*(AD87=0)*(AD88&gt;0)</f>
        <v>-0</v>
      </c>
      <c r="AE92" s="46" t="n">
        <f aca="false">-In_Upfront_Fee*$E91*(AE87=0)*(AE88&gt;0)</f>
        <v>-0</v>
      </c>
      <c r="AF92" s="46" t="n">
        <f aca="false">-In_Upfront_Fee*$E91*(AF87=0)*(AF88&gt;0)</f>
        <v>-0</v>
      </c>
      <c r="AG92" s="46" t="n">
        <f aca="false">-In_Upfront_Fee*$E91*(AG87=0)*(AG88&gt;0)</f>
        <v>-0</v>
      </c>
      <c r="AH92" s="46" t="n">
        <f aca="false">-In_Upfront_Fee*$E91*(AH87=0)*(AH88&gt;0)</f>
        <v>-0</v>
      </c>
      <c r="AI92" s="46" t="n">
        <f aca="false">-In_Upfront_Fee*$E91*(AI87=0)*(AI88&gt;0)</f>
        <v>-0</v>
      </c>
      <c r="AJ92" s="46" t="n">
        <f aca="false">-In_Upfront_Fee*$E91*(AJ87=0)*(AJ88&gt;0)</f>
        <v>-0</v>
      </c>
      <c r="AK92" s="46" t="n">
        <f aca="false">-In_Upfront_Fee*$E91*(AK87=0)*(AK88&gt;0)</f>
        <v>-0</v>
      </c>
      <c r="AL92" s="46" t="n">
        <f aca="false">-In_Upfront_Fee*$E91*(AL87=0)*(AL88&gt;0)</f>
        <v>-0</v>
      </c>
      <c r="AM92" s="46" t="n">
        <f aca="false">-In_Upfront_Fee*$E91*(AM87=0)*(AM88&gt;0)</f>
        <v>-0</v>
      </c>
      <c r="AN92" s="46" t="n">
        <f aca="false">-In_Upfront_Fee*$E91*(AN87=0)*(AN88&gt;0)</f>
        <v>-0</v>
      </c>
      <c r="AO92" s="46" t="n">
        <f aca="false">-In_Upfront_Fee*$E91*(AO87=0)*(AO88&gt;0)</f>
        <v>-0</v>
      </c>
      <c r="AP92" s="46" t="n">
        <f aca="false">-In_Upfront_Fee*$E91*(AP87=0)*(AP88&gt;0)</f>
        <v>-0</v>
      </c>
      <c r="AQ92" s="46" t="n">
        <f aca="false">-In_Upfront_Fee*$E91*(AQ87=0)*(AQ88&gt;0)</f>
        <v>-0</v>
      </c>
      <c r="AR92" s="46" t="n">
        <f aca="false">-In_Upfront_Fee*$E91*(AR87=0)*(AR88&gt;0)</f>
        <v>-0</v>
      </c>
      <c r="AS92" s="46" t="n">
        <f aca="false">-In_Upfront_Fee*$E91*(AS87=0)*(AS88&gt;0)</f>
        <v>-0</v>
      </c>
      <c r="AT92" s="46" t="n">
        <f aca="false">-In_Upfront_Fee*$E91*(AT87=0)*(AT88&gt;0)</f>
        <v>-0</v>
      </c>
      <c r="AU92" s="46" t="n">
        <f aca="false">-In_Upfront_Fee*$E91*(AU87=0)*(AU88&gt;0)</f>
        <v>-0</v>
      </c>
      <c r="AV92" s="46" t="n">
        <f aca="false">-In_Upfront_Fee*$E91*(AV87=0)*(AV88&gt;0)</f>
        <v>-0</v>
      </c>
      <c r="AW92" s="46" t="n">
        <f aca="false">-In_Upfront_Fee*$E91*(AW87=0)*(AW88&gt;0)</f>
        <v>-0</v>
      </c>
      <c r="AX92" s="46" t="n">
        <f aca="false">-In_Upfront_Fee*$E91*(AX87=0)*(AX88&gt;0)</f>
        <v>-0</v>
      </c>
      <c r="AY92" s="46" t="n">
        <f aca="false">-In_Upfront_Fee*$E91*(AY87=0)*(AY88&gt;0)</f>
        <v>-0</v>
      </c>
      <c r="AZ92" s="46" t="n">
        <f aca="false">-In_Upfront_Fee*$E91*(AZ87=0)*(AZ88&gt;0)</f>
        <v>-0</v>
      </c>
      <c r="BA92" s="46" t="n">
        <f aca="false">-In_Upfront_Fee*$E91*(BA87=0)*(BA88&gt;0)</f>
        <v>-0</v>
      </c>
      <c r="BB92" s="46" t="n">
        <f aca="false">-In_Upfront_Fee*$E91*(BB87=0)*(BB88&gt;0)</f>
        <v>-0</v>
      </c>
      <c r="BC92" s="46" t="n">
        <f aca="false">-In_Upfront_Fee*$E91*(BC87=0)*(BC88&gt;0)</f>
        <v>-0</v>
      </c>
      <c r="BD92" s="46" t="n">
        <f aca="false">-In_Upfront_Fee*$E91*(BD87=0)*(BD88&gt;0)</f>
        <v>-0</v>
      </c>
      <c r="BE92" s="46" t="n">
        <f aca="false">-In_Upfront_Fee*$E91*(BE87=0)*(BE88&gt;0)</f>
        <v>-0</v>
      </c>
      <c r="BF92" s="46" t="n">
        <f aca="false">-In_Upfront_Fee*$E91*(BF87=0)*(BF88&gt;0)</f>
        <v>-0</v>
      </c>
      <c r="BG92" s="46" t="n">
        <f aca="false">-In_Upfront_Fee*$E91*(BG87=0)*(BG88&gt;0)</f>
        <v>-0</v>
      </c>
      <c r="BH92" s="46" t="n">
        <f aca="false">-In_Upfront_Fee*$E91*(BH87=0)*(BH88&gt;0)</f>
        <v>-0</v>
      </c>
      <c r="BI92" s="46" t="n">
        <f aca="false">-In_Upfront_Fee*$E91*(BI87=0)*(BI88&gt;0)</f>
        <v>-0</v>
      </c>
      <c r="BJ92" s="46" t="n">
        <f aca="false">-In_Upfront_Fee*$E91*(BJ87=0)*(BJ88&gt;0)</f>
        <v>-0</v>
      </c>
      <c r="BK92" s="46" t="n">
        <f aca="false">-In_Upfront_Fee*$E91*(BK87=0)*(BK88&gt;0)</f>
        <v>-0</v>
      </c>
      <c r="BL92" s="46" t="n">
        <f aca="false">-In_Upfront_Fee*$E91*(BL87=0)*(BL88&gt;0)</f>
        <v>-0</v>
      </c>
      <c r="BM92" s="46" t="n">
        <f aca="false">-In_Upfront_Fee*$E91*(BM87=0)*(BM88&gt;0)</f>
        <v>-0</v>
      </c>
      <c r="BN92" s="46" t="n">
        <f aca="false">-In_Upfront_Fee*$E91*(BN87=0)*(BN88&gt;0)</f>
        <v>-0</v>
      </c>
      <c r="BO92" s="46" t="n">
        <f aca="false">-In_Upfront_Fee*$E91*(BO87=0)*(BO88&gt;0)</f>
        <v>-0</v>
      </c>
      <c r="BP92" s="46" t="n">
        <f aca="false">-In_Upfront_Fee*$E91*(BP87=0)*(BP88&gt;0)</f>
        <v>-0</v>
      </c>
      <c r="BQ92" s="46" t="n">
        <f aca="false">-In_Upfront_Fee*$E91*(BQ87=0)*(BQ88&gt;0)</f>
        <v>-0</v>
      </c>
      <c r="BR92" s="46" t="n">
        <f aca="false">-In_Upfront_Fee*$E91*(BR87=0)*(BR88&gt;0)</f>
        <v>-0</v>
      </c>
      <c r="BS92" s="46" t="n">
        <f aca="false">-In_Upfront_Fee*$E91*(BS87=0)*(BS88&gt;0)</f>
        <v>-0</v>
      </c>
      <c r="BT92" s="46" t="n">
        <f aca="false">-In_Upfront_Fee*$E91*(BT87=0)*(BT88&gt;0)</f>
        <v>-0</v>
      </c>
      <c r="BU92" s="46" t="n">
        <f aca="false">-In_Upfront_Fee*$E91*(BU87=0)*(BU88&gt;0)</f>
        <v>-0</v>
      </c>
      <c r="BV92" s="46" t="n">
        <f aca="false">-In_Upfront_Fee*$E91*(BV87=0)*(BV88&gt;0)</f>
        <v>-0</v>
      </c>
      <c r="BW92" s="46" t="n">
        <f aca="false">-In_Upfront_Fee*$E91*(BW87=0)*(BW88&gt;0)</f>
        <v>-0</v>
      </c>
      <c r="BX92" s="46" t="n">
        <f aca="false">-In_Upfront_Fee*$E91*(BX87=0)*(BX88&gt;0)</f>
        <v>-0</v>
      </c>
      <c r="BY92" s="46" t="n">
        <f aca="false">-In_Upfront_Fee*$E91*(BY87=0)*(BY88&gt;0)</f>
        <v>-0</v>
      </c>
      <c r="BZ92" s="46" t="n">
        <f aca="false">-In_Upfront_Fee*$E91*(BZ87=0)*(BZ88&gt;0)</f>
        <v>-0</v>
      </c>
      <c r="CA92" s="46" t="n">
        <f aca="false">-In_Upfront_Fee*$E91*(CA87=0)*(CA88&gt;0)</f>
        <v>-0</v>
      </c>
      <c r="CB92" s="46" t="n">
        <f aca="false">-In_Upfront_Fee*$E91*(CB87=0)*(CB88&gt;0)</f>
        <v>-0</v>
      </c>
      <c r="CC92" s="46" t="n">
        <f aca="false">-In_Upfront_Fee*$E91*(CC87=0)*(CC88&gt;0)</f>
        <v>-0</v>
      </c>
      <c r="CD92" s="46" t="n">
        <f aca="false">-In_Upfront_Fee*$E91*(CD87=0)*(CD88&gt;0)</f>
        <v>-0</v>
      </c>
      <c r="CE92" s="46" t="n">
        <f aca="false">-In_Upfront_Fee*$E91*(CE87=0)*(CE88&gt;0)</f>
        <v>-0</v>
      </c>
      <c r="CF92" s="46" t="n">
        <f aca="false">-In_Upfront_Fee*$E91*(CF87=0)*(CF88&gt;0)</f>
        <v>-0</v>
      </c>
      <c r="CG92" s="46" t="n">
        <f aca="false">-In_Upfront_Fee*$E91*(CG87=0)*(CG88&gt;0)</f>
        <v>-0</v>
      </c>
      <c r="CH92" s="46" t="n">
        <f aca="false">-In_Upfront_Fee*$E91*(CH87=0)*(CH88&gt;0)</f>
        <v>-0</v>
      </c>
      <c r="CI92" s="46" t="n">
        <f aca="false">-In_Upfront_Fee*$E91*(CI87=0)*(CI88&gt;0)</f>
        <v>-0</v>
      </c>
      <c r="CJ92" s="46" t="n">
        <f aca="false">-In_Upfront_Fee*$E91*(CJ87=0)*(CJ88&gt;0)</f>
        <v>-0</v>
      </c>
      <c r="CK92" s="46" t="n">
        <f aca="false">-In_Upfront_Fee*$E91*(CK87=0)*(CK88&gt;0)</f>
        <v>-0</v>
      </c>
      <c r="CL92" s="46" t="n">
        <f aca="false">-In_Upfront_Fee*$E91*(CL87=0)*(CL88&gt;0)</f>
        <v>-0</v>
      </c>
      <c r="CM92" s="46" t="n">
        <f aca="false">-In_Upfront_Fee*$E91*(CM87=0)*(CM88&gt;0)</f>
        <v>-0</v>
      </c>
      <c r="CN92" s="46" t="n">
        <f aca="false">-In_Upfront_Fee*$E91*(CN87=0)*(CN88&gt;0)</f>
        <v>-0</v>
      </c>
      <c r="CO92" s="46" t="n">
        <f aca="false">-In_Upfront_Fee*$E91*(CO87=0)*(CO88&gt;0)</f>
        <v>-0</v>
      </c>
      <c r="CP92" s="46" t="n">
        <f aca="false">-In_Upfront_Fee*$E91*(CP87=0)*(CP88&gt;0)</f>
        <v>-0</v>
      </c>
      <c r="CQ92" s="46" t="n">
        <f aca="false">-In_Upfront_Fee*$E91*(CQ87=0)*(CQ88&gt;0)</f>
        <v>-0</v>
      </c>
      <c r="CR92" s="46" t="n">
        <f aca="false">-In_Upfront_Fee*$E91*(CR87=0)*(CR88&gt;0)</f>
        <v>-0</v>
      </c>
      <c r="CS92" s="46" t="n">
        <f aca="false">-In_Upfront_Fee*$E91*(CS87=0)*(CS88&gt;0)</f>
        <v>-0</v>
      </c>
      <c r="CT92" s="46" t="n">
        <f aca="false">-In_Upfront_Fee*$E91*(CT87=0)*(CT88&gt;0)</f>
        <v>-0</v>
      </c>
      <c r="CU92" s="46" t="n">
        <f aca="false">-In_Upfront_Fee*$E91*(CU87=0)*(CU88&gt;0)</f>
        <v>-0</v>
      </c>
      <c r="CV92" s="46" t="n">
        <f aca="false">-In_Upfront_Fee*$E91*(CV87=0)*(CV88&gt;0)</f>
        <v>-0</v>
      </c>
      <c r="CW92" s="46" t="n">
        <f aca="false">-In_Upfront_Fee*$E91*(CW87=0)*(CW88&gt;0)</f>
        <v>-0</v>
      </c>
      <c r="CX92" s="46" t="n">
        <f aca="false">-In_Upfront_Fee*$E91*(CX87=0)*(CX88&gt;0)</f>
        <v>-0</v>
      </c>
      <c r="CY92" s="46" t="n">
        <f aca="false">-In_Upfront_Fee*$E91*(CY87=0)*(CY88&gt;0)</f>
        <v>-0</v>
      </c>
      <c r="CZ92" s="46" t="n">
        <f aca="false">-In_Upfront_Fee*$E91*(CZ87=0)*(CZ88&gt;0)</f>
        <v>-0</v>
      </c>
      <c r="DA92" s="46" t="n">
        <f aca="false">-In_Upfront_Fee*$E91*(DA87=0)*(DA88&gt;0)</f>
        <v>-0</v>
      </c>
      <c r="DB92" s="46" t="n">
        <f aca="false">-In_Upfront_Fee*$E91*(DB87=0)*(DB88&gt;0)</f>
        <v>-0</v>
      </c>
      <c r="DC92" s="46" t="n">
        <f aca="false">-In_Upfront_Fee*$E91*(DC87=0)*(DC88&gt;0)</f>
        <v>-0</v>
      </c>
      <c r="DD92" s="46" t="n">
        <f aca="false">-In_Upfront_Fee*$E91*(DD87=0)*(DD88&gt;0)</f>
        <v>-0</v>
      </c>
      <c r="DE92" s="46" t="n">
        <f aca="false">-In_Upfront_Fee*$E91*(DE87=0)*(DE88&gt;0)</f>
        <v>-0</v>
      </c>
      <c r="DF92" s="46" t="n">
        <f aca="false">-In_Upfront_Fee*$E91*(DF87=0)*(DF88&gt;0)</f>
        <v>-0</v>
      </c>
      <c r="DG92" s="46" t="n">
        <f aca="false">-In_Upfront_Fee*$E91*(DG87=0)*(DG88&gt;0)</f>
        <v>-0</v>
      </c>
      <c r="DH92" s="46" t="n">
        <f aca="false">-In_Upfront_Fee*$E91*(DH87=0)*(DH88&gt;0)</f>
        <v>-0</v>
      </c>
      <c r="DI92" s="46" t="n">
        <f aca="false">-In_Upfront_Fee*$E91*(DI87=0)*(DI88&gt;0)</f>
        <v>-0</v>
      </c>
      <c r="DJ92" s="46" t="n">
        <f aca="false">-In_Upfront_Fee*$E91*(DJ87=0)*(DJ88&gt;0)</f>
        <v>-0</v>
      </c>
      <c r="DK92" s="46" t="n">
        <f aca="false">-In_Upfront_Fee*$E91*(DK87=0)*(DK88&gt;0)</f>
        <v>-0</v>
      </c>
      <c r="DL92" s="46" t="n">
        <f aca="false">-In_Upfront_Fee*$E91*(DL87=0)*(DL88&gt;0)</f>
        <v>-0</v>
      </c>
      <c r="DM92" s="46" t="n">
        <f aca="false">-In_Upfront_Fee*$E91*(DM87=0)*(DM88&gt;0)</f>
        <v>-0</v>
      </c>
      <c r="DN92" s="46" t="n">
        <f aca="false">-In_Upfront_Fee*$E91*(DN87=0)*(DN88&gt;0)</f>
        <v>-0</v>
      </c>
      <c r="DO92" s="46" t="n">
        <f aca="false">-In_Upfront_Fee*$E91*(DO87=0)*(DO88&gt;0)</f>
        <v>-0</v>
      </c>
      <c r="DP92" s="46" t="n">
        <f aca="false">-In_Upfront_Fee*$E91*(DP87=0)*(DP88&gt;0)</f>
        <v>-0</v>
      </c>
      <c r="DQ92" s="46" t="n">
        <f aca="false">-In_Upfront_Fee*$E91*(DQ87=0)*(DQ88&gt;0)</f>
        <v>-0</v>
      </c>
      <c r="DR92" s="46" t="n">
        <f aca="false">-In_Upfront_Fee*$E91*(DR87=0)*(DR88&gt;0)</f>
        <v>-0</v>
      </c>
      <c r="DS92" s="46" t="n">
        <f aca="false">-In_Upfront_Fee*$E91*(DS87=0)*(DS88&gt;0)</f>
        <v>-0</v>
      </c>
      <c r="DT92" s="46" t="n">
        <f aca="false">-In_Upfront_Fee*$E91*(DT87=0)*(DT88&gt;0)</f>
        <v>-0</v>
      </c>
      <c r="DU92" s="46" t="n">
        <f aca="false">-In_Upfront_Fee*$E91*(DU87=0)*(DU88&gt;0)</f>
        <v>-0</v>
      </c>
      <c r="DV92" s="46" t="n">
        <f aca="false">-In_Upfront_Fee*$E91*(DV87=0)*(DV88&gt;0)</f>
        <v>-0</v>
      </c>
      <c r="DW92" s="46" t="n">
        <f aca="false">-In_Upfront_Fee*$E91*(DW87=0)*(DW88&gt;0)</f>
        <v>-0</v>
      </c>
      <c r="DX92" s="46" t="n">
        <f aca="false">-In_Upfront_Fee*$E91*(DX87=0)*(DX88&gt;0)</f>
        <v>-0</v>
      </c>
      <c r="DY92" s="46" t="n">
        <f aca="false">-In_Upfront_Fee*$E91*(DY87=0)*(DY88&gt;0)</f>
        <v>-0</v>
      </c>
      <c r="DZ92" s="46" t="n">
        <f aca="false">-In_Upfront_Fee*$E91*(DZ87=0)*(DZ88&gt;0)</f>
        <v>-0</v>
      </c>
      <c r="EA92" s="46" t="n">
        <f aca="false">-In_Upfront_Fee*$E91*(EA87=0)*(EA88&gt;0)</f>
        <v>-0</v>
      </c>
      <c r="EB92" s="46" t="n">
        <f aca="false">-In_Upfront_Fee*$E91*(EB87=0)*(EB88&gt;0)</f>
        <v>-0</v>
      </c>
      <c r="EC92" s="46" t="n">
        <f aca="false">-In_Upfront_Fee*$E91*(EC87=0)*(EC88&gt;0)</f>
        <v>-0</v>
      </c>
      <c r="ED92" s="46" t="n">
        <f aca="false">-In_Upfront_Fee*$E91*(ED87=0)*(ED88&gt;0)</f>
        <v>-0</v>
      </c>
      <c r="EE92" s="46" t="n">
        <f aca="false">-In_Upfront_Fee*$E91*(EE87=0)*(EE88&gt;0)</f>
        <v>-0</v>
      </c>
      <c r="EF92" s="46" t="n">
        <f aca="false">-In_Upfront_Fee*$E91*(EF87=0)*(EF88&gt;0)</f>
        <v>-0</v>
      </c>
      <c r="EG92" s="46" t="n">
        <f aca="false">-In_Upfront_Fee*$E91*(EG87=0)*(EG88&gt;0)</f>
        <v>-0</v>
      </c>
      <c r="EH92" s="46" t="n">
        <f aca="false">-In_Upfront_Fee*$E91*(EH87=0)*(EH88&gt;0)</f>
        <v>-0</v>
      </c>
      <c r="EI92" s="46" t="n">
        <f aca="false">-In_Upfront_Fee*$E91*(EI87=0)*(EI88&gt;0)</f>
        <v>-0</v>
      </c>
      <c r="EJ92" s="46" t="n">
        <f aca="false">-In_Upfront_Fee*$E91*(EJ87=0)*(EJ88&gt;0)</f>
        <v>-0</v>
      </c>
      <c r="EK92" s="46" t="n">
        <f aca="false">-In_Upfront_Fee*$E91*(EK87=0)*(EK88&gt;0)</f>
        <v>-0</v>
      </c>
      <c r="EL92" s="46" t="n">
        <f aca="false">-In_Upfront_Fee*$E91*(EL87=0)*(EL88&gt;0)</f>
        <v>-0</v>
      </c>
      <c r="EM92" s="46" t="n">
        <f aca="false">-In_Upfront_Fee*$E91*(EM87=0)*(EM88&gt;0)</f>
        <v>-0</v>
      </c>
      <c r="EN92" s="46" t="n">
        <f aca="false">-In_Upfront_Fee*$E91*(EN87=0)*(EN88&gt;0)</f>
        <v>-0</v>
      </c>
      <c r="EO92" s="46" t="n">
        <f aca="false">-In_Upfront_Fee*$E91*(EO87=0)*(EO88&gt;0)</f>
        <v>-0</v>
      </c>
    </row>
    <row r="93" customFormat="false" ht="15" hidden="false" customHeight="false" outlineLevel="0" collapsed="false">
      <c r="C93" s="0" t="s">
        <v>418</v>
      </c>
      <c r="D93" s="11" t="s">
        <v>33</v>
      </c>
      <c r="I93" s="46" t="n">
        <f aca="false">SUM(J93:EO93)</f>
        <v>-603.267091830963</v>
      </c>
      <c r="J93" s="46" t="n">
        <f aca="false">-In_Commitment_Fee*($I88-SUM($J88:J88)+J88)*J$6*(J12&gt;0)</f>
        <v>-0</v>
      </c>
      <c r="K93" s="46" t="n">
        <f aca="false">-In_Commitment_Fee*($I88-SUM($J88:K88)+K88)*K$6*(K12&gt;0)</f>
        <v>-0</v>
      </c>
      <c r="L93" s="46" t="n">
        <f aca="false">-In_Commitment_Fee*($I88-SUM($J88:L88)+L88)*L$6*(L12&gt;0)</f>
        <v>-0</v>
      </c>
      <c r="M93" s="46" t="n">
        <f aca="false">-In_Commitment_Fee*($I88-SUM($J88:M88)+M88)*M$6*(M12&gt;0)</f>
        <v>-0</v>
      </c>
      <c r="N93" s="46" t="n">
        <f aca="false">-In_Commitment_Fee*($I88-SUM($J88:N88)+N88)*N$6*(N12&gt;0)</f>
        <v>-0</v>
      </c>
      <c r="O93" s="46" t="n">
        <f aca="false">-In_Commitment_Fee*($I88-SUM($J88:O88)+O88)*O$6*(O12&gt;0)</f>
        <v>-0</v>
      </c>
      <c r="P93" s="46" t="n">
        <f aca="false">-In_Commitment_Fee*($I88-SUM($J88:P88)+P88)*P$6*(P12&gt;0)</f>
        <v>-0</v>
      </c>
      <c r="Q93" s="46" t="n">
        <f aca="false">-In_Commitment_Fee*($I88-SUM($J88:Q88)+Q88)*Q$6*(Q12&gt;0)</f>
        <v>-0</v>
      </c>
      <c r="R93" s="46" t="n">
        <f aca="false">-In_Commitment_Fee*($I88-SUM($J88:R88)+R88)*R$6*(R12&gt;0)</f>
        <v>-140.929816041133</v>
      </c>
      <c r="S93" s="46" t="n">
        <f aca="false">-In_Commitment_Fee*($I88-SUM($J88:S88)+S88)*S$6*(S12&gt;0)</f>
        <v>-122.70733842447</v>
      </c>
      <c r="T93" s="46" t="n">
        <f aca="false">-In_Commitment_Fee*($I88-SUM($J88:T88)+T88)*T$6*(T12&gt;0)</f>
        <v>-94.438270639895</v>
      </c>
      <c r="U93" s="46" t="n">
        <f aca="false">-In_Commitment_Fee*($I88-SUM($J88:U88)+U88)*U$6*(U12&gt;0)</f>
        <v>-80.1488369149935</v>
      </c>
      <c r="V93" s="46" t="n">
        <f aca="false">-In_Commitment_Fee*($I88-SUM($J88:V88)+V88)*V$6*(V12&gt;0)</f>
        <v>-64.6531890410959</v>
      </c>
      <c r="W93" s="46" t="n">
        <f aca="false">-In_Commitment_Fee*($I88-SUM($J88:W88)+W88)*W$6*(W12&gt;0)</f>
        <v>-48.0888989679114</v>
      </c>
      <c r="X93" s="46" t="n">
        <f aca="false">-In_Commitment_Fee*($I88-SUM($J88:X88)+X88)*X$6*(X12&gt;0)</f>
        <v>-33.6292035166073</v>
      </c>
      <c r="Y93" s="46" t="n">
        <f aca="false">-In_Commitment_Fee*($I88-SUM($J88:Y88)+Y88)*Y$6*(Y12&gt;0)</f>
        <v>-18.6715382848565</v>
      </c>
      <c r="Z93" s="46" t="n">
        <f aca="false">-In_Commitment_Fee*($I88-SUM($J88:Z88)+Z88)*Z$6*(Z12&gt;0)</f>
        <v>-0</v>
      </c>
      <c r="AA93" s="46" t="n">
        <f aca="false">-In_Commitment_Fee*($I88-SUM($J88:AA88)+AA88)*AA$6*(AA12&gt;0)</f>
        <v>-0</v>
      </c>
      <c r="AB93" s="46" t="n">
        <f aca="false">-In_Commitment_Fee*($I88-SUM($J88:AB88)+AB88)*AB$6*(AB12&gt;0)</f>
        <v>-0</v>
      </c>
      <c r="AC93" s="46" t="n">
        <f aca="false">-In_Commitment_Fee*($I88-SUM($J88:AC88)+AC88)*AC$6*(AC12&gt;0)</f>
        <v>-0</v>
      </c>
      <c r="AD93" s="46" t="n">
        <f aca="false">-In_Commitment_Fee*($I88-SUM($J88:AD88)+AD88)*AD$6*(AD12&gt;0)</f>
        <v>-0</v>
      </c>
      <c r="AE93" s="46" t="n">
        <f aca="false">-In_Commitment_Fee*($I88-SUM($J88:AE88)+AE88)*AE$6*(AE12&gt;0)</f>
        <v>-0</v>
      </c>
      <c r="AF93" s="46" t="n">
        <f aca="false">-In_Commitment_Fee*($I88-SUM($J88:AF88)+AF88)*AF$6*(AF12&gt;0)</f>
        <v>-0</v>
      </c>
      <c r="AG93" s="46" t="n">
        <f aca="false">-In_Commitment_Fee*($I88-SUM($J88:AG88)+AG88)*AG$6*(AG12&gt;0)</f>
        <v>-0</v>
      </c>
      <c r="AH93" s="46" t="n">
        <f aca="false">-In_Commitment_Fee*($I88-SUM($J88:AH88)+AH88)*AH$6*(AH12&gt;0)</f>
        <v>-0</v>
      </c>
      <c r="AI93" s="46" t="n">
        <f aca="false">-In_Commitment_Fee*($I88-SUM($J88:AI88)+AI88)*AI$6*(AI12&gt;0)</f>
        <v>-0</v>
      </c>
      <c r="AJ93" s="46" t="n">
        <f aca="false">-In_Commitment_Fee*($I88-SUM($J88:AJ88)+AJ88)*AJ$6*(AJ12&gt;0)</f>
        <v>-0</v>
      </c>
      <c r="AK93" s="46" t="n">
        <f aca="false">-In_Commitment_Fee*($I88-SUM($J88:AK88)+AK88)*AK$6*(AK12&gt;0)</f>
        <v>-0</v>
      </c>
      <c r="AL93" s="46" t="n">
        <f aca="false">-In_Commitment_Fee*($I88-SUM($J88:AL88)+AL88)*AL$6*(AL12&gt;0)</f>
        <v>-0</v>
      </c>
      <c r="AM93" s="46" t="n">
        <f aca="false">-In_Commitment_Fee*($I88-SUM($J88:AM88)+AM88)*AM$6*(AM12&gt;0)</f>
        <v>-0</v>
      </c>
      <c r="AN93" s="46" t="n">
        <f aca="false">-In_Commitment_Fee*($I88-SUM($J88:AN88)+AN88)*AN$6*(AN12&gt;0)</f>
        <v>-0</v>
      </c>
      <c r="AO93" s="46" t="n">
        <f aca="false">-In_Commitment_Fee*($I88-SUM($J88:AO88)+AO88)*AO$6*(AO12&gt;0)</f>
        <v>-0</v>
      </c>
      <c r="AP93" s="46" t="n">
        <f aca="false">-In_Commitment_Fee*($I88-SUM($J88:AP88)+AP88)*AP$6*(AP12&gt;0)</f>
        <v>-0</v>
      </c>
      <c r="AQ93" s="46" t="n">
        <f aca="false">-In_Commitment_Fee*($I88-SUM($J88:AQ88)+AQ88)*AQ$6*(AQ12&gt;0)</f>
        <v>-0</v>
      </c>
      <c r="AR93" s="46" t="n">
        <f aca="false">-In_Commitment_Fee*($I88-SUM($J88:AR88)+AR88)*AR$6*(AR12&gt;0)</f>
        <v>-0</v>
      </c>
      <c r="AS93" s="46" t="n">
        <f aca="false">-In_Commitment_Fee*($I88-SUM($J88:AS88)+AS88)*AS$6*(AS12&gt;0)</f>
        <v>-0</v>
      </c>
      <c r="AT93" s="46" t="n">
        <f aca="false">-In_Commitment_Fee*($I88-SUM($J88:AT88)+AT88)*AT$6*(AT12&gt;0)</f>
        <v>-0</v>
      </c>
      <c r="AU93" s="46" t="n">
        <f aca="false">-In_Commitment_Fee*($I88-SUM($J88:AU88)+AU88)*AU$6*(AU12&gt;0)</f>
        <v>-0</v>
      </c>
      <c r="AV93" s="46" t="n">
        <f aca="false">-In_Commitment_Fee*($I88-SUM($J88:AV88)+AV88)*AV$6*(AV12&gt;0)</f>
        <v>-0</v>
      </c>
      <c r="AW93" s="46" t="n">
        <f aca="false">-In_Commitment_Fee*($I88-SUM($J88:AW88)+AW88)*AW$6*(AW12&gt;0)</f>
        <v>-0</v>
      </c>
      <c r="AX93" s="46" t="n">
        <f aca="false">-In_Commitment_Fee*($I88-SUM($J88:AX88)+AX88)*AX$6*(AX12&gt;0)</f>
        <v>-0</v>
      </c>
      <c r="AY93" s="46" t="n">
        <f aca="false">-In_Commitment_Fee*($I88-SUM($J88:AY88)+AY88)*AY$6*(AY12&gt;0)</f>
        <v>-0</v>
      </c>
      <c r="AZ93" s="46" t="n">
        <f aca="false">-In_Commitment_Fee*($I88-SUM($J88:AZ88)+AZ88)*AZ$6*(AZ12&gt;0)</f>
        <v>-0</v>
      </c>
      <c r="BA93" s="46" t="n">
        <f aca="false">-In_Commitment_Fee*($I88-SUM($J88:BA88)+BA88)*BA$6*(BA12&gt;0)</f>
        <v>-0</v>
      </c>
      <c r="BB93" s="46" t="n">
        <f aca="false">-In_Commitment_Fee*($I88-SUM($J88:BB88)+BB88)*BB$6*(BB12&gt;0)</f>
        <v>-0</v>
      </c>
      <c r="BC93" s="46" t="n">
        <f aca="false">-In_Commitment_Fee*($I88-SUM($J88:BC88)+BC88)*BC$6*(BC12&gt;0)</f>
        <v>-0</v>
      </c>
      <c r="BD93" s="46" t="n">
        <f aca="false">-In_Commitment_Fee*($I88-SUM($J88:BD88)+BD88)*BD$6*(BD12&gt;0)</f>
        <v>-0</v>
      </c>
      <c r="BE93" s="46" t="n">
        <f aca="false">-In_Commitment_Fee*($I88-SUM($J88:BE88)+BE88)*BE$6*(BE12&gt;0)</f>
        <v>-0</v>
      </c>
      <c r="BF93" s="46" t="n">
        <f aca="false">-In_Commitment_Fee*($I88-SUM($J88:BF88)+BF88)*BF$6*(BF12&gt;0)</f>
        <v>-0</v>
      </c>
      <c r="BG93" s="46" t="n">
        <f aca="false">-In_Commitment_Fee*($I88-SUM($J88:BG88)+BG88)*BG$6*(BG12&gt;0)</f>
        <v>-0</v>
      </c>
      <c r="BH93" s="46" t="n">
        <f aca="false">-In_Commitment_Fee*($I88-SUM($J88:BH88)+BH88)*BH$6*(BH12&gt;0)</f>
        <v>-0</v>
      </c>
      <c r="BI93" s="46" t="n">
        <f aca="false">-In_Commitment_Fee*($I88-SUM($J88:BI88)+BI88)*BI$6*(BI12&gt;0)</f>
        <v>-0</v>
      </c>
      <c r="BJ93" s="46" t="n">
        <f aca="false">-In_Commitment_Fee*($I88-SUM($J88:BJ88)+BJ88)*BJ$6*(BJ12&gt;0)</f>
        <v>-0</v>
      </c>
      <c r="BK93" s="46" t="n">
        <f aca="false">-In_Commitment_Fee*($I88-SUM($J88:BK88)+BK88)*BK$6*(BK12&gt;0)</f>
        <v>-0</v>
      </c>
      <c r="BL93" s="46" t="n">
        <f aca="false">-In_Commitment_Fee*($I88-SUM($J88:BL88)+BL88)*BL$6*(BL12&gt;0)</f>
        <v>-0</v>
      </c>
      <c r="BM93" s="46" t="n">
        <f aca="false">-In_Commitment_Fee*($I88-SUM($J88:BM88)+BM88)*BM$6*(BM12&gt;0)</f>
        <v>-0</v>
      </c>
      <c r="BN93" s="46" t="n">
        <f aca="false">-In_Commitment_Fee*($I88-SUM($J88:BN88)+BN88)*BN$6*(BN12&gt;0)</f>
        <v>-0</v>
      </c>
      <c r="BO93" s="46" t="n">
        <f aca="false">-In_Commitment_Fee*($I88-SUM($J88:BO88)+BO88)*BO$6*(BO12&gt;0)</f>
        <v>-0</v>
      </c>
      <c r="BP93" s="46" t="n">
        <f aca="false">-In_Commitment_Fee*($I88-SUM($J88:BP88)+BP88)*BP$6*(BP12&gt;0)</f>
        <v>-0</v>
      </c>
      <c r="BQ93" s="46" t="n">
        <f aca="false">-In_Commitment_Fee*($I88-SUM($J88:BQ88)+BQ88)*BQ$6*(BQ12&gt;0)</f>
        <v>-0</v>
      </c>
      <c r="BR93" s="46" t="n">
        <f aca="false">-In_Commitment_Fee*($I88-SUM($J88:BR88)+BR88)*BR$6*(BR12&gt;0)</f>
        <v>-0</v>
      </c>
      <c r="BS93" s="46" t="n">
        <f aca="false">-In_Commitment_Fee*($I88-SUM($J88:BS88)+BS88)*BS$6*(BS12&gt;0)</f>
        <v>-0</v>
      </c>
      <c r="BT93" s="46" t="n">
        <f aca="false">-In_Commitment_Fee*($I88-SUM($J88:BT88)+BT88)*BT$6*(BT12&gt;0)</f>
        <v>-0</v>
      </c>
      <c r="BU93" s="46" t="n">
        <f aca="false">-In_Commitment_Fee*($I88-SUM($J88:BU88)+BU88)*BU$6*(BU12&gt;0)</f>
        <v>-0</v>
      </c>
      <c r="BV93" s="46" t="n">
        <f aca="false">-In_Commitment_Fee*($I88-SUM($J88:BV88)+BV88)*BV$6*(BV12&gt;0)</f>
        <v>-0</v>
      </c>
      <c r="BW93" s="46" t="n">
        <f aca="false">-In_Commitment_Fee*($I88-SUM($J88:BW88)+BW88)*BW$6*(BW12&gt;0)</f>
        <v>-0</v>
      </c>
      <c r="BX93" s="46" t="n">
        <f aca="false">-In_Commitment_Fee*($I88-SUM($J88:BX88)+BX88)*BX$6*(BX12&gt;0)</f>
        <v>-0</v>
      </c>
      <c r="BY93" s="46" t="n">
        <f aca="false">-In_Commitment_Fee*($I88-SUM($J88:BY88)+BY88)*BY$6*(BY12&gt;0)</f>
        <v>-0</v>
      </c>
      <c r="BZ93" s="46" t="n">
        <f aca="false">-In_Commitment_Fee*($I88-SUM($J88:BZ88)+BZ88)*BZ$6*(BZ12&gt;0)</f>
        <v>-0</v>
      </c>
      <c r="CA93" s="46" t="n">
        <f aca="false">-In_Commitment_Fee*($I88-SUM($J88:CA88)+CA88)*CA$6*(CA12&gt;0)</f>
        <v>-0</v>
      </c>
      <c r="CB93" s="46" t="n">
        <f aca="false">-In_Commitment_Fee*($I88-SUM($J88:CB88)+CB88)*CB$6*(CB12&gt;0)</f>
        <v>-0</v>
      </c>
      <c r="CC93" s="46" t="n">
        <f aca="false">-In_Commitment_Fee*($I88-SUM($J88:CC88)+CC88)*CC$6*(CC12&gt;0)</f>
        <v>-0</v>
      </c>
      <c r="CD93" s="46" t="n">
        <f aca="false">-In_Commitment_Fee*($I88-SUM($J88:CD88)+CD88)*CD$6*(CD12&gt;0)</f>
        <v>-0</v>
      </c>
      <c r="CE93" s="46" t="n">
        <f aca="false">-In_Commitment_Fee*($I88-SUM($J88:CE88)+CE88)*CE$6*(CE12&gt;0)</f>
        <v>-0</v>
      </c>
      <c r="CF93" s="46" t="n">
        <f aca="false">-In_Commitment_Fee*($I88-SUM($J88:CF88)+CF88)*CF$6*(CF12&gt;0)</f>
        <v>-0</v>
      </c>
      <c r="CG93" s="46" t="n">
        <f aca="false">-In_Commitment_Fee*($I88-SUM($J88:CG88)+CG88)*CG$6*(CG12&gt;0)</f>
        <v>-0</v>
      </c>
      <c r="CH93" s="46" t="n">
        <f aca="false">-In_Commitment_Fee*($I88-SUM($J88:CH88)+CH88)*CH$6*(CH12&gt;0)</f>
        <v>-0</v>
      </c>
      <c r="CI93" s="46" t="n">
        <f aca="false">-In_Commitment_Fee*($I88-SUM($J88:CI88)+CI88)*CI$6*(CI12&gt;0)</f>
        <v>-0</v>
      </c>
      <c r="CJ93" s="46" t="n">
        <f aca="false">-In_Commitment_Fee*($I88-SUM($J88:CJ88)+CJ88)*CJ$6*(CJ12&gt;0)</f>
        <v>-0</v>
      </c>
      <c r="CK93" s="46" t="n">
        <f aca="false">-In_Commitment_Fee*($I88-SUM($J88:CK88)+CK88)*CK$6*(CK12&gt;0)</f>
        <v>-0</v>
      </c>
      <c r="CL93" s="46" t="n">
        <f aca="false">-In_Commitment_Fee*($I88-SUM($J88:CL88)+CL88)*CL$6*(CL12&gt;0)</f>
        <v>-0</v>
      </c>
      <c r="CM93" s="46" t="n">
        <f aca="false">-In_Commitment_Fee*($I88-SUM($J88:CM88)+CM88)*CM$6*(CM12&gt;0)</f>
        <v>-0</v>
      </c>
      <c r="CN93" s="46" t="n">
        <f aca="false">-In_Commitment_Fee*($I88-SUM($J88:CN88)+CN88)*CN$6*(CN12&gt;0)</f>
        <v>-0</v>
      </c>
      <c r="CO93" s="46" t="n">
        <f aca="false">-In_Commitment_Fee*($I88-SUM($J88:CO88)+CO88)*CO$6*(CO12&gt;0)</f>
        <v>-0</v>
      </c>
      <c r="CP93" s="46" t="n">
        <f aca="false">-In_Commitment_Fee*($I88-SUM($J88:CP88)+CP88)*CP$6*(CP12&gt;0)</f>
        <v>-0</v>
      </c>
      <c r="CQ93" s="46" t="n">
        <f aca="false">-In_Commitment_Fee*($I88-SUM($J88:CQ88)+CQ88)*CQ$6*(CQ12&gt;0)</f>
        <v>-0</v>
      </c>
      <c r="CR93" s="46" t="n">
        <f aca="false">-In_Commitment_Fee*($I88-SUM($J88:CR88)+CR88)*CR$6*(CR12&gt;0)</f>
        <v>-0</v>
      </c>
      <c r="CS93" s="46" t="n">
        <f aca="false">-In_Commitment_Fee*($I88-SUM($J88:CS88)+CS88)*CS$6*(CS12&gt;0)</f>
        <v>-0</v>
      </c>
      <c r="CT93" s="46" t="n">
        <f aca="false">-In_Commitment_Fee*($I88-SUM($J88:CT88)+CT88)*CT$6*(CT12&gt;0)</f>
        <v>-0</v>
      </c>
      <c r="CU93" s="46" t="n">
        <f aca="false">-In_Commitment_Fee*($I88-SUM($J88:CU88)+CU88)*CU$6*(CU12&gt;0)</f>
        <v>-0</v>
      </c>
      <c r="CV93" s="46" t="n">
        <f aca="false">-In_Commitment_Fee*($I88-SUM($J88:CV88)+CV88)*CV$6*(CV12&gt;0)</f>
        <v>-0</v>
      </c>
      <c r="CW93" s="46" t="n">
        <f aca="false">-In_Commitment_Fee*($I88-SUM($J88:CW88)+CW88)*CW$6*(CW12&gt;0)</f>
        <v>-0</v>
      </c>
      <c r="CX93" s="46" t="n">
        <f aca="false">-In_Commitment_Fee*($I88-SUM($J88:CX88)+CX88)*CX$6*(CX12&gt;0)</f>
        <v>-0</v>
      </c>
      <c r="CY93" s="46" t="n">
        <f aca="false">-In_Commitment_Fee*($I88-SUM($J88:CY88)+CY88)*CY$6*(CY12&gt;0)</f>
        <v>-0</v>
      </c>
      <c r="CZ93" s="46" t="n">
        <f aca="false">-In_Commitment_Fee*($I88-SUM($J88:CZ88)+CZ88)*CZ$6*(CZ12&gt;0)</f>
        <v>-0</v>
      </c>
      <c r="DA93" s="46" t="n">
        <f aca="false">-In_Commitment_Fee*($I88-SUM($J88:DA88)+DA88)*DA$6*(DA12&gt;0)</f>
        <v>-0</v>
      </c>
      <c r="DB93" s="46" t="n">
        <f aca="false">-In_Commitment_Fee*($I88-SUM($J88:DB88)+DB88)*DB$6*(DB12&gt;0)</f>
        <v>-0</v>
      </c>
      <c r="DC93" s="46" t="n">
        <f aca="false">-In_Commitment_Fee*($I88-SUM($J88:DC88)+DC88)*DC$6*(DC12&gt;0)</f>
        <v>-0</v>
      </c>
      <c r="DD93" s="46" t="n">
        <f aca="false">-In_Commitment_Fee*($I88-SUM($J88:DD88)+DD88)*DD$6*(DD12&gt;0)</f>
        <v>-0</v>
      </c>
      <c r="DE93" s="46" t="n">
        <f aca="false">-In_Commitment_Fee*($I88-SUM($J88:DE88)+DE88)*DE$6*(DE12&gt;0)</f>
        <v>-0</v>
      </c>
      <c r="DF93" s="46" t="n">
        <f aca="false">-In_Commitment_Fee*($I88-SUM($J88:DF88)+DF88)*DF$6*(DF12&gt;0)</f>
        <v>-0</v>
      </c>
      <c r="DG93" s="46" t="n">
        <f aca="false">-In_Commitment_Fee*($I88-SUM($J88:DG88)+DG88)*DG$6*(DG12&gt;0)</f>
        <v>-0</v>
      </c>
      <c r="DH93" s="46" t="n">
        <f aca="false">-In_Commitment_Fee*($I88-SUM($J88:DH88)+DH88)*DH$6*(DH12&gt;0)</f>
        <v>-0</v>
      </c>
      <c r="DI93" s="46" t="n">
        <f aca="false">-In_Commitment_Fee*($I88-SUM($J88:DI88)+DI88)*DI$6*(DI12&gt;0)</f>
        <v>-0</v>
      </c>
      <c r="DJ93" s="46" t="n">
        <f aca="false">-In_Commitment_Fee*($I88-SUM($J88:DJ88)+DJ88)*DJ$6*(DJ12&gt;0)</f>
        <v>-0</v>
      </c>
      <c r="DK93" s="46" t="n">
        <f aca="false">-In_Commitment_Fee*($I88-SUM($J88:DK88)+DK88)*DK$6*(DK12&gt;0)</f>
        <v>-0</v>
      </c>
      <c r="DL93" s="46" t="n">
        <f aca="false">-In_Commitment_Fee*($I88-SUM($J88:DL88)+DL88)*DL$6*(DL12&gt;0)</f>
        <v>-0</v>
      </c>
      <c r="DM93" s="46" t="n">
        <f aca="false">-In_Commitment_Fee*($I88-SUM($J88:DM88)+DM88)*DM$6*(DM12&gt;0)</f>
        <v>-0</v>
      </c>
      <c r="DN93" s="46" t="n">
        <f aca="false">-In_Commitment_Fee*($I88-SUM($J88:DN88)+DN88)*DN$6*(DN12&gt;0)</f>
        <v>-0</v>
      </c>
      <c r="DO93" s="46" t="n">
        <f aca="false">-In_Commitment_Fee*($I88-SUM($J88:DO88)+DO88)*DO$6*(DO12&gt;0)</f>
        <v>-0</v>
      </c>
      <c r="DP93" s="46" t="n">
        <f aca="false">-In_Commitment_Fee*($I88-SUM($J88:DP88)+DP88)*DP$6*(DP12&gt;0)</f>
        <v>-0</v>
      </c>
      <c r="DQ93" s="46" t="n">
        <f aca="false">-In_Commitment_Fee*($I88-SUM($J88:DQ88)+DQ88)*DQ$6*(DQ12&gt;0)</f>
        <v>-0</v>
      </c>
      <c r="DR93" s="46" t="n">
        <f aca="false">-In_Commitment_Fee*($I88-SUM($J88:DR88)+DR88)*DR$6*(DR12&gt;0)</f>
        <v>-0</v>
      </c>
      <c r="DS93" s="46" t="n">
        <f aca="false">-In_Commitment_Fee*($I88-SUM($J88:DS88)+DS88)*DS$6*(DS12&gt;0)</f>
        <v>-0</v>
      </c>
      <c r="DT93" s="46" t="n">
        <f aca="false">-In_Commitment_Fee*($I88-SUM($J88:DT88)+DT88)*DT$6*(DT12&gt;0)</f>
        <v>-0</v>
      </c>
      <c r="DU93" s="46" t="n">
        <f aca="false">-In_Commitment_Fee*($I88-SUM($J88:DU88)+DU88)*DU$6*(DU12&gt;0)</f>
        <v>-0</v>
      </c>
      <c r="DV93" s="46" t="n">
        <f aca="false">-In_Commitment_Fee*($I88-SUM($J88:DV88)+DV88)*DV$6*(DV12&gt;0)</f>
        <v>-0</v>
      </c>
      <c r="DW93" s="46" t="n">
        <f aca="false">-In_Commitment_Fee*($I88-SUM($J88:DW88)+DW88)*DW$6*(DW12&gt;0)</f>
        <v>-0</v>
      </c>
      <c r="DX93" s="46" t="n">
        <f aca="false">-In_Commitment_Fee*($I88-SUM($J88:DX88)+DX88)*DX$6*(DX12&gt;0)</f>
        <v>-0</v>
      </c>
      <c r="DY93" s="46" t="n">
        <f aca="false">-In_Commitment_Fee*($I88-SUM($J88:DY88)+DY88)*DY$6*(DY12&gt;0)</f>
        <v>-0</v>
      </c>
      <c r="DZ93" s="46" t="n">
        <f aca="false">-In_Commitment_Fee*($I88-SUM($J88:DZ88)+DZ88)*DZ$6*(DZ12&gt;0)</f>
        <v>-0</v>
      </c>
      <c r="EA93" s="46" t="n">
        <f aca="false">-In_Commitment_Fee*($I88-SUM($J88:EA88)+EA88)*EA$6*(EA12&gt;0)</f>
        <v>-0</v>
      </c>
      <c r="EB93" s="46" t="n">
        <f aca="false">-In_Commitment_Fee*($I88-SUM($J88:EB88)+EB88)*EB$6*(EB12&gt;0)</f>
        <v>-0</v>
      </c>
      <c r="EC93" s="46" t="n">
        <f aca="false">-In_Commitment_Fee*($I88-SUM($J88:EC88)+EC88)*EC$6*(EC12&gt;0)</f>
        <v>-0</v>
      </c>
      <c r="ED93" s="46" t="n">
        <f aca="false">-In_Commitment_Fee*($I88-SUM($J88:ED88)+ED88)*ED$6*(ED12&gt;0)</f>
        <v>-0</v>
      </c>
      <c r="EE93" s="46" t="n">
        <f aca="false">-In_Commitment_Fee*($I88-SUM($J88:EE88)+EE88)*EE$6*(EE12&gt;0)</f>
        <v>-0</v>
      </c>
      <c r="EF93" s="46" t="n">
        <f aca="false">-In_Commitment_Fee*($I88-SUM($J88:EF88)+EF88)*EF$6*(EF12&gt;0)</f>
        <v>-0</v>
      </c>
      <c r="EG93" s="46" t="n">
        <f aca="false">-In_Commitment_Fee*($I88-SUM($J88:EG88)+EG88)*EG$6*(EG12&gt;0)</f>
        <v>-0</v>
      </c>
      <c r="EH93" s="46" t="n">
        <f aca="false">-In_Commitment_Fee*($I88-SUM($J88:EH88)+EH88)*EH$6*(EH12&gt;0)</f>
        <v>-0</v>
      </c>
      <c r="EI93" s="46" t="n">
        <f aca="false">-In_Commitment_Fee*($I88-SUM($J88:EI88)+EI88)*EI$6*(EI12&gt;0)</f>
        <v>-0</v>
      </c>
      <c r="EJ93" s="46" t="n">
        <f aca="false">-In_Commitment_Fee*($I88-SUM($J88:EJ88)+EJ88)*EJ$6*(EJ12&gt;0)</f>
        <v>-0</v>
      </c>
      <c r="EK93" s="46" t="n">
        <f aca="false">-In_Commitment_Fee*($I88-SUM($J88:EK88)+EK88)*EK$6*(EK12&gt;0)</f>
        <v>-0</v>
      </c>
      <c r="EL93" s="46" t="n">
        <f aca="false">-In_Commitment_Fee*($I88-SUM($J88:EL88)+EL88)*EL$6*(EL12&gt;0)</f>
        <v>-0</v>
      </c>
      <c r="EM93" s="46" t="n">
        <f aca="false">-In_Commitment_Fee*($I88-SUM($J88:EM88)+EM88)*EM$6*(EM12&gt;0)</f>
        <v>-0</v>
      </c>
      <c r="EN93" s="46" t="n">
        <f aca="false">-In_Commitment_Fee*($I88-SUM($J88:EN88)+EN88)*EN$6*(EN12&gt;0)</f>
        <v>-0</v>
      </c>
      <c r="EO93" s="46" t="n">
        <f aca="false">-In_Commitment_Fee*($I88-SUM($J88:EO88)+EO88)*EO$6*(EO12&gt;0)</f>
        <v>-0</v>
      </c>
    </row>
    <row r="94" customFormat="false" ht="15" hidden="false" customHeight="false" outlineLevel="0" collapsed="false">
      <c r="C94" s="0" t="s">
        <v>419</v>
      </c>
      <c r="D94" s="11" t="s">
        <v>33</v>
      </c>
      <c r="E94" s="46" t="n">
        <f aca="false">-SUMIFS($J86:$EO86,$J$4:$EO$4,"&gt;"&amp;In_COD,$J$4:$EO$4,"&lt;="&amp;EDATE(In_COD,In_DSRA_Months))</f>
        <v>1368.64669024987</v>
      </c>
      <c r="I94" s="46" t="n">
        <f aca="false">SUM(J94:EO94)</f>
        <v>0</v>
      </c>
      <c r="J94" s="46" t="n">
        <f aca="false">$E94*(J18-J14)</f>
        <v>0</v>
      </c>
      <c r="K94" s="46" t="n">
        <f aca="false">$E94*(K18-K14)</f>
        <v>0</v>
      </c>
      <c r="L94" s="46" t="n">
        <f aca="false">$E94*(L18-L14)</f>
        <v>0</v>
      </c>
      <c r="M94" s="46" t="n">
        <f aca="false">$E94*(M18-M14)</f>
        <v>0</v>
      </c>
      <c r="N94" s="46" t="n">
        <f aca="false">$E94*(N18-N14)</f>
        <v>0</v>
      </c>
      <c r="O94" s="46" t="n">
        <f aca="false">$E94*(O18-O14)</f>
        <v>0</v>
      </c>
      <c r="P94" s="46" t="n">
        <f aca="false">$E94*(P18-P14)</f>
        <v>0</v>
      </c>
      <c r="Q94" s="46" t="n">
        <f aca="false">$E94*(Q18-Q14)</f>
        <v>0</v>
      </c>
      <c r="R94" s="46" t="n">
        <f aca="false">$E94*(R18-R14)</f>
        <v>0</v>
      </c>
      <c r="S94" s="46" t="n">
        <f aca="false">$E94*(S18-S14)</f>
        <v>0</v>
      </c>
      <c r="T94" s="46" t="n">
        <f aca="false">$E94*(T18-T14)</f>
        <v>0</v>
      </c>
      <c r="U94" s="46" t="n">
        <f aca="false">$E94*(U18-U14)</f>
        <v>0</v>
      </c>
      <c r="V94" s="46" t="n">
        <f aca="false">$E94*(V18-V14)</f>
        <v>0</v>
      </c>
      <c r="W94" s="46" t="n">
        <f aca="false">$E94*(W18-W14)</f>
        <v>0</v>
      </c>
      <c r="X94" s="46" t="n">
        <f aca="false">$E94*(X18-X14)</f>
        <v>0</v>
      </c>
      <c r="Y94" s="46" t="n">
        <f aca="false">$E94*(Y18-Y14)</f>
        <v>-1368.64669024987</v>
      </c>
      <c r="Z94" s="46" t="n">
        <f aca="false">$E94*(Z18-Z14)</f>
        <v>0</v>
      </c>
      <c r="AA94" s="46" t="n">
        <f aca="false">$E94*(AA18-AA14)</f>
        <v>0</v>
      </c>
      <c r="AB94" s="46" t="n">
        <f aca="false">$E94*(AB18-AB14)</f>
        <v>0</v>
      </c>
      <c r="AC94" s="46" t="n">
        <f aca="false">$E94*(AC18-AC14)</f>
        <v>0</v>
      </c>
      <c r="AD94" s="46" t="n">
        <f aca="false">$E94*(AD18-AD14)</f>
        <v>0</v>
      </c>
      <c r="AE94" s="46" t="n">
        <f aca="false">$E94*(AE18-AE14)</f>
        <v>0</v>
      </c>
      <c r="AF94" s="46" t="n">
        <f aca="false">$E94*(AF18-AF14)</f>
        <v>0</v>
      </c>
      <c r="AG94" s="46" t="n">
        <f aca="false">$E94*(AG18-AG14)</f>
        <v>0</v>
      </c>
      <c r="AH94" s="46" t="n">
        <f aca="false">$E94*(AH18-AH14)</f>
        <v>0</v>
      </c>
      <c r="AI94" s="46" t="n">
        <f aca="false">$E94*(AI18-AI14)</f>
        <v>0</v>
      </c>
      <c r="AJ94" s="46" t="n">
        <f aca="false">$E94*(AJ18-AJ14)</f>
        <v>0</v>
      </c>
      <c r="AK94" s="46" t="n">
        <f aca="false">$E94*(AK18-AK14)</f>
        <v>0</v>
      </c>
      <c r="AL94" s="46" t="n">
        <f aca="false">$E94*(AL18-AL14)</f>
        <v>0</v>
      </c>
      <c r="AM94" s="46" t="n">
        <f aca="false">$E94*(AM18-AM14)</f>
        <v>0</v>
      </c>
      <c r="AN94" s="46" t="n">
        <f aca="false">$E94*(AN18-AN14)</f>
        <v>0</v>
      </c>
      <c r="AO94" s="46" t="n">
        <f aca="false">$E94*(AO18-AO14)</f>
        <v>0</v>
      </c>
      <c r="AP94" s="46" t="n">
        <f aca="false">$E94*(AP18-AP14)</f>
        <v>0</v>
      </c>
      <c r="AQ94" s="46" t="n">
        <f aca="false">$E94*(AQ18-AQ14)</f>
        <v>0</v>
      </c>
      <c r="AR94" s="46" t="n">
        <f aca="false">$E94*(AR18-AR14)</f>
        <v>0</v>
      </c>
      <c r="AS94" s="46" t="n">
        <f aca="false">$E94*(AS18-AS14)</f>
        <v>0</v>
      </c>
      <c r="AT94" s="46" t="n">
        <f aca="false">$E94*(AT18-AT14)</f>
        <v>0</v>
      </c>
      <c r="AU94" s="46" t="n">
        <f aca="false">$E94*(AU18-AU14)</f>
        <v>0</v>
      </c>
      <c r="AV94" s="46" t="n">
        <f aca="false">$E94*(AV18-AV14)</f>
        <v>0</v>
      </c>
      <c r="AW94" s="46" t="n">
        <f aca="false">$E94*(AW18-AW14)</f>
        <v>0</v>
      </c>
      <c r="AX94" s="46" t="n">
        <f aca="false">$E94*(AX18-AX14)</f>
        <v>0</v>
      </c>
      <c r="AY94" s="46" t="n">
        <f aca="false">$E94*(AY18-AY14)</f>
        <v>0</v>
      </c>
      <c r="AZ94" s="46" t="n">
        <f aca="false">$E94*(AZ18-AZ14)</f>
        <v>0</v>
      </c>
      <c r="BA94" s="46" t="n">
        <f aca="false">$E94*(BA18-BA14)</f>
        <v>0</v>
      </c>
      <c r="BB94" s="46" t="n">
        <f aca="false">$E94*(BB18-BB14)</f>
        <v>0</v>
      </c>
      <c r="BC94" s="46" t="n">
        <f aca="false">$E94*(BC18-BC14)</f>
        <v>0</v>
      </c>
      <c r="BD94" s="46" t="n">
        <f aca="false">$E94*(BD18-BD14)</f>
        <v>0</v>
      </c>
      <c r="BE94" s="46" t="n">
        <f aca="false">$E94*(BE18-BE14)</f>
        <v>0</v>
      </c>
      <c r="BF94" s="46" t="n">
        <f aca="false">$E94*(BF18-BF14)</f>
        <v>0</v>
      </c>
      <c r="BG94" s="46" t="n">
        <f aca="false">$E94*(BG18-BG14)</f>
        <v>0</v>
      </c>
      <c r="BH94" s="46" t="n">
        <f aca="false">$E94*(BH18-BH14)</f>
        <v>0</v>
      </c>
      <c r="BI94" s="46" t="n">
        <f aca="false">$E94*(BI18-BI14)</f>
        <v>0</v>
      </c>
      <c r="BJ94" s="46" t="n">
        <f aca="false">$E94*(BJ18-BJ14)</f>
        <v>0</v>
      </c>
      <c r="BK94" s="46" t="n">
        <f aca="false">$E94*(BK18-BK14)</f>
        <v>0</v>
      </c>
      <c r="BL94" s="46" t="n">
        <f aca="false">$E94*(BL18-BL14)</f>
        <v>0</v>
      </c>
      <c r="BM94" s="46" t="n">
        <f aca="false">$E94*(BM18-BM14)</f>
        <v>0</v>
      </c>
      <c r="BN94" s="46" t="n">
        <f aca="false">$E94*(BN18-BN14)</f>
        <v>0</v>
      </c>
      <c r="BO94" s="46" t="n">
        <f aca="false">$E94*(BO18-BO14)</f>
        <v>0</v>
      </c>
      <c r="BP94" s="46" t="n">
        <f aca="false">$E94*(BP18-BP14)</f>
        <v>0</v>
      </c>
      <c r="BQ94" s="46" t="n">
        <f aca="false">$E94*(BQ18-BQ14)</f>
        <v>0</v>
      </c>
      <c r="BR94" s="46" t="n">
        <f aca="false">$E94*(BR18-BR14)</f>
        <v>0</v>
      </c>
      <c r="BS94" s="46" t="n">
        <f aca="false">$E94*(BS18-BS14)</f>
        <v>0</v>
      </c>
      <c r="BT94" s="46" t="n">
        <f aca="false">$E94*(BT18-BT14)</f>
        <v>0</v>
      </c>
      <c r="BU94" s="46" t="n">
        <f aca="false">$E94*(BU18-BU14)</f>
        <v>0</v>
      </c>
      <c r="BV94" s="46" t="n">
        <f aca="false">$E94*(BV18-BV14)</f>
        <v>0</v>
      </c>
      <c r="BW94" s="46" t="n">
        <f aca="false">$E94*(BW18-BW14)</f>
        <v>0</v>
      </c>
      <c r="BX94" s="46" t="n">
        <f aca="false">$E94*(BX18-BX14)</f>
        <v>0</v>
      </c>
      <c r="BY94" s="46" t="n">
        <f aca="false">$E94*(BY18-BY14)</f>
        <v>0</v>
      </c>
      <c r="BZ94" s="46" t="n">
        <f aca="false">$E94*(BZ18-BZ14)</f>
        <v>0</v>
      </c>
      <c r="CA94" s="46" t="n">
        <f aca="false">$E94*(CA18-CA14)</f>
        <v>0</v>
      </c>
      <c r="CB94" s="46" t="n">
        <f aca="false">$E94*(CB18-CB14)</f>
        <v>0</v>
      </c>
      <c r="CC94" s="46" t="n">
        <f aca="false">$E94*(CC18-CC14)</f>
        <v>0</v>
      </c>
      <c r="CD94" s="46" t="n">
        <f aca="false">$E94*(CD18-CD14)</f>
        <v>0</v>
      </c>
      <c r="CE94" s="46" t="n">
        <f aca="false">$E94*(CE18-CE14)</f>
        <v>0</v>
      </c>
      <c r="CF94" s="46" t="n">
        <f aca="false">$E94*(CF18-CF14)</f>
        <v>0</v>
      </c>
      <c r="CG94" s="46" t="n">
        <f aca="false">$E94*(CG18-CG14)</f>
        <v>0</v>
      </c>
      <c r="CH94" s="46" t="n">
        <f aca="false">$E94*(CH18-CH14)</f>
        <v>0</v>
      </c>
      <c r="CI94" s="46" t="n">
        <f aca="false">$E94*(CI18-CI14)</f>
        <v>0</v>
      </c>
      <c r="CJ94" s="46" t="n">
        <f aca="false">$E94*(CJ18-CJ14)</f>
        <v>0</v>
      </c>
      <c r="CK94" s="46" t="n">
        <f aca="false">$E94*(CK18-CK14)</f>
        <v>0</v>
      </c>
      <c r="CL94" s="46" t="n">
        <f aca="false">$E94*(CL18-CL14)</f>
        <v>0</v>
      </c>
      <c r="CM94" s="46" t="n">
        <f aca="false">$E94*(CM18-CM14)</f>
        <v>0</v>
      </c>
      <c r="CN94" s="46" t="n">
        <f aca="false">$E94*(CN18-CN14)</f>
        <v>0</v>
      </c>
      <c r="CO94" s="46" t="n">
        <f aca="false">$E94*(CO18-CO14)</f>
        <v>0</v>
      </c>
      <c r="CP94" s="46" t="n">
        <f aca="false">$E94*(CP18-CP14)</f>
        <v>0</v>
      </c>
      <c r="CQ94" s="46" t="n">
        <f aca="false">$E94*(CQ18-CQ14)</f>
        <v>0</v>
      </c>
      <c r="CR94" s="46" t="n">
        <f aca="false">$E94*(CR18-CR14)</f>
        <v>0</v>
      </c>
      <c r="CS94" s="46" t="n">
        <f aca="false">$E94*(CS18-CS14)</f>
        <v>1368.64669024987</v>
      </c>
      <c r="CT94" s="46" t="n">
        <f aca="false">$E94*(CT18-CT14)</f>
        <v>0</v>
      </c>
      <c r="CU94" s="46" t="n">
        <f aca="false">$E94*(CU18-CU14)</f>
        <v>0</v>
      </c>
      <c r="CV94" s="46" t="n">
        <f aca="false">$E94*(CV18-CV14)</f>
        <v>0</v>
      </c>
      <c r="CW94" s="46" t="n">
        <f aca="false">$E94*(CW18-CW14)</f>
        <v>0</v>
      </c>
      <c r="CX94" s="46" t="n">
        <f aca="false">$E94*(CX18-CX14)</f>
        <v>0</v>
      </c>
      <c r="CY94" s="46" t="n">
        <f aca="false">$E94*(CY18-CY14)</f>
        <v>0</v>
      </c>
      <c r="CZ94" s="46" t="n">
        <f aca="false">$E94*(CZ18-CZ14)</f>
        <v>0</v>
      </c>
      <c r="DA94" s="46" t="n">
        <f aca="false">$E94*(DA18-DA14)</f>
        <v>0</v>
      </c>
      <c r="DB94" s="46" t="n">
        <f aca="false">$E94*(DB18-DB14)</f>
        <v>0</v>
      </c>
      <c r="DC94" s="46" t="n">
        <f aca="false">$E94*(DC18-DC14)</f>
        <v>0</v>
      </c>
      <c r="DD94" s="46" t="n">
        <f aca="false">$E94*(DD18-DD14)</f>
        <v>0</v>
      </c>
      <c r="DE94" s="46" t="n">
        <f aca="false">$E94*(DE18-DE14)</f>
        <v>0</v>
      </c>
      <c r="DF94" s="46" t="n">
        <f aca="false">$E94*(DF18-DF14)</f>
        <v>0</v>
      </c>
      <c r="DG94" s="46" t="n">
        <f aca="false">$E94*(DG18-DG14)</f>
        <v>0</v>
      </c>
      <c r="DH94" s="46" t="n">
        <f aca="false">$E94*(DH18-DH14)</f>
        <v>0</v>
      </c>
      <c r="DI94" s="46" t="n">
        <f aca="false">$E94*(DI18-DI14)</f>
        <v>0</v>
      </c>
      <c r="DJ94" s="46" t="n">
        <f aca="false">$E94*(DJ18-DJ14)</f>
        <v>0</v>
      </c>
      <c r="DK94" s="46" t="n">
        <f aca="false">$E94*(DK18-DK14)</f>
        <v>0</v>
      </c>
      <c r="DL94" s="46" t="n">
        <f aca="false">$E94*(DL18-DL14)</f>
        <v>0</v>
      </c>
      <c r="DM94" s="46" t="n">
        <f aca="false">$E94*(DM18-DM14)</f>
        <v>0</v>
      </c>
      <c r="DN94" s="46" t="n">
        <f aca="false">$E94*(DN18-DN14)</f>
        <v>0</v>
      </c>
      <c r="DO94" s="46" t="n">
        <f aca="false">$E94*(DO18-DO14)</f>
        <v>0</v>
      </c>
      <c r="DP94" s="46" t="n">
        <f aca="false">$E94*(DP18-DP14)</f>
        <v>0</v>
      </c>
      <c r="DQ94" s="46" t="n">
        <f aca="false">$E94*(DQ18-DQ14)</f>
        <v>0</v>
      </c>
      <c r="DR94" s="46" t="n">
        <f aca="false">$E94*(DR18-DR14)</f>
        <v>0</v>
      </c>
      <c r="DS94" s="46" t="n">
        <f aca="false">$E94*(DS18-DS14)</f>
        <v>0</v>
      </c>
      <c r="DT94" s="46" t="n">
        <f aca="false">$E94*(DT18-DT14)</f>
        <v>0</v>
      </c>
      <c r="DU94" s="46" t="n">
        <f aca="false">$E94*(DU18-DU14)</f>
        <v>0</v>
      </c>
      <c r="DV94" s="46" t="n">
        <f aca="false">$E94*(DV18-DV14)</f>
        <v>0</v>
      </c>
      <c r="DW94" s="46" t="n">
        <f aca="false">$E94*(DW18-DW14)</f>
        <v>0</v>
      </c>
      <c r="DX94" s="46" t="n">
        <f aca="false">$E94*(DX18-DX14)</f>
        <v>0</v>
      </c>
      <c r="DY94" s="46" t="n">
        <f aca="false">$E94*(DY18-DY14)</f>
        <v>0</v>
      </c>
      <c r="DZ94" s="46" t="n">
        <f aca="false">$E94*(DZ18-DZ14)</f>
        <v>0</v>
      </c>
      <c r="EA94" s="46" t="n">
        <f aca="false">$E94*(EA18-EA14)</f>
        <v>0</v>
      </c>
      <c r="EB94" s="46" t="n">
        <f aca="false">$E94*(EB18-EB14)</f>
        <v>0</v>
      </c>
      <c r="EC94" s="46" t="n">
        <f aca="false">$E94*(EC18-EC14)</f>
        <v>0</v>
      </c>
      <c r="ED94" s="46" t="n">
        <f aca="false">$E94*(ED18-ED14)</f>
        <v>0</v>
      </c>
      <c r="EE94" s="46" t="n">
        <f aca="false">$E94*(EE18-EE14)</f>
        <v>0</v>
      </c>
      <c r="EF94" s="46" t="n">
        <f aca="false">$E94*(EF18-EF14)</f>
        <v>0</v>
      </c>
      <c r="EG94" s="46" t="n">
        <f aca="false">$E94*(EG18-EG14)</f>
        <v>0</v>
      </c>
      <c r="EH94" s="46" t="n">
        <f aca="false">$E94*(EH18-EH14)</f>
        <v>0</v>
      </c>
      <c r="EI94" s="46" t="n">
        <f aca="false">$E94*(EI18-EI14)</f>
        <v>0</v>
      </c>
      <c r="EJ94" s="46" t="n">
        <f aca="false">$E94*(EJ18-EJ14)</f>
        <v>0</v>
      </c>
      <c r="EK94" s="46" t="n">
        <f aca="false">$E94*(EK18-EK14)</f>
        <v>0</v>
      </c>
      <c r="EL94" s="46" t="n">
        <f aca="false">$E94*(EL18-EL14)</f>
        <v>0</v>
      </c>
      <c r="EM94" s="46" t="n">
        <f aca="false">$E94*(EM18-EM14)</f>
        <v>0</v>
      </c>
      <c r="EN94" s="46" t="n">
        <f aca="false">$E94*(EN18-EN14)</f>
        <v>0</v>
      </c>
      <c r="EO94" s="46" t="n">
        <f aca="false">$E94*(EO18-EO14)</f>
        <v>0</v>
      </c>
    </row>
    <row r="95" customFormat="false" ht="15" hidden="false" customHeight="false" outlineLevel="0" collapsed="false">
      <c r="C95" s="0" t="s">
        <v>420</v>
      </c>
      <c r="D95" s="11" t="s">
        <v>13</v>
      </c>
      <c r="E95" s="52" t="n">
        <f aca="false">MIN($J95:$EO95)</f>
        <v>1.6223846688173</v>
      </c>
      <c r="J95" s="52" t="str">
        <f aca="false">IF(J86&lt;0,J79/-J86,"")</f>
        <v/>
      </c>
      <c r="K95" s="52" t="str">
        <f aca="false">IF(K86&lt;0,K79/-K86,"")</f>
        <v/>
      </c>
      <c r="L95" s="52" t="str">
        <f aca="false">IF(L86&lt;0,L79/-L86,"")</f>
        <v/>
      </c>
      <c r="M95" s="52" t="str">
        <f aca="false">IF(M86&lt;0,M79/-M86,"")</f>
        <v/>
      </c>
      <c r="N95" s="52" t="str">
        <f aca="false">IF(N86&lt;0,N79/-N86,"")</f>
        <v/>
      </c>
      <c r="O95" s="52" t="str">
        <f aca="false">IF(O86&lt;0,O79/-O86,"")</f>
        <v/>
      </c>
      <c r="P95" s="52" t="str">
        <f aca="false">IF(P86&lt;0,P79/-P86,"")</f>
        <v/>
      </c>
      <c r="Q95" s="52" t="str">
        <f aca="false">IF(Q86&lt;0,Q79/-Q86,"")</f>
        <v/>
      </c>
      <c r="R95" s="52" t="str">
        <f aca="false">IF(R86&lt;0,R79/-R86,"")</f>
        <v/>
      </c>
      <c r="S95" s="52" t="str">
        <f aca="false">IF(S86&lt;0,S79/-S86,"")</f>
        <v/>
      </c>
      <c r="T95" s="52" t="str">
        <f aca="false">IF(T86&lt;0,T79/-T86,"")</f>
        <v/>
      </c>
      <c r="U95" s="52" t="str">
        <f aca="false">IF(U86&lt;0,U79/-U86,"")</f>
        <v/>
      </c>
      <c r="V95" s="52" t="str">
        <f aca="false">IF(V86&lt;0,V79/-V86,"")</f>
        <v/>
      </c>
      <c r="W95" s="52" t="str">
        <f aca="false">IF(W86&lt;0,W79/-W86,"")</f>
        <v/>
      </c>
      <c r="X95" s="52" t="str">
        <f aca="false">IF(X86&lt;0,X79/-X86,"")</f>
        <v/>
      </c>
      <c r="Y95" s="52" t="str">
        <f aca="false">IF(Y86&lt;0,Y79/-Y86,"")</f>
        <v/>
      </c>
      <c r="Z95" s="52" t="n">
        <f aca="false">IF(Z86&lt;0,Z79/-Z86,"")</f>
        <v>1.6223846688173</v>
      </c>
      <c r="AA95" s="52" t="n">
        <f aca="false">IF(AA86&lt;0,AA79/-AA86,"")</f>
        <v>1.6223846688173</v>
      </c>
      <c r="AB95" s="52" t="n">
        <f aca="false">IF(AB86&lt;0,AB79/-AB86,"")</f>
        <v>1.6223846688173</v>
      </c>
      <c r="AC95" s="52" t="n">
        <f aca="false">IF(AC86&lt;0,AC79/-AC86,"")</f>
        <v>1.6223846688173</v>
      </c>
      <c r="AD95" s="52" t="n">
        <f aca="false">IF(AD86&lt;0,AD79/-AD86,"")</f>
        <v>1.6223846688173</v>
      </c>
      <c r="AE95" s="52" t="n">
        <f aca="false">IF(AE86&lt;0,AE79/-AE86,"")</f>
        <v>1.6223846688173</v>
      </c>
      <c r="AF95" s="52" t="n">
        <f aca="false">IF(AF86&lt;0,AF79/-AF86,"")</f>
        <v>1.6223846688173</v>
      </c>
      <c r="AG95" s="52" t="n">
        <f aca="false">IF(AG86&lt;0,AG79/-AG86,"")</f>
        <v>1.6223846688173</v>
      </c>
      <c r="AH95" s="52" t="n">
        <f aca="false">IF(AH86&lt;0,AH79/-AH86,"")</f>
        <v>1.6223846688173</v>
      </c>
      <c r="AI95" s="52" t="n">
        <f aca="false">IF(AI86&lt;0,AI79/-AI86,"")</f>
        <v>1.6223846688173</v>
      </c>
      <c r="AJ95" s="52" t="n">
        <f aca="false">IF(AJ86&lt;0,AJ79/-AJ86,"")</f>
        <v>1.6223846688173</v>
      </c>
      <c r="AK95" s="52" t="n">
        <f aca="false">IF(AK86&lt;0,AK79/-AK86,"")</f>
        <v>1.6223846688173</v>
      </c>
      <c r="AL95" s="52" t="n">
        <f aca="false">IF(AL86&lt;0,AL79/-AL86,"")</f>
        <v>1.6223846688173</v>
      </c>
      <c r="AM95" s="52" t="n">
        <f aca="false">IF(AM86&lt;0,AM79/-AM86,"")</f>
        <v>1.6223846688173</v>
      </c>
      <c r="AN95" s="52" t="n">
        <f aca="false">IF(AN86&lt;0,AN79/-AN86,"")</f>
        <v>1.6223846688173</v>
      </c>
      <c r="AO95" s="52" t="n">
        <f aca="false">IF(AO86&lt;0,AO79/-AO86,"")</f>
        <v>1.6223846688173</v>
      </c>
      <c r="AP95" s="52" t="n">
        <f aca="false">IF(AP86&lt;0,AP79/-AP86,"")</f>
        <v>1.6223846688173</v>
      </c>
      <c r="AQ95" s="52" t="n">
        <f aca="false">IF(AQ86&lt;0,AQ79/-AQ86,"")</f>
        <v>1.6223846688173</v>
      </c>
      <c r="AR95" s="52" t="n">
        <f aca="false">IF(AR86&lt;0,AR79/-AR86,"")</f>
        <v>1.6223846688173</v>
      </c>
      <c r="AS95" s="52" t="n">
        <f aca="false">IF(AS86&lt;0,AS79/-AS86,"")</f>
        <v>1.6223846688173</v>
      </c>
      <c r="AT95" s="52" t="n">
        <f aca="false">IF(AT86&lt;0,AT79/-AT86,"")</f>
        <v>1.6223846688173</v>
      </c>
      <c r="AU95" s="52" t="n">
        <f aca="false">IF(AU86&lt;0,AU79/-AU86,"")</f>
        <v>1.6223846688173</v>
      </c>
      <c r="AV95" s="52" t="n">
        <f aca="false">IF(AV86&lt;0,AV79/-AV86,"")</f>
        <v>1.6223846688173</v>
      </c>
      <c r="AW95" s="52" t="n">
        <f aca="false">IF(AW86&lt;0,AW79/-AW86,"")</f>
        <v>1.6223846688173</v>
      </c>
      <c r="AX95" s="52" t="n">
        <f aca="false">IF(AX86&lt;0,AX79/-AX86,"")</f>
        <v>1.6223846688173</v>
      </c>
      <c r="AY95" s="52" t="n">
        <f aca="false">IF(AY86&lt;0,AY79/-AY86,"")</f>
        <v>1.6223846688173</v>
      </c>
      <c r="AZ95" s="52" t="n">
        <f aca="false">IF(AZ86&lt;0,AZ79/-AZ86,"")</f>
        <v>1.6223846688173</v>
      </c>
      <c r="BA95" s="52" t="n">
        <f aca="false">IF(BA86&lt;0,BA79/-BA86,"")</f>
        <v>1.6223846688173</v>
      </c>
      <c r="BB95" s="52" t="n">
        <f aca="false">IF(BB86&lt;0,BB79/-BB86,"")</f>
        <v>1.6223846688173</v>
      </c>
      <c r="BC95" s="52" t="n">
        <f aca="false">IF(BC86&lt;0,BC79/-BC86,"")</f>
        <v>1.6223846688173</v>
      </c>
      <c r="BD95" s="52" t="n">
        <f aca="false">IF(BD86&lt;0,BD79/-BD86,"")</f>
        <v>1.6223846688173</v>
      </c>
      <c r="BE95" s="52" t="n">
        <f aca="false">IF(BE86&lt;0,BE79/-BE86,"")</f>
        <v>1.6223846688173</v>
      </c>
      <c r="BF95" s="52" t="n">
        <f aca="false">IF(BF86&lt;0,BF79/-BF86,"")</f>
        <v>1.6223846688173</v>
      </c>
      <c r="BG95" s="52" t="n">
        <f aca="false">IF(BG86&lt;0,BG79/-BG86,"")</f>
        <v>1.6223846688173</v>
      </c>
      <c r="BH95" s="52" t="n">
        <f aca="false">IF(BH86&lt;0,BH79/-BH86,"")</f>
        <v>1.6223846688173</v>
      </c>
      <c r="BI95" s="52" t="n">
        <f aca="false">IF(BI86&lt;0,BI79/-BI86,"")</f>
        <v>1.6223846688173</v>
      </c>
      <c r="BJ95" s="52" t="n">
        <f aca="false">IF(BJ86&lt;0,BJ79/-BJ86,"")</f>
        <v>1.6223846688173</v>
      </c>
      <c r="BK95" s="52" t="n">
        <f aca="false">IF(BK86&lt;0,BK79/-BK86,"")</f>
        <v>1.6223846688173</v>
      </c>
      <c r="BL95" s="52" t="n">
        <f aca="false">IF(BL86&lt;0,BL79/-BL86,"")</f>
        <v>1.6223846688173</v>
      </c>
      <c r="BM95" s="52" t="n">
        <f aca="false">IF(BM86&lt;0,BM79/-BM86,"")</f>
        <v>1.6223846688173</v>
      </c>
      <c r="BN95" s="52" t="n">
        <f aca="false">IF(BN86&lt;0,BN79/-BN86,"")</f>
        <v>1.6223846688173</v>
      </c>
      <c r="BO95" s="52" t="n">
        <f aca="false">IF(BO86&lt;0,BO79/-BO86,"")</f>
        <v>1.6223846688173</v>
      </c>
      <c r="BP95" s="52" t="n">
        <f aca="false">IF(BP86&lt;0,BP79/-BP86,"")</f>
        <v>1.6223846688173</v>
      </c>
      <c r="BQ95" s="52" t="n">
        <f aca="false">IF(BQ86&lt;0,BQ79/-BQ86,"")</f>
        <v>1.6223846688173</v>
      </c>
      <c r="BR95" s="52" t="n">
        <f aca="false">IF(BR86&lt;0,BR79/-BR86,"")</f>
        <v>1.6223846688173</v>
      </c>
      <c r="BS95" s="52" t="n">
        <f aca="false">IF(BS86&lt;0,BS79/-BS86,"")</f>
        <v>1.6223846688173</v>
      </c>
      <c r="BT95" s="52" t="n">
        <f aca="false">IF(BT86&lt;0,BT79/-BT86,"")</f>
        <v>1.6223846688173</v>
      </c>
      <c r="BU95" s="52" t="n">
        <f aca="false">IF(BU86&lt;0,BU79/-BU86,"")</f>
        <v>1.6223846688173</v>
      </c>
      <c r="BV95" s="52" t="n">
        <f aca="false">IF(BV86&lt;0,BV79/-BV86,"")</f>
        <v>1.6223846688173</v>
      </c>
      <c r="BW95" s="52" t="n">
        <f aca="false">IF(BW86&lt;0,BW79/-BW86,"")</f>
        <v>1.6223846688173</v>
      </c>
      <c r="BX95" s="52" t="n">
        <f aca="false">IF(BX86&lt;0,BX79/-BX86,"")</f>
        <v>1.6223846688173</v>
      </c>
      <c r="BY95" s="52" t="n">
        <f aca="false">IF(BY86&lt;0,BY79/-BY86,"")</f>
        <v>1.6223846688173</v>
      </c>
      <c r="BZ95" s="52" t="n">
        <f aca="false">IF(BZ86&lt;0,BZ79/-BZ86,"")</f>
        <v>1.6223846688173</v>
      </c>
      <c r="CA95" s="52" t="n">
        <f aca="false">IF(CA86&lt;0,CA79/-CA86,"")</f>
        <v>1.6223846688173</v>
      </c>
      <c r="CB95" s="52" t="n">
        <f aca="false">IF(CB86&lt;0,CB79/-CB86,"")</f>
        <v>1.6223846688173</v>
      </c>
      <c r="CC95" s="52" t="n">
        <f aca="false">IF(CC86&lt;0,CC79/-CC86,"")</f>
        <v>1.6223846688173</v>
      </c>
      <c r="CD95" s="52" t="n">
        <f aca="false">IF(CD86&lt;0,CD79/-CD86,"")</f>
        <v>1.6223846688173</v>
      </c>
      <c r="CE95" s="52" t="n">
        <f aca="false">IF(CE86&lt;0,CE79/-CE86,"")</f>
        <v>1.6223846688173</v>
      </c>
      <c r="CF95" s="52" t="n">
        <f aca="false">IF(CF86&lt;0,CF79/-CF86,"")</f>
        <v>1.6223846688173</v>
      </c>
      <c r="CG95" s="52" t="n">
        <f aca="false">IF(CG86&lt;0,CG79/-CG86,"")</f>
        <v>1.6223846688173</v>
      </c>
      <c r="CH95" s="52" t="n">
        <f aca="false">IF(CH86&lt;0,CH79/-CH86,"")</f>
        <v>1.6223846688173</v>
      </c>
      <c r="CI95" s="52" t="n">
        <f aca="false">IF(CI86&lt;0,CI79/-CI86,"")</f>
        <v>1.6223846688173</v>
      </c>
      <c r="CJ95" s="52" t="n">
        <f aca="false">IF(CJ86&lt;0,CJ79/-CJ86,"")</f>
        <v>1.6223846688173</v>
      </c>
      <c r="CK95" s="52" t="n">
        <f aca="false">IF(CK86&lt;0,CK79/-CK86,"")</f>
        <v>1.6223846688173</v>
      </c>
      <c r="CL95" s="52" t="n">
        <f aca="false">IF(CL86&lt;0,CL79/-CL86,"")</f>
        <v>1.6223846688173</v>
      </c>
      <c r="CM95" s="52" t="n">
        <f aca="false">IF(CM86&lt;0,CM79/-CM86,"")</f>
        <v>1.6223846688173</v>
      </c>
      <c r="CN95" s="52" t="n">
        <f aca="false">IF(CN86&lt;0,CN79/-CN86,"")</f>
        <v>1.6223846688173</v>
      </c>
      <c r="CO95" s="52" t="n">
        <f aca="false">IF(CO86&lt;0,CO79/-CO86,"")</f>
        <v>1.6223846688173</v>
      </c>
      <c r="CP95" s="52" t="n">
        <f aca="false">IF(CP86&lt;0,CP79/-CP86,"")</f>
        <v>1.6223846688173</v>
      </c>
      <c r="CQ95" s="52" t="n">
        <f aca="false">IF(CQ86&lt;0,CQ79/-CQ86,"")</f>
        <v>1.6223846688173</v>
      </c>
      <c r="CR95" s="52" t="n">
        <f aca="false">IF(CR86&lt;0,CR79/-CR86,"")</f>
        <v>1.6223846688173</v>
      </c>
      <c r="CS95" s="52" t="n">
        <f aca="false">IF(CS86&lt;0,CS79/-CS86,"")</f>
        <v>1.6223846688173</v>
      </c>
      <c r="CT95" s="52" t="str">
        <f aca="false">IF(CT86&lt;0,CT79/-CT86,"")</f>
        <v/>
      </c>
      <c r="CU95" s="52" t="str">
        <f aca="false">IF(CU86&lt;0,CU79/-CU86,"")</f>
        <v/>
      </c>
      <c r="CV95" s="52" t="str">
        <f aca="false">IF(CV86&lt;0,CV79/-CV86,"")</f>
        <v/>
      </c>
      <c r="CW95" s="52" t="str">
        <f aca="false">IF(CW86&lt;0,CW79/-CW86,"")</f>
        <v/>
      </c>
      <c r="CX95" s="52" t="str">
        <f aca="false">IF(CX86&lt;0,CX79/-CX86,"")</f>
        <v/>
      </c>
      <c r="CY95" s="52" t="str">
        <f aca="false">IF(CY86&lt;0,CY79/-CY86,"")</f>
        <v/>
      </c>
      <c r="CZ95" s="52" t="str">
        <f aca="false">IF(CZ86&lt;0,CZ79/-CZ86,"")</f>
        <v/>
      </c>
      <c r="DA95" s="52" t="str">
        <f aca="false">IF(DA86&lt;0,DA79/-DA86,"")</f>
        <v/>
      </c>
      <c r="DB95" s="52" t="str">
        <f aca="false">IF(DB86&lt;0,DB79/-DB86,"")</f>
        <v/>
      </c>
      <c r="DC95" s="52" t="str">
        <f aca="false">IF(DC86&lt;0,DC79/-DC86,"")</f>
        <v/>
      </c>
      <c r="DD95" s="52" t="str">
        <f aca="false">IF(DD86&lt;0,DD79/-DD86,"")</f>
        <v/>
      </c>
      <c r="DE95" s="52" t="str">
        <f aca="false">IF(DE86&lt;0,DE79/-DE86,"")</f>
        <v/>
      </c>
      <c r="DF95" s="52" t="str">
        <f aca="false">IF(DF86&lt;0,DF79/-DF86,"")</f>
        <v/>
      </c>
      <c r="DG95" s="52" t="str">
        <f aca="false">IF(DG86&lt;0,DG79/-DG86,"")</f>
        <v/>
      </c>
      <c r="DH95" s="52" t="str">
        <f aca="false">IF(DH86&lt;0,DH79/-DH86,"")</f>
        <v/>
      </c>
      <c r="DI95" s="52" t="str">
        <f aca="false">IF(DI86&lt;0,DI79/-DI86,"")</f>
        <v/>
      </c>
      <c r="DJ95" s="52" t="str">
        <f aca="false">IF(DJ86&lt;0,DJ79/-DJ86,"")</f>
        <v/>
      </c>
      <c r="DK95" s="52" t="str">
        <f aca="false">IF(DK86&lt;0,DK79/-DK86,"")</f>
        <v/>
      </c>
      <c r="DL95" s="52" t="str">
        <f aca="false">IF(DL86&lt;0,DL79/-DL86,"")</f>
        <v/>
      </c>
      <c r="DM95" s="52" t="str">
        <f aca="false">IF(DM86&lt;0,DM79/-DM86,"")</f>
        <v/>
      </c>
      <c r="DN95" s="52" t="str">
        <f aca="false">IF(DN86&lt;0,DN79/-DN86,"")</f>
        <v/>
      </c>
      <c r="DO95" s="52" t="str">
        <f aca="false">IF(DO86&lt;0,DO79/-DO86,"")</f>
        <v/>
      </c>
      <c r="DP95" s="52" t="str">
        <f aca="false">IF(DP86&lt;0,DP79/-DP86,"")</f>
        <v/>
      </c>
      <c r="DQ95" s="52" t="str">
        <f aca="false">IF(DQ86&lt;0,DQ79/-DQ86,"")</f>
        <v/>
      </c>
      <c r="DR95" s="52" t="str">
        <f aca="false">IF(DR86&lt;0,DR79/-DR86,"")</f>
        <v/>
      </c>
      <c r="DS95" s="52" t="str">
        <f aca="false">IF(DS86&lt;0,DS79/-DS86,"")</f>
        <v/>
      </c>
      <c r="DT95" s="52" t="str">
        <f aca="false">IF(DT86&lt;0,DT79/-DT86,"")</f>
        <v/>
      </c>
      <c r="DU95" s="52" t="str">
        <f aca="false">IF(DU86&lt;0,DU79/-DU86,"")</f>
        <v/>
      </c>
      <c r="DV95" s="52" t="str">
        <f aca="false">IF(DV86&lt;0,DV79/-DV86,"")</f>
        <v/>
      </c>
      <c r="DW95" s="52" t="str">
        <f aca="false">IF(DW86&lt;0,DW79/-DW86,"")</f>
        <v/>
      </c>
      <c r="DX95" s="52" t="str">
        <f aca="false">IF(DX86&lt;0,DX79/-DX86,"")</f>
        <v/>
      </c>
      <c r="DY95" s="52" t="str">
        <f aca="false">IF(DY86&lt;0,DY79/-DY86,"")</f>
        <v/>
      </c>
      <c r="DZ95" s="52" t="str">
        <f aca="false">IF(DZ86&lt;0,DZ79/-DZ86,"")</f>
        <v/>
      </c>
      <c r="EA95" s="52" t="str">
        <f aca="false">IF(EA86&lt;0,EA79/-EA86,"")</f>
        <v/>
      </c>
      <c r="EB95" s="52" t="str">
        <f aca="false">IF(EB86&lt;0,EB79/-EB86,"")</f>
        <v/>
      </c>
      <c r="EC95" s="52" t="str">
        <f aca="false">IF(EC86&lt;0,EC79/-EC86,"")</f>
        <v/>
      </c>
      <c r="ED95" s="52" t="str">
        <f aca="false">IF(ED86&lt;0,ED79/-ED86,"")</f>
        <v/>
      </c>
      <c r="EE95" s="52" t="str">
        <f aca="false">IF(EE86&lt;0,EE79/-EE86,"")</f>
        <v/>
      </c>
      <c r="EF95" s="52" t="str">
        <f aca="false">IF(EF86&lt;0,EF79/-EF86,"")</f>
        <v/>
      </c>
      <c r="EG95" s="52" t="str">
        <f aca="false">IF(EG86&lt;0,EG79/-EG86,"")</f>
        <v/>
      </c>
      <c r="EH95" s="52" t="str">
        <f aca="false">IF(EH86&lt;0,EH79/-EH86,"")</f>
        <v/>
      </c>
      <c r="EI95" s="52" t="str">
        <f aca="false">IF(EI86&lt;0,EI79/-EI86,"")</f>
        <v/>
      </c>
      <c r="EJ95" s="52" t="str">
        <f aca="false">IF(EJ86&lt;0,EJ79/-EJ86,"")</f>
        <v/>
      </c>
      <c r="EK95" s="52" t="str">
        <f aca="false">IF(EK86&lt;0,EK79/-EK86,"")</f>
        <v/>
      </c>
      <c r="EL95" s="52" t="str">
        <f aca="false">IF(EL86&lt;0,EL79/-EL86,"")</f>
        <v/>
      </c>
      <c r="EM95" s="52" t="str">
        <f aca="false">IF(EM86&lt;0,EM79/-EM86,"")</f>
        <v/>
      </c>
      <c r="EN95" s="52" t="str">
        <f aca="false">IF(EN86&lt;0,EN79/-EN86,"")</f>
        <v/>
      </c>
      <c r="EO95" s="52" t="str">
        <f aca="false">IF(EO86&lt;0,EO79/-EO86,"")</f>
        <v/>
      </c>
    </row>
    <row r="97" customFormat="false" ht="15" hidden="false" customHeight="false" outlineLevel="0" collapsed="false">
      <c r="A97" s="9" t="s">
        <v>13</v>
      </c>
      <c r="B97" s="9"/>
      <c r="C97" s="9" t="s">
        <v>421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</row>
    <row r="98" customFormat="false" ht="15" hidden="false" customHeight="false" outlineLevel="0" collapsed="false">
      <c r="C98" s="0" t="s">
        <v>422</v>
      </c>
      <c r="D98" s="11" t="s">
        <v>33</v>
      </c>
      <c r="E98" s="46" t="n">
        <f aca="false">$I89-($I60+$I51+$I61+$I48+$I41+$I42+$I43)</f>
        <v>86357.9324060325</v>
      </c>
      <c r="I98" s="46" t="n">
        <f aca="false">SUM(J98:EO98)</f>
        <v>-86357.9324060325</v>
      </c>
      <c r="J98" s="46" t="n">
        <f aca="false">-$E98*J19</f>
        <v>-0</v>
      </c>
      <c r="K98" s="46" t="n">
        <f aca="false">-$E98*K19</f>
        <v>-0</v>
      </c>
      <c r="L98" s="46" t="n">
        <f aca="false">-$E98*L19</f>
        <v>-0</v>
      </c>
      <c r="M98" s="46" t="n">
        <f aca="false">-$E98*M19</f>
        <v>-0</v>
      </c>
      <c r="N98" s="46" t="n">
        <f aca="false">-$E98*N19</f>
        <v>-0</v>
      </c>
      <c r="O98" s="46" t="n">
        <f aca="false">-$E98*O19</f>
        <v>-0</v>
      </c>
      <c r="P98" s="46" t="n">
        <f aca="false">-$E98*P19</f>
        <v>-0</v>
      </c>
      <c r="Q98" s="46" t="n">
        <f aca="false">-$E98*Q19</f>
        <v>-0</v>
      </c>
      <c r="R98" s="46" t="n">
        <f aca="false">-$E98*R19</f>
        <v>-0</v>
      </c>
      <c r="S98" s="46" t="n">
        <f aca="false">-$E98*S19</f>
        <v>-0</v>
      </c>
      <c r="T98" s="46" t="n">
        <f aca="false">-$E98*T19</f>
        <v>-0</v>
      </c>
      <c r="U98" s="46" t="n">
        <f aca="false">-$E98*U19</f>
        <v>-0</v>
      </c>
      <c r="V98" s="46" t="n">
        <f aca="false">-$E98*V19</f>
        <v>-0</v>
      </c>
      <c r="W98" s="46" t="n">
        <f aca="false">-$E98*W19</f>
        <v>-0</v>
      </c>
      <c r="X98" s="46" t="n">
        <f aca="false">-$E98*X19</f>
        <v>-0</v>
      </c>
      <c r="Y98" s="46" t="n">
        <f aca="false">-$E98*Y19</f>
        <v>-0</v>
      </c>
      <c r="Z98" s="46" t="n">
        <f aca="false">-$E98*Z19</f>
        <v>-1087.6016127796</v>
      </c>
      <c r="AA98" s="46" t="n">
        <f aca="false">-$E98*AA19</f>
        <v>-1063.95809945831</v>
      </c>
      <c r="AB98" s="46" t="n">
        <f aca="false">-$E98*AB19</f>
        <v>-1075.77985611895</v>
      </c>
      <c r="AC98" s="46" t="n">
        <f aca="false">-$E98*AC19</f>
        <v>-1087.6016127796</v>
      </c>
      <c r="AD98" s="46" t="n">
        <f aca="false">-$E98*AD19</f>
        <v>-1087.6016127796</v>
      </c>
      <c r="AE98" s="46" t="n">
        <f aca="false">-$E98*AE19</f>
        <v>-1075.77985611895</v>
      </c>
      <c r="AF98" s="46" t="n">
        <f aca="false">-$E98*AF19</f>
        <v>-1075.77985611895</v>
      </c>
      <c r="AG98" s="46" t="n">
        <f aca="false">-$E98*AG19</f>
        <v>-1087.6016127796</v>
      </c>
      <c r="AH98" s="46" t="n">
        <f aca="false">-$E98*AH19</f>
        <v>-1087.6016127796</v>
      </c>
      <c r="AI98" s="46" t="n">
        <f aca="false">-$E98*AI19</f>
        <v>-1063.95809945831</v>
      </c>
      <c r="AJ98" s="46" t="n">
        <f aca="false">-$E98*AJ19</f>
        <v>-1075.77985611895</v>
      </c>
      <c r="AK98" s="46" t="n">
        <f aca="false">-$E98*AK19</f>
        <v>-1087.6016127796</v>
      </c>
      <c r="AL98" s="46" t="n">
        <f aca="false">-$E98*AL19</f>
        <v>-1087.6016127796</v>
      </c>
      <c r="AM98" s="46" t="n">
        <f aca="false">-$E98*AM19</f>
        <v>-1063.95809945831</v>
      </c>
      <c r="AN98" s="46" t="n">
        <f aca="false">-$E98*AN19</f>
        <v>-1075.77985611895</v>
      </c>
      <c r="AO98" s="46" t="n">
        <f aca="false">-$E98*AO19</f>
        <v>-1087.6016127796</v>
      </c>
      <c r="AP98" s="46" t="n">
        <f aca="false">-$E98*AP19</f>
        <v>-1087.6016127796</v>
      </c>
      <c r="AQ98" s="46" t="n">
        <f aca="false">-$E98*AQ19</f>
        <v>-1063.95809945831</v>
      </c>
      <c r="AR98" s="46" t="n">
        <f aca="false">-$E98*AR19</f>
        <v>-1075.77985611895</v>
      </c>
      <c r="AS98" s="46" t="n">
        <f aca="false">-$E98*AS19</f>
        <v>-1087.6016127796</v>
      </c>
      <c r="AT98" s="46" t="n">
        <f aca="false">-$E98*AT19</f>
        <v>-1087.6016127796</v>
      </c>
      <c r="AU98" s="46" t="n">
        <f aca="false">-$E98*AU19</f>
        <v>-1075.77985611895</v>
      </c>
      <c r="AV98" s="46" t="n">
        <f aca="false">-$E98*AV19</f>
        <v>-1075.77985611895</v>
      </c>
      <c r="AW98" s="46" t="n">
        <f aca="false">-$E98*AW19</f>
        <v>-1087.6016127796</v>
      </c>
      <c r="AX98" s="46" t="n">
        <f aca="false">-$E98*AX19</f>
        <v>-1087.6016127796</v>
      </c>
      <c r="AY98" s="46" t="n">
        <f aca="false">-$E98*AY19</f>
        <v>-1063.95809945831</v>
      </c>
      <c r="AZ98" s="46" t="n">
        <f aca="false">-$E98*AZ19</f>
        <v>-1075.77985611895</v>
      </c>
      <c r="BA98" s="46" t="n">
        <f aca="false">-$E98*BA19</f>
        <v>-1087.6016127796</v>
      </c>
      <c r="BB98" s="46" t="n">
        <f aca="false">-$E98*BB19</f>
        <v>-1087.6016127796</v>
      </c>
      <c r="BC98" s="46" t="n">
        <f aca="false">-$E98*BC19</f>
        <v>-1063.95809945831</v>
      </c>
      <c r="BD98" s="46" t="n">
        <f aca="false">-$E98*BD19</f>
        <v>-1075.77985611895</v>
      </c>
      <c r="BE98" s="46" t="n">
        <f aca="false">-$E98*BE19</f>
        <v>-1087.6016127796</v>
      </c>
      <c r="BF98" s="46" t="n">
        <f aca="false">-$E98*BF19</f>
        <v>-1087.6016127796</v>
      </c>
      <c r="BG98" s="46" t="n">
        <f aca="false">-$E98*BG19</f>
        <v>-1063.95809945831</v>
      </c>
      <c r="BH98" s="46" t="n">
        <f aca="false">-$E98*BH19</f>
        <v>-1075.77985611895</v>
      </c>
      <c r="BI98" s="46" t="n">
        <f aca="false">-$E98*BI19</f>
        <v>-1087.6016127796</v>
      </c>
      <c r="BJ98" s="46" t="n">
        <f aca="false">-$E98*BJ19</f>
        <v>-1087.6016127796</v>
      </c>
      <c r="BK98" s="46" t="n">
        <f aca="false">-$E98*BK19</f>
        <v>-1075.77985611895</v>
      </c>
      <c r="BL98" s="46" t="n">
        <f aca="false">-$E98*BL19</f>
        <v>-1075.77985611895</v>
      </c>
      <c r="BM98" s="46" t="n">
        <f aca="false">-$E98*BM19</f>
        <v>-1087.6016127796</v>
      </c>
      <c r="BN98" s="46" t="n">
        <f aca="false">-$E98*BN19</f>
        <v>-1087.6016127796</v>
      </c>
      <c r="BO98" s="46" t="n">
        <f aca="false">-$E98*BO19</f>
        <v>-1063.95809945831</v>
      </c>
      <c r="BP98" s="46" t="n">
        <f aca="false">-$E98*BP19</f>
        <v>-1075.77985611895</v>
      </c>
      <c r="BQ98" s="46" t="n">
        <f aca="false">-$E98*BQ19</f>
        <v>-1087.6016127796</v>
      </c>
      <c r="BR98" s="46" t="n">
        <f aca="false">-$E98*BR19</f>
        <v>-1087.6016127796</v>
      </c>
      <c r="BS98" s="46" t="n">
        <f aca="false">-$E98*BS19</f>
        <v>-1063.95809945831</v>
      </c>
      <c r="BT98" s="46" t="n">
        <f aca="false">-$E98*BT19</f>
        <v>-1075.77985611895</v>
      </c>
      <c r="BU98" s="46" t="n">
        <f aca="false">-$E98*BU19</f>
        <v>-1087.6016127796</v>
      </c>
      <c r="BV98" s="46" t="n">
        <f aca="false">-$E98*BV19</f>
        <v>-1087.6016127796</v>
      </c>
      <c r="BW98" s="46" t="n">
        <f aca="false">-$E98*BW19</f>
        <v>-1063.95809945831</v>
      </c>
      <c r="BX98" s="46" t="n">
        <f aca="false">-$E98*BX19</f>
        <v>-1075.77985611895</v>
      </c>
      <c r="BY98" s="46" t="n">
        <f aca="false">-$E98*BY19</f>
        <v>-1087.6016127796</v>
      </c>
      <c r="BZ98" s="46" t="n">
        <f aca="false">-$E98*BZ19</f>
        <v>-1087.6016127796</v>
      </c>
      <c r="CA98" s="46" t="n">
        <f aca="false">-$E98*CA19</f>
        <v>-1075.77985611895</v>
      </c>
      <c r="CB98" s="46" t="n">
        <f aca="false">-$E98*CB19</f>
        <v>-1075.77985611895</v>
      </c>
      <c r="CC98" s="46" t="n">
        <f aca="false">-$E98*CC19</f>
        <v>-1087.6016127796</v>
      </c>
      <c r="CD98" s="46" t="n">
        <f aca="false">-$E98*CD19</f>
        <v>-1087.6016127796</v>
      </c>
      <c r="CE98" s="46" t="n">
        <f aca="false">-$E98*CE19</f>
        <v>-1063.95809945831</v>
      </c>
      <c r="CF98" s="46" t="n">
        <f aca="false">-$E98*CF19</f>
        <v>-1075.77985611895</v>
      </c>
      <c r="CG98" s="46" t="n">
        <f aca="false">-$E98*CG19</f>
        <v>-1087.6016127796</v>
      </c>
      <c r="CH98" s="46" t="n">
        <f aca="false">-$E98*CH19</f>
        <v>-1087.6016127796</v>
      </c>
      <c r="CI98" s="46" t="n">
        <f aca="false">-$E98*CI19</f>
        <v>-1063.95809945831</v>
      </c>
      <c r="CJ98" s="46" t="n">
        <f aca="false">-$E98*CJ19</f>
        <v>-1075.77985611895</v>
      </c>
      <c r="CK98" s="46" t="n">
        <f aca="false">-$E98*CK19</f>
        <v>-1087.6016127796</v>
      </c>
      <c r="CL98" s="46" t="n">
        <f aca="false">-$E98*CL19</f>
        <v>-1087.6016127796</v>
      </c>
      <c r="CM98" s="46" t="n">
        <f aca="false">-$E98*CM19</f>
        <v>-1063.95809945831</v>
      </c>
      <c r="CN98" s="46" t="n">
        <f aca="false">-$E98*CN19</f>
        <v>-1075.77985611895</v>
      </c>
      <c r="CO98" s="46" t="n">
        <f aca="false">-$E98*CO19</f>
        <v>-1087.6016127796</v>
      </c>
      <c r="CP98" s="46" t="n">
        <f aca="false">-$E98*CP19</f>
        <v>-1087.6016127796</v>
      </c>
      <c r="CQ98" s="46" t="n">
        <f aca="false">-$E98*CQ19</f>
        <v>-1075.77985611895</v>
      </c>
      <c r="CR98" s="46" t="n">
        <f aca="false">-$E98*CR19</f>
        <v>-1075.77985611895</v>
      </c>
      <c r="CS98" s="46" t="n">
        <f aca="false">-$E98*CS19</f>
        <v>-1087.6016127796</v>
      </c>
      <c r="CT98" s="46" t="n">
        <f aca="false">-$E98*CT19</f>
        <v>-1087.6016127796</v>
      </c>
      <c r="CU98" s="46" t="n">
        <f aca="false">-$E98*CU19</f>
        <v>-1063.95809945831</v>
      </c>
      <c r="CV98" s="46" t="n">
        <f aca="false">-$E98*CV19</f>
        <v>-1075.77985611895</v>
      </c>
      <c r="CW98" s="46" t="n">
        <f aca="false">-$E98*CW19</f>
        <v>-1087.6016127796</v>
      </c>
      <c r="CX98" s="46" t="n">
        <f aca="false">-$E98*CX19</f>
        <v>-1087.6016127796</v>
      </c>
      <c r="CY98" s="46" t="n">
        <f aca="false">-$E98*CY19</f>
        <v>-1063.95809945831</v>
      </c>
      <c r="CZ98" s="46" t="n">
        <f aca="false">-$E98*CZ19</f>
        <v>-1075.77985611895</v>
      </c>
      <c r="DA98" s="46" t="n">
        <f aca="false">-$E98*DA19</f>
        <v>-1087.6016127796</v>
      </c>
      <c r="DB98" s="46" t="n">
        <f aca="false">-$E98*DB19</f>
        <v>-0</v>
      </c>
      <c r="DC98" s="46" t="n">
        <f aca="false">-$E98*DC19</f>
        <v>-0</v>
      </c>
      <c r="DD98" s="46" t="n">
        <f aca="false">-$E98*DD19</f>
        <v>-0</v>
      </c>
      <c r="DE98" s="46" t="n">
        <f aca="false">-$E98*DE19</f>
        <v>-0</v>
      </c>
      <c r="DF98" s="46" t="n">
        <f aca="false">-$E98*DF19</f>
        <v>-0</v>
      </c>
      <c r="DG98" s="46" t="n">
        <f aca="false">-$E98*DG19</f>
        <v>-0</v>
      </c>
      <c r="DH98" s="46" t="n">
        <f aca="false">-$E98*DH19</f>
        <v>-0</v>
      </c>
      <c r="DI98" s="46" t="n">
        <f aca="false">-$E98*DI19</f>
        <v>-0</v>
      </c>
      <c r="DJ98" s="46" t="n">
        <f aca="false">-$E98*DJ19</f>
        <v>-0</v>
      </c>
      <c r="DK98" s="46" t="n">
        <f aca="false">-$E98*DK19</f>
        <v>-0</v>
      </c>
      <c r="DL98" s="46" t="n">
        <f aca="false">-$E98*DL19</f>
        <v>-0</v>
      </c>
      <c r="DM98" s="46" t="n">
        <f aca="false">-$E98*DM19</f>
        <v>-0</v>
      </c>
      <c r="DN98" s="46" t="n">
        <f aca="false">-$E98*DN19</f>
        <v>-0</v>
      </c>
      <c r="DO98" s="46" t="n">
        <f aca="false">-$E98*DO19</f>
        <v>-0</v>
      </c>
      <c r="DP98" s="46" t="n">
        <f aca="false">-$E98*DP19</f>
        <v>-0</v>
      </c>
      <c r="DQ98" s="46" t="n">
        <f aca="false">-$E98*DQ19</f>
        <v>-0</v>
      </c>
      <c r="DR98" s="46" t="n">
        <f aca="false">-$E98*DR19</f>
        <v>-0</v>
      </c>
      <c r="DS98" s="46" t="n">
        <f aca="false">-$E98*DS19</f>
        <v>-0</v>
      </c>
      <c r="DT98" s="46" t="n">
        <f aca="false">-$E98*DT19</f>
        <v>-0</v>
      </c>
      <c r="DU98" s="46" t="n">
        <f aca="false">-$E98*DU19</f>
        <v>-0</v>
      </c>
      <c r="DV98" s="46" t="n">
        <f aca="false">-$E98*DV19</f>
        <v>-0</v>
      </c>
      <c r="DW98" s="46" t="n">
        <f aca="false">-$E98*DW19</f>
        <v>-0</v>
      </c>
      <c r="DX98" s="46" t="n">
        <f aca="false">-$E98*DX19</f>
        <v>-0</v>
      </c>
      <c r="DY98" s="46" t="n">
        <f aca="false">-$E98*DY19</f>
        <v>-0</v>
      </c>
      <c r="DZ98" s="46" t="n">
        <f aca="false">-$E98*DZ19</f>
        <v>-0</v>
      </c>
      <c r="EA98" s="46" t="n">
        <f aca="false">-$E98*EA19</f>
        <v>-0</v>
      </c>
      <c r="EB98" s="46" t="n">
        <f aca="false">-$E98*EB19</f>
        <v>-0</v>
      </c>
      <c r="EC98" s="46" t="n">
        <f aca="false">-$E98*EC19</f>
        <v>-0</v>
      </c>
      <c r="ED98" s="46" t="n">
        <f aca="false">-$E98*ED19</f>
        <v>-0</v>
      </c>
      <c r="EE98" s="46" t="n">
        <f aca="false">-$E98*EE19</f>
        <v>-0</v>
      </c>
      <c r="EF98" s="46" t="n">
        <f aca="false">-$E98*EF19</f>
        <v>-0</v>
      </c>
      <c r="EG98" s="46" t="n">
        <f aca="false">-$E98*EG19</f>
        <v>-0</v>
      </c>
      <c r="EH98" s="46" t="n">
        <f aca="false">-$E98*EH19</f>
        <v>-0</v>
      </c>
      <c r="EI98" s="46" t="n">
        <f aca="false">-$E98*EI19</f>
        <v>-0</v>
      </c>
      <c r="EJ98" s="46" t="n">
        <f aca="false">-$E98*EJ19</f>
        <v>-0</v>
      </c>
      <c r="EK98" s="46" t="n">
        <f aca="false">-$E98*EK19</f>
        <v>-0</v>
      </c>
      <c r="EL98" s="46" t="n">
        <f aca="false">-$E98*EL19</f>
        <v>-0</v>
      </c>
      <c r="EM98" s="46" t="n">
        <f aca="false">-$E98*EM19</f>
        <v>-0</v>
      </c>
      <c r="EN98" s="46" t="n">
        <f aca="false">-$E98*EN19</f>
        <v>-0</v>
      </c>
      <c r="EO98" s="46" t="n">
        <f aca="false">-$E98*EO19</f>
        <v>-0</v>
      </c>
    </row>
    <row r="99" customFormat="false" ht="15" hidden="false" customHeight="false" outlineLevel="0" collapsed="false">
      <c r="C99" s="0" t="s">
        <v>423</v>
      </c>
      <c r="D99" s="11" t="s">
        <v>33</v>
      </c>
      <c r="I99" s="46" t="n">
        <f aca="false">SUM(J99:EO99)</f>
        <v>154737.461966802</v>
      </c>
      <c r="J99" s="46" t="n">
        <f aca="false">J75+J98+J85+J92+J93+J45+J52</f>
        <v>-11.6750159504597</v>
      </c>
      <c r="K99" s="46" t="n">
        <f aca="false">K75+K98+K85+K92+K93+K45+K52</f>
        <v>-14.8107337211484</v>
      </c>
      <c r="L99" s="46" t="n">
        <f aca="false">L75+L98+L85+L92+L93+L45+L52</f>
        <v>-24.958829048602</v>
      </c>
      <c r="M99" s="46" t="n">
        <f aca="false">M75+M98+M85+M92+M93+M45+M52</f>
        <v>-25.2331018952899</v>
      </c>
      <c r="N99" s="46" t="n">
        <f aca="false">N75+N98+N85+N92+N93+N45+N52</f>
        <v>-25.2331018952899</v>
      </c>
      <c r="O99" s="46" t="n">
        <f aca="false">O75+O98+O85+O92+O93+O45+O52</f>
        <v>-24.958829048602</v>
      </c>
      <c r="P99" s="46" t="n">
        <f aca="false">P75+P98+P85+P92+P93+P45+P52</f>
        <v>-24.958829048602</v>
      </c>
      <c r="Q99" s="46" t="n">
        <f aca="false">Q75+Q98+Q85+Q92+Q93+Q45+Q52</f>
        <v>-25.2331018952899</v>
      </c>
      <c r="R99" s="46" t="n">
        <f aca="false">R75+R98+R85+R92+R93+R45+R52</f>
        <v>-1346.28210822258</v>
      </c>
      <c r="S99" s="46" t="n">
        <f aca="false">S75+S98+S85+S92+S93+S45+S52</f>
        <v>-189.069141535839</v>
      </c>
      <c r="T99" s="46" t="n">
        <f aca="false">T75+T98+T85+T92+T93+T45+T52</f>
        <v>-161.537427119169</v>
      </c>
      <c r="U99" s="46" t="n">
        <f aca="false">U75+U98+U85+U92+U93+U45+U52</f>
        <v>-147.985346762171</v>
      </c>
      <c r="V99" s="46" t="n">
        <f aca="false">V75+V98+V85+V92+V93+V45+V52</f>
        <v>-132.489698888274</v>
      </c>
      <c r="W99" s="46" t="n">
        <f aca="false">W75+W98+W85+W92+W93+W45+W52</f>
        <v>-115.492633252017</v>
      </c>
      <c r="X99" s="46" t="n">
        <f aca="false">X75+X98+X85+X92+X93+X45+X52</f>
        <v>-101.781868181648</v>
      </c>
      <c r="Y99" s="46" t="n">
        <f aca="false">Y75+Y98+Y85+Y92+Y93+Y45+Y52</f>
        <v>-87.5731333308313</v>
      </c>
      <c r="Z99" s="46" t="n">
        <f aca="false">Z75+Z98+Z85+Z92+Z93+Z45+Z52</f>
        <v>334.676755772444</v>
      </c>
      <c r="AA99" s="46" t="n">
        <f aca="false">AA75+AA98+AA85+AA92+AA93+AA45+AA52</f>
        <v>331.108576069563</v>
      </c>
      <c r="AB99" s="46" t="n">
        <f aca="false">AB75+AB98+AB85+AB92+AB93+AB45+AB52</f>
        <v>350.513857083327</v>
      </c>
      <c r="AC99" s="46" t="n">
        <f aca="false">AC75+AC98+AC85+AC92+AC93+AC45+AC52</f>
        <v>370.185456367964</v>
      </c>
      <c r="AD99" s="46" t="n">
        <f aca="false">AD75+AD98+AD85+AD92+AD93+AD45+AD52</f>
        <v>369.420944905149</v>
      </c>
      <c r="AE99" s="46" t="n">
        <f aca="false">AE75+AE98+AE85+AE92+AE93+AE45+AE52</f>
        <v>378.665356100222</v>
      </c>
      <c r="AF99" s="46" t="n">
        <f aca="false">AF75+AF98+AF85+AF92+AF93+AF45+AF52</f>
        <v>386.010008543197</v>
      </c>
      <c r="AG99" s="46" t="n">
        <f aca="false">AG75+AG98+AG85+AG92+AG93+AG45+AG52</f>
        <v>406.153151611924</v>
      </c>
      <c r="AH99" s="46" t="n">
        <f aca="false">AH75+AH98+AH85+AH92+AH93+AH45+AH52</f>
        <v>405.743653152306</v>
      </c>
      <c r="AI99" s="46" t="n">
        <f aca="false">AI75+AI98+AI85+AI92+AI93+AI45+AI52</f>
        <v>402.399721884169</v>
      </c>
      <c r="AJ99" s="46" t="n">
        <f aca="false">AJ75+AJ98+AJ85+AJ92+AJ93+AJ45+AJ52</f>
        <v>447.709986641085</v>
      </c>
      <c r="AK99" s="46" t="n">
        <f aca="false">AK75+AK98+AK85+AK92+AK93+AK45+AK52</f>
        <v>468.796486687222</v>
      </c>
      <c r="AL99" s="46" t="n">
        <f aca="false">AL75+AL98+AL85+AL92+AL93+AL45+AL52</f>
        <v>468.945996724131</v>
      </c>
      <c r="AM99" s="46" t="n">
        <f aca="false">AM75+AM98+AM85+AM92+AM93+AM45+AM52</f>
        <v>465.215833601745</v>
      </c>
      <c r="AN99" s="46" t="n">
        <f aca="false">AN75+AN98+AN85+AN92+AN93+AN45+AN52</f>
        <v>486.363248039556</v>
      </c>
      <c r="AO99" s="46" t="n">
        <f aca="false">AO75+AO98+AO85+AO92+AO93+AO45+AO52</f>
        <v>507.788513340765</v>
      </c>
      <c r="AP99" s="46" t="n">
        <f aca="false">AP75+AP98+AP85+AP92+AP93+AP45+AP52</f>
        <v>508.155371250844</v>
      </c>
      <c r="AQ99" s="46" t="n">
        <f aca="false">AQ75+AQ98+AQ85+AQ92+AQ93+AQ45+AQ52</f>
        <v>504.56426459844</v>
      </c>
      <c r="AR99" s="46" t="n">
        <f aca="false">AR75+AR98+AR85+AR92+AR93+AR45+AR52</f>
        <v>526.212858380903</v>
      </c>
      <c r="AS99" s="46" t="n">
        <f aca="false">AS75+AS98+AS85+AS92+AS93+AS45+AS52</f>
        <v>548.144911400145</v>
      </c>
      <c r="AT99" s="46" t="n">
        <f aca="false">AT75+AT98+AT85+AT92+AT93+AT45+AT52</f>
        <v>548.908638726111</v>
      </c>
      <c r="AU99" s="46" t="n">
        <f aca="false">AU75+AU98+AU85+AU92+AU93+AU45+AU52</f>
        <v>558.718827414623</v>
      </c>
      <c r="AV99" s="46" t="n">
        <f aca="false">AV75+AV98+AV85+AV92+AV93+AV45+AV52</f>
        <v>567.82392008763</v>
      </c>
      <c r="AW99" s="46" t="n">
        <f aca="false">AW75+AW98+AW85+AW92+AW93+AW45+AW52</f>
        <v>590.282181396451</v>
      </c>
      <c r="AX99" s="46" t="n">
        <f aca="false">AX75+AX98+AX85+AX92+AX93+AX45+AX52</f>
        <v>591.464719835899</v>
      </c>
      <c r="AY99" s="46" t="n">
        <f aca="false">AY75+AY98+AY85+AY92+AY93+AY45+AY52</f>
        <v>588.204494919352</v>
      </c>
      <c r="AZ99" s="46" t="n">
        <f aca="false">AZ75+AZ98+AZ85+AZ92+AZ93+AZ45+AZ52</f>
        <v>610.909598975317</v>
      </c>
      <c r="BA99" s="46" t="n">
        <f aca="false">BA75+BA98+BA85+BA92+BA93+BA45+BA52</f>
        <v>633.910053898234</v>
      </c>
      <c r="BB99" s="46" t="n">
        <f aca="false">BB75+BB98+BB85+BB92+BB93+BB45+BB52</f>
        <v>635.529959166152</v>
      </c>
      <c r="BC99" s="46" t="n">
        <f aca="false">BC75+BC98+BC85+BC92+BC93+BC45+BC52</f>
        <v>632.461152161672</v>
      </c>
      <c r="BD99" s="46" t="n">
        <f aca="false">BD75+BD98+BD85+BD92+BD93+BD45+BD52</f>
        <v>655.721072671048</v>
      </c>
      <c r="BE99" s="46" t="n">
        <f aca="false">BE75+BE98+BE85+BE92+BE93+BE45+BE52</f>
        <v>679.282622069947</v>
      </c>
      <c r="BF99" s="46" t="n">
        <f aca="false">BF75+BF98+BF85+BF92+BF93+BF45+BF52</f>
        <v>681.361492080512</v>
      </c>
      <c r="BG99" s="46" t="n">
        <f aca="false">BG75+BG98+BG85+BG92+BG93+BG45+BG52</f>
        <v>678.503303597855</v>
      </c>
      <c r="BH99" s="46" t="n">
        <f aca="false">BH75+BH98+BH85+BH92+BH93+BH45+BH52</f>
        <v>702.337581947291</v>
      </c>
      <c r="BI99" s="46" t="n">
        <f aca="false">BI75+BI98+BI85+BI92+BI93+BI45+BI52</f>
        <v>726.480010910459</v>
      </c>
      <c r="BJ99" s="46" t="n">
        <f aca="false">BJ75+BJ98+BJ85+BJ92+BJ93+BJ45+BJ52</f>
        <v>729.04043295991</v>
      </c>
      <c r="BK99" s="46" t="n">
        <f aca="false">BK75+BK98+BK85+BK92+BK93+BK45+BK52</f>
        <v>739.880365056631</v>
      </c>
      <c r="BL99" s="46" t="n">
        <f aca="false">BL75+BL98+BL85+BL92+BL93+BL45+BL52</f>
        <v>751.027623496526</v>
      </c>
      <c r="BM99" s="46" t="n">
        <f aca="false">BM75+BM98+BM85+BM92+BM93+BM45+BM52</f>
        <v>775.773834444666</v>
      </c>
      <c r="BN99" s="46" t="n">
        <f aca="false">BN75+BN98+BN85+BN92+BN93+BN45+BN52</f>
        <v>778.841647221109</v>
      </c>
      <c r="BO99" s="46" t="n">
        <f aca="false">BO75+BO98+BO85+BO92+BO93+BO45+BO52</f>
        <v>776.468425089787</v>
      </c>
      <c r="BP99" s="46" t="n">
        <f aca="false">BP75+BP98+BP85+BP92+BP93+BP45+BP52</f>
        <v>801.516019918186</v>
      </c>
      <c r="BQ99" s="46" t="n">
        <f aca="false">BQ75+BQ98+BQ85+BQ92+BQ93+BQ45+BQ52</f>
        <v>826.885612282418</v>
      </c>
      <c r="BR99" s="46" t="n">
        <f aca="false">BR75+BR98+BR85+BR92+BR93+BR45+BR52</f>
        <v>830.483412343548</v>
      </c>
      <c r="BS99" s="46" t="n">
        <f aca="false">BS75+BS98+BS85+BS92+BS93+BS45+BS52</f>
        <v>828.384462586225</v>
      </c>
      <c r="BT99" s="46" t="n">
        <f aca="false">BT75+BT98+BT85+BT92+BT93+BT45+BT52</f>
        <v>854.070823670996</v>
      </c>
      <c r="BU99" s="46" t="n">
        <f aca="false">BU75+BU98+BU85+BU92+BU93+BU45+BU52</f>
        <v>880.086506150579</v>
      </c>
      <c r="BV99" s="46" t="n">
        <f aca="false">BV75+BV98+BV85+BV92+BV93+BV45+BV52</f>
        <v>884.240138554807</v>
      </c>
      <c r="BW99" s="46" t="n">
        <f aca="false">BW75+BW98+BW85+BW92+BW93+BW45+BW52</f>
        <v>882.438789379331</v>
      </c>
      <c r="BX99" s="46" t="n">
        <f aca="false">BX75+BX98+BX85+BX92+BX93+BX45+BX52</f>
        <v>908.787402273039</v>
      </c>
      <c r="BY99" s="46" t="n">
        <f aca="false">BY75+BY98+BY85+BY92+BY93+BY45+BY52</f>
        <v>935.472952554807</v>
      </c>
      <c r="BZ99" s="46" t="n">
        <f aca="false">BZ75+BZ98+BZ85+BZ92+BZ93+BZ45+BZ52</f>
        <v>940.209449225002</v>
      </c>
      <c r="CA99" s="46" t="n">
        <f aca="false">CA75+CA98+CA85+CA92+CA93+CA45+CA52</f>
        <v>952.372792627891</v>
      </c>
      <c r="CB99" s="46" t="n">
        <f aca="false">CB75+CB98+CB85+CB92+CB93+CB45+CB52</f>
        <v>965.952378049356</v>
      </c>
      <c r="CC99" s="46" t="n">
        <f aca="false">CC75+CC98+CC85+CC92+CC93+CC45+CC52</f>
        <v>993.334899373105</v>
      </c>
      <c r="CD99" s="46" t="n">
        <f aca="false">CD75+CD98+CD85+CD92+CD93+CD45+CD52</f>
        <v>998.684765105379</v>
      </c>
      <c r="CE99" s="46" t="n">
        <f aca="false">CE75+CE98+CE85+CE92+CE93+CE45+CE52</f>
        <v>997.555539004197</v>
      </c>
      <c r="CF99" s="46" t="n">
        <f aca="false">CF75+CF98+CF85+CF92+CF93+CF45+CF52</f>
        <v>1025.3058787258</v>
      </c>
      <c r="CG99" s="46" t="n">
        <f aca="false">CG75+CG98+CG85+CG92+CG93+CG45+CG52</f>
        <v>1053.40934611768</v>
      </c>
      <c r="CH99" s="46" t="n">
        <f aca="false">CH75+CH98+CH85+CH92+CH93+CH45+CH52</f>
        <v>1059.40003148872</v>
      </c>
      <c r="CI99" s="46" t="n">
        <f aca="false">CI75+CI98+CI85+CI92+CI93+CI45+CI52</f>
        <v>1058.64565959046</v>
      </c>
      <c r="CJ99" s="46" t="n">
        <f aca="false">CJ75+CJ98+CJ85+CJ92+CJ93+CJ45+CJ52</f>
        <v>1087.13567871379</v>
      </c>
      <c r="CK99" s="46" t="n">
        <f aca="false">CK75+CK98+CK85+CK92+CK93+CK45+CK52</f>
        <v>1115.98740324396</v>
      </c>
      <c r="CL99" s="46" t="n">
        <f aca="false">CL75+CL98+CL85+CL92+CL93+CL45+CL52</f>
        <v>1122.64984813172</v>
      </c>
      <c r="CM99" s="46" t="n">
        <f aca="false">CM75+CM98+CM85+CM92+CM93+CM45+CM52</f>
        <v>1122.29862980228</v>
      </c>
      <c r="CN99" s="46" t="n">
        <f aca="false">CN75+CN98+CN85+CN92+CN93+CN45+CN52</f>
        <v>1151.55658113991</v>
      </c>
      <c r="CO99" s="46" t="n">
        <f aca="false">CO75+CO98+CO85+CO92+CO93+CO45+CO52</f>
        <v>1181.18516610997</v>
      </c>
      <c r="CP99" s="46" t="n">
        <f aca="false">CP75+CP98+CP85+CP92+CP93+CP45+CP52</f>
        <v>1188.55173476614</v>
      </c>
      <c r="CQ99" s="46" t="n">
        <f aca="false">CQ75+CQ98+CQ85+CQ92+CQ93+CQ45+CQ52</f>
        <v>1202.39826662955</v>
      </c>
      <c r="CR99" s="46" t="n">
        <f aca="false">CR75+CR98+CR85+CR92+CR93+CR45+CR52</f>
        <v>1218.87642999682</v>
      </c>
      <c r="CS99" s="46" t="n">
        <f aca="false">CS75+CS98+CS85+CS92+CS93+CS45+CS52</f>
        <v>1249.31404843747</v>
      </c>
      <c r="CT99" s="46" t="n">
        <f aca="false">CT75+CT98+CT85+CT92+CT93+CT45+CT52</f>
        <v>1257.42083696497</v>
      </c>
      <c r="CU99" s="46" t="n">
        <f aca="false">CU75+CU98+CU85+CU92+CU93+CU45+CU52</f>
        <v>1240.77294150928</v>
      </c>
      <c r="CV99" s="46" t="n">
        <f aca="false">CV75+CV98+CV85+CV92+CV93+CV45+CV52</f>
        <v>1254.55930752605</v>
      </c>
      <c r="CW99" s="46" t="n">
        <f aca="false">CW75+CW98+CW85+CW92+CW93+CW45+CW52</f>
        <v>1268.34567354282</v>
      </c>
      <c r="CX99" s="46" t="n">
        <f aca="false">CX75+CX98+CX85+CX92+CX93+CX45+CX52</f>
        <v>1259.34217289948</v>
      </c>
      <c r="CY99" s="46" t="n">
        <f aca="false">CY75+CY98+CY85+CY92+CY93+CY45+CY52</f>
        <v>1242.35503965118</v>
      </c>
      <c r="CZ99" s="46" t="n">
        <f aca="false">CZ75+CZ98+CZ85+CZ92+CZ93+CZ45+CZ52</f>
        <v>1256.15898453619</v>
      </c>
      <c r="DA99" s="46" t="n">
        <f aca="false">DA75+DA98+DA85+DA92+DA93+DA45+DA52</f>
        <v>1269.96292942121</v>
      </c>
      <c r="DB99" s="46" t="n">
        <f aca="false">DB75+DB98+DB85+DB92+DB93+DB45+DB52</f>
        <v>2348.50779832022</v>
      </c>
      <c r="DC99" s="46" t="n">
        <f aca="false">DC75+DC98+DC85+DC92+DC93+DC45+DC52</f>
        <v>2307.53459973025</v>
      </c>
      <c r="DD99" s="46" t="n">
        <f aca="false">DD75+DD98+DD85+DD92+DD93+DD45+DD52</f>
        <v>2333.17387306058</v>
      </c>
      <c r="DE99" s="46" t="n">
        <f aca="false">DE75+DE98+DE85+DE92+DE93+DE45+DE52</f>
        <v>2358.81314639092</v>
      </c>
      <c r="DF99" s="46" t="n">
        <f aca="false">DF75+DF98+DF85+DF92+DF93+DF45+DF52</f>
        <v>2349.70305544141</v>
      </c>
      <c r="DG99" s="46" t="n">
        <f aca="false">DG75+DG98+DG85+DG92+DG93+DG45+DG52</f>
        <v>2334.0326535103</v>
      </c>
      <c r="DH99" s="46" t="n">
        <f aca="false">DH75+DH98+DH85+DH92+DH93+DH45+DH52</f>
        <v>2334.0326535103</v>
      </c>
      <c r="DI99" s="46" t="n">
        <f aca="false">DI75+DI98+DI85+DI92+DI93+DI45+DI52</f>
        <v>2359.68136398844</v>
      </c>
      <c r="DJ99" s="46" t="n">
        <f aca="false">DJ75+DJ98+DJ85+DJ92+DJ93+DJ45+DJ52</f>
        <v>2350.51782709838</v>
      </c>
      <c r="DK99" s="46" t="n">
        <f aca="false">DK75+DK98+DK85+DK92+DK93+DK45+DK52</f>
        <v>2308.84939057629</v>
      </c>
      <c r="DL99" s="46" t="n">
        <f aca="false">DL75+DL98+DL85+DL92+DL93+DL45+DL52</f>
        <v>2334.50327269381</v>
      </c>
      <c r="DM99" s="46" t="n">
        <f aca="false">DM75+DM98+DM85+DM92+DM93+DM45+DM52</f>
        <v>2360.15715481132</v>
      </c>
      <c r="DN99" s="46" t="n">
        <f aca="false">DN75+DN98+DN85+DN92+DN93+DN45+DN52</f>
        <v>2350.94007822885</v>
      </c>
      <c r="DO99" s="46" t="n">
        <f aca="false">DO75+DO98+DO85+DO92+DO93+DO45+DO52</f>
        <v>2308.91885786123</v>
      </c>
      <c r="DP99" s="46" t="n">
        <f aca="false">DP75+DP98+DP85+DP92+DP93+DP45+DP52</f>
        <v>2334.57351183747</v>
      </c>
      <c r="DQ99" s="46" t="n">
        <f aca="false">DQ75+DQ98+DQ85+DQ92+DQ93+DQ45+DQ52</f>
        <v>2360.2281658137</v>
      </c>
      <c r="DR99" s="46" t="n">
        <f aca="false">DR75+DR98+DR85+DR92+DR93+DR45+DR52</f>
        <v>2350.95746107027</v>
      </c>
      <c r="DS99" s="46" t="n">
        <f aca="false">DS75+DS98+DS85+DS92+DS93+DS45+DS52</f>
        <v>2308.57994671947</v>
      </c>
      <c r="DT99" s="46" t="n">
        <f aca="false">DT75+DT98+DT85+DT92+DT93+DT45+DT52</f>
        <v>2334.23083501635</v>
      </c>
      <c r="DU99" s="46" t="n">
        <f aca="false">DU75+DU98+DU85+DU92+DU93+DU45+DU52</f>
        <v>2359.88172331323</v>
      </c>
      <c r="DV99" s="46" t="n">
        <f aca="false">DV75+DV98+DV85+DV92+DV93+DV45+DV52</f>
        <v>2350.55730739115</v>
      </c>
      <c r="DW99" s="46" t="n">
        <f aca="false">DW75+DW98+DW85+DW92+DW93+DW45+DW52</f>
        <v>2333.46238127704</v>
      </c>
      <c r="DX99" s="46" t="n">
        <f aca="false">DX75+DX98+DX85+DX92+DX93+DX45+DX52</f>
        <v>2333.46238127704</v>
      </c>
      <c r="DY99" s="46" t="n">
        <f aca="false">DY75+DY98+DY85+DY92+DY93+DY45+DY52</f>
        <v>2359.10482502734</v>
      </c>
      <c r="DZ99" s="46" t="n">
        <f aca="false">DZ75+DZ98+DZ85+DZ92+DZ93+DZ45+DZ52</f>
        <v>2349.72662053131</v>
      </c>
      <c r="EA99" s="46" t="n">
        <f aca="false">EA75+EA98+EA85+EA92+EA93+EA45+EA52</f>
        <v>2306.6257812199</v>
      </c>
      <c r="EB99" s="46" t="n">
        <f aca="false">EB75+EB98+EB85+EB92+EB93+EB45+EB52</f>
        <v>2332.25495656679</v>
      </c>
      <c r="EC99" s="46" t="n">
        <f aca="false">EC75+EC98+EC85+EC92+EC93+EC45+EC52</f>
        <v>2357.88413191368</v>
      </c>
      <c r="ED99" s="46" t="n">
        <f aca="false">ED75+ED98+ED85+ED92+ED93+ED45+ED52</f>
        <v>2348.45206724646</v>
      </c>
      <c r="EE99" s="46" t="n">
        <f aca="false">EE75+EE98+EE85+EE92+EE93+EE45+EE52</f>
        <v>2304.98409111847</v>
      </c>
      <c r="EF99" s="46" t="n">
        <f aca="false">EF75+EF98+EF85+EF92+EF93+EF45+EF52</f>
        <v>2330.59502546423</v>
      </c>
      <c r="EG99" s="46" t="n">
        <f aca="false">EG75+EG98+EG85+EG92+EG93+EG45+EG52</f>
        <v>2356.20595980999</v>
      </c>
      <c r="EH99" s="46" t="n">
        <f aca="false">EH75+EH98+EH85+EH92+EH93+EH45+EH52</f>
        <v>2346.7199693523</v>
      </c>
      <c r="EI99" s="46" t="n">
        <f aca="false">EI75+EI98+EI85+EI92+EI93+EI45+EI52</f>
        <v>2302.88113454521</v>
      </c>
      <c r="EJ99" s="46" t="n">
        <f aca="false">EJ75+EJ98+EJ85+EJ92+EJ93+EJ45+EJ52</f>
        <v>2328.46870270682</v>
      </c>
      <c r="EK99" s="46" t="n">
        <f aca="false">EK75+EK98+EK85+EK92+EK93+EK45+EK52</f>
        <v>2354.05627086843</v>
      </c>
      <c r="EL99" s="46" t="n">
        <f aca="false">EL75+EL98+EL85+EL92+EL93+EL45+EL52</f>
        <v>2344.51629516311</v>
      </c>
      <c r="EM99" s="46" t="n">
        <f aca="false">EM75+EM98+EM85+EM92+EM93+EM45+EM52</f>
        <v>2325.86174450996</v>
      </c>
      <c r="EN99" s="46" t="n">
        <f aca="false">EN75+EN98+EN85+EN92+EN93+EN45+EN52</f>
        <v>2325.86174450996</v>
      </c>
      <c r="EO99" s="46" t="n">
        <f aca="false">EO75+EO98+EO85+EO92+EO93+EO45+EO52</f>
        <v>2351.4206647793</v>
      </c>
    </row>
    <row r="100" customFormat="false" ht="15" hidden="false" customHeight="false" outlineLevel="0" collapsed="false">
      <c r="C100" s="0" t="s">
        <v>424</v>
      </c>
      <c r="D100" s="11" t="s">
        <v>33</v>
      </c>
      <c r="J100" s="19" t="n">
        <f aca="false">I104</f>
        <v>0</v>
      </c>
      <c r="K100" s="19" t="n">
        <f aca="false">J104</f>
        <v>11.6750159504597</v>
      </c>
      <c r="L100" s="19" t="n">
        <f aca="false">K104</f>
        <v>26.4857496716082</v>
      </c>
      <c r="M100" s="19" t="n">
        <f aca="false">L104</f>
        <v>51.4445787202102</v>
      </c>
      <c r="N100" s="19" t="n">
        <f aca="false">M104</f>
        <v>76.6776806155001</v>
      </c>
      <c r="O100" s="19" t="n">
        <f aca="false">N104</f>
        <v>101.91078251079</v>
      </c>
      <c r="P100" s="19" t="n">
        <f aca="false">O104</f>
        <v>126.869611559392</v>
      </c>
      <c r="Q100" s="19" t="n">
        <f aca="false">P104</f>
        <v>151.828440607994</v>
      </c>
      <c r="R100" s="19" t="n">
        <f aca="false">Q104</f>
        <v>177.061542503284</v>
      </c>
      <c r="S100" s="19" t="n">
        <f aca="false">R104</f>
        <v>1523.34365072587</v>
      </c>
      <c r="T100" s="19" t="n">
        <f aca="false">S104</f>
        <v>1712.41279226171</v>
      </c>
      <c r="U100" s="19" t="n">
        <f aca="false">T104</f>
        <v>1873.95021938088</v>
      </c>
      <c r="V100" s="19" t="n">
        <f aca="false">U104</f>
        <v>2021.93556614305</v>
      </c>
      <c r="W100" s="19" t="n">
        <f aca="false">V104</f>
        <v>2154.42526503132</v>
      </c>
      <c r="X100" s="19" t="n">
        <f aca="false">W104</f>
        <v>2269.91789828334</v>
      </c>
      <c r="Y100" s="19" t="n">
        <f aca="false">X104</f>
        <v>2371.69976646499</v>
      </c>
      <c r="Z100" s="19" t="n">
        <f aca="false">Y104</f>
        <v>2459.27289979582</v>
      </c>
      <c r="AA100" s="19" t="n">
        <f aca="false">Z104</f>
        <v>2291.9345219096</v>
      </c>
      <c r="AB100" s="19" t="n">
        <f aca="false">AA104</f>
        <v>2126.38023387481</v>
      </c>
      <c r="AC100" s="19" t="n">
        <f aca="false">AB104</f>
        <v>1951.12330533315</v>
      </c>
      <c r="AD100" s="19" t="n">
        <f aca="false">AC104</f>
        <v>1766.03057714917</v>
      </c>
      <c r="AE100" s="19" t="n">
        <f aca="false">AD104</f>
        <v>1581.32010469659</v>
      </c>
      <c r="AF100" s="19" t="n">
        <f aca="false">AE104</f>
        <v>1391.98742664648</v>
      </c>
      <c r="AG100" s="19" t="n">
        <f aca="false">AF104</f>
        <v>1198.98242237488</v>
      </c>
      <c r="AH100" s="19" t="n">
        <f aca="false">AG104</f>
        <v>995.905846568922</v>
      </c>
      <c r="AI100" s="19" t="n">
        <f aca="false">AH104</f>
        <v>793.034019992769</v>
      </c>
      <c r="AJ100" s="19" t="n">
        <f aca="false">AI104</f>
        <v>591.834159050685</v>
      </c>
      <c r="AK100" s="19" t="n">
        <f aca="false">AJ104</f>
        <v>367.979165730142</v>
      </c>
      <c r="AL100" s="19" t="n">
        <f aca="false">AK104</f>
        <v>0</v>
      </c>
      <c r="AM100" s="19" t="n">
        <f aca="false">AL104</f>
        <v>0</v>
      </c>
      <c r="AN100" s="19" t="n">
        <f aca="false">AM104</f>
        <v>0</v>
      </c>
      <c r="AO100" s="19" t="n">
        <f aca="false">AN104</f>
        <v>0</v>
      </c>
      <c r="AP100" s="19" t="n">
        <f aca="false">AO104</f>
        <v>0</v>
      </c>
      <c r="AQ100" s="19" t="n">
        <f aca="false">AP104</f>
        <v>0</v>
      </c>
      <c r="AR100" s="19" t="n">
        <f aca="false">AQ104</f>
        <v>0</v>
      </c>
      <c r="AS100" s="19" t="n">
        <f aca="false">AR104</f>
        <v>0</v>
      </c>
      <c r="AT100" s="19" t="n">
        <f aca="false">AS104</f>
        <v>0</v>
      </c>
      <c r="AU100" s="19" t="n">
        <f aca="false">AT104</f>
        <v>0</v>
      </c>
      <c r="AV100" s="19" t="n">
        <f aca="false">AU104</f>
        <v>0</v>
      </c>
      <c r="AW100" s="19" t="n">
        <f aca="false">AV104</f>
        <v>0</v>
      </c>
      <c r="AX100" s="19" t="n">
        <f aca="false">AW104</f>
        <v>0</v>
      </c>
      <c r="AY100" s="19" t="n">
        <f aca="false">AX104</f>
        <v>0</v>
      </c>
      <c r="AZ100" s="19" t="n">
        <f aca="false">AY104</f>
        <v>0</v>
      </c>
      <c r="BA100" s="19" t="n">
        <f aca="false">AZ104</f>
        <v>0</v>
      </c>
      <c r="BB100" s="19" t="n">
        <f aca="false">BA104</f>
        <v>0</v>
      </c>
      <c r="BC100" s="19" t="n">
        <f aca="false">BB104</f>
        <v>0</v>
      </c>
      <c r="BD100" s="19" t="n">
        <f aca="false">BC104</f>
        <v>0</v>
      </c>
      <c r="BE100" s="19" t="n">
        <f aca="false">BD104</f>
        <v>0</v>
      </c>
      <c r="BF100" s="19" t="n">
        <f aca="false">BE104</f>
        <v>0</v>
      </c>
      <c r="BG100" s="19" t="n">
        <f aca="false">BF104</f>
        <v>0</v>
      </c>
      <c r="BH100" s="19" t="n">
        <f aca="false">BG104</f>
        <v>0</v>
      </c>
      <c r="BI100" s="19" t="n">
        <f aca="false">BH104</f>
        <v>0</v>
      </c>
      <c r="BJ100" s="19" t="n">
        <f aca="false">BI104</f>
        <v>0</v>
      </c>
      <c r="BK100" s="19" t="n">
        <f aca="false">BJ104</f>
        <v>0</v>
      </c>
      <c r="BL100" s="19" t="n">
        <f aca="false">BK104</f>
        <v>0</v>
      </c>
      <c r="BM100" s="19" t="n">
        <f aca="false">BL104</f>
        <v>0</v>
      </c>
      <c r="BN100" s="19" t="n">
        <f aca="false">BM104</f>
        <v>0</v>
      </c>
      <c r="BO100" s="19" t="n">
        <f aca="false">BN104</f>
        <v>0</v>
      </c>
      <c r="BP100" s="19" t="n">
        <f aca="false">BO104</f>
        <v>0</v>
      </c>
      <c r="BQ100" s="19" t="n">
        <f aca="false">BP104</f>
        <v>0</v>
      </c>
      <c r="BR100" s="19" t="n">
        <f aca="false">BQ104</f>
        <v>0</v>
      </c>
      <c r="BS100" s="19" t="n">
        <f aca="false">BR104</f>
        <v>0</v>
      </c>
      <c r="BT100" s="19" t="n">
        <f aca="false">BS104</f>
        <v>0</v>
      </c>
      <c r="BU100" s="19" t="n">
        <f aca="false">BT104</f>
        <v>0</v>
      </c>
      <c r="BV100" s="19" t="n">
        <f aca="false">BU104</f>
        <v>0</v>
      </c>
      <c r="BW100" s="19" t="n">
        <f aca="false">BV104</f>
        <v>0</v>
      </c>
      <c r="BX100" s="19" t="n">
        <f aca="false">BW104</f>
        <v>0</v>
      </c>
      <c r="BY100" s="19" t="n">
        <f aca="false">BX104</f>
        <v>0</v>
      </c>
      <c r="BZ100" s="19" t="n">
        <f aca="false">BY104</f>
        <v>0</v>
      </c>
      <c r="CA100" s="19" t="n">
        <f aca="false">BZ104</f>
        <v>0</v>
      </c>
      <c r="CB100" s="19" t="n">
        <f aca="false">CA104</f>
        <v>0</v>
      </c>
      <c r="CC100" s="19" t="n">
        <f aca="false">CB104</f>
        <v>0</v>
      </c>
      <c r="CD100" s="19" t="n">
        <f aca="false">CC104</f>
        <v>0</v>
      </c>
      <c r="CE100" s="19" t="n">
        <f aca="false">CD104</f>
        <v>0</v>
      </c>
      <c r="CF100" s="19" t="n">
        <f aca="false">CE104</f>
        <v>0</v>
      </c>
      <c r="CG100" s="19" t="n">
        <f aca="false">CF104</f>
        <v>0</v>
      </c>
      <c r="CH100" s="19" t="n">
        <f aca="false">CG104</f>
        <v>0</v>
      </c>
      <c r="CI100" s="19" t="n">
        <f aca="false">CH104</f>
        <v>0</v>
      </c>
      <c r="CJ100" s="19" t="n">
        <f aca="false">CI104</f>
        <v>0</v>
      </c>
      <c r="CK100" s="19" t="n">
        <f aca="false">CJ104</f>
        <v>0</v>
      </c>
      <c r="CL100" s="19" t="n">
        <f aca="false">CK104</f>
        <v>0</v>
      </c>
      <c r="CM100" s="19" t="n">
        <f aca="false">CL104</f>
        <v>0</v>
      </c>
      <c r="CN100" s="19" t="n">
        <f aca="false">CM104</f>
        <v>0</v>
      </c>
      <c r="CO100" s="19" t="n">
        <f aca="false">CN104</f>
        <v>0</v>
      </c>
      <c r="CP100" s="19" t="n">
        <f aca="false">CO104</f>
        <v>0</v>
      </c>
      <c r="CQ100" s="19" t="n">
        <f aca="false">CP104</f>
        <v>0</v>
      </c>
      <c r="CR100" s="19" t="n">
        <f aca="false">CQ104</f>
        <v>0</v>
      </c>
      <c r="CS100" s="19" t="n">
        <f aca="false">CR104</f>
        <v>0</v>
      </c>
      <c r="CT100" s="19" t="n">
        <f aca="false">CS104</f>
        <v>0</v>
      </c>
      <c r="CU100" s="19" t="n">
        <f aca="false">CT104</f>
        <v>0</v>
      </c>
      <c r="CV100" s="19" t="n">
        <f aca="false">CU104</f>
        <v>0</v>
      </c>
      <c r="CW100" s="19" t="n">
        <f aca="false">CV104</f>
        <v>0</v>
      </c>
      <c r="CX100" s="19" t="n">
        <f aca="false">CW104</f>
        <v>0</v>
      </c>
      <c r="CY100" s="19" t="n">
        <f aca="false">CX104</f>
        <v>0</v>
      </c>
      <c r="CZ100" s="19" t="n">
        <f aca="false">CY104</f>
        <v>0</v>
      </c>
      <c r="DA100" s="19" t="n">
        <f aca="false">CZ104</f>
        <v>0</v>
      </c>
      <c r="DB100" s="19" t="n">
        <f aca="false">DA104</f>
        <v>0</v>
      </c>
      <c r="DC100" s="19" t="n">
        <f aca="false">DB104</f>
        <v>0</v>
      </c>
      <c r="DD100" s="19" t="n">
        <f aca="false">DC104</f>
        <v>0</v>
      </c>
      <c r="DE100" s="19" t="n">
        <f aca="false">DD104</f>
        <v>0</v>
      </c>
      <c r="DF100" s="19" t="n">
        <f aca="false">DE104</f>
        <v>0</v>
      </c>
      <c r="DG100" s="19" t="n">
        <f aca="false">DF104</f>
        <v>0</v>
      </c>
      <c r="DH100" s="19" t="n">
        <f aca="false">DG104</f>
        <v>0</v>
      </c>
      <c r="DI100" s="19" t="n">
        <f aca="false">DH104</f>
        <v>0</v>
      </c>
      <c r="DJ100" s="19" t="n">
        <f aca="false">DI104</f>
        <v>0</v>
      </c>
      <c r="DK100" s="19" t="n">
        <f aca="false">DJ104</f>
        <v>0</v>
      </c>
      <c r="DL100" s="19" t="n">
        <f aca="false">DK104</f>
        <v>0</v>
      </c>
      <c r="DM100" s="19" t="n">
        <f aca="false">DL104</f>
        <v>0</v>
      </c>
      <c r="DN100" s="19" t="n">
        <f aca="false">DM104</f>
        <v>0</v>
      </c>
      <c r="DO100" s="19" t="n">
        <f aca="false">DN104</f>
        <v>0</v>
      </c>
      <c r="DP100" s="19" t="n">
        <f aca="false">DO104</f>
        <v>0</v>
      </c>
      <c r="DQ100" s="19" t="n">
        <f aca="false">DP104</f>
        <v>0</v>
      </c>
      <c r="DR100" s="19" t="n">
        <f aca="false">DQ104</f>
        <v>0</v>
      </c>
      <c r="DS100" s="19" t="n">
        <f aca="false">DR104</f>
        <v>0</v>
      </c>
      <c r="DT100" s="19" t="n">
        <f aca="false">DS104</f>
        <v>0</v>
      </c>
      <c r="DU100" s="19" t="n">
        <f aca="false">DT104</f>
        <v>0</v>
      </c>
      <c r="DV100" s="19" t="n">
        <f aca="false">DU104</f>
        <v>0</v>
      </c>
      <c r="DW100" s="19" t="n">
        <f aca="false">DV104</f>
        <v>0</v>
      </c>
      <c r="DX100" s="19" t="n">
        <f aca="false">DW104</f>
        <v>0</v>
      </c>
      <c r="DY100" s="19" t="n">
        <f aca="false">DX104</f>
        <v>0</v>
      </c>
      <c r="DZ100" s="19" t="n">
        <f aca="false">DY104</f>
        <v>0</v>
      </c>
      <c r="EA100" s="19" t="n">
        <f aca="false">DZ104</f>
        <v>0</v>
      </c>
      <c r="EB100" s="19" t="n">
        <f aca="false">EA104</f>
        <v>0</v>
      </c>
      <c r="EC100" s="19" t="n">
        <f aca="false">EB104</f>
        <v>0</v>
      </c>
      <c r="ED100" s="19" t="n">
        <f aca="false">EC104</f>
        <v>0</v>
      </c>
      <c r="EE100" s="19" t="n">
        <f aca="false">ED104</f>
        <v>0</v>
      </c>
      <c r="EF100" s="19" t="n">
        <f aca="false">EE104</f>
        <v>0</v>
      </c>
      <c r="EG100" s="19" t="n">
        <f aca="false">EF104</f>
        <v>0</v>
      </c>
      <c r="EH100" s="19" t="n">
        <f aca="false">EG104</f>
        <v>0</v>
      </c>
      <c r="EI100" s="19" t="n">
        <f aca="false">EH104</f>
        <v>0</v>
      </c>
      <c r="EJ100" s="19" t="n">
        <f aca="false">EI104</f>
        <v>0</v>
      </c>
      <c r="EK100" s="19" t="n">
        <f aca="false">EJ104</f>
        <v>0</v>
      </c>
      <c r="EL100" s="19" t="n">
        <f aca="false">EK104</f>
        <v>0</v>
      </c>
      <c r="EM100" s="19" t="n">
        <f aca="false">EL104</f>
        <v>0</v>
      </c>
      <c r="EN100" s="19" t="n">
        <f aca="false">EM104</f>
        <v>0</v>
      </c>
      <c r="EO100" s="19" t="n">
        <f aca="false">EN104</f>
        <v>0</v>
      </c>
    </row>
    <row r="101" customFormat="false" ht="15" hidden="false" customHeight="false" outlineLevel="0" collapsed="false">
      <c r="C101" s="0" t="s">
        <v>425</v>
      </c>
      <c r="D101" s="11" t="s">
        <v>33</v>
      </c>
      <c r="I101" s="46" t="n">
        <f aca="false">SUM(J101:EO101)</f>
        <v>2459.27289979582</v>
      </c>
      <c r="J101" s="46" t="n">
        <f aca="false">MAX(0,-J99)</f>
        <v>11.6750159504597</v>
      </c>
      <c r="K101" s="46" t="n">
        <f aca="false">MAX(0,-K99)</f>
        <v>14.8107337211484</v>
      </c>
      <c r="L101" s="46" t="n">
        <f aca="false">MAX(0,-L99)</f>
        <v>24.958829048602</v>
      </c>
      <c r="M101" s="46" t="n">
        <f aca="false">MAX(0,-M99)</f>
        <v>25.2331018952899</v>
      </c>
      <c r="N101" s="46" t="n">
        <f aca="false">MAX(0,-N99)</f>
        <v>25.2331018952899</v>
      </c>
      <c r="O101" s="46" t="n">
        <f aca="false">MAX(0,-O99)</f>
        <v>24.958829048602</v>
      </c>
      <c r="P101" s="46" t="n">
        <f aca="false">MAX(0,-P99)</f>
        <v>24.958829048602</v>
      </c>
      <c r="Q101" s="46" t="n">
        <f aca="false">MAX(0,-Q99)</f>
        <v>25.2331018952899</v>
      </c>
      <c r="R101" s="46" t="n">
        <f aca="false">MAX(0,-R99)</f>
        <v>1346.28210822258</v>
      </c>
      <c r="S101" s="46" t="n">
        <f aca="false">MAX(0,-S99)</f>
        <v>189.069141535839</v>
      </c>
      <c r="T101" s="46" t="n">
        <f aca="false">MAX(0,-T99)</f>
        <v>161.537427119169</v>
      </c>
      <c r="U101" s="46" t="n">
        <f aca="false">MAX(0,-U99)</f>
        <v>147.985346762171</v>
      </c>
      <c r="V101" s="46" t="n">
        <f aca="false">MAX(0,-V99)</f>
        <v>132.489698888274</v>
      </c>
      <c r="W101" s="46" t="n">
        <f aca="false">MAX(0,-W99)</f>
        <v>115.492633252017</v>
      </c>
      <c r="X101" s="46" t="n">
        <f aca="false">MAX(0,-X99)</f>
        <v>101.781868181648</v>
      </c>
      <c r="Y101" s="46" t="n">
        <f aca="false">MAX(0,-Y99)</f>
        <v>87.5731333308313</v>
      </c>
      <c r="Z101" s="46" t="n">
        <f aca="false">MAX(0,-Z99)</f>
        <v>0</v>
      </c>
      <c r="AA101" s="46" t="n">
        <f aca="false">MAX(0,-AA99)</f>
        <v>0</v>
      </c>
      <c r="AB101" s="46" t="n">
        <f aca="false">MAX(0,-AB99)</f>
        <v>0</v>
      </c>
      <c r="AC101" s="46" t="n">
        <f aca="false">MAX(0,-AC99)</f>
        <v>0</v>
      </c>
      <c r="AD101" s="46" t="n">
        <f aca="false">MAX(0,-AD99)</f>
        <v>0</v>
      </c>
      <c r="AE101" s="46" t="n">
        <f aca="false">MAX(0,-AE99)</f>
        <v>0</v>
      </c>
      <c r="AF101" s="46" t="n">
        <f aca="false">MAX(0,-AF99)</f>
        <v>0</v>
      </c>
      <c r="AG101" s="46" t="n">
        <f aca="false">MAX(0,-AG99)</f>
        <v>0</v>
      </c>
      <c r="AH101" s="46" t="n">
        <f aca="false">MAX(0,-AH99)</f>
        <v>0</v>
      </c>
      <c r="AI101" s="46" t="n">
        <f aca="false">MAX(0,-AI99)</f>
        <v>0</v>
      </c>
      <c r="AJ101" s="46" t="n">
        <f aca="false">MAX(0,-AJ99)</f>
        <v>0</v>
      </c>
      <c r="AK101" s="46" t="n">
        <f aca="false">MAX(0,-AK99)</f>
        <v>0</v>
      </c>
      <c r="AL101" s="46" t="n">
        <f aca="false">MAX(0,-AL99)</f>
        <v>0</v>
      </c>
      <c r="AM101" s="46" t="n">
        <f aca="false">MAX(0,-AM99)</f>
        <v>0</v>
      </c>
      <c r="AN101" s="46" t="n">
        <f aca="false">MAX(0,-AN99)</f>
        <v>0</v>
      </c>
      <c r="AO101" s="46" t="n">
        <f aca="false">MAX(0,-AO99)</f>
        <v>0</v>
      </c>
      <c r="AP101" s="46" t="n">
        <f aca="false">MAX(0,-AP99)</f>
        <v>0</v>
      </c>
      <c r="AQ101" s="46" t="n">
        <f aca="false">MAX(0,-AQ99)</f>
        <v>0</v>
      </c>
      <c r="AR101" s="46" t="n">
        <f aca="false">MAX(0,-AR99)</f>
        <v>0</v>
      </c>
      <c r="AS101" s="46" t="n">
        <f aca="false">MAX(0,-AS99)</f>
        <v>0</v>
      </c>
      <c r="AT101" s="46" t="n">
        <f aca="false">MAX(0,-AT99)</f>
        <v>0</v>
      </c>
      <c r="AU101" s="46" t="n">
        <f aca="false">MAX(0,-AU99)</f>
        <v>0</v>
      </c>
      <c r="AV101" s="46" t="n">
        <f aca="false">MAX(0,-AV99)</f>
        <v>0</v>
      </c>
      <c r="AW101" s="46" t="n">
        <f aca="false">MAX(0,-AW99)</f>
        <v>0</v>
      </c>
      <c r="AX101" s="46" t="n">
        <f aca="false">MAX(0,-AX99)</f>
        <v>0</v>
      </c>
      <c r="AY101" s="46" t="n">
        <f aca="false">MAX(0,-AY99)</f>
        <v>0</v>
      </c>
      <c r="AZ101" s="46" t="n">
        <f aca="false">MAX(0,-AZ99)</f>
        <v>0</v>
      </c>
      <c r="BA101" s="46" t="n">
        <f aca="false">MAX(0,-BA99)</f>
        <v>0</v>
      </c>
      <c r="BB101" s="46" t="n">
        <f aca="false">MAX(0,-BB99)</f>
        <v>0</v>
      </c>
      <c r="BC101" s="46" t="n">
        <f aca="false">MAX(0,-BC99)</f>
        <v>0</v>
      </c>
      <c r="BD101" s="46" t="n">
        <f aca="false">MAX(0,-BD99)</f>
        <v>0</v>
      </c>
      <c r="BE101" s="46" t="n">
        <f aca="false">MAX(0,-BE99)</f>
        <v>0</v>
      </c>
      <c r="BF101" s="46" t="n">
        <f aca="false">MAX(0,-BF99)</f>
        <v>0</v>
      </c>
      <c r="BG101" s="46" t="n">
        <f aca="false">MAX(0,-BG99)</f>
        <v>0</v>
      </c>
      <c r="BH101" s="46" t="n">
        <f aca="false">MAX(0,-BH99)</f>
        <v>0</v>
      </c>
      <c r="BI101" s="46" t="n">
        <f aca="false">MAX(0,-BI99)</f>
        <v>0</v>
      </c>
      <c r="BJ101" s="46" t="n">
        <f aca="false">MAX(0,-BJ99)</f>
        <v>0</v>
      </c>
      <c r="BK101" s="46" t="n">
        <f aca="false">MAX(0,-BK99)</f>
        <v>0</v>
      </c>
      <c r="BL101" s="46" t="n">
        <f aca="false">MAX(0,-BL99)</f>
        <v>0</v>
      </c>
      <c r="BM101" s="46" t="n">
        <f aca="false">MAX(0,-BM99)</f>
        <v>0</v>
      </c>
      <c r="BN101" s="46" t="n">
        <f aca="false">MAX(0,-BN99)</f>
        <v>0</v>
      </c>
      <c r="BO101" s="46" t="n">
        <f aca="false">MAX(0,-BO99)</f>
        <v>0</v>
      </c>
      <c r="BP101" s="46" t="n">
        <f aca="false">MAX(0,-BP99)</f>
        <v>0</v>
      </c>
      <c r="BQ101" s="46" t="n">
        <f aca="false">MAX(0,-BQ99)</f>
        <v>0</v>
      </c>
      <c r="BR101" s="46" t="n">
        <f aca="false">MAX(0,-BR99)</f>
        <v>0</v>
      </c>
      <c r="BS101" s="46" t="n">
        <f aca="false">MAX(0,-BS99)</f>
        <v>0</v>
      </c>
      <c r="BT101" s="46" t="n">
        <f aca="false">MAX(0,-BT99)</f>
        <v>0</v>
      </c>
      <c r="BU101" s="46" t="n">
        <f aca="false">MAX(0,-BU99)</f>
        <v>0</v>
      </c>
      <c r="BV101" s="46" t="n">
        <f aca="false">MAX(0,-BV99)</f>
        <v>0</v>
      </c>
      <c r="BW101" s="46" t="n">
        <f aca="false">MAX(0,-BW99)</f>
        <v>0</v>
      </c>
      <c r="BX101" s="46" t="n">
        <f aca="false">MAX(0,-BX99)</f>
        <v>0</v>
      </c>
      <c r="BY101" s="46" t="n">
        <f aca="false">MAX(0,-BY99)</f>
        <v>0</v>
      </c>
      <c r="BZ101" s="46" t="n">
        <f aca="false">MAX(0,-BZ99)</f>
        <v>0</v>
      </c>
      <c r="CA101" s="46" t="n">
        <f aca="false">MAX(0,-CA99)</f>
        <v>0</v>
      </c>
      <c r="CB101" s="46" t="n">
        <f aca="false">MAX(0,-CB99)</f>
        <v>0</v>
      </c>
      <c r="CC101" s="46" t="n">
        <f aca="false">MAX(0,-CC99)</f>
        <v>0</v>
      </c>
      <c r="CD101" s="46" t="n">
        <f aca="false">MAX(0,-CD99)</f>
        <v>0</v>
      </c>
      <c r="CE101" s="46" t="n">
        <f aca="false">MAX(0,-CE99)</f>
        <v>0</v>
      </c>
      <c r="CF101" s="46" t="n">
        <f aca="false">MAX(0,-CF99)</f>
        <v>0</v>
      </c>
      <c r="CG101" s="46" t="n">
        <f aca="false">MAX(0,-CG99)</f>
        <v>0</v>
      </c>
      <c r="CH101" s="46" t="n">
        <f aca="false">MAX(0,-CH99)</f>
        <v>0</v>
      </c>
      <c r="CI101" s="46" t="n">
        <f aca="false">MAX(0,-CI99)</f>
        <v>0</v>
      </c>
      <c r="CJ101" s="46" t="n">
        <f aca="false">MAX(0,-CJ99)</f>
        <v>0</v>
      </c>
      <c r="CK101" s="46" t="n">
        <f aca="false">MAX(0,-CK99)</f>
        <v>0</v>
      </c>
      <c r="CL101" s="46" t="n">
        <f aca="false">MAX(0,-CL99)</f>
        <v>0</v>
      </c>
      <c r="CM101" s="46" t="n">
        <f aca="false">MAX(0,-CM99)</f>
        <v>0</v>
      </c>
      <c r="CN101" s="46" t="n">
        <f aca="false">MAX(0,-CN99)</f>
        <v>0</v>
      </c>
      <c r="CO101" s="46" t="n">
        <f aca="false">MAX(0,-CO99)</f>
        <v>0</v>
      </c>
      <c r="CP101" s="46" t="n">
        <f aca="false">MAX(0,-CP99)</f>
        <v>0</v>
      </c>
      <c r="CQ101" s="46" t="n">
        <f aca="false">MAX(0,-CQ99)</f>
        <v>0</v>
      </c>
      <c r="CR101" s="46" t="n">
        <f aca="false">MAX(0,-CR99)</f>
        <v>0</v>
      </c>
      <c r="CS101" s="46" t="n">
        <f aca="false">MAX(0,-CS99)</f>
        <v>0</v>
      </c>
      <c r="CT101" s="46" t="n">
        <f aca="false">MAX(0,-CT99)</f>
        <v>0</v>
      </c>
      <c r="CU101" s="46" t="n">
        <f aca="false">MAX(0,-CU99)</f>
        <v>0</v>
      </c>
      <c r="CV101" s="46" t="n">
        <f aca="false">MAX(0,-CV99)</f>
        <v>0</v>
      </c>
      <c r="CW101" s="46" t="n">
        <f aca="false">MAX(0,-CW99)</f>
        <v>0</v>
      </c>
      <c r="CX101" s="46" t="n">
        <f aca="false">MAX(0,-CX99)</f>
        <v>0</v>
      </c>
      <c r="CY101" s="46" t="n">
        <f aca="false">MAX(0,-CY99)</f>
        <v>0</v>
      </c>
      <c r="CZ101" s="46" t="n">
        <f aca="false">MAX(0,-CZ99)</f>
        <v>0</v>
      </c>
      <c r="DA101" s="46" t="n">
        <f aca="false">MAX(0,-DA99)</f>
        <v>0</v>
      </c>
      <c r="DB101" s="46" t="n">
        <f aca="false">MAX(0,-DB99)</f>
        <v>0</v>
      </c>
      <c r="DC101" s="46" t="n">
        <f aca="false">MAX(0,-DC99)</f>
        <v>0</v>
      </c>
      <c r="DD101" s="46" t="n">
        <f aca="false">MAX(0,-DD99)</f>
        <v>0</v>
      </c>
      <c r="DE101" s="46" t="n">
        <f aca="false">MAX(0,-DE99)</f>
        <v>0</v>
      </c>
      <c r="DF101" s="46" t="n">
        <f aca="false">MAX(0,-DF99)</f>
        <v>0</v>
      </c>
      <c r="DG101" s="46" t="n">
        <f aca="false">MAX(0,-DG99)</f>
        <v>0</v>
      </c>
      <c r="DH101" s="46" t="n">
        <f aca="false">MAX(0,-DH99)</f>
        <v>0</v>
      </c>
      <c r="DI101" s="46" t="n">
        <f aca="false">MAX(0,-DI99)</f>
        <v>0</v>
      </c>
      <c r="DJ101" s="46" t="n">
        <f aca="false">MAX(0,-DJ99)</f>
        <v>0</v>
      </c>
      <c r="DK101" s="46" t="n">
        <f aca="false">MAX(0,-DK99)</f>
        <v>0</v>
      </c>
      <c r="DL101" s="46" t="n">
        <f aca="false">MAX(0,-DL99)</f>
        <v>0</v>
      </c>
      <c r="DM101" s="46" t="n">
        <f aca="false">MAX(0,-DM99)</f>
        <v>0</v>
      </c>
      <c r="DN101" s="46" t="n">
        <f aca="false">MAX(0,-DN99)</f>
        <v>0</v>
      </c>
      <c r="DO101" s="46" t="n">
        <f aca="false">MAX(0,-DO99)</f>
        <v>0</v>
      </c>
      <c r="DP101" s="46" t="n">
        <f aca="false">MAX(0,-DP99)</f>
        <v>0</v>
      </c>
      <c r="DQ101" s="46" t="n">
        <f aca="false">MAX(0,-DQ99)</f>
        <v>0</v>
      </c>
      <c r="DR101" s="46" t="n">
        <f aca="false">MAX(0,-DR99)</f>
        <v>0</v>
      </c>
      <c r="DS101" s="46" t="n">
        <f aca="false">MAX(0,-DS99)</f>
        <v>0</v>
      </c>
      <c r="DT101" s="46" t="n">
        <f aca="false">MAX(0,-DT99)</f>
        <v>0</v>
      </c>
      <c r="DU101" s="46" t="n">
        <f aca="false">MAX(0,-DU99)</f>
        <v>0</v>
      </c>
      <c r="DV101" s="46" t="n">
        <f aca="false">MAX(0,-DV99)</f>
        <v>0</v>
      </c>
      <c r="DW101" s="46" t="n">
        <f aca="false">MAX(0,-DW99)</f>
        <v>0</v>
      </c>
      <c r="DX101" s="46" t="n">
        <f aca="false">MAX(0,-DX99)</f>
        <v>0</v>
      </c>
      <c r="DY101" s="46" t="n">
        <f aca="false">MAX(0,-DY99)</f>
        <v>0</v>
      </c>
      <c r="DZ101" s="46" t="n">
        <f aca="false">MAX(0,-DZ99)</f>
        <v>0</v>
      </c>
      <c r="EA101" s="46" t="n">
        <f aca="false">MAX(0,-EA99)</f>
        <v>0</v>
      </c>
      <c r="EB101" s="46" t="n">
        <f aca="false">MAX(0,-EB99)</f>
        <v>0</v>
      </c>
      <c r="EC101" s="46" t="n">
        <f aca="false">MAX(0,-EC99)</f>
        <v>0</v>
      </c>
      <c r="ED101" s="46" t="n">
        <f aca="false">MAX(0,-ED99)</f>
        <v>0</v>
      </c>
      <c r="EE101" s="46" t="n">
        <f aca="false">MAX(0,-EE99)</f>
        <v>0</v>
      </c>
      <c r="EF101" s="46" t="n">
        <f aca="false">MAX(0,-EF99)</f>
        <v>0</v>
      </c>
      <c r="EG101" s="46" t="n">
        <f aca="false">MAX(0,-EG99)</f>
        <v>0</v>
      </c>
      <c r="EH101" s="46" t="n">
        <f aca="false">MAX(0,-EH99)</f>
        <v>0</v>
      </c>
      <c r="EI101" s="46" t="n">
        <f aca="false">MAX(0,-EI99)</f>
        <v>0</v>
      </c>
      <c r="EJ101" s="46" t="n">
        <f aca="false">MAX(0,-EJ99)</f>
        <v>0</v>
      </c>
      <c r="EK101" s="46" t="n">
        <f aca="false">MAX(0,-EK99)</f>
        <v>0</v>
      </c>
      <c r="EL101" s="46" t="n">
        <f aca="false">MAX(0,-EL99)</f>
        <v>0</v>
      </c>
      <c r="EM101" s="46" t="n">
        <f aca="false">MAX(0,-EM99)</f>
        <v>0</v>
      </c>
      <c r="EN101" s="46" t="n">
        <f aca="false">MAX(0,-EN99)</f>
        <v>0</v>
      </c>
      <c r="EO101" s="46" t="n">
        <f aca="false">MAX(0,-EO99)</f>
        <v>0</v>
      </c>
    </row>
    <row r="102" customFormat="false" ht="15" hidden="false" customHeight="false" outlineLevel="0" collapsed="false">
      <c r="C102" s="0" t="s">
        <v>426</v>
      </c>
      <c r="D102" s="11" t="s">
        <v>33</v>
      </c>
      <c r="I102" s="46" t="n">
        <f aca="false">SUM(J102:EO102)</f>
        <v>-2325.69197740929</v>
      </c>
      <c r="J102" s="46" t="n">
        <f aca="false">-MIN(J100,In_Loss_Cap*MAX(0,J99))</f>
        <v>-0</v>
      </c>
      <c r="K102" s="46" t="n">
        <f aca="false">-MIN(K100,In_Loss_Cap*MAX(0,K99))</f>
        <v>-0</v>
      </c>
      <c r="L102" s="46" t="n">
        <f aca="false">-MIN(L100,In_Loss_Cap*MAX(0,L99))</f>
        <v>-0</v>
      </c>
      <c r="M102" s="46" t="n">
        <f aca="false">-MIN(M100,In_Loss_Cap*MAX(0,M99))</f>
        <v>-0</v>
      </c>
      <c r="N102" s="46" t="n">
        <f aca="false">-MIN(N100,In_Loss_Cap*MAX(0,N99))</f>
        <v>-0</v>
      </c>
      <c r="O102" s="46" t="n">
        <f aca="false">-MIN(O100,In_Loss_Cap*MAX(0,O99))</f>
        <v>-0</v>
      </c>
      <c r="P102" s="46" t="n">
        <f aca="false">-MIN(P100,In_Loss_Cap*MAX(0,P99))</f>
        <v>-0</v>
      </c>
      <c r="Q102" s="46" t="n">
        <f aca="false">-MIN(Q100,In_Loss_Cap*MAX(0,Q99))</f>
        <v>-0</v>
      </c>
      <c r="R102" s="46" t="n">
        <f aca="false">-MIN(R100,In_Loss_Cap*MAX(0,R99))</f>
        <v>-0</v>
      </c>
      <c r="S102" s="46" t="n">
        <f aca="false">-MIN(S100,In_Loss_Cap*MAX(0,S99))</f>
        <v>-0</v>
      </c>
      <c r="T102" s="46" t="n">
        <f aca="false">-MIN(T100,In_Loss_Cap*MAX(0,T99))</f>
        <v>-0</v>
      </c>
      <c r="U102" s="46" t="n">
        <f aca="false">-MIN(U100,In_Loss_Cap*MAX(0,U99))</f>
        <v>-0</v>
      </c>
      <c r="V102" s="46" t="n">
        <f aca="false">-MIN(V100,In_Loss_Cap*MAX(0,V99))</f>
        <v>-0</v>
      </c>
      <c r="W102" s="46" t="n">
        <f aca="false">-MIN(W100,In_Loss_Cap*MAX(0,W99))</f>
        <v>-0</v>
      </c>
      <c r="X102" s="46" t="n">
        <f aca="false">-MIN(X100,In_Loss_Cap*MAX(0,X99))</f>
        <v>-0</v>
      </c>
      <c r="Y102" s="46" t="n">
        <f aca="false">-MIN(Y100,In_Loss_Cap*MAX(0,Y99))</f>
        <v>-0</v>
      </c>
      <c r="Z102" s="46" t="n">
        <f aca="false">-MIN(Z100,In_Loss_Cap*MAX(0,Z99))</f>
        <v>-167.338377886222</v>
      </c>
      <c r="AA102" s="46" t="n">
        <f aca="false">-MIN(AA100,In_Loss_Cap*MAX(0,AA99))</f>
        <v>-165.554288034781</v>
      </c>
      <c r="AB102" s="46" t="n">
        <f aca="false">-MIN(AB100,In_Loss_Cap*MAX(0,AB99))</f>
        <v>-175.256928541664</v>
      </c>
      <c r="AC102" s="46" t="n">
        <f aca="false">-MIN(AC100,In_Loss_Cap*MAX(0,AC99))</f>
        <v>-185.092728183982</v>
      </c>
      <c r="AD102" s="46" t="n">
        <f aca="false">-MIN(AD100,In_Loss_Cap*MAX(0,AD99))</f>
        <v>-184.710472452574</v>
      </c>
      <c r="AE102" s="46" t="n">
        <f aca="false">-MIN(AE100,In_Loss_Cap*MAX(0,AE99))</f>
        <v>-189.332678050111</v>
      </c>
      <c r="AF102" s="46" t="n">
        <f aca="false">-MIN(AF100,In_Loss_Cap*MAX(0,AF99))</f>
        <v>-193.005004271598</v>
      </c>
      <c r="AG102" s="46" t="n">
        <f aca="false">-MIN(AG100,In_Loss_Cap*MAX(0,AG99))</f>
        <v>-203.076575805962</v>
      </c>
      <c r="AH102" s="46" t="n">
        <f aca="false">-MIN(AH100,In_Loss_Cap*MAX(0,AH99))</f>
        <v>-202.871826576153</v>
      </c>
      <c r="AI102" s="46" t="n">
        <f aca="false">-MIN(AI100,In_Loss_Cap*MAX(0,AI99))</f>
        <v>-201.199860942084</v>
      </c>
      <c r="AJ102" s="46" t="n">
        <f aca="false">-MIN(AJ100,In_Loss_Cap*MAX(0,AJ99))</f>
        <v>-223.854993320542</v>
      </c>
      <c r="AK102" s="46" t="n">
        <f aca="false">-MIN(AK100,In_Loss_Cap*MAX(0,AK99))</f>
        <v>-234.398243343611</v>
      </c>
      <c r="AL102" s="46" t="n">
        <f aca="false">-MIN(AL100,In_Loss_Cap*MAX(0,AL99))</f>
        <v>-0</v>
      </c>
      <c r="AM102" s="46" t="n">
        <f aca="false">-MIN(AM100,In_Loss_Cap*MAX(0,AM99))</f>
        <v>-0</v>
      </c>
      <c r="AN102" s="46" t="n">
        <f aca="false">-MIN(AN100,In_Loss_Cap*MAX(0,AN99))</f>
        <v>-0</v>
      </c>
      <c r="AO102" s="46" t="n">
        <f aca="false">-MIN(AO100,In_Loss_Cap*MAX(0,AO99))</f>
        <v>-0</v>
      </c>
      <c r="AP102" s="46" t="n">
        <f aca="false">-MIN(AP100,In_Loss_Cap*MAX(0,AP99))</f>
        <v>-0</v>
      </c>
      <c r="AQ102" s="46" t="n">
        <f aca="false">-MIN(AQ100,In_Loss_Cap*MAX(0,AQ99))</f>
        <v>-0</v>
      </c>
      <c r="AR102" s="46" t="n">
        <f aca="false">-MIN(AR100,In_Loss_Cap*MAX(0,AR99))</f>
        <v>-0</v>
      </c>
      <c r="AS102" s="46" t="n">
        <f aca="false">-MIN(AS100,In_Loss_Cap*MAX(0,AS99))</f>
        <v>-0</v>
      </c>
      <c r="AT102" s="46" t="n">
        <f aca="false">-MIN(AT100,In_Loss_Cap*MAX(0,AT99))</f>
        <v>-0</v>
      </c>
      <c r="AU102" s="46" t="n">
        <f aca="false">-MIN(AU100,In_Loss_Cap*MAX(0,AU99))</f>
        <v>-0</v>
      </c>
      <c r="AV102" s="46" t="n">
        <f aca="false">-MIN(AV100,In_Loss_Cap*MAX(0,AV99))</f>
        <v>-0</v>
      </c>
      <c r="AW102" s="46" t="n">
        <f aca="false">-MIN(AW100,In_Loss_Cap*MAX(0,AW99))</f>
        <v>-0</v>
      </c>
      <c r="AX102" s="46" t="n">
        <f aca="false">-MIN(AX100,In_Loss_Cap*MAX(0,AX99))</f>
        <v>-0</v>
      </c>
      <c r="AY102" s="46" t="n">
        <f aca="false">-MIN(AY100,In_Loss_Cap*MAX(0,AY99))</f>
        <v>-0</v>
      </c>
      <c r="AZ102" s="46" t="n">
        <f aca="false">-MIN(AZ100,In_Loss_Cap*MAX(0,AZ99))</f>
        <v>-0</v>
      </c>
      <c r="BA102" s="46" t="n">
        <f aca="false">-MIN(BA100,In_Loss_Cap*MAX(0,BA99))</f>
        <v>-0</v>
      </c>
      <c r="BB102" s="46" t="n">
        <f aca="false">-MIN(BB100,In_Loss_Cap*MAX(0,BB99))</f>
        <v>-0</v>
      </c>
      <c r="BC102" s="46" t="n">
        <f aca="false">-MIN(BC100,In_Loss_Cap*MAX(0,BC99))</f>
        <v>-0</v>
      </c>
      <c r="BD102" s="46" t="n">
        <f aca="false">-MIN(BD100,In_Loss_Cap*MAX(0,BD99))</f>
        <v>-0</v>
      </c>
      <c r="BE102" s="46" t="n">
        <f aca="false">-MIN(BE100,In_Loss_Cap*MAX(0,BE99))</f>
        <v>-0</v>
      </c>
      <c r="BF102" s="46" t="n">
        <f aca="false">-MIN(BF100,In_Loss_Cap*MAX(0,BF99))</f>
        <v>-0</v>
      </c>
      <c r="BG102" s="46" t="n">
        <f aca="false">-MIN(BG100,In_Loss_Cap*MAX(0,BG99))</f>
        <v>-0</v>
      </c>
      <c r="BH102" s="46" t="n">
        <f aca="false">-MIN(BH100,In_Loss_Cap*MAX(0,BH99))</f>
        <v>-0</v>
      </c>
      <c r="BI102" s="46" t="n">
        <f aca="false">-MIN(BI100,In_Loss_Cap*MAX(0,BI99))</f>
        <v>-0</v>
      </c>
      <c r="BJ102" s="46" t="n">
        <f aca="false">-MIN(BJ100,In_Loss_Cap*MAX(0,BJ99))</f>
        <v>-0</v>
      </c>
      <c r="BK102" s="46" t="n">
        <f aca="false">-MIN(BK100,In_Loss_Cap*MAX(0,BK99))</f>
        <v>-0</v>
      </c>
      <c r="BL102" s="46" t="n">
        <f aca="false">-MIN(BL100,In_Loss_Cap*MAX(0,BL99))</f>
        <v>-0</v>
      </c>
      <c r="BM102" s="46" t="n">
        <f aca="false">-MIN(BM100,In_Loss_Cap*MAX(0,BM99))</f>
        <v>-0</v>
      </c>
      <c r="BN102" s="46" t="n">
        <f aca="false">-MIN(BN100,In_Loss_Cap*MAX(0,BN99))</f>
        <v>-0</v>
      </c>
      <c r="BO102" s="46" t="n">
        <f aca="false">-MIN(BO100,In_Loss_Cap*MAX(0,BO99))</f>
        <v>-0</v>
      </c>
      <c r="BP102" s="46" t="n">
        <f aca="false">-MIN(BP100,In_Loss_Cap*MAX(0,BP99))</f>
        <v>-0</v>
      </c>
      <c r="BQ102" s="46" t="n">
        <f aca="false">-MIN(BQ100,In_Loss_Cap*MAX(0,BQ99))</f>
        <v>-0</v>
      </c>
      <c r="BR102" s="46" t="n">
        <f aca="false">-MIN(BR100,In_Loss_Cap*MAX(0,BR99))</f>
        <v>-0</v>
      </c>
      <c r="BS102" s="46" t="n">
        <f aca="false">-MIN(BS100,In_Loss_Cap*MAX(0,BS99))</f>
        <v>-0</v>
      </c>
      <c r="BT102" s="46" t="n">
        <f aca="false">-MIN(BT100,In_Loss_Cap*MAX(0,BT99))</f>
        <v>-0</v>
      </c>
      <c r="BU102" s="46" t="n">
        <f aca="false">-MIN(BU100,In_Loss_Cap*MAX(0,BU99))</f>
        <v>-0</v>
      </c>
      <c r="BV102" s="46" t="n">
        <f aca="false">-MIN(BV100,In_Loss_Cap*MAX(0,BV99))</f>
        <v>-0</v>
      </c>
      <c r="BW102" s="46" t="n">
        <f aca="false">-MIN(BW100,In_Loss_Cap*MAX(0,BW99))</f>
        <v>-0</v>
      </c>
      <c r="BX102" s="46" t="n">
        <f aca="false">-MIN(BX100,In_Loss_Cap*MAX(0,BX99))</f>
        <v>-0</v>
      </c>
      <c r="BY102" s="46" t="n">
        <f aca="false">-MIN(BY100,In_Loss_Cap*MAX(0,BY99))</f>
        <v>-0</v>
      </c>
      <c r="BZ102" s="46" t="n">
        <f aca="false">-MIN(BZ100,In_Loss_Cap*MAX(0,BZ99))</f>
        <v>-0</v>
      </c>
      <c r="CA102" s="46" t="n">
        <f aca="false">-MIN(CA100,In_Loss_Cap*MAX(0,CA99))</f>
        <v>-0</v>
      </c>
      <c r="CB102" s="46" t="n">
        <f aca="false">-MIN(CB100,In_Loss_Cap*MAX(0,CB99))</f>
        <v>-0</v>
      </c>
      <c r="CC102" s="46" t="n">
        <f aca="false">-MIN(CC100,In_Loss_Cap*MAX(0,CC99))</f>
        <v>-0</v>
      </c>
      <c r="CD102" s="46" t="n">
        <f aca="false">-MIN(CD100,In_Loss_Cap*MAX(0,CD99))</f>
        <v>-0</v>
      </c>
      <c r="CE102" s="46" t="n">
        <f aca="false">-MIN(CE100,In_Loss_Cap*MAX(0,CE99))</f>
        <v>-0</v>
      </c>
      <c r="CF102" s="46" t="n">
        <f aca="false">-MIN(CF100,In_Loss_Cap*MAX(0,CF99))</f>
        <v>-0</v>
      </c>
      <c r="CG102" s="46" t="n">
        <f aca="false">-MIN(CG100,In_Loss_Cap*MAX(0,CG99))</f>
        <v>-0</v>
      </c>
      <c r="CH102" s="46" t="n">
        <f aca="false">-MIN(CH100,In_Loss_Cap*MAX(0,CH99))</f>
        <v>-0</v>
      </c>
      <c r="CI102" s="46" t="n">
        <f aca="false">-MIN(CI100,In_Loss_Cap*MAX(0,CI99))</f>
        <v>-0</v>
      </c>
      <c r="CJ102" s="46" t="n">
        <f aca="false">-MIN(CJ100,In_Loss_Cap*MAX(0,CJ99))</f>
        <v>-0</v>
      </c>
      <c r="CK102" s="46" t="n">
        <f aca="false">-MIN(CK100,In_Loss_Cap*MAX(0,CK99))</f>
        <v>-0</v>
      </c>
      <c r="CL102" s="46" t="n">
        <f aca="false">-MIN(CL100,In_Loss_Cap*MAX(0,CL99))</f>
        <v>-0</v>
      </c>
      <c r="CM102" s="46" t="n">
        <f aca="false">-MIN(CM100,In_Loss_Cap*MAX(0,CM99))</f>
        <v>-0</v>
      </c>
      <c r="CN102" s="46" t="n">
        <f aca="false">-MIN(CN100,In_Loss_Cap*MAX(0,CN99))</f>
        <v>-0</v>
      </c>
      <c r="CO102" s="46" t="n">
        <f aca="false">-MIN(CO100,In_Loss_Cap*MAX(0,CO99))</f>
        <v>-0</v>
      </c>
      <c r="CP102" s="46" t="n">
        <f aca="false">-MIN(CP100,In_Loss_Cap*MAX(0,CP99))</f>
        <v>-0</v>
      </c>
      <c r="CQ102" s="46" t="n">
        <f aca="false">-MIN(CQ100,In_Loss_Cap*MAX(0,CQ99))</f>
        <v>-0</v>
      </c>
      <c r="CR102" s="46" t="n">
        <f aca="false">-MIN(CR100,In_Loss_Cap*MAX(0,CR99))</f>
        <v>-0</v>
      </c>
      <c r="CS102" s="46" t="n">
        <f aca="false">-MIN(CS100,In_Loss_Cap*MAX(0,CS99))</f>
        <v>-0</v>
      </c>
      <c r="CT102" s="46" t="n">
        <f aca="false">-MIN(CT100,In_Loss_Cap*MAX(0,CT99))</f>
        <v>-0</v>
      </c>
      <c r="CU102" s="46" t="n">
        <f aca="false">-MIN(CU100,In_Loss_Cap*MAX(0,CU99))</f>
        <v>-0</v>
      </c>
      <c r="CV102" s="46" t="n">
        <f aca="false">-MIN(CV100,In_Loss_Cap*MAX(0,CV99))</f>
        <v>-0</v>
      </c>
      <c r="CW102" s="46" t="n">
        <f aca="false">-MIN(CW100,In_Loss_Cap*MAX(0,CW99))</f>
        <v>-0</v>
      </c>
      <c r="CX102" s="46" t="n">
        <f aca="false">-MIN(CX100,In_Loss_Cap*MAX(0,CX99))</f>
        <v>-0</v>
      </c>
      <c r="CY102" s="46" t="n">
        <f aca="false">-MIN(CY100,In_Loss_Cap*MAX(0,CY99))</f>
        <v>-0</v>
      </c>
      <c r="CZ102" s="46" t="n">
        <f aca="false">-MIN(CZ100,In_Loss_Cap*MAX(0,CZ99))</f>
        <v>-0</v>
      </c>
      <c r="DA102" s="46" t="n">
        <f aca="false">-MIN(DA100,In_Loss_Cap*MAX(0,DA99))</f>
        <v>-0</v>
      </c>
      <c r="DB102" s="46" t="n">
        <f aca="false">-MIN(DB100,In_Loss_Cap*MAX(0,DB99))</f>
        <v>-0</v>
      </c>
      <c r="DC102" s="46" t="n">
        <f aca="false">-MIN(DC100,In_Loss_Cap*MAX(0,DC99))</f>
        <v>-0</v>
      </c>
      <c r="DD102" s="46" t="n">
        <f aca="false">-MIN(DD100,In_Loss_Cap*MAX(0,DD99))</f>
        <v>-0</v>
      </c>
      <c r="DE102" s="46" t="n">
        <f aca="false">-MIN(DE100,In_Loss_Cap*MAX(0,DE99))</f>
        <v>-0</v>
      </c>
      <c r="DF102" s="46" t="n">
        <f aca="false">-MIN(DF100,In_Loss_Cap*MAX(0,DF99))</f>
        <v>-0</v>
      </c>
      <c r="DG102" s="46" t="n">
        <f aca="false">-MIN(DG100,In_Loss_Cap*MAX(0,DG99))</f>
        <v>-0</v>
      </c>
      <c r="DH102" s="46" t="n">
        <f aca="false">-MIN(DH100,In_Loss_Cap*MAX(0,DH99))</f>
        <v>-0</v>
      </c>
      <c r="DI102" s="46" t="n">
        <f aca="false">-MIN(DI100,In_Loss_Cap*MAX(0,DI99))</f>
        <v>-0</v>
      </c>
      <c r="DJ102" s="46" t="n">
        <f aca="false">-MIN(DJ100,In_Loss_Cap*MAX(0,DJ99))</f>
        <v>-0</v>
      </c>
      <c r="DK102" s="46" t="n">
        <f aca="false">-MIN(DK100,In_Loss_Cap*MAX(0,DK99))</f>
        <v>-0</v>
      </c>
      <c r="DL102" s="46" t="n">
        <f aca="false">-MIN(DL100,In_Loss_Cap*MAX(0,DL99))</f>
        <v>-0</v>
      </c>
      <c r="DM102" s="46" t="n">
        <f aca="false">-MIN(DM100,In_Loss_Cap*MAX(0,DM99))</f>
        <v>-0</v>
      </c>
      <c r="DN102" s="46" t="n">
        <f aca="false">-MIN(DN100,In_Loss_Cap*MAX(0,DN99))</f>
        <v>-0</v>
      </c>
      <c r="DO102" s="46" t="n">
        <f aca="false">-MIN(DO100,In_Loss_Cap*MAX(0,DO99))</f>
        <v>-0</v>
      </c>
      <c r="DP102" s="46" t="n">
        <f aca="false">-MIN(DP100,In_Loss_Cap*MAX(0,DP99))</f>
        <v>-0</v>
      </c>
      <c r="DQ102" s="46" t="n">
        <f aca="false">-MIN(DQ100,In_Loss_Cap*MAX(0,DQ99))</f>
        <v>-0</v>
      </c>
      <c r="DR102" s="46" t="n">
        <f aca="false">-MIN(DR100,In_Loss_Cap*MAX(0,DR99))</f>
        <v>-0</v>
      </c>
      <c r="DS102" s="46" t="n">
        <f aca="false">-MIN(DS100,In_Loss_Cap*MAX(0,DS99))</f>
        <v>-0</v>
      </c>
      <c r="DT102" s="46" t="n">
        <f aca="false">-MIN(DT100,In_Loss_Cap*MAX(0,DT99))</f>
        <v>-0</v>
      </c>
      <c r="DU102" s="46" t="n">
        <f aca="false">-MIN(DU100,In_Loss_Cap*MAX(0,DU99))</f>
        <v>-0</v>
      </c>
      <c r="DV102" s="46" t="n">
        <f aca="false">-MIN(DV100,In_Loss_Cap*MAX(0,DV99))</f>
        <v>-0</v>
      </c>
      <c r="DW102" s="46" t="n">
        <f aca="false">-MIN(DW100,In_Loss_Cap*MAX(0,DW99))</f>
        <v>-0</v>
      </c>
      <c r="DX102" s="46" t="n">
        <f aca="false">-MIN(DX100,In_Loss_Cap*MAX(0,DX99))</f>
        <v>-0</v>
      </c>
      <c r="DY102" s="46" t="n">
        <f aca="false">-MIN(DY100,In_Loss_Cap*MAX(0,DY99))</f>
        <v>-0</v>
      </c>
      <c r="DZ102" s="46" t="n">
        <f aca="false">-MIN(DZ100,In_Loss_Cap*MAX(0,DZ99))</f>
        <v>-0</v>
      </c>
      <c r="EA102" s="46" t="n">
        <f aca="false">-MIN(EA100,In_Loss_Cap*MAX(0,EA99))</f>
        <v>-0</v>
      </c>
      <c r="EB102" s="46" t="n">
        <f aca="false">-MIN(EB100,In_Loss_Cap*MAX(0,EB99))</f>
        <v>-0</v>
      </c>
      <c r="EC102" s="46" t="n">
        <f aca="false">-MIN(EC100,In_Loss_Cap*MAX(0,EC99))</f>
        <v>-0</v>
      </c>
      <c r="ED102" s="46" t="n">
        <f aca="false">-MIN(ED100,In_Loss_Cap*MAX(0,ED99))</f>
        <v>-0</v>
      </c>
      <c r="EE102" s="46" t="n">
        <f aca="false">-MIN(EE100,In_Loss_Cap*MAX(0,EE99))</f>
        <v>-0</v>
      </c>
      <c r="EF102" s="46" t="n">
        <f aca="false">-MIN(EF100,In_Loss_Cap*MAX(0,EF99))</f>
        <v>-0</v>
      </c>
      <c r="EG102" s="46" t="n">
        <f aca="false">-MIN(EG100,In_Loss_Cap*MAX(0,EG99))</f>
        <v>-0</v>
      </c>
      <c r="EH102" s="46" t="n">
        <f aca="false">-MIN(EH100,In_Loss_Cap*MAX(0,EH99))</f>
        <v>-0</v>
      </c>
      <c r="EI102" s="46" t="n">
        <f aca="false">-MIN(EI100,In_Loss_Cap*MAX(0,EI99))</f>
        <v>-0</v>
      </c>
      <c r="EJ102" s="46" t="n">
        <f aca="false">-MIN(EJ100,In_Loss_Cap*MAX(0,EJ99))</f>
        <v>-0</v>
      </c>
      <c r="EK102" s="46" t="n">
        <f aca="false">-MIN(EK100,In_Loss_Cap*MAX(0,EK99))</f>
        <v>-0</v>
      </c>
      <c r="EL102" s="46" t="n">
        <f aca="false">-MIN(EL100,In_Loss_Cap*MAX(0,EL99))</f>
        <v>-0</v>
      </c>
      <c r="EM102" s="46" t="n">
        <f aca="false">-MIN(EM100,In_Loss_Cap*MAX(0,EM99))</f>
        <v>-0</v>
      </c>
      <c r="EN102" s="46" t="n">
        <f aca="false">-MIN(EN100,In_Loss_Cap*MAX(0,EN99))</f>
        <v>-0</v>
      </c>
      <c r="EO102" s="46" t="n">
        <f aca="false">-MIN(EO100,In_Loss_Cap*MAX(0,EO99))</f>
        <v>-0</v>
      </c>
    </row>
    <row r="103" customFormat="false" ht="15" hidden="false" customHeight="false" outlineLevel="0" collapsed="false">
      <c r="C103" s="0" t="s">
        <v>427</v>
      </c>
      <c r="D103" s="11" t="s">
        <v>33</v>
      </c>
      <c r="E103" s="44" t="n">
        <f aca="false">EDATE(In_NTP,In_Loss_Years*Months_In_Year)</f>
        <v>48852</v>
      </c>
      <c r="I103" s="46" t="n">
        <f aca="false">SUM(J103:EO103)</f>
        <v>-133.580922386531</v>
      </c>
      <c r="J103" s="46" t="n">
        <f aca="false">-(J100+J101+J102)*N(AND(J$3&lt;=$E103,J$4&gt;=$E103))</f>
        <v>-0</v>
      </c>
      <c r="K103" s="46" t="n">
        <f aca="false">-(K100+K101+K102)*N(AND(K$3&lt;=$E103,K$4&gt;=$E103))</f>
        <v>-0</v>
      </c>
      <c r="L103" s="46" t="n">
        <f aca="false">-(L100+L101+L102)*N(AND(L$3&lt;=$E103,L$4&gt;=$E103))</f>
        <v>-0</v>
      </c>
      <c r="M103" s="46" t="n">
        <f aca="false">-(M100+M101+M102)*N(AND(M$3&lt;=$E103,M$4&gt;=$E103))</f>
        <v>-0</v>
      </c>
      <c r="N103" s="46" t="n">
        <f aca="false">-(N100+N101+N102)*N(AND(N$3&lt;=$E103,N$4&gt;=$E103))</f>
        <v>-0</v>
      </c>
      <c r="O103" s="46" t="n">
        <f aca="false">-(O100+O101+O102)*N(AND(O$3&lt;=$E103,O$4&gt;=$E103))</f>
        <v>-0</v>
      </c>
      <c r="P103" s="46" t="n">
        <f aca="false">-(P100+P101+P102)*N(AND(P$3&lt;=$E103,P$4&gt;=$E103))</f>
        <v>-0</v>
      </c>
      <c r="Q103" s="46" t="n">
        <f aca="false">-(Q100+Q101+Q102)*N(AND(Q$3&lt;=$E103,Q$4&gt;=$E103))</f>
        <v>-0</v>
      </c>
      <c r="R103" s="46" t="n">
        <f aca="false">-(R100+R101+R102)*N(AND(R$3&lt;=$E103,R$4&gt;=$E103))</f>
        <v>-0</v>
      </c>
      <c r="S103" s="46" t="n">
        <f aca="false">-(S100+S101+S102)*N(AND(S$3&lt;=$E103,S$4&gt;=$E103))</f>
        <v>-0</v>
      </c>
      <c r="T103" s="46" t="n">
        <f aca="false">-(T100+T101+T102)*N(AND(T$3&lt;=$E103,T$4&gt;=$E103))</f>
        <v>-0</v>
      </c>
      <c r="U103" s="46" t="n">
        <f aca="false">-(U100+U101+U102)*N(AND(U$3&lt;=$E103,U$4&gt;=$E103))</f>
        <v>-0</v>
      </c>
      <c r="V103" s="46" t="n">
        <f aca="false">-(V100+V101+V102)*N(AND(V$3&lt;=$E103,V$4&gt;=$E103))</f>
        <v>-0</v>
      </c>
      <c r="W103" s="46" t="n">
        <f aca="false">-(W100+W101+W102)*N(AND(W$3&lt;=$E103,W$4&gt;=$E103))</f>
        <v>-0</v>
      </c>
      <c r="X103" s="46" t="n">
        <f aca="false">-(X100+X101+X102)*N(AND(X$3&lt;=$E103,X$4&gt;=$E103))</f>
        <v>-0</v>
      </c>
      <c r="Y103" s="46" t="n">
        <f aca="false">-(Y100+Y101+Y102)*N(AND(Y$3&lt;=$E103,Y$4&gt;=$E103))</f>
        <v>-0</v>
      </c>
      <c r="Z103" s="46" t="n">
        <f aca="false">-(Z100+Z101+Z102)*N(AND(Z$3&lt;=$E103,Z$4&gt;=$E103))</f>
        <v>-0</v>
      </c>
      <c r="AA103" s="46" t="n">
        <f aca="false">-(AA100+AA101+AA102)*N(AND(AA$3&lt;=$E103,AA$4&gt;=$E103))</f>
        <v>-0</v>
      </c>
      <c r="AB103" s="46" t="n">
        <f aca="false">-(AB100+AB101+AB102)*N(AND(AB$3&lt;=$E103,AB$4&gt;=$E103))</f>
        <v>-0</v>
      </c>
      <c r="AC103" s="46" t="n">
        <f aca="false">-(AC100+AC101+AC102)*N(AND(AC$3&lt;=$E103,AC$4&gt;=$E103))</f>
        <v>-0</v>
      </c>
      <c r="AD103" s="46" t="n">
        <f aca="false">-(AD100+AD101+AD102)*N(AND(AD$3&lt;=$E103,AD$4&gt;=$E103))</f>
        <v>-0</v>
      </c>
      <c r="AE103" s="46" t="n">
        <f aca="false">-(AE100+AE101+AE102)*N(AND(AE$3&lt;=$E103,AE$4&gt;=$E103))</f>
        <v>-0</v>
      </c>
      <c r="AF103" s="46" t="n">
        <f aca="false">-(AF100+AF101+AF102)*N(AND(AF$3&lt;=$E103,AF$4&gt;=$E103))</f>
        <v>-0</v>
      </c>
      <c r="AG103" s="46" t="n">
        <f aca="false">-(AG100+AG101+AG102)*N(AND(AG$3&lt;=$E103,AG$4&gt;=$E103))</f>
        <v>-0</v>
      </c>
      <c r="AH103" s="46" t="n">
        <f aca="false">-(AH100+AH101+AH102)*N(AND(AH$3&lt;=$E103,AH$4&gt;=$E103))</f>
        <v>-0</v>
      </c>
      <c r="AI103" s="46" t="n">
        <f aca="false">-(AI100+AI101+AI102)*N(AND(AI$3&lt;=$E103,AI$4&gt;=$E103))</f>
        <v>-0</v>
      </c>
      <c r="AJ103" s="46" t="n">
        <f aca="false">-(AJ100+AJ101+AJ102)*N(AND(AJ$3&lt;=$E103,AJ$4&gt;=$E103))</f>
        <v>-0</v>
      </c>
      <c r="AK103" s="46" t="n">
        <f aca="false">-(AK100+AK101+AK102)*N(AND(AK$3&lt;=$E103,AK$4&gt;=$E103))</f>
        <v>-133.580922386531</v>
      </c>
      <c r="AL103" s="46" t="n">
        <f aca="false">-(AL100+AL101+AL102)*N(AND(AL$3&lt;=$E103,AL$4&gt;=$E103))</f>
        <v>-0</v>
      </c>
      <c r="AM103" s="46" t="n">
        <f aca="false">-(AM100+AM101+AM102)*N(AND(AM$3&lt;=$E103,AM$4&gt;=$E103))</f>
        <v>-0</v>
      </c>
      <c r="AN103" s="46" t="n">
        <f aca="false">-(AN100+AN101+AN102)*N(AND(AN$3&lt;=$E103,AN$4&gt;=$E103))</f>
        <v>-0</v>
      </c>
      <c r="AO103" s="46" t="n">
        <f aca="false">-(AO100+AO101+AO102)*N(AND(AO$3&lt;=$E103,AO$4&gt;=$E103))</f>
        <v>-0</v>
      </c>
      <c r="AP103" s="46" t="n">
        <f aca="false">-(AP100+AP101+AP102)*N(AND(AP$3&lt;=$E103,AP$4&gt;=$E103))</f>
        <v>-0</v>
      </c>
      <c r="AQ103" s="46" t="n">
        <f aca="false">-(AQ100+AQ101+AQ102)*N(AND(AQ$3&lt;=$E103,AQ$4&gt;=$E103))</f>
        <v>-0</v>
      </c>
      <c r="AR103" s="46" t="n">
        <f aca="false">-(AR100+AR101+AR102)*N(AND(AR$3&lt;=$E103,AR$4&gt;=$E103))</f>
        <v>-0</v>
      </c>
      <c r="AS103" s="46" t="n">
        <f aca="false">-(AS100+AS101+AS102)*N(AND(AS$3&lt;=$E103,AS$4&gt;=$E103))</f>
        <v>-0</v>
      </c>
      <c r="AT103" s="46" t="n">
        <f aca="false">-(AT100+AT101+AT102)*N(AND(AT$3&lt;=$E103,AT$4&gt;=$E103))</f>
        <v>-0</v>
      </c>
      <c r="AU103" s="46" t="n">
        <f aca="false">-(AU100+AU101+AU102)*N(AND(AU$3&lt;=$E103,AU$4&gt;=$E103))</f>
        <v>-0</v>
      </c>
      <c r="AV103" s="46" t="n">
        <f aca="false">-(AV100+AV101+AV102)*N(AND(AV$3&lt;=$E103,AV$4&gt;=$E103))</f>
        <v>-0</v>
      </c>
      <c r="AW103" s="46" t="n">
        <f aca="false">-(AW100+AW101+AW102)*N(AND(AW$3&lt;=$E103,AW$4&gt;=$E103))</f>
        <v>-0</v>
      </c>
      <c r="AX103" s="46" t="n">
        <f aca="false">-(AX100+AX101+AX102)*N(AND(AX$3&lt;=$E103,AX$4&gt;=$E103))</f>
        <v>-0</v>
      </c>
      <c r="AY103" s="46" t="n">
        <f aca="false">-(AY100+AY101+AY102)*N(AND(AY$3&lt;=$E103,AY$4&gt;=$E103))</f>
        <v>-0</v>
      </c>
      <c r="AZ103" s="46" t="n">
        <f aca="false">-(AZ100+AZ101+AZ102)*N(AND(AZ$3&lt;=$E103,AZ$4&gt;=$E103))</f>
        <v>-0</v>
      </c>
      <c r="BA103" s="46" t="n">
        <f aca="false">-(BA100+BA101+BA102)*N(AND(BA$3&lt;=$E103,BA$4&gt;=$E103))</f>
        <v>-0</v>
      </c>
      <c r="BB103" s="46" t="n">
        <f aca="false">-(BB100+BB101+BB102)*N(AND(BB$3&lt;=$E103,BB$4&gt;=$E103))</f>
        <v>-0</v>
      </c>
      <c r="BC103" s="46" t="n">
        <f aca="false">-(BC100+BC101+BC102)*N(AND(BC$3&lt;=$E103,BC$4&gt;=$E103))</f>
        <v>-0</v>
      </c>
      <c r="BD103" s="46" t="n">
        <f aca="false">-(BD100+BD101+BD102)*N(AND(BD$3&lt;=$E103,BD$4&gt;=$E103))</f>
        <v>-0</v>
      </c>
      <c r="BE103" s="46" t="n">
        <f aca="false">-(BE100+BE101+BE102)*N(AND(BE$3&lt;=$E103,BE$4&gt;=$E103))</f>
        <v>-0</v>
      </c>
      <c r="BF103" s="46" t="n">
        <f aca="false">-(BF100+BF101+BF102)*N(AND(BF$3&lt;=$E103,BF$4&gt;=$E103))</f>
        <v>-0</v>
      </c>
      <c r="BG103" s="46" t="n">
        <f aca="false">-(BG100+BG101+BG102)*N(AND(BG$3&lt;=$E103,BG$4&gt;=$E103))</f>
        <v>-0</v>
      </c>
      <c r="BH103" s="46" t="n">
        <f aca="false">-(BH100+BH101+BH102)*N(AND(BH$3&lt;=$E103,BH$4&gt;=$E103))</f>
        <v>-0</v>
      </c>
      <c r="BI103" s="46" t="n">
        <f aca="false">-(BI100+BI101+BI102)*N(AND(BI$3&lt;=$E103,BI$4&gt;=$E103))</f>
        <v>-0</v>
      </c>
      <c r="BJ103" s="46" t="n">
        <f aca="false">-(BJ100+BJ101+BJ102)*N(AND(BJ$3&lt;=$E103,BJ$4&gt;=$E103))</f>
        <v>-0</v>
      </c>
      <c r="BK103" s="46" t="n">
        <f aca="false">-(BK100+BK101+BK102)*N(AND(BK$3&lt;=$E103,BK$4&gt;=$E103))</f>
        <v>-0</v>
      </c>
      <c r="BL103" s="46" t="n">
        <f aca="false">-(BL100+BL101+BL102)*N(AND(BL$3&lt;=$E103,BL$4&gt;=$E103))</f>
        <v>-0</v>
      </c>
      <c r="BM103" s="46" t="n">
        <f aca="false">-(BM100+BM101+BM102)*N(AND(BM$3&lt;=$E103,BM$4&gt;=$E103))</f>
        <v>-0</v>
      </c>
      <c r="BN103" s="46" t="n">
        <f aca="false">-(BN100+BN101+BN102)*N(AND(BN$3&lt;=$E103,BN$4&gt;=$E103))</f>
        <v>-0</v>
      </c>
      <c r="BO103" s="46" t="n">
        <f aca="false">-(BO100+BO101+BO102)*N(AND(BO$3&lt;=$E103,BO$4&gt;=$E103))</f>
        <v>-0</v>
      </c>
      <c r="BP103" s="46" t="n">
        <f aca="false">-(BP100+BP101+BP102)*N(AND(BP$3&lt;=$E103,BP$4&gt;=$E103))</f>
        <v>-0</v>
      </c>
      <c r="BQ103" s="46" t="n">
        <f aca="false">-(BQ100+BQ101+BQ102)*N(AND(BQ$3&lt;=$E103,BQ$4&gt;=$E103))</f>
        <v>-0</v>
      </c>
      <c r="BR103" s="46" t="n">
        <f aca="false">-(BR100+BR101+BR102)*N(AND(BR$3&lt;=$E103,BR$4&gt;=$E103))</f>
        <v>-0</v>
      </c>
      <c r="BS103" s="46" t="n">
        <f aca="false">-(BS100+BS101+BS102)*N(AND(BS$3&lt;=$E103,BS$4&gt;=$E103))</f>
        <v>-0</v>
      </c>
      <c r="BT103" s="46" t="n">
        <f aca="false">-(BT100+BT101+BT102)*N(AND(BT$3&lt;=$E103,BT$4&gt;=$E103))</f>
        <v>-0</v>
      </c>
      <c r="BU103" s="46" t="n">
        <f aca="false">-(BU100+BU101+BU102)*N(AND(BU$3&lt;=$E103,BU$4&gt;=$E103))</f>
        <v>-0</v>
      </c>
      <c r="BV103" s="46" t="n">
        <f aca="false">-(BV100+BV101+BV102)*N(AND(BV$3&lt;=$E103,BV$4&gt;=$E103))</f>
        <v>-0</v>
      </c>
      <c r="BW103" s="46" t="n">
        <f aca="false">-(BW100+BW101+BW102)*N(AND(BW$3&lt;=$E103,BW$4&gt;=$E103))</f>
        <v>-0</v>
      </c>
      <c r="BX103" s="46" t="n">
        <f aca="false">-(BX100+BX101+BX102)*N(AND(BX$3&lt;=$E103,BX$4&gt;=$E103))</f>
        <v>-0</v>
      </c>
      <c r="BY103" s="46" t="n">
        <f aca="false">-(BY100+BY101+BY102)*N(AND(BY$3&lt;=$E103,BY$4&gt;=$E103))</f>
        <v>-0</v>
      </c>
      <c r="BZ103" s="46" t="n">
        <f aca="false">-(BZ100+BZ101+BZ102)*N(AND(BZ$3&lt;=$E103,BZ$4&gt;=$E103))</f>
        <v>-0</v>
      </c>
      <c r="CA103" s="46" t="n">
        <f aca="false">-(CA100+CA101+CA102)*N(AND(CA$3&lt;=$E103,CA$4&gt;=$E103))</f>
        <v>-0</v>
      </c>
      <c r="CB103" s="46" t="n">
        <f aca="false">-(CB100+CB101+CB102)*N(AND(CB$3&lt;=$E103,CB$4&gt;=$E103))</f>
        <v>-0</v>
      </c>
      <c r="CC103" s="46" t="n">
        <f aca="false">-(CC100+CC101+CC102)*N(AND(CC$3&lt;=$E103,CC$4&gt;=$E103))</f>
        <v>-0</v>
      </c>
      <c r="CD103" s="46" t="n">
        <f aca="false">-(CD100+CD101+CD102)*N(AND(CD$3&lt;=$E103,CD$4&gt;=$E103))</f>
        <v>-0</v>
      </c>
      <c r="CE103" s="46" t="n">
        <f aca="false">-(CE100+CE101+CE102)*N(AND(CE$3&lt;=$E103,CE$4&gt;=$E103))</f>
        <v>-0</v>
      </c>
      <c r="CF103" s="46" t="n">
        <f aca="false">-(CF100+CF101+CF102)*N(AND(CF$3&lt;=$E103,CF$4&gt;=$E103))</f>
        <v>-0</v>
      </c>
      <c r="CG103" s="46" t="n">
        <f aca="false">-(CG100+CG101+CG102)*N(AND(CG$3&lt;=$E103,CG$4&gt;=$E103))</f>
        <v>-0</v>
      </c>
      <c r="CH103" s="46" t="n">
        <f aca="false">-(CH100+CH101+CH102)*N(AND(CH$3&lt;=$E103,CH$4&gt;=$E103))</f>
        <v>-0</v>
      </c>
      <c r="CI103" s="46" t="n">
        <f aca="false">-(CI100+CI101+CI102)*N(AND(CI$3&lt;=$E103,CI$4&gt;=$E103))</f>
        <v>-0</v>
      </c>
      <c r="CJ103" s="46" t="n">
        <f aca="false">-(CJ100+CJ101+CJ102)*N(AND(CJ$3&lt;=$E103,CJ$4&gt;=$E103))</f>
        <v>-0</v>
      </c>
      <c r="CK103" s="46" t="n">
        <f aca="false">-(CK100+CK101+CK102)*N(AND(CK$3&lt;=$E103,CK$4&gt;=$E103))</f>
        <v>-0</v>
      </c>
      <c r="CL103" s="46" t="n">
        <f aca="false">-(CL100+CL101+CL102)*N(AND(CL$3&lt;=$E103,CL$4&gt;=$E103))</f>
        <v>-0</v>
      </c>
      <c r="CM103" s="46" t="n">
        <f aca="false">-(CM100+CM101+CM102)*N(AND(CM$3&lt;=$E103,CM$4&gt;=$E103))</f>
        <v>-0</v>
      </c>
      <c r="CN103" s="46" t="n">
        <f aca="false">-(CN100+CN101+CN102)*N(AND(CN$3&lt;=$E103,CN$4&gt;=$E103))</f>
        <v>-0</v>
      </c>
      <c r="CO103" s="46" t="n">
        <f aca="false">-(CO100+CO101+CO102)*N(AND(CO$3&lt;=$E103,CO$4&gt;=$E103))</f>
        <v>-0</v>
      </c>
      <c r="CP103" s="46" t="n">
        <f aca="false">-(CP100+CP101+CP102)*N(AND(CP$3&lt;=$E103,CP$4&gt;=$E103))</f>
        <v>-0</v>
      </c>
      <c r="CQ103" s="46" t="n">
        <f aca="false">-(CQ100+CQ101+CQ102)*N(AND(CQ$3&lt;=$E103,CQ$4&gt;=$E103))</f>
        <v>-0</v>
      </c>
      <c r="CR103" s="46" t="n">
        <f aca="false">-(CR100+CR101+CR102)*N(AND(CR$3&lt;=$E103,CR$4&gt;=$E103))</f>
        <v>-0</v>
      </c>
      <c r="CS103" s="46" t="n">
        <f aca="false">-(CS100+CS101+CS102)*N(AND(CS$3&lt;=$E103,CS$4&gt;=$E103))</f>
        <v>-0</v>
      </c>
      <c r="CT103" s="46" t="n">
        <f aca="false">-(CT100+CT101+CT102)*N(AND(CT$3&lt;=$E103,CT$4&gt;=$E103))</f>
        <v>-0</v>
      </c>
      <c r="CU103" s="46" t="n">
        <f aca="false">-(CU100+CU101+CU102)*N(AND(CU$3&lt;=$E103,CU$4&gt;=$E103))</f>
        <v>-0</v>
      </c>
      <c r="CV103" s="46" t="n">
        <f aca="false">-(CV100+CV101+CV102)*N(AND(CV$3&lt;=$E103,CV$4&gt;=$E103))</f>
        <v>-0</v>
      </c>
      <c r="CW103" s="46" t="n">
        <f aca="false">-(CW100+CW101+CW102)*N(AND(CW$3&lt;=$E103,CW$4&gt;=$E103))</f>
        <v>-0</v>
      </c>
      <c r="CX103" s="46" t="n">
        <f aca="false">-(CX100+CX101+CX102)*N(AND(CX$3&lt;=$E103,CX$4&gt;=$E103))</f>
        <v>-0</v>
      </c>
      <c r="CY103" s="46" t="n">
        <f aca="false">-(CY100+CY101+CY102)*N(AND(CY$3&lt;=$E103,CY$4&gt;=$E103))</f>
        <v>-0</v>
      </c>
      <c r="CZ103" s="46" t="n">
        <f aca="false">-(CZ100+CZ101+CZ102)*N(AND(CZ$3&lt;=$E103,CZ$4&gt;=$E103))</f>
        <v>-0</v>
      </c>
      <c r="DA103" s="46" t="n">
        <f aca="false">-(DA100+DA101+DA102)*N(AND(DA$3&lt;=$E103,DA$4&gt;=$E103))</f>
        <v>-0</v>
      </c>
      <c r="DB103" s="46" t="n">
        <f aca="false">-(DB100+DB101+DB102)*N(AND(DB$3&lt;=$E103,DB$4&gt;=$E103))</f>
        <v>-0</v>
      </c>
      <c r="DC103" s="46" t="n">
        <f aca="false">-(DC100+DC101+DC102)*N(AND(DC$3&lt;=$E103,DC$4&gt;=$E103))</f>
        <v>-0</v>
      </c>
      <c r="DD103" s="46" t="n">
        <f aca="false">-(DD100+DD101+DD102)*N(AND(DD$3&lt;=$E103,DD$4&gt;=$E103))</f>
        <v>-0</v>
      </c>
      <c r="DE103" s="46" t="n">
        <f aca="false">-(DE100+DE101+DE102)*N(AND(DE$3&lt;=$E103,DE$4&gt;=$E103))</f>
        <v>-0</v>
      </c>
      <c r="DF103" s="46" t="n">
        <f aca="false">-(DF100+DF101+DF102)*N(AND(DF$3&lt;=$E103,DF$4&gt;=$E103))</f>
        <v>-0</v>
      </c>
      <c r="DG103" s="46" t="n">
        <f aca="false">-(DG100+DG101+DG102)*N(AND(DG$3&lt;=$E103,DG$4&gt;=$E103))</f>
        <v>-0</v>
      </c>
      <c r="DH103" s="46" t="n">
        <f aca="false">-(DH100+DH101+DH102)*N(AND(DH$3&lt;=$E103,DH$4&gt;=$E103))</f>
        <v>-0</v>
      </c>
      <c r="DI103" s="46" t="n">
        <f aca="false">-(DI100+DI101+DI102)*N(AND(DI$3&lt;=$E103,DI$4&gt;=$E103))</f>
        <v>-0</v>
      </c>
      <c r="DJ103" s="46" t="n">
        <f aca="false">-(DJ100+DJ101+DJ102)*N(AND(DJ$3&lt;=$E103,DJ$4&gt;=$E103))</f>
        <v>-0</v>
      </c>
      <c r="DK103" s="46" t="n">
        <f aca="false">-(DK100+DK101+DK102)*N(AND(DK$3&lt;=$E103,DK$4&gt;=$E103))</f>
        <v>-0</v>
      </c>
      <c r="DL103" s="46" t="n">
        <f aca="false">-(DL100+DL101+DL102)*N(AND(DL$3&lt;=$E103,DL$4&gt;=$E103))</f>
        <v>-0</v>
      </c>
      <c r="DM103" s="46" t="n">
        <f aca="false">-(DM100+DM101+DM102)*N(AND(DM$3&lt;=$E103,DM$4&gt;=$E103))</f>
        <v>-0</v>
      </c>
      <c r="DN103" s="46" t="n">
        <f aca="false">-(DN100+DN101+DN102)*N(AND(DN$3&lt;=$E103,DN$4&gt;=$E103))</f>
        <v>-0</v>
      </c>
      <c r="DO103" s="46" t="n">
        <f aca="false">-(DO100+DO101+DO102)*N(AND(DO$3&lt;=$E103,DO$4&gt;=$E103))</f>
        <v>-0</v>
      </c>
      <c r="DP103" s="46" t="n">
        <f aca="false">-(DP100+DP101+DP102)*N(AND(DP$3&lt;=$E103,DP$4&gt;=$E103))</f>
        <v>-0</v>
      </c>
      <c r="DQ103" s="46" t="n">
        <f aca="false">-(DQ100+DQ101+DQ102)*N(AND(DQ$3&lt;=$E103,DQ$4&gt;=$E103))</f>
        <v>-0</v>
      </c>
      <c r="DR103" s="46" t="n">
        <f aca="false">-(DR100+DR101+DR102)*N(AND(DR$3&lt;=$E103,DR$4&gt;=$E103))</f>
        <v>-0</v>
      </c>
      <c r="DS103" s="46" t="n">
        <f aca="false">-(DS100+DS101+DS102)*N(AND(DS$3&lt;=$E103,DS$4&gt;=$E103))</f>
        <v>-0</v>
      </c>
      <c r="DT103" s="46" t="n">
        <f aca="false">-(DT100+DT101+DT102)*N(AND(DT$3&lt;=$E103,DT$4&gt;=$E103))</f>
        <v>-0</v>
      </c>
      <c r="DU103" s="46" t="n">
        <f aca="false">-(DU100+DU101+DU102)*N(AND(DU$3&lt;=$E103,DU$4&gt;=$E103))</f>
        <v>-0</v>
      </c>
      <c r="DV103" s="46" t="n">
        <f aca="false">-(DV100+DV101+DV102)*N(AND(DV$3&lt;=$E103,DV$4&gt;=$E103))</f>
        <v>-0</v>
      </c>
      <c r="DW103" s="46" t="n">
        <f aca="false">-(DW100+DW101+DW102)*N(AND(DW$3&lt;=$E103,DW$4&gt;=$E103))</f>
        <v>-0</v>
      </c>
      <c r="DX103" s="46" t="n">
        <f aca="false">-(DX100+DX101+DX102)*N(AND(DX$3&lt;=$E103,DX$4&gt;=$E103))</f>
        <v>-0</v>
      </c>
      <c r="DY103" s="46" t="n">
        <f aca="false">-(DY100+DY101+DY102)*N(AND(DY$3&lt;=$E103,DY$4&gt;=$E103))</f>
        <v>-0</v>
      </c>
      <c r="DZ103" s="46" t="n">
        <f aca="false">-(DZ100+DZ101+DZ102)*N(AND(DZ$3&lt;=$E103,DZ$4&gt;=$E103))</f>
        <v>-0</v>
      </c>
      <c r="EA103" s="46" t="n">
        <f aca="false">-(EA100+EA101+EA102)*N(AND(EA$3&lt;=$E103,EA$4&gt;=$E103))</f>
        <v>-0</v>
      </c>
      <c r="EB103" s="46" t="n">
        <f aca="false">-(EB100+EB101+EB102)*N(AND(EB$3&lt;=$E103,EB$4&gt;=$E103))</f>
        <v>-0</v>
      </c>
      <c r="EC103" s="46" t="n">
        <f aca="false">-(EC100+EC101+EC102)*N(AND(EC$3&lt;=$E103,EC$4&gt;=$E103))</f>
        <v>-0</v>
      </c>
      <c r="ED103" s="46" t="n">
        <f aca="false">-(ED100+ED101+ED102)*N(AND(ED$3&lt;=$E103,ED$4&gt;=$E103))</f>
        <v>-0</v>
      </c>
      <c r="EE103" s="46" t="n">
        <f aca="false">-(EE100+EE101+EE102)*N(AND(EE$3&lt;=$E103,EE$4&gt;=$E103))</f>
        <v>-0</v>
      </c>
      <c r="EF103" s="46" t="n">
        <f aca="false">-(EF100+EF101+EF102)*N(AND(EF$3&lt;=$E103,EF$4&gt;=$E103))</f>
        <v>-0</v>
      </c>
      <c r="EG103" s="46" t="n">
        <f aca="false">-(EG100+EG101+EG102)*N(AND(EG$3&lt;=$E103,EG$4&gt;=$E103))</f>
        <v>-0</v>
      </c>
      <c r="EH103" s="46" t="n">
        <f aca="false">-(EH100+EH101+EH102)*N(AND(EH$3&lt;=$E103,EH$4&gt;=$E103))</f>
        <v>-0</v>
      </c>
      <c r="EI103" s="46" t="n">
        <f aca="false">-(EI100+EI101+EI102)*N(AND(EI$3&lt;=$E103,EI$4&gt;=$E103))</f>
        <v>-0</v>
      </c>
      <c r="EJ103" s="46" t="n">
        <f aca="false">-(EJ100+EJ101+EJ102)*N(AND(EJ$3&lt;=$E103,EJ$4&gt;=$E103))</f>
        <v>-0</v>
      </c>
      <c r="EK103" s="46" t="n">
        <f aca="false">-(EK100+EK101+EK102)*N(AND(EK$3&lt;=$E103,EK$4&gt;=$E103))</f>
        <v>-0</v>
      </c>
      <c r="EL103" s="46" t="n">
        <f aca="false">-(EL100+EL101+EL102)*N(AND(EL$3&lt;=$E103,EL$4&gt;=$E103))</f>
        <v>-0</v>
      </c>
      <c r="EM103" s="46" t="n">
        <f aca="false">-(EM100+EM101+EM102)*N(AND(EM$3&lt;=$E103,EM$4&gt;=$E103))</f>
        <v>-0</v>
      </c>
      <c r="EN103" s="46" t="n">
        <f aca="false">-(EN100+EN101+EN102)*N(AND(EN$3&lt;=$E103,EN$4&gt;=$E103))</f>
        <v>-0</v>
      </c>
      <c r="EO103" s="46" t="n">
        <f aca="false">-(EO100+EO101+EO102)*N(AND(EO$3&lt;=$E103,EO$4&gt;=$E103))</f>
        <v>-0</v>
      </c>
    </row>
    <row r="104" customFormat="false" ht="15" hidden="false" customHeight="false" outlineLevel="0" collapsed="false">
      <c r="C104" s="0" t="s">
        <v>428</v>
      </c>
      <c r="D104" s="11" t="s">
        <v>33</v>
      </c>
      <c r="I104" s="58"/>
      <c r="J104" s="46" t="n">
        <f aca="false">SUM(J100:J103)</f>
        <v>11.6750159504597</v>
      </c>
      <c r="K104" s="46" t="n">
        <f aca="false">SUM(K100:K103)</f>
        <v>26.4857496716082</v>
      </c>
      <c r="L104" s="46" t="n">
        <f aca="false">SUM(L100:L103)</f>
        <v>51.4445787202102</v>
      </c>
      <c r="M104" s="46" t="n">
        <f aca="false">SUM(M100:M103)</f>
        <v>76.6776806155001</v>
      </c>
      <c r="N104" s="46" t="n">
        <f aca="false">SUM(N100:N103)</f>
        <v>101.91078251079</v>
      </c>
      <c r="O104" s="46" t="n">
        <f aca="false">SUM(O100:O103)</f>
        <v>126.869611559392</v>
      </c>
      <c r="P104" s="46" t="n">
        <f aca="false">SUM(P100:P103)</f>
        <v>151.828440607994</v>
      </c>
      <c r="Q104" s="46" t="n">
        <f aca="false">SUM(Q100:Q103)</f>
        <v>177.061542503284</v>
      </c>
      <c r="R104" s="46" t="n">
        <f aca="false">SUM(R100:R103)</f>
        <v>1523.34365072587</v>
      </c>
      <c r="S104" s="46" t="n">
        <f aca="false">SUM(S100:S103)</f>
        <v>1712.41279226171</v>
      </c>
      <c r="T104" s="46" t="n">
        <f aca="false">SUM(T100:T103)</f>
        <v>1873.95021938088</v>
      </c>
      <c r="U104" s="46" t="n">
        <f aca="false">SUM(U100:U103)</f>
        <v>2021.93556614305</v>
      </c>
      <c r="V104" s="46" t="n">
        <f aca="false">SUM(V100:V103)</f>
        <v>2154.42526503132</v>
      </c>
      <c r="W104" s="46" t="n">
        <f aca="false">SUM(W100:W103)</f>
        <v>2269.91789828334</v>
      </c>
      <c r="X104" s="46" t="n">
        <f aca="false">SUM(X100:X103)</f>
        <v>2371.69976646499</v>
      </c>
      <c r="Y104" s="46" t="n">
        <f aca="false">SUM(Y100:Y103)</f>
        <v>2459.27289979582</v>
      </c>
      <c r="Z104" s="46" t="n">
        <f aca="false">SUM(Z100:Z103)</f>
        <v>2291.9345219096</v>
      </c>
      <c r="AA104" s="46" t="n">
        <f aca="false">SUM(AA100:AA103)</f>
        <v>2126.38023387481</v>
      </c>
      <c r="AB104" s="46" t="n">
        <f aca="false">SUM(AB100:AB103)</f>
        <v>1951.12330533315</v>
      </c>
      <c r="AC104" s="46" t="n">
        <f aca="false">SUM(AC100:AC103)</f>
        <v>1766.03057714917</v>
      </c>
      <c r="AD104" s="46" t="n">
        <f aca="false">SUM(AD100:AD103)</f>
        <v>1581.32010469659</v>
      </c>
      <c r="AE104" s="46" t="n">
        <f aca="false">SUM(AE100:AE103)</f>
        <v>1391.98742664648</v>
      </c>
      <c r="AF104" s="46" t="n">
        <f aca="false">SUM(AF100:AF103)</f>
        <v>1198.98242237488</v>
      </c>
      <c r="AG104" s="46" t="n">
        <f aca="false">SUM(AG100:AG103)</f>
        <v>995.905846568922</v>
      </c>
      <c r="AH104" s="46" t="n">
        <f aca="false">SUM(AH100:AH103)</f>
        <v>793.034019992769</v>
      </c>
      <c r="AI104" s="46" t="n">
        <f aca="false">SUM(AI100:AI103)</f>
        <v>591.834159050685</v>
      </c>
      <c r="AJ104" s="46" t="n">
        <f aca="false">SUM(AJ100:AJ103)</f>
        <v>367.979165730142</v>
      </c>
      <c r="AK104" s="46" t="n">
        <f aca="false">SUM(AK100:AK103)</f>
        <v>0</v>
      </c>
      <c r="AL104" s="46" t="n">
        <f aca="false">SUM(AL100:AL103)</f>
        <v>0</v>
      </c>
      <c r="AM104" s="46" t="n">
        <f aca="false">SUM(AM100:AM103)</f>
        <v>0</v>
      </c>
      <c r="AN104" s="46" t="n">
        <f aca="false">SUM(AN100:AN103)</f>
        <v>0</v>
      </c>
      <c r="AO104" s="46" t="n">
        <f aca="false">SUM(AO100:AO103)</f>
        <v>0</v>
      </c>
      <c r="AP104" s="46" t="n">
        <f aca="false">SUM(AP100:AP103)</f>
        <v>0</v>
      </c>
      <c r="AQ104" s="46" t="n">
        <f aca="false">SUM(AQ100:AQ103)</f>
        <v>0</v>
      </c>
      <c r="AR104" s="46" t="n">
        <f aca="false">SUM(AR100:AR103)</f>
        <v>0</v>
      </c>
      <c r="AS104" s="46" t="n">
        <f aca="false">SUM(AS100:AS103)</f>
        <v>0</v>
      </c>
      <c r="AT104" s="46" t="n">
        <f aca="false">SUM(AT100:AT103)</f>
        <v>0</v>
      </c>
      <c r="AU104" s="46" t="n">
        <f aca="false">SUM(AU100:AU103)</f>
        <v>0</v>
      </c>
      <c r="AV104" s="46" t="n">
        <f aca="false">SUM(AV100:AV103)</f>
        <v>0</v>
      </c>
      <c r="AW104" s="46" t="n">
        <f aca="false">SUM(AW100:AW103)</f>
        <v>0</v>
      </c>
      <c r="AX104" s="46" t="n">
        <f aca="false">SUM(AX100:AX103)</f>
        <v>0</v>
      </c>
      <c r="AY104" s="46" t="n">
        <f aca="false">SUM(AY100:AY103)</f>
        <v>0</v>
      </c>
      <c r="AZ104" s="46" t="n">
        <f aca="false">SUM(AZ100:AZ103)</f>
        <v>0</v>
      </c>
      <c r="BA104" s="46" t="n">
        <f aca="false">SUM(BA100:BA103)</f>
        <v>0</v>
      </c>
      <c r="BB104" s="46" t="n">
        <f aca="false">SUM(BB100:BB103)</f>
        <v>0</v>
      </c>
      <c r="BC104" s="46" t="n">
        <f aca="false">SUM(BC100:BC103)</f>
        <v>0</v>
      </c>
      <c r="BD104" s="46" t="n">
        <f aca="false">SUM(BD100:BD103)</f>
        <v>0</v>
      </c>
      <c r="BE104" s="46" t="n">
        <f aca="false">SUM(BE100:BE103)</f>
        <v>0</v>
      </c>
      <c r="BF104" s="46" t="n">
        <f aca="false">SUM(BF100:BF103)</f>
        <v>0</v>
      </c>
      <c r="BG104" s="46" t="n">
        <f aca="false">SUM(BG100:BG103)</f>
        <v>0</v>
      </c>
      <c r="BH104" s="46" t="n">
        <f aca="false">SUM(BH100:BH103)</f>
        <v>0</v>
      </c>
      <c r="BI104" s="46" t="n">
        <f aca="false">SUM(BI100:BI103)</f>
        <v>0</v>
      </c>
      <c r="BJ104" s="46" t="n">
        <f aca="false">SUM(BJ100:BJ103)</f>
        <v>0</v>
      </c>
      <c r="BK104" s="46" t="n">
        <f aca="false">SUM(BK100:BK103)</f>
        <v>0</v>
      </c>
      <c r="BL104" s="46" t="n">
        <f aca="false">SUM(BL100:BL103)</f>
        <v>0</v>
      </c>
      <c r="BM104" s="46" t="n">
        <f aca="false">SUM(BM100:BM103)</f>
        <v>0</v>
      </c>
      <c r="BN104" s="46" t="n">
        <f aca="false">SUM(BN100:BN103)</f>
        <v>0</v>
      </c>
      <c r="BO104" s="46" t="n">
        <f aca="false">SUM(BO100:BO103)</f>
        <v>0</v>
      </c>
      <c r="BP104" s="46" t="n">
        <f aca="false">SUM(BP100:BP103)</f>
        <v>0</v>
      </c>
      <c r="BQ104" s="46" t="n">
        <f aca="false">SUM(BQ100:BQ103)</f>
        <v>0</v>
      </c>
      <c r="BR104" s="46" t="n">
        <f aca="false">SUM(BR100:BR103)</f>
        <v>0</v>
      </c>
      <c r="BS104" s="46" t="n">
        <f aca="false">SUM(BS100:BS103)</f>
        <v>0</v>
      </c>
      <c r="BT104" s="46" t="n">
        <f aca="false">SUM(BT100:BT103)</f>
        <v>0</v>
      </c>
      <c r="BU104" s="46" t="n">
        <f aca="false">SUM(BU100:BU103)</f>
        <v>0</v>
      </c>
      <c r="BV104" s="46" t="n">
        <f aca="false">SUM(BV100:BV103)</f>
        <v>0</v>
      </c>
      <c r="BW104" s="46" t="n">
        <f aca="false">SUM(BW100:BW103)</f>
        <v>0</v>
      </c>
      <c r="BX104" s="46" t="n">
        <f aca="false">SUM(BX100:BX103)</f>
        <v>0</v>
      </c>
      <c r="BY104" s="46" t="n">
        <f aca="false">SUM(BY100:BY103)</f>
        <v>0</v>
      </c>
      <c r="BZ104" s="46" t="n">
        <f aca="false">SUM(BZ100:BZ103)</f>
        <v>0</v>
      </c>
      <c r="CA104" s="46" t="n">
        <f aca="false">SUM(CA100:CA103)</f>
        <v>0</v>
      </c>
      <c r="CB104" s="46" t="n">
        <f aca="false">SUM(CB100:CB103)</f>
        <v>0</v>
      </c>
      <c r="CC104" s="46" t="n">
        <f aca="false">SUM(CC100:CC103)</f>
        <v>0</v>
      </c>
      <c r="CD104" s="46" t="n">
        <f aca="false">SUM(CD100:CD103)</f>
        <v>0</v>
      </c>
      <c r="CE104" s="46" t="n">
        <f aca="false">SUM(CE100:CE103)</f>
        <v>0</v>
      </c>
      <c r="CF104" s="46" t="n">
        <f aca="false">SUM(CF100:CF103)</f>
        <v>0</v>
      </c>
      <c r="CG104" s="46" t="n">
        <f aca="false">SUM(CG100:CG103)</f>
        <v>0</v>
      </c>
      <c r="CH104" s="46" t="n">
        <f aca="false">SUM(CH100:CH103)</f>
        <v>0</v>
      </c>
      <c r="CI104" s="46" t="n">
        <f aca="false">SUM(CI100:CI103)</f>
        <v>0</v>
      </c>
      <c r="CJ104" s="46" t="n">
        <f aca="false">SUM(CJ100:CJ103)</f>
        <v>0</v>
      </c>
      <c r="CK104" s="46" t="n">
        <f aca="false">SUM(CK100:CK103)</f>
        <v>0</v>
      </c>
      <c r="CL104" s="46" t="n">
        <f aca="false">SUM(CL100:CL103)</f>
        <v>0</v>
      </c>
      <c r="CM104" s="46" t="n">
        <f aca="false">SUM(CM100:CM103)</f>
        <v>0</v>
      </c>
      <c r="CN104" s="46" t="n">
        <f aca="false">SUM(CN100:CN103)</f>
        <v>0</v>
      </c>
      <c r="CO104" s="46" t="n">
        <f aca="false">SUM(CO100:CO103)</f>
        <v>0</v>
      </c>
      <c r="CP104" s="46" t="n">
        <f aca="false">SUM(CP100:CP103)</f>
        <v>0</v>
      </c>
      <c r="CQ104" s="46" t="n">
        <f aca="false">SUM(CQ100:CQ103)</f>
        <v>0</v>
      </c>
      <c r="CR104" s="46" t="n">
        <f aca="false">SUM(CR100:CR103)</f>
        <v>0</v>
      </c>
      <c r="CS104" s="46" t="n">
        <f aca="false">SUM(CS100:CS103)</f>
        <v>0</v>
      </c>
      <c r="CT104" s="46" t="n">
        <f aca="false">SUM(CT100:CT103)</f>
        <v>0</v>
      </c>
      <c r="CU104" s="46" t="n">
        <f aca="false">SUM(CU100:CU103)</f>
        <v>0</v>
      </c>
      <c r="CV104" s="46" t="n">
        <f aca="false">SUM(CV100:CV103)</f>
        <v>0</v>
      </c>
      <c r="CW104" s="46" t="n">
        <f aca="false">SUM(CW100:CW103)</f>
        <v>0</v>
      </c>
      <c r="CX104" s="46" t="n">
        <f aca="false">SUM(CX100:CX103)</f>
        <v>0</v>
      </c>
      <c r="CY104" s="46" t="n">
        <f aca="false">SUM(CY100:CY103)</f>
        <v>0</v>
      </c>
      <c r="CZ104" s="46" t="n">
        <f aca="false">SUM(CZ100:CZ103)</f>
        <v>0</v>
      </c>
      <c r="DA104" s="46" t="n">
        <f aca="false">SUM(DA100:DA103)</f>
        <v>0</v>
      </c>
      <c r="DB104" s="46" t="n">
        <f aca="false">SUM(DB100:DB103)</f>
        <v>0</v>
      </c>
      <c r="DC104" s="46" t="n">
        <f aca="false">SUM(DC100:DC103)</f>
        <v>0</v>
      </c>
      <c r="DD104" s="46" t="n">
        <f aca="false">SUM(DD100:DD103)</f>
        <v>0</v>
      </c>
      <c r="DE104" s="46" t="n">
        <f aca="false">SUM(DE100:DE103)</f>
        <v>0</v>
      </c>
      <c r="DF104" s="46" t="n">
        <f aca="false">SUM(DF100:DF103)</f>
        <v>0</v>
      </c>
      <c r="DG104" s="46" t="n">
        <f aca="false">SUM(DG100:DG103)</f>
        <v>0</v>
      </c>
      <c r="DH104" s="46" t="n">
        <f aca="false">SUM(DH100:DH103)</f>
        <v>0</v>
      </c>
      <c r="DI104" s="46" t="n">
        <f aca="false">SUM(DI100:DI103)</f>
        <v>0</v>
      </c>
      <c r="DJ104" s="46" t="n">
        <f aca="false">SUM(DJ100:DJ103)</f>
        <v>0</v>
      </c>
      <c r="DK104" s="46" t="n">
        <f aca="false">SUM(DK100:DK103)</f>
        <v>0</v>
      </c>
      <c r="DL104" s="46" t="n">
        <f aca="false">SUM(DL100:DL103)</f>
        <v>0</v>
      </c>
      <c r="DM104" s="46" t="n">
        <f aca="false">SUM(DM100:DM103)</f>
        <v>0</v>
      </c>
      <c r="DN104" s="46" t="n">
        <f aca="false">SUM(DN100:DN103)</f>
        <v>0</v>
      </c>
      <c r="DO104" s="46" t="n">
        <f aca="false">SUM(DO100:DO103)</f>
        <v>0</v>
      </c>
      <c r="DP104" s="46" t="n">
        <f aca="false">SUM(DP100:DP103)</f>
        <v>0</v>
      </c>
      <c r="DQ104" s="46" t="n">
        <f aca="false">SUM(DQ100:DQ103)</f>
        <v>0</v>
      </c>
      <c r="DR104" s="46" t="n">
        <f aca="false">SUM(DR100:DR103)</f>
        <v>0</v>
      </c>
      <c r="DS104" s="46" t="n">
        <f aca="false">SUM(DS100:DS103)</f>
        <v>0</v>
      </c>
      <c r="DT104" s="46" t="n">
        <f aca="false">SUM(DT100:DT103)</f>
        <v>0</v>
      </c>
      <c r="DU104" s="46" t="n">
        <f aca="false">SUM(DU100:DU103)</f>
        <v>0</v>
      </c>
      <c r="DV104" s="46" t="n">
        <f aca="false">SUM(DV100:DV103)</f>
        <v>0</v>
      </c>
      <c r="DW104" s="46" t="n">
        <f aca="false">SUM(DW100:DW103)</f>
        <v>0</v>
      </c>
      <c r="DX104" s="46" t="n">
        <f aca="false">SUM(DX100:DX103)</f>
        <v>0</v>
      </c>
      <c r="DY104" s="46" t="n">
        <f aca="false">SUM(DY100:DY103)</f>
        <v>0</v>
      </c>
      <c r="DZ104" s="46" t="n">
        <f aca="false">SUM(DZ100:DZ103)</f>
        <v>0</v>
      </c>
      <c r="EA104" s="46" t="n">
        <f aca="false">SUM(EA100:EA103)</f>
        <v>0</v>
      </c>
      <c r="EB104" s="46" t="n">
        <f aca="false">SUM(EB100:EB103)</f>
        <v>0</v>
      </c>
      <c r="EC104" s="46" t="n">
        <f aca="false">SUM(EC100:EC103)</f>
        <v>0</v>
      </c>
      <c r="ED104" s="46" t="n">
        <f aca="false">SUM(ED100:ED103)</f>
        <v>0</v>
      </c>
      <c r="EE104" s="46" t="n">
        <f aca="false">SUM(EE100:EE103)</f>
        <v>0</v>
      </c>
      <c r="EF104" s="46" t="n">
        <f aca="false">SUM(EF100:EF103)</f>
        <v>0</v>
      </c>
      <c r="EG104" s="46" t="n">
        <f aca="false">SUM(EG100:EG103)</f>
        <v>0</v>
      </c>
      <c r="EH104" s="46" t="n">
        <f aca="false">SUM(EH100:EH103)</f>
        <v>0</v>
      </c>
      <c r="EI104" s="46" t="n">
        <f aca="false">SUM(EI100:EI103)</f>
        <v>0</v>
      </c>
      <c r="EJ104" s="46" t="n">
        <f aca="false">SUM(EJ100:EJ103)</f>
        <v>0</v>
      </c>
      <c r="EK104" s="46" t="n">
        <f aca="false">SUM(EK100:EK103)</f>
        <v>0</v>
      </c>
      <c r="EL104" s="46" t="n">
        <f aca="false">SUM(EL100:EL103)</f>
        <v>0</v>
      </c>
      <c r="EM104" s="46" t="n">
        <f aca="false">SUM(EM100:EM103)</f>
        <v>0</v>
      </c>
      <c r="EN104" s="46" t="n">
        <f aca="false">SUM(EN100:EN103)</f>
        <v>0</v>
      </c>
      <c r="EO104" s="46" t="n">
        <f aca="false">SUM(EO100:EO103)</f>
        <v>0</v>
      </c>
    </row>
    <row r="105" customFormat="false" ht="15" hidden="false" customHeight="false" outlineLevel="0" collapsed="false">
      <c r="C105" s="0" t="s">
        <v>429</v>
      </c>
      <c r="D105" s="11" t="s">
        <v>33</v>
      </c>
      <c r="J105" s="46" t="n">
        <f aca="false">-In_CIT*(MAX(0,J99)+J102)</f>
        <v>-0</v>
      </c>
      <c r="K105" s="46" t="n">
        <f aca="false">-In_CIT*(MAX(0,K99)+K102)</f>
        <v>-0</v>
      </c>
      <c r="L105" s="46" t="n">
        <f aca="false">-In_CIT*(MAX(0,L99)+L102)</f>
        <v>-0</v>
      </c>
      <c r="M105" s="46" t="n">
        <f aca="false">-In_CIT*(MAX(0,M99)+M102)</f>
        <v>-0</v>
      </c>
      <c r="N105" s="46" t="n">
        <f aca="false">-In_CIT*(MAX(0,N99)+N102)</f>
        <v>-0</v>
      </c>
      <c r="O105" s="46" t="n">
        <f aca="false">-In_CIT*(MAX(0,O99)+O102)</f>
        <v>-0</v>
      </c>
      <c r="P105" s="46" t="n">
        <f aca="false">-In_CIT*(MAX(0,P99)+P102)</f>
        <v>-0</v>
      </c>
      <c r="Q105" s="46" t="n">
        <f aca="false">-In_CIT*(MAX(0,Q99)+Q102)</f>
        <v>-0</v>
      </c>
      <c r="R105" s="46" t="n">
        <f aca="false">-In_CIT*(MAX(0,R99)+R102)</f>
        <v>-0</v>
      </c>
      <c r="S105" s="46" t="n">
        <f aca="false">-In_CIT*(MAX(0,S99)+S102)</f>
        <v>-0</v>
      </c>
      <c r="T105" s="46" t="n">
        <f aca="false">-In_CIT*(MAX(0,T99)+T102)</f>
        <v>-0</v>
      </c>
      <c r="U105" s="46" t="n">
        <f aca="false">-In_CIT*(MAX(0,U99)+U102)</f>
        <v>-0</v>
      </c>
      <c r="V105" s="46" t="n">
        <f aca="false">-In_CIT*(MAX(0,V99)+V102)</f>
        <v>-0</v>
      </c>
      <c r="W105" s="46" t="n">
        <f aca="false">-In_CIT*(MAX(0,W99)+W102)</f>
        <v>-0</v>
      </c>
      <c r="X105" s="46" t="n">
        <f aca="false">-In_CIT*(MAX(0,X99)+X102)</f>
        <v>-0</v>
      </c>
      <c r="Y105" s="46" t="n">
        <f aca="false">-In_CIT*(MAX(0,Y99)+Y102)</f>
        <v>-0</v>
      </c>
      <c r="Z105" s="46" t="n">
        <f aca="false">-In_CIT*(MAX(0,Z99)+Z102)</f>
        <v>-15.06045400976</v>
      </c>
      <c r="AA105" s="46" t="n">
        <f aca="false">-In_CIT*(MAX(0,AA99)+AA102)</f>
        <v>-14.8998859231303</v>
      </c>
      <c r="AB105" s="46" t="n">
        <f aca="false">-In_CIT*(MAX(0,AB99)+AB102)</f>
        <v>-15.7731235687497</v>
      </c>
      <c r="AC105" s="46" t="n">
        <f aca="false">-In_CIT*(MAX(0,AC99)+AC102)</f>
        <v>-16.6583455365584</v>
      </c>
      <c r="AD105" s="46" t="n">
        <f aca="false">-In_CIT*(MAX(0,AD99)+AD102)</f>
        <v>-16.6239425207317</v>
      </c>
      <c r="AE105" s="46" t="n">
        <f aca="false">-In_CIT*(MAX(0,AE99)+AE102)</f>
        <v>-17.03994102451</v>
      </c>
      <c r="AF105" s="46" t="n">
        <f aca="false">-In_CIT*(MAX(0,AF99)+AF102)</f>
        <v>-17.3704503844438</v>
      </c>
      <c r="AG105" s="46" t="n">
        <f aca="false">-In_CIT*(MAX(0,AG99)+AG102)</f>
        <v>-18.2768918225366</v>
      </c>
      <c r="AH105" s="46" t="n">
        <f aca="false">-In_CIT*(MAX(0,AH99)+AH102)</f>
        <v>-18.2584643918538</v>
      </c>
      <c r="AI105" s="46" t="n">
        <f aca="false">-In_CIT*(MAX(0,AI99)+AI102)</f>
        <v>-18.1079874847876</v>
      </c>
      <c r="AJ105" s="46" t="n">
        <f aca="false">-In_CIT*(MAX(0,AJ99)+AJ102)</f>
        <v>-20.1469493988488</v>
      </c>
      <c r="AK105" s="46" t="n">
        <f aca="false">-In_CIT*(MAX(0,AK99)+AK102)</f>
        <v>-21.095841900925</v>
      </c>
      <c r="AL105" s="46" t="n">
        <f aca="false">-In_CIT*(MAX(0,AL99)+AL102)</f>
        <v>-42.2051397051718</v>
      </c>
      <c r="AM105" s="46" t="n">
        <f aca="false">-In_CIT*(MAX(0,AM99)+AM102)</f>
        <v>-41.8694250241571</v>
      </c>
      <c r="AN105" s="46" t="n">
        <f aca="false">-In_CIT*(MAX(0,AN99)+AN102)</f>
        <v>-43.7726923235601</v>
      </c>
      <c r="AO105" s="46" t="n">
        <f aca="false">-In_CIT*(MAX(0,AO99)+AO102)</f>
        <v>-45.7009662006689</v>
      </c>
      <c r="AP105" s="46" t="n">
        <f aca="false">-In_CIT*(MAX(0,AP99)+AP102)</f>
        <v>-45.733983412576</v>
      </c>
      <c r="AQ105" s="46" t="n">
        <f aca="false">-In_CIT*(MAX(0,AQ99)+AQ102)</f>
        <v>-45.4107838138596</v>
      </c>
      <c r="AR105" s="46" t="n">
        <f aca="false">-In_CIT*(MAX(0,AR99)+AR102)</f>
        <v>-47.3591572542813</v>
      </c>
      <c r="AS105" s="46" t="n">
        <f aca="false">-In_CIT*(MAX(0,AS99)+AS102)</f>
        <v>-49.333042026013</v>
      </c>
      <c r="AT105" s="46" t="n">
        <f aca="false">-In_CIT*(MAX(0,AT99)+AT102)</f>
        <v>-49.4017774853499</v>
      </c>
      <c r="AU105" s="46" t="n">
        <f aca="false">-In_CIT*(MAX(0,AU99)+AU102)</f>
        <v>-50.2846944673161</v>
      </c>
      <c r="AV105" s="46" t="n">
        <f aca="false">-In_CIT*(MAX(0,AV99)+AV102)</f>
        <v>-51.1041528078867</v>
      </c>
      <c r="AW105" s="46" t="n">
        <f aca="false">-In_CIT*(MAX(0,AW99)+AW102)</f>
        <v>-53.1253963256806</v>
      </c>
      <c r="AX105" s="46" t="n">
        <f aca="false">-In_CIT*(MAX(0,AX99)+AX102)</f>
        <v>-53.2318247852309</v>
      </c>
      <c r="AY105" s="46" t="n">
        <f aca="false">-In_CIT*(MAX(0,AY99)+AY102)</f>
        <v>-52.9384045427417</v>
      </c>
      <c r="AZ105" s="46" t="n">
        <f aca="false">-In_CIT*(MAX(0,AZ99)+AZ102)</f>
        <v>-54.9818639077785</v>
      </c>
      <c r="BA105" s="46" t="n">
        <f aca="false">-In_CIT*(MAX(0,BA99)+BA102)</f>
        <v>-57.0519048508411</v>
      </c>
      <c r="BB105" s="46" t="n">
        <f aca="false">-In_CIT*(MAX(0,BB99)+BB102)</f>
        <v>-57.1976963249537</v>
      </c>
      <c r="BC105" s="46" t="n">
        <f aca="false">-In_CIT*(MAX(0,BC99)+BC102)</f>
        <v>-56.9215036945505</v>
      </c>
      <c r="BD105" s="46" t="n">
        <f aca="false">-In_CIT*(MAX(0,BD99)+BD102)</f>
        <v>-59.0148965403943</v>
      </c>
      <c r="BE105" s="46" t="n">
        <f aca="false">-In_CIT*(MAX(0,BE99)+BE102)</f>
        <v>-61.1354359862952</v>
      </c>
      <c r="BF105" s="46" t="n">
        <f aca="false">-In_CIT*(MAX(0,BF99)+BF102)</f>
        <v>-61.322534287246</v>
      </c>
      <c r="BG105" s="46" t="n">
        <f aca="false">-In_CIT*(MAX(0,BG99)+BG102)</f>
        <v>-61.065297323807</v>
      </c>
      <c r="BH105" s="46" t="n">
        <f aca="false">-In_CIT*(MAX(0,BH99)+BH102)</f>
        <v>-63.2103823752562</v>
      </c>
      <c r="BI105" s="46" t="n">
        <f aca="false">-In_CIT*(MAX(0,BI99)+BI102)</f>
        <v>-65.3832009819413</v>
      </c>
      <c r="BJ105" s="46" t="n">
        <f aca="false">-In_CIT*(MAX(0,BJ99)+BJ102)</f>
        <v>-65.6136389663919</v>
      </c>
      <c r="BK105" s="46" t="n">
        <f aca="false">-In_CIT*(MAX(0,BK99)+BK102)</f>
        <v>-66.5892328550968</v>
      </c>
      <c r="BL105" s="46" t="n">
        <f aca="false">-In_CIT*(MAX(0,BL99)+BL102)</f>
        <v>-67.5924861146873</v>
      </c>
      <c r="BM105" s="46" t="n">
        <f aca="false">-In_CIT*(MAX(0,BM99)+BM102)</f>
        <v>-69.81964510002</v>
      </c>
      <c r="BN105" s="46" t="n">
        <f aca="false">-In_CIT*(MAX(0,BN99)+BN102)</f>
        <v>-70.0957482498998</v>
      </c>
      <c r="BO105" s="46" t="n">
        <f aca="false">-In_CIT*(MAX(0,BO99)+BO102)</f>
        <v>-69.8821582580808</v>
      </c>
      <c r="BP105" s="46" t="n">
        <f aca="false">-In_CIT*(MAX(0,BP99)+BP102)</f>
        <v>-72.1364417926367</v>
      </c>
      <c r="BQ105" s="46" t="n">
        <f aca="false">-In_CIT*(MAX(0,BQ99)+BQ102)</f>
        <v>-74.4197051054176</v>
      </c>
      <c r="BR105" s="46" t="n">
        <f aca="false">-In_CIT*(MAX(0,BR99)+BR102)</f>
        <v>-74.7435071109193</v>
      </c>
      <c r="BS105" s="46" t="n">
        <f aca="false">-In_CIT*(MAX(0,BS99)+BS102)</f>
        <v>-74.5546016327603</v>
      </c>
      <c r="BT105" s="46" t="n">
        <f aca="false">-In_CIT*(MAX(0,BT99)+BT102)</f>
        <v>-76.8663741303896</v>
      </c>
      <c r="BU105" s="46" t="n">
        <f aca="false">-In_CIT*(MAX(0,BU99)+BU102)</f>
        <v>-79.2077855535521</v>
      </c>
      <c r="BV105" s="46" t="n">
        <f aca="false">-In_CIT*(MAX(0,BV99)+BV102)</f>
        <v>-79.5816124699326</v>
      </c>
      <c r="BW105" s="46" t="n">
        <f aca="false">-In_CIT*(MAX(0,BW99)+BW102)</f>
        <v>-79.4194910441398</v>
      </c>
      <c r="BX105" s="46" t="n">
        <f aca="false">-In_CIT*(MAX(0,BX99)+BX102)</f>
        <v>-81.7908662045735</v>
      </c>
      <c r="BY105" s="46" t="n">
        <f aca="false">-In_CIT*(MAX(0,BY99)+BY102)</f>
        <v>-84.1925657299326</v>
      </c>
      <c r="BZ105" s="46" t="n">
        <f aca="false">-In_CIT*(MAX(0,BZ99)+BZ102)</f>
        <v>-84.6188504302502</v>
      </c>
      <c r="CA105" s="46" t="n">
        <f aca="false">-In_CIT*(MAX(0,CA99)+CA102)</f>
        <v>-85.7135513365102</v>
      </c>
      <c r="CB105" s="46" t="n">
        <f aca="false">-In_CIT*(MAX(0,CB99)+CB102)</f>
        <v>-86.9357140244421</v>
      </c>
      <c r="CC105" s="46" t="n">
        <f aca="false">-In_CIT*(MAX(0,CC99)+CC102)</f>
        <v>-89.4001409435794</v>
      </c>
      <c r="CD105" s="46" t="n">
        <f aca="false">-In_CIT*(MAX(0,CD99)+CD102)</f>
        <v>-89.8816288594841</v>
      </c>
      <c r="CE105" s="46" t="n">
        <f aca="false">-In_CIT*(MAX(0,CE99)+CE102)</f>
        <v>-89.7799985103777</v>
      </c>
      <c r="CF105" s="46" t="n">
        <f aca="false">-In_CIT*(MAX(0,CF99)+CF102)</f>
        <v>-92.2775290853224</v>
      </c>
      <c r="CG105" s="46" t="n">
        <f aca="false">-In_CIT*(MAX(0,CG99)+CG102)</f>
        <v>-94.8068411505909</v>
      </c>
      <c r="CH105" s="46" t="n">
        <f aca="false">-In_CIT*(MAX(0,CH99)+CH102)</f>
        <v>-95.3460028339844</v>
      </c>
      <c r="CI105" s="46" t="n">
        <f aca="false">-In_CIT*(MAX(0,CI99)+CI102)</f>
        <v>-95.2781093631413</v>
      </c>
      <c r="CJ105" s="46" t="n">
        <f aca="false">-In_CIT*(MAX(0,CJ99)+CJ102)</f>
        <v>-97.8422110842415</v>
      </c>
      <c r="CK105" s="46" t="n">
        <f aca="false">-In_CIT*(MAX(0,CK99)+CK102)</f>
        <v>-100.438866291956</v>
      </c>
      <c r="CL105" s="46" t="n">
        <f aca="false">-In_CIT*(MAX(0,CL99)+CL102)</f>
        <v>-101.038486331854</v>
      </c>
      <c r="CM105" s="46" t="n">
        <f aca="false">-In_CIT*(MAX(0,CM99)+CM102)</f>
        <v>-101.006876682205</v>
      </c>
      <c r="CN105" s="46" t="n">
        <f aca="false">-In_CIT*(MAX(0,CN99)+CN102)</f>
        <v>-103.640092302592</v>
      </c>
      <c r="CO105" s="46" t="n">
        <f aca="false">-In_CIT*(MAX(0,CO99)+CO102)</f>
        <v>-106.306664949898</v>
      </c>
      <c r="CP105" s="46" t="n">
        <f aca="false">-In_CIT*(MAX(0,CP99)+CP102)</f>
        <v>-106.969656128952</v>
      </c>
      <c r="CQ105" s="46" t="n">
        <f aca="false">-In_CIT*(MAX(0,CQ99)+CQ102)</f>
        <v>-108.21584399666</v>
      </c>
      <c r="CR105" s="46" t="n">
        <f aca="false">-In_CIT*(MAX(0,CR99)+CR102)</f>
        <v>-109.698878699714</v>
      </c>
      <c r="CS105" s="46" t="n">
        <f aca="false">-In_CIT*(MAX(0,CS99)+CS102)</f>
        <v>-112.438264359372</v>
      </c>
      <c r="CT105" s="46" t="n">
        <f aca="false">-In_CIT*(MAX(0,CT99)+CT102)</f>
        <v>-113.167875326848</v>
      </c>
      <c r="CU105" s="46" t="n">
        <f aca="false">-In_CIT*(MAX(0,CU99)+CU102)</f>
        <v>-111.669564735835</v>
      </c>
      <c r="CV105" s="46" t="n">
        <f aca="false">-In_CIT*(MAX(0,CV99)+CV102)</f>
        <v>-112.910337677345</v>
      </c>
      <c r="CW105" s="46" t="n">
        <f aca="false">-In_CIT*(MAX(0,CW99)+CW102)</f>
        <v>-114.151110618854</v>
      </c>
      <c r="CX105" s="46" t="n">
        <f aca="false">-In_CIT*(MAX(0,CX99)+CX102)</f>
        <v>-113.340795560953</v>
      </c>
      <c r="CY105" s="46" t="n">
        <f aca="false">-In_CIT*(MAX(0,CY99)+CY102)</f>
        <v>-111.811953568606</v>
      </c>
      <c r="CZ105" s="46" t="n">
        <f aca="false">-In_CIT*(MAX(0,CZ99)+CZ102)</f>
        <v>-113.054308608257</v>
      </c>
      <c r="DA105" s="46" t="n">
        <f aca="false">-In_CIT*(MAX(0,DA99)+DA102)</f>
        <v>-114.296663647909</v>
      </c>
      <c r="DB105" s="46" t="n">
        <f aca="false">-In_CIT*(MAX(0,DB99)+DB102)</f>
        <v>-211.36570184882</v>
      </c>
      <c r="DC105" s="46" t="n">
        <f aca="false">-In_CIT*(MAX(0,DC99)+DC102)</f>
        <v>-207.678113975722</v>
      </c>
      <c r="DD105" s="46" t="n">
        <f aca="false">-In_CIT*(MAX(0,DD99)+DD102)</f>
        <v>-209.985648575453</v>
      </c>
      <c r="DE105" s="46" t="n">
        <f aca="false">-In_CIT*(MAX(0,DE99)+DE102)</f>
        <v>-212.293183175183</v>
      </c>
      <c r="DF105" s="46" t="n">
        <f aca="false">-In_CIT*(MAX(0,DF99)+DF102)</f>
        <v>-211.473274989727</v>
      </c>
      <c r="DG105" s="46" t="n">
        <f aca="false">-In_CIT*(MAX(0,DG99)+DG102)</f>
        <v>-210.062938815927</v>
      </c>
      <c r="DH105" s="46" t="n">
        <f aca="false">-In_CIT*(MAX(0,DH99)+DH102)</f>
        <v>-210.062938815927</v>
      </c>
      <c r="DI105" s="46" t="n">
        <f aca="false">-In_CIT*(MAX(0,DI99)+DI102)</f>
        <v>-212.371322758959</v>
      </c>
      <c r="DJ105" s="46" t="n">
        <f aca="false">-In_CIT*(MAX(0,DJ99)+DJ102)</f>
        <v>-211.546604438854</v>
      </c>
      <c r="DK105" s="46" t="n">
        <f aca="false">-In_CIT*(MAX(0,DK99)+DK102)</f>
        <v>-207.796445151866</v>
      </c>
      <c r="DL105" s="46" t="n">
        <f aca="false">-In_CIT*(MAX(0,DL99)+DL102)</f>
        <v>-210.105294542443</v>
      </c>
      <c r="DM105" s="46" t="n">
        <f aca="false">-In_CIT*(MAX(0,DM99)+DM102)</f>
        <v>-212.414143933019</v>
      </c>
      <c r="DN105" s="46" t="n">
        <f aca="false">-In_CIT*(MAX(0,DN99)+DN102)</f>
        <v>-211.584607040596</v>
      </c>
      <c r="DO105" s="46" t="n">
        <f aca="false">-In_CIT*(MAX(0,DO99)+DO102)</f>
        <v>-207.802697207511</v>
      </c>
      <c r="DP105" s="46" t="n">
        <f aca="false">-In_CIT*(MAX(0,DP99)+DP102)</f>
        <v>-210.111616065372</v>
      </c>
      <c r="DQ105" s="46" t="n">
        <f aca="false">-In_CIT*(MAX(0,DQ99)+DQ102)</f>
        <v>-212.420534923233</v>
      </c>
      <c r="DR105" s="46" t="n">
        <f aca="false">-In_CIT*(MAX(0,DR99)+DR102)</f>
        <v>-211.586171496324</v>
      </c>
      <c r="DS105" s="46" t="n">
        <f aca="false">-In_CIT*(MAX(0,DS99)+DS102)</f>
        <v>-207.772195204752</v>
      </c>
      <c r="DT105" s="46" t="n">
        <f aca="false">-In_CIT*(MAX(0,DT99)+DT102)</f>
        <v>-210.080775151471</v>
      </c>
      <c r="DU105" s="46" t="n">
        <f aca="false">-In_CIT*(MAX(0,DU99)+DU102)</f>
        <v>-212.389355098191</v>
      </c>
      <c r="DV105" s="46" t="n">
        <f aca="false">-In_CIT*(MAX(0,DV99)+DV102)</f>
        <v>-211.550157665203</v>
      </c>
      <c r="DW105" s="46" t="n">
        <f aca="false">-In_CIT*(MAX(0,DW99)+DW102)</f>
        <v>-210.011614314934</v>
      </c>
      <c r="DX105" s="46" t="n">
        <f aca="false">-In_CIT*(MAX(0,DX99)+DX102)</f>
        <v>-210.011614314934</v>
      </c>
      <c r="DY105" s="46" t="n">
        <f aca="false">-In_CIT*(MAX(0,DY99)+DY102)</f>
        <v>-212.31943425246</v>
      </c>
      <c r="DZ105" s="46" t="n">
        <f aca="false">-In_CIT*(MAX(0,DZ99)+DZ102)</f>
        <v>-211.475395847818</v>
      </c>
      <c r="EA105" s="46" t="n">
        <f aca="false">-In_CIT*(MAX(0,EA99)+EA102)</f>
        <v>-207.596320309791</v>
      </c>
      <c r="EB105" s="46" t="n">
        <f aca="false">-In_CIT*(MAX(0,EB99)+EB102)</f>
        <v>-209.902946091011</v>
      </c>
      <c r="EC105" s="46" t="n">
        <f aca="false">-In_CIT*(MAX(0,EC99)+EC102)</f>
        <v>-212.209571872231</v>
      </c>
      <c r="ED105" s="46" t="n">
        <f aca="false">-In_CIT*(MAX(0,ED99)+ED102)</f>
        <v>-211.360686052182</v>
      </c>
      <c r="EE105" s="46" t="n">
        <f aca="false">-In_CIT*(MAX(0,EE99)+EE102)</f>
        <v>-207.448568200662</v>
      </c>
      <c r="EF105" s="46" t="n">
        <f aca="false">-In_CIT*(MAX(0,EF99)+EF102)</f>
        <v>-209.753552291781</v>
      </c>
      <c r="EG105" s="46" t="n">
        <f aca="false">-In_CIT*(MAX(0,EG99)+EG102)</f>
        <v>-212.058536382899</v>
      </c>
      <c r="EH105" s="46" t="n">
        <f aca="false">-In_CIT*(MAX(0,EH99)+EH102)</f>
        <v>-211.204797241707</v>
      </c>
      <c r="EI105" s="46" t="n">
        <f aca="false">-In_CIT*(MAX(0,EI99)+EI102)</f>
        <v>-207.259302109069</v>
      </c>
      <c r="EJ105" s="46" t="n">
        <f aca="false">-In_CIT*(MAX(0,EJ99)+EJ102)</f>
        <v>-209.562183243614</v>
      </c>
      <c r="EK105" s="46" t="n">
        <f aca="false">-In_CIT*(MAX(0,EK99)+EK102)</f>
        <v>-211.865064378159</v>
      </c>
      <c r="EL105" s="46" t="n">
        <f aca="false">-In_CIT*(MAX(0,EL99)+EL102)</f>
        <v>-211.00646656468</v>
      </c>
      <c r="EM105" s="46" t="n">
        <f aca="false">-In_CIT*(MAX(0,EM99)+EM102)</f>
        <v>-209.327557005897</v>
      </c>
      <c r="EN105" s="46" t="n">
        <f aca="false">-In_CIT*(MAX(0,EN99)+EN102)</f>
        <v>-209.327557005897</v>
      </c>
      <c r="EO105" s="46" t="n">
        <f aca="false">-In_CIT*(MAX(0,EO99)+EO102)</f>
        <v>-211.627859830137</v>
      </c>
    </row>
    <row r="106" customFormat="false" ht="15" hidden="false" customHeight="false" outlineLevel="0" collapsed="false">
      <c r="C106" s="0" t="s">
        <v>430</v>
      </c>
      <c r="D106" s="11" t="s">
        <v>33</v>
      </c>
      <c r="I106" s="46" t="n">
        <f aca="false">SUM(J106:EO106)</f>
        <v>2.47777975914687E-008</v>
      </c>
      <c r="J106" s="46" t="n">
        <f aca="false">ABS(J105-J78)</f>
        <v>0</v>
      </c>
      <c r="K106" s="46" t="n">
        <f aca="false">ABS(K105-K78)</f>
        <v>0</v>
      </c>
      <c r="L106" s="46" t="n">
        <f aca="false">ABS(L105-L78)</f>
        <v>0</v>
      </c>
      <c r="M106" s="46" t="n">
        <f aca="false">ABS(M105-M78)</f>
        <v>0</v>
      </c>
      <c r="N106" s="46" t="n">
        <f aca="false">ABS(N105-N78)</f>
        <v>0</v>
      </c>
      <c r="O106" s="46" t="n">
        <f aca="false">ABS(O105-O78)</f>
        <v>0</v>
      </c>
      <c r="P106" s="46" t="n">
        <f aca="false">ABS(P105-P78)</f>
        <v>0</v>
      </c>
      <c r="Q106" s="46" t="n">
        <f aca="false">ABS(Q105-Q78)</f>
        <v>0</v>
      </c>
      <c r="R106" s="46" t="n">
        <f aca="false">ABS(R105-R78)</f>
        <v>0</v>
      </c>
      <c r="S106" s="46" t="n">
        <f aca="false">ABS(S105-S78)</f>
        <v>0</v>
      </c>
      <c r="T106" s="46" t="n">
        <f aca="false">ABS(T105-T78)</f>
        <v>0</v>
      </c>
      <c r="U106" s="46" t="n">
        <f aca="false">ABS(U105-U78)</f>
        <v>0</v>
      </c>
      <c r="V106" s="46" t="n">
        <f aca="false">ABS(V105-V78)</f>
        <v>0</v>
      </c>
      <c r="W106" s="46" t="n">
        <f aca="false">ABS(W105-W78)</f>
        <v>0</v>
      </c>
      <c r="X106" s="46" t="n">
        <f aca="false">ABS(X105-X78)</f>
        <v>0</v>
      </c>
      <c r="Y106" s="46" t="n">
        <f aca="false">ABS(Y105-Y78)</f>
        <v>0</v>
      </c>
      <c r="Z106" s="46" t="n">
        <f aca="false">ABS(Z105-Z78)</f>
        <v>0</v>
      </c>
      <c r="AA106" s="46" t="n">
        <f aca="false">ABS(AA105-AA78)</f>
        <v>7.75557396082149E-012</v>
      </c>
      <c r="AB106" s="46" t="n">
        <f aca="false">ABS(AB105-AB78)</f>
        <v>1.60333968324267E-011</v>
      </c>
      <c r="AC106" s="46" t="n">
        <f aca="false">ABS(AC105-AC78)</f>
        <v>2.50075515850767E-011</v>
      </c>
      <c r="AD106" s="46" t="n">
        <f aca="false">ABS(AD105-AD78)</f>
        <v>3.46673800777353E-011</v>
      </c>
      <c r="AE106" s="46" t="n">
        <f aca="false">ABS(AE105-AE78)</f>
        <v>4.49027481863595E-011</v>
      </c>
      <c r="AF106" s="46" t="n">
        <f aca="false">ABS(AF105-AF78)</f>
        <v>5.56781287741615E-011</v>
      </c>
      <c r="AG106" s="46" t="n">
        <f aca="false">ABS(AG105-AG78)</f>
        <v>6.70112854095351E-011</v>
      </c>
      <c r="AH106" s="46" t="n">
        <f aca="false">ABS(AH105-AH78)</f>
        <v>7.89590615113411E-011</v>
      </c>
      <c r="AI106" s="46" t="n">
        <f aca="false">ABS(AI105-AI78)</f>
        <v>9.14006648145005E-011</v>
      </c>
      <c r="AJ106" s="46" t="n">
        <f aca="false">ABS(AJ105-AJ78)</f>
        <v>1.04229513908649E-010</v>
      </c>
      <c r="AK106" s="46" t="n">
        <f aca="false">ABS(AK105-AK78)</f>
        <v>1.17694298751303E-010</v>
      </c>
      <c r="AL106" s="46" t="n">
        <f aca="false">ABS(AL105-AL78)</f>
        <v>2.63412403000984E-010</v>
      </c>
      <c r="AM106" s="46" t="n">
        <f aca="false">ABS(AM105-AM78)</f>
        <v>3.01902502997109E-010</v>
      </c>
      <c r="AN106" s="46" t="n">
        <f aca="false">ABS(AN105-AN78)</f>
        <v>3.40065753334784E-010</v>
      </c>
      <c r="AO106" s="46" t="n">
        <f aca="false">ABS(AO105-AO78)</f>
        <v>3.77980313714943E-010</v>
      </c>
      <c r="AP106" s="46" t="n">
        <f aca="false">ABS(AP105-AP78)</f>
        <v>4.15418810462143E-010</v>
      </c>
      <c r="AQ106" s="46" t="n">
        <f aca="false">ABS(AQ105-AQ78)</f>
        <v>4.51954917934927E-010</v>
      </c>
      <c r="AR106" s="46" t="n">
        <f aca="false">ABS(AR105-AR78)</f>
        <v>4.87098361645622E-010</v>
      </c>
      <c r="AS106" s="46" t="n">
        <f aca="false">ABS(AS105-AS78)</f>
        <v>5.20977039286663E-010</v>
      </c>
      <c r="AT106" s="46" t="n">
        <f aca="false">ABS(AT105-AT78)</f>
        <v>5.53391998892039E-010</v>
      </c>
      <c r="AU106" s="46" t="n">
        <f aca="false">ABS(AU105-AU78)</f>
        <v>5.83909809392935E-010</v>
      </c>
      <c r="AV106" s="46" t="n">
        <f aca="false">ABS(AV105-AV78)</f>
        <v>6.12295991686551E-010</v>
      </c>
      <c r="AW106" s="46" t="n">
        <f aca="false">ABS(AW105-AW78)</f>
        <v>6.3839422637102E-010</v>
      </c>
      <c r="AX106" s="46" t="n">
        <f aca="false">ABS(AX105-AX78)</f>
        <v>6.62232935155771E-010</v>
      </c>
      <c r="AY106" s="46" t="n">
        <f aca="false">ABS(AY105-AY78)</f>
        <v>6.83428424963495E-010</v>
      </c>
      <c r="AZ106" s="46" t="n">
        <f aca="false">ABS(AZ105-AZ78)</f>
        <v>7.01618318998953E-010</v>
      </c>
      <c r="BA106" s="46" t="n">
        <f aca="false">ABS(BA105-BA78)</f>
        <v>7.17065518074378E-010</v>
      </c>
      <c r="BB106" s="46" t="n">
        <f aca="false">ABS(BB105-BB78)</f>
        <v>7.2967765163412E-010</v>
      </c>
      <c r="BC106" s="46" t="n">
        <f aca="false">ABS(BC105-BC78)</f>
        <v>7.39206029720663E-010</v>
      </c>
      <c r="BD106" s="46" t="n">
        <f aca="false">ABS(BD105-BD78)</f>
        <v>7.4534511895763E-010</v>
      </c>
      <c r="BE106" s="46" t="n">
        <f aca="false">ABS(BE105-BE78)</f>
        <v>7.48457296140259E-010</v>
      </c>
      <c r="BF106" s="46" t="n">
        <f aca="false">ABS(BF105-BF78)</f>
        <v>7.48556772123266E-010</v>
      </c>
      <c r="BG106" s="46" t="n">
        <f aca="false">ABS(BG105-BG78)</f>
        <v>7.45416173231206E-010</v>
      </c>
      <c r="BH106" s="46" t="n">
        <f aca="false">ABS(BH105-BH78)</f>
        <v>7.38907601771643E-010</v>
      </c>
      <c r="BI106" s="46" t="n">
        <f aca="false">ABS(BI105-BI78)</f>
        <v>7.29428961676604E-010</v>
      </c>
      <c r="BJ106" s="46" t="n">
        <f aca="false">ABS(BJ105-BJ78)</f>
        <v>7.17093939783808E-010</v>
      </c>
      <c r="BK106" s="46" t="n">
        <f aca="false">ABS(BK105-BK78)</f>
        <v>7.01831481819681E-010</v>
      </c>
      <c r="BL106" s="46" t="n">
        <f aca="false">ABS(BL105-BL78)</f>
        <v>6.83698431203084E-010</v>
      </c>
      <c r="BM106" s="46" t="n">
        <f aca="false">ABS(BM105-BM78)</f>
        <v>6.62922161609458E-010</v>
      </c>
      <c r="BN106" s="46" t="n">
        <f aca="false">ABS(BN105-BN78)</f>
        <v>6.39857944406685E-010</v>
      </c>
      <c r="BO106" s="46" t="n">
        <f aca="false">ABS(BO105-BO78)</f>
        <v>6.14434725321189E-010</v>
      </c>
      <c r="BP106" s="46" t="n">
        <f aca="false">ABS(BP105-BP78)</f>
        <v>5.8673776948126E-010</v>
      </c>
      <c r="BQ106" s="46" t="n">
        <f aca="false">ABS(BQ105-BQ78)</f>
        <v>5.57335511075507E-010</v>
      </c>
      <c r="BR106" s="46" t="n">
        <f aca="false">ABS(BR105-BR78)</f>
        <v>5.26455323779373E-010</v>
      </c>
      <c r="BS106" s="46" t="n">
        <f aca="false">ABS(BS105-BS78)</f>
        <v>4.94225105285295E-010</v>
      </c>
      <c r="BT106" s="46" t="n">
        <f aca="false">ABS(BT105-BT78)</f>
        <v>4.60644855593273E-010</v>
      </c>
      <c r="BU106" s="46" t="n">
        <f aca="false">ABS(BU105-BU78)</f>
        <v>4.26368274020206E-010</v>
      </c>
      <c r="BV106" s="46" t="n">
        <f aca="false">ABS(BV105-BV78)</f>
        <v>3.91736421079258E-010</v>
      </c>
      <c r="BW106" s="46" t="n">
        <f aca="false">ABS(BW105-BW78)</f>
        <v>3.56806140189292E-010</v>
      </c>
      <c r="BX106" s="46" t="n">
        <f aca="false">ABS(BX105-BX78)</f>
        <v>3.21634274769167E-010</v>
      </c>
      <c r="BY106" s="46" t="n">
        <f aca="false">ABS(BY105-BY78)</f>
        <v>2.86902945845213E-010</v>
      </c>
      <c r="BZ106" s="46" t="n">
        <f aca="false">ABS(BZ105-BZ78)</f>
        <v>2.52896370511735E-010</v>
      </c>
      <c r="CA106" s="46" t="n">
        <f aca="false">ABS(CA105-CA78)</f>
        <v>2.19699813897023E-010</v>
      </c>
      <c r="CB106" s="46" t="n">
        <f aca="false">ABS(CB105-CB78)</f>
        <v>1.87526438821806E-010</v>
      </c>
      <c r="CC106" s="46" t="n">
        <f aca="false">ABS(CC105-CC78)</f>
        <v>1.56688884089817E-010</v>
      </c>
      <c r="CD106" s="46" t="n">
        <f aca="false">ABS(CD105-CD78)</f>
        <v>1.27627686197229E-010</v>
      </c>
      <c r="CE106" s="46" t="n">
        <f aca="false">ABS(CE105-CE78)</f>
        <v>1.00300212579896E-010</v>
      </c>
      <c r="CF106" s="46" t="n">
        <f aca="false">ABS(CF105-CF78)</f>
        <v>7.47633066566777E-011</v>
      </c>
      <c r="CG106" s="46" t="n">
        <f aca="false">ABS(CG105-CG78)</f>
        <v>5.15854026161833E-011</v>
      </c>
      <c r="CH106" s="46" t="n">
        <f aca="false">ABS(CH105-CH78)</f>
        <v>3.09370307149948E-011</v>
      </c>
      <c r="CI106" s="46" t="n">
        <f aca="false">ABS(CI105-CI78)</f>
        <v>1.27897692436818E-011</v>
      </c>
      <c r="CJ106" s="46" t="n">
        <f aca="false">ABS(CJ105-CJ78)</f>
        <v>2.94164692604681E-012</v>
      </c>
      <c r="CK106" s="46" t="n">
        <f aca="false">ABS(CK105-CK78)</f>
        <v>1.5759837879159E-011</v>
      </c>
      <c r="CL106" s="46" t="n">
        <f aca="false">ABS(CL105-CL78)</f>
        <v>2.55653276326484E-011</v>
      </c>
      <c r="CM106" s="46" t="n">
        <f aca="false">ABS(CM105-CM78)</f>
        <v>3.24860138789518E-011</v>
      </c>
      <c r="CN106" s="46" t="n">
        <f aca="false">ABS(CN105-CN78)</f>
        <v>3.67066377293668E-011</v>
      </c>
      <c r="CO106" s="46" t="n">
        <f aca="false">ABS(CO105-CO78)</f>
        <v>3.78577169612981E-011</v>
      </c>
      <c r="CP106" s="46" t="n">
        <f aca="false">ABS(CP105-CP78)</f>
        <v>3.58824081558851E-011</v>
      </c>
      <c r="CQ106" s="46" t="n">
        <f aca="false">ABS(CQ105-CQ78)</f>
        <v>3.10365066980012E-011</v>
      </c>
      <c r="CR106" s="46" t="n">
        <f aca="false">ABS(CR105-CR78)</f>
        <v>2.34621211347985E-011</v>
      </c>
      <c r="CS106" s="46" t="n">
        <f aca="false">ABS(CS105-CS78)</f>
        <v>1.31166189021315E-011</v>
      </c>
      <c r="CT106" s="46" t="n">
        <f aca="false">ABS(CT105-CT78)</f>
        <v>0</v>
      </c>
      <c r="CU106" s="46" t="n">
        <f aca="false">ABS(CU105-CU78)</f>
        <v>0</v>
      </c>
      <c r="CV106" s="46" t="n">
        <f aca="false">ABS(CV105-CV78)</f>
        <v>0</v>
      </c>
      <c r="CW106" s="46" t="n">
        <f aca="false">ABS(CW105-CW78)</f>
        <v>0</v>
      </c>
      <c r="CX106" s="46" t="n">
        <f aca="false">ABS(CX105-CX78)</f>
        <v>0</v>
      </c>
      <c r="CY106" s="46" t="n">
        <f aca="false">ABS(CY105-CY78)</f>
        <v>0</v>
      </c>
      <c r="CZ106" s="46" t="n">
        <f aca="false">ABS(CZ105-CZ78)</f>
        <v>0</v>
      </c>
      <c r="DA106" s="46" t="n">
        <f aca="false">ABS(DA105-DA78)</f>
        <v>0</v>
      </c>
      <c r="DB106" s="46" t="n">
        <f aca="false">ABS(DB105-DB78)</f>
        <v>0</v>
      </c>
      <c r="DC106" s="46" t="n">
        <f aca="false">ABS(DC105-DC78)</f>
        <v>0</v>
      </c>
      <c r="DD106" s="46" t="n">
        <f aca="false">ABS(DD105-DD78)</f>
        <v>0</v>
      </c>
      <c r="DE106" s="46" t="n">
        <f aca="false">ABS(DE105-DE78)</f>
        <v>0</v>
      </c>
      <c r="DF106" s="46" t="n">
        <f aca="false">ABS(DF105-DF78)</f>
        <v>0</v>
      </c>
      <c r="DG106" s="46" t="n">
        <f aca="false">ABS(DG105-DG78)</f>
        <v>0</v>
      </c>
      <c r="DH106" s="46" t="n">
        <f aca="false">ABS(DH105-DH78)</f>
        <v>0</v>
      </c>
      <c r="DI106" s="46" t="n">
        <f aca="false">ABS(DI105-DI78)</f>
        <v>0</v>
      </c>
      <c r="DJ106" s="46" t="n">
        <f aca="false">ABS(DJ105-DJ78)</f>
        <v>0</v>
      </c>
      <c r="DK106" s="46" t="n">
        <f aca="false">ABS(DK105-DK78)</f>
        <v>0</v>
      </c>
      <c r="DL106" s="46" t="n">
        <f aca="false">ABS(DL105-DL78)</f>
        <v>0</v>
      </c>
      <c r="DM106" s="46" t="n">
        <f aca="false">ABS(DM105-DM78)</f>
        <v>0</v>
      </c>
      <c r="DN106" s="46" t="n">
        <f aca="false">ABS(DN105-DN78)</f>
        <v>0</v>
      </c>
      <c r="DO106" s="46" t="n">
        <f aca="false">ABS(DO105-DO78)</f>
        <v>0</v>
      </c>
      <c r="DP106" s="46" t="n">
        <f aca="false">ABS(DP105-DP78)</f>
        <v>0</v>
      </c>
      <c r="DQ106" s="46" t="n">
        <f aca="false">ABS(DQ105-DQ78)</f>
        <v>0</v>
      </c>
      <c r="DR106" s="46" t="n">
        <f aca="false">ABS(DR105-DR78)</f>
        <v>0</v>
      </c>
      <c r="DS106" s="46" t="n">
        <f aca="false">ABS(DS105-DS78)</f>
        <v>0</v>
      </c>
      <c r="DT106" s="46" t="n">
        <f aca="false">ABS(DT105-DT78)</f>
        <v>0</v>
      </c>
      <c r="DU106" s="46" t="n">
        <f aca="false">ABS(DU105-DU78)</f>
        <v>0</v>
      </c>
      <c r="DV106" s="46" t="n">
        <f aca="false">ABS(DV105-DV78)</f>
        <v>0</v>
      </c>
      <c r="DW106" s="46" t="n">
        <f aca="false">ABS(DW105-DW78)</f>
        <v>0</v>
      </c>
      <c r="DX106" s="46" t="n">
        <f aca="false">ABS(DX105-DX78)</f>
        <v>0</v>
      </c>
      <c r="DY106" s="46" t="n">
        <f aca="false">ABS(DY105-DY78)</f>
        <v>0</v>
      </c>
      <c r="DZ106" s="46" t="n">
        <f aca="false">ABS(DZ105-DZ78)</f>
        <v>0</v>
      </c>
      <c r="EA106" s="46" t="n">
        <f aca="false">ABS(EA105-EA78)</f>
        <v>0</v>
      </c>
      <c r="EB106" s="46" t="n">
        <f aca="false">ABS(EB105-EB78)</f>
        <v>0</v>
      </c>
      <c r="EC106" s="46" t="n">
        <f aca="false">ABS(EC105-EC78)</f>
        <v>0</v>
      </c>
      <c r="ED106" s="46" t="n">
        <f aca="false">ABS(ED105-ED78)</f>
        <v>0</v>
      </c>
      <c r="EE106" s="46" t="n">
        <f aca="false">ABS(EE105-EE78)</f>
        <v>0</v>
      </c>
      <c r="EF106" s="46" t="n">
        <f aca="false">ABS(EF105-EF78)</f>
        <v>0</v>
      </c>
      <c r="EG106" s="46" t="n">
        <f aca="false">ABS(EG105-EG78)</f>
        <v>0</v>
      </c>
      <c r="EH106" s="46" t="n">
        <f aca="false">ABS(EH105-EH78)</f>
        <v>0</v>
      </c>
      <c r="EI106" s="46" t="n">
        <f aca="false">ABS(EI105-EI78)</f>
        <v>0</v>
      </c>
      <c r="EJ106" s="46" t="n">
        <f aca="false">ABS(EJ105-EJ78)</f>
        <v>0</v>
      </c>
      <c r="EK106" s="46" t="n">
        <f aca="false">ABS(EK105-EK78)</f>
        <v>0</v>
      </c>
      <c r="EL106" s="46" t="n">
        <f aca="false">ABS(EL105-EL78)</f>
        <v>0</v>
      </c>
      <c r="EM106" s="46" t="n">
        <f aca="false">ABS(EM105-EM78)</f>
        <v>0</v>
      </c>
      <c r="EN106" s="46" t="n">
        <f aca="false">ABS(EN105-EN78)</f>
        <v>0</v>
      </c>
      <c r="EO106" s="46" t="n">
        <f aca="false">ABS(EO105-EO78)</f>
        <v>0</v>
      </c>
    </row>
    <row r="108" customFormat="false" ht="15" hidden="false" customHeight="false" outlineLevel="0" collapsed="false">
      <c r="A108" s="9" t="s">
        <v>13</v>
      </c>
      <c r="B108" s="9"/>
      <c r="C108" s="9" t="s">
        <v>431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</row>
    <row r="109" customFormat="false" ht="15" hidden="false" customHeight="false" outlineLevel="0" collapsed="false">
      <c r="C109" s="0" t="s">
        <v>84</v>
      </c>
      <c r="D109" s="11" t="s">
        <v>33</v>
      </c>
      <c r="E109" s="46" t="n">
        <f aca="false">-($I41+$I42+$I43)</f>
        <v>5150</v>
      </c>
    </row>
    <row r="110" customFormat="false" ht="15" hidden="false" customHeight="false" outlineLevel="0" collapsed="false">
      <c r="C110" s="0" t="s">
        <v>85</v>
      </c>
      <c r="D110" s="11" t="s">
        <v>33</v>
      </c>
      <c r="E110" s="46" t="n">
        <f aca="false">-($I45+$I48+$E52)</f>
        <v>993.719076749859</v>
      </c>
    </row>
    <row r="111" customFormat="false" ht="15" hidden="false" customHeight="false" outlineLevel="0" collapsed="false">
      <c r="C111" s="0" t="s">
        <v>86</v>
      </c>
      <c r="D111" s="11" t="s">
        <v>33</v>
      </c>
      <c r="E111" s="46" t="n">
        <f aca="false">-$I60</f>
        <v>67751.25</v>
      </c>
    </row>
    <row r="112" customFormat="false" ht="15" hidden="false" customHeight="false" outlineLevel="0" collapsed="false">
      <c r="C112" s="0" t="s">
        <v>87</v>
      </c>
      <c r="D112" s="11" t="s">
        <v>33</v>
      </c>
      <c r="E112" s="46" t="n">
        <f aca="false">-$I51</f>
        <v>8154.82315068493</v>
      </c>
    </row>
    <row r="113" customFormat="false" ht="15" hidden="false" customHeight="false" outlineLevel="0" collapsed="false">
      <c r="C113" s="0" t="s">
        <v>88</v>
      </c>
      <c r="D113" s="11" t="s">
        <v>33</v>
      </c>
      <c r="E113" s="46" t="n">
        <f aca="false">-$I61</f>
        <v>1750</v>
      </c>
    </row>
    <row r="114" customFormat="false" ht="15" hidden="false" customHeight="false" outlineLevel="0" collapsed="false">
      <c r="C114" s="0" t="s">
        <v>89</v>
      </c>
      <c r="D114" s="11" t="s">
        <v>33</v>
      </c>
      <c r="E114" s="46" t="n">
        <f aca="false">$I89-$I92-$I93</f>
        <v>4677.24288085941</v>
      </c>
    </row>
    <row r="115" customFormat="false" ht="15" hidden="false" customHeight="false" outlineLevel="0" collapsed="false">
      <c r="C115" s="0" t="s">
        <v>90</v>
      </c>
      <c r="D115" s="11" t="s">
        <v>33</v>
      </c>
      <c r="E115" s="46" t="n">
        <f aca="false">-SUMIF($J$4:$EO$4,"&lt;="&amp;In_COD,$J75:$EO75)</f>
        <v>340.170197534084</v>
      </c>
    </row>
    <row r="116" customFormat="false" ht="15" hidden="false" customHeight="false" outlineLevel="0" collapsed="false">
      <c r="C116" s="24" t="s">
        <v>91</v>
      </c>
      <c r="D116" s="11" t="s">
        <v>33</v>
      </c>
      <c r="E116" s="56" t="n">
        <f aca="false">SUM($E109:$E115)</f>
        <v>88817.2053058283</v>
      </c>
    </row>
    <row r="117" customFormat="false" ht="15" hidden="false" customHeight="false" outlineLevel="0" collapsed="false">
      <c r="C117" s="0" t="s">
        <v>432</v>
      </c>
      <c r="D117" s="11" t="s">
        <v>33</v>
      </c>
      <c r="E117" s="46" t="n">
        <f aca="false">$E116-$E91</f>
        <v>23756.9258860972</v>
      </c>
      <c r="F117" s="46" t="n">
        <f aca="false">$E117+$E94</f>
        <v>25125.5725763471</v>
      </c>
    </row>
    <row r="118" customFormat="false" ht="15" hidden="false" customHeight="false" outlineLevel="0" collapsed="false">
      <c r="C118" s="0" t="s">
        <v>95</v>
      </c>
      <c r="D118" s="11" t="s">
        <v>27</v>
      </c>
      <c r="E118" s="47" t="n">
        <f aca="false">$E91/$E116</f>
        <v>0.732518876221179</v>
      </c>
    </row>
    <row r="120" customFormat="false" ht="15" hidden="false" customHeight="false" outlineLevel="0" collapsed="false">
      <c r="A120" s="9" t="s">
        <v>13</v>
      </c>
      <c r="B120" s="9"/>
      <c r="C120" s="9" t="s">
        <v>111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433</v>
      </c>
      <c r="D121" s="11" t="s">
        <v>33</v>
      </c>
      <c r="I121" s="46" t="n">
        <f aca="false">SUM(J121:EO121)</f>
        <v>-23756.9258860972</v>
      </c>
      <c r="J121" s="46" t="n">
        <f aca="false">(J55+J62+J88+J92+J93+J75)*(J$4&lt;=In_COD)</f>
        <v>-4661.67501595046</v>
      </c>
      <c r="K121" s="46" t="n">
        <f aca="false">(K55+K62+K88+K92+K93+K75)*(K$4&lt;=In_COD)</f>
        <v>-701.6716250968</v>
      </c>
      <c r="L121" s="46" t="n">
        <f aca="false">(L55+L62+L88+L92+L93+L75)*(L$4&lt;=In_COD)</f>
        <v>-96.1638368733281</v>
      </c>
      <c r="M121" s="46" t="n">
        <f aca="false">(M55+M62+M88+M92+M93+M75)*(M$4&lt;=In_COD)</f>
        <v>-97.2205823334746</v>
      </c>
      <c r="N121" s="46" t="n">
        <f aca="false">(N55+N62+N88+N92+N93+N75)*(N$4&lt;=In_COD)</f>
        <v>-97.2205823334746</v>
      </c>
      <c r="O121" s="46" t="n">
        <f aca="false">(O55+O62+O88+O92+O93+O75)*(O$4&lt;=In_COD)</f>
        <v>-96.1638368733281</v>
      </c>
      <c r="P121" s="46" t="n">
        <f aca="false">(P55+P62+P88+P92+P93+P75)*(P$4&lt;=In_COD)</f>
        <v>-96.1638368733281</v>
      </c>
      <c r="Q121" s="46" t="n">
        <f aca="false">(Q55+Q62+Q88+Q92+Q93+Q75)*(Q$4&lt;=In_COD)</f>
        <v>-97.2205823334746</v>
      </c>
      <c r="R121" s="46" t="n">
        <f aca="false">(R55+R62+R88+R92+R93+R75)*(R$4&lt;=In_COD)</f>
        <v>-3053.98484794861</v>
      </c>
      <c r="S121" s="46" t="n">
        <f aca="false">(S55+S62+S88+S92+S93+S75)*(S$4&lt;=In_COD)</f>
        <v>-3490.61253879611</v>
      </c>
      <c r="T121" s="46" t="n">
        <f aca="false">(T55+T62+T88+T92+T93+T75)*(T$4&lt;=In_COD)</f>
        <v>-1850.67818054383</v>
      </c>
      <c r="U121" s="46" t="n">
        <f aca="false">(U55+U62+U88+U92+U93+U75)*(U$4&lt;=In_COD)</f>
        <v>-1855.6880864882</v>
      </c>
      <c r="V121" s="46" t="n">
        <f aca="false">(V55+V62+V88+V92+V93+V75)*(V$4&lt;=In_COD)</f>
        <v>-1840.1924386143</v>
      </c>
      <c r="W121" s="46" t="n">
        <f aca="false">(W55+W62+W88+W92+W93+W75)*(W$4&lt;=In_COD)</f>
        <v>-1786.0714003753</v>
      </c>
      <c r="X121" s="46" t="n">
        <f aca="false">(X55+X62+X88+X92+X93+X75)*(X$4&lt;=In_COD)</f>
        <v>-1790.92262160631</v>
      </c>
      <c r="Y121" s="46" t="n">
        <f aca="false">(Y55+Y62+Y88+Y92+Y93+Y75)*(Y$4&lt;=In_COD)</f>
        <v>-2145.27587305686</v>
      </c>
      <c r="Z121" s="46" t="n">
        <f aca="false">(Z55+Z62+Z88+Z92+Z93+Z75)*(Z$4&lt;=In_COD)</f>
        <v>0</v>
      </c>
      <c r="AA121" s="46" t="n">
        <f aca="false">(AA55+AA62+AA88+AA92+AA93+AA75)*(AA$4&lt;=In_COD)</f>
        <v>0</v>
      </c>
      <c r="AB121" s="46" t="n">
        <f aca="false">(AB55+AB62+AB88+AB92+AB93+AB75)*(AB$4&lt;=In_COD)</f>
        <v>0</v>
      </c>
      <c r="AC121" s="46" t="n">
        <f aca="false">(AC55+AC62+AC88+AC92+AC93+AC75)*(AC$4&lt;=In_COD)</f>
        <v>0</v>
      </c>
      <c r="AD121" s="46" t="n">
        <f aca="false">(AD55+AD62+AD88+AD92+AD93+AD75)*(AD$4&lt;=In_COD)</f>
        <v>0</v>
      </c>
      <c r="AE121" s="46" t="n">
        <f aca="false">(AE55+AE62+AE88+AE92+AE93+AE75)*(AE$4&lt;=In_COD)</f>
        <v>0</v>
      </c>
      <c r="AF121" s="46" t="n">
        <f aca="false">(AF55+AF62+AF88+AF92+AF93+AF75)*(AF$4&lt;=In_COD)</f>
        <v>0</v>
      </c>
      <c r="AG121" s="46" t="n">
        <f aca="false">(AG55+AG62+AG88+AG92+AG93+AG75)*(AG$4&lt;=In_COD)</f>
        <v>0</v>
      </c>
      <c r="AH121" s="46" t="n">
        <f aca="false">(AH55+AH62+AH88+AH92+AH93+AH75)*(AH$4&lt;=In_COD)</f>
        <v>0</v>
      </c>
      <c r="AI121" s="46" t="n">
        <f aca="false">(AI55+AI62+AI88+AI92+AI93+AI75)*(AI$4&lt;=In_COD)</f>
        <v>0</v>
      </c>
      <c r="AJ121" s="46" t="n">
        <f aca="false">(AJ55+AJ62+AJ88+AJ92+AJ93+AJ75)*(AJ$4&lt;=In_COD)</f>
        <v>0</v>
      </c>
      <c r="AK121" s="46" t="n">
        <f aca="false">(AK55+AK62+AK88+AK92+AK93+AK75)*(AK$4&lt;=In_COD)</f>
        <v>0</v>
      </c>
      <c r="AL121" s="46" t="n">
        <f aca="false">(AL55+AL62+AL88+AL92+AL93+AL75)*(AL$4&lt;=In_COD)</f>
        <v>0</v>
      </c>
      <c r="AM121" s="46" t="n">
        <f aca="false">(AM55+AM62+AM88+AM92+AM93+AM75)*(AM$4&lt;=In_COD)</f>
        <v>0</v>
      </c>
      <c r="AN121" s="46" t="n">
        <f aca="false">(AN55+AN62+AN88+AN92+AN93+AN75)*(AN$4&lt;=In_COD)</f>
        <v>0</v>
      </c>
      <c r="AO121" s="46" t="n">
        <f aca="false">(AO55+AO62+AO88+AO92+AO93+AO75)*(AO$4&lt;=In_COD)</f>
        <v>0</v>
      </c>
      <c r="AP121" s="46" t="n">
        <f aca="false">(AP55+AP62+AP88+AP92+AP93+AP75)*(AP$4&lt;=In_COD)</f>
        <v>0</v>
      </c>
      <c r="AQ121" s="46" t="n">
        <f aca="false">(AQ55+AQ62+AQ88+AQ92+AQ93+AQ75)*(AQ$4&lt;=In_COD)</f>
        <v>0</v>
      </c>
      <c r="AR121" s="46" t="n">
        <f aca="false">(AR55+AR62+AR88+AR92+AR93+AR75)*(AR$4&lt;=In_COD)</f>
        <v>0</v>
      </c>
      <c r="AS121" s="46" t="n">
        <f aca="false">(AS55+AS62+AS88+AS92+AS93+AS75)*(AS$4&lt;=In_COD)</f>
        <v>0</v>
      </c>
      <c r="AT121" s="46" t="n">
        <f aca="false">(AT55+AT62+AT88+AT92+AT93+AT75)*(AT$4&lt;=In_COD)</f>
        <v>0</v>
      </c>
      <c r="AU121" s="46" t="n">
        <f aca="false">(AU55+AU62+AU88+AU92+AU93+AU75)*(AU$4&lt;=In_COD)</f>
        <v>0</v>
      </c>
      <c r="AV121" s="46" t="n">
        <f aca="false">(AV55+AV62+AV88+AV92+AV93+AV75)*(AV$4&lt;=In_COD)</f>
        <v>0</v>
      </c>
      <c r="AW121" s="46" t="n">
        <f aca="false">(AW55+AW62+AW88+AW92+AW93+AW75)*(AW$4&lt;=In_COD)</f>
        <v>0</v>
      </c>
      <c r="AX121" s="46" t="n">
        <f aca="false">(AX55+AX62+AX88+AX92+AX93+AX75)*(AX$4&lt;=In_COD)</f>
        <v>0</v>
      </c>
      <c r="AY121" s="46" t="n">
        <f aca="false">(AY55+AY62+AY88+AY92+AY93+AY75)*(AY$4&lt;=In_COD)</f>
        <v>0</v>
      </c>
      <c r="AZ121" s="46" t="n">
        <f aca="false">(AZ55+AZ62+AZ88+AZ92+AZ93+AZ75)*(AZ$4&lt;=In_COD)</f>
        <v>0</v>
      </c>
      <c r="BA121" s="46" t="n">
        <f aca="false">(BA55+BA62+BA88+BA92+BA93+BA75)*(BA$4&lt;=In_COD)</f>
        <v>0</v>
      </c>
      <c r="BB121" s="46" t="n">
        <f aca="false">(BB55+BB62+BB88+BB92+BB93+BB75)*(BB$4&lt;=In_COD)</f>
        <v>0</v>
      </c>
      <c r="BC121" s="46" t="n">
        <f aca="false">(BC55+BC62+BC88+BC92+BC93+BC75)*(BC$4&lt;=In_COD)</f>
        <v>0</v>
      </c>
      <c r="BD121" s="46" t="n">
        <f aca="false">(BD55+BD62+BD88+BD92+BD93+BD75)*(BD$4&lt;=In_COD)</f>
        <v>0</v>
      </c>
      <c r="BE121" s="46" t="n">
        <f aca="false">(BE55+BE62+BE88+BE92+BE93+BE75)*(BE$4&lt;=In_COD)</f>
        <v>0</v>
      </c>
      <c r="BF121" s="46" t="n">
        <f aca="false">(BF55+BF62+BF88+BF92+BF93+BF75)*(BF$4&lt;=In_COD)</f>
        <v>0</v>
      </c>
      <c r="BG121" s="46" t="n">
        <f aca="false">(BG55+BG62+BG88+BG92+BG93+BG75)*(BG$4&lt;=In_COD)</f>
        <v>0</v>
      </c>
      <c r="BH121" s="46" t="n">
        <f aca="false">(BH55+BH62+BH88+BH92+BH93+BH75)*(BH$4&lt;=In_COD)</f>
        <v>0</v>
      </c>
      <c r="BI121" s="46" t="n">
        <f aca="false">(BI55+BI62+BI88+BI92+BI93+BI75)*(BI$4&lt;=In_COD)</f>
        <v>0</v>
      </c>
      <c r="BJ121" s="46" t="n">
        <f aca="false">(BJ55+BJ62+BJ88+BJ92+BJ93+BJ75)*(BJ$4&lt;=In_COD)</f>
        <v>0</v>
      </c>
      <c r="BK121" s="46" t="n">
        <f aca="false">(BK55+BK62+BK88+BK92+BK93+BK75)*(BK$4&lt;=In_COD)</f>
        <v>0</v>
      </c>
      <c r="BL121" s="46" t="n">
        <f aca="false">(BL55+BL62+BL88+BL92+BL93+BL75)*(BL$4&lt;=In_COD)</f>
        <v>0</v>
      </c>
      <c r="BM121" s="46" t="n">
        <f aca="false">(BM55+BM62+BM88+BM92+BM93+BM75)*(BM$4&lt;=In_COD)</f>
        <v>0</v>
      </c>
      <c r="BN121" s="46" t="n">
        <f aca="false">(BN55+BN62+BN88+BN92+BN93+BN75)*(BN$4&lt;=In_COD)</f>
        <v>0</v>
      </c>
      <c r="BO121" s="46" t="n">
        <f aca="false">(BO55+BO62+BO88+BO92+BO93+BO75)*(BO$4&lt;=In_COD)</f>
        <v>0</v>
      </c>
      <c r="BP121" s="46" t="n">
        <f aca="false">(BP55+BP62+BP88+BP92+BP93+BP75)*(BP$4&lt;=In_COD)</f>
        <v>0</v>
      </c>
      <c r="BQ121" s="46" t="n">
        <f aca="false">(BQ55+BQ62+BQ88+BQ92+BQ93+BQ75)*(BQ$4&lt;=In_COD)</f>
        <v>0</v>
      </c>
      <c r="BR121" s="46" t="n">
        <f aca="false">(BR55+BR62+BR88+BR92+BR93+BR75)*(BR$4&lt;=In_COD)</f>
        <v>0</v>
      </c>
      <c r="BS121" s="46" t="n">
        <f aca="false">(BS55+BS62+BS88+BS92+BS93+BS75)*(BS$4&lt;=In_COD)</f>
        <v>0</v>
      </c>
      <c r="BT121" s="46" t="n">
        <f aca="false">(BT55+BT62+BT88+BT92+BT93+BT75)*(BT$4&lt;=In_COD)</f>
        <v>0</v>
      </c>
      <c r="BU121" s="46" t="n">
        <f aca="false">(BU55+BU62+BU88+BU92+BU93+BU75)*(BU$4&lt;=In_COD)</f>
        <v>0</v>
      </c>
      <c r="BV121" s="46" t="n">
        <f aca="false">(BV55+BV62+BV88+BV92+BV93+BV75)*(BV$4&lt;=In_COD)</f>
        <v>0</v>
      </c>
      <c r="BW121" s="46" t="n">
        <f aca="false">(BW55+BW62+BW88+BW92+BW93+BW75)*(BW$4&lt;=In_COD)</f>
        <v>0</v>
      </c>
      <c r="BX121" s="46" t="n">
        <f aca="false">(BX55+BX62+BX88+BX92+BX93+BX75)*(BX$4&lt;=In_COD)</f>
        <v>0</v>
      </c>
      <c r="BY121" s="46" t="n">
        <f aca="false">(BY55+BY62+BY88+BY92+BY93+BY75)*(BY$4&lt;=In_COD)</f>
        <v>0</v>
      </c>
      <c r="BZ121" s="46" t="n">
        <f aca="false">(BZ55+BZ62+BZ88+BZ92+BZ93+BZ75)*(BZ$4&lt;=In_COD)</f>
        <v>0</v>
      </c>
      <c r="CA121" s="46" t="n">
        <f aca="false">(CA55+CA62+CA88+CA92+CA93+CA75)*(CA$4&lt;=In_COD)</f>
        <v>0</v>
      </c>
      <c r="CB121" s="46" t="n">
        <f aca="false">(CB55+CB62+CB88+CB92+CB93+CB75)*(CB$4&lt;=In_COD)</f>
        <v>0</v>
      </c>
      <c r="CC121" s="46" t="n">
        <f aca="false">(CC55+CC62+CC88+CC92+CC93+CC75)*(CC$4&lt;=In_COD)</f>
        <v>0</v>
      </c>
      <c r="CD121" s="46" t="n">
        <f aca="false">(CD55+CD62+CD88+CD92+CD93+CD75)*(CD$4&lt;=In_COD)</f>
        <v>0</v>
      </c>
      <c r="CE121" s="46" t="n">
        <f aca="false">(CE55+CE62+CE88+CE92+CE93+CE75)*(CE$4&lt;=In_COD)</f>
        <v>0</v>
      </c>
      <c r="CF121" s="46" t="n">
        <f aca="false">(CF55+CF62+CF88+CF92+CF93+CF75)*(CF$4&lt;=In_COD)</f>
        <v>0</v>
      </c>
      <c r="CG121" s="46" t="n">
        <f aca="false">(CG55+CG62+CG88+CG92+CG93+CG75)*(CG$4&lt;=In_COD)</f>
        <v>0</v>
      </c>
      <c r="CH121" s="46" t="n">
        <f aca="false">(CH55+CH62+CH88+CH92+CH93+CH75)*(CH$4&lt;=In_COD)</f>
        <v>0</v>
      </c>
      <c r="CI121" s="46" t="n">
        <f aca="false">(CI55+CI62+CI88+CI92+CI93+CI75)*(CI$4&lt;=In_COD)</f>
        <v>0</v>
      </c>
      <c r="CJ121" s="46" t="n">
        <f aca="false">(CJ55+CJ62+CJ88+CJ92+CJ93+CJ75)*(CJ$4&lt;=In_COD)</f>
        <v>0</v>
      </c>
      <c r="CK121" s="46" t="n">
        <f aca="false">(CK55+CK62+CK88+CK92+CK93+CK75)*(CK$4&lt;=In_COD)</f>
        <v>0</v>
      </c>
      <c r="CL121" s="46" t="n">
        <f aca="false">(CL55+CL62+CL88+CL92+CL93+CL75)*(CL$4&lt;=In_COD)</f>
        <v>0</v>
      </c>
      <c r="CM121" s="46" t="n">
        <f aca="false">(CM55+CM62+CM88+CM92+CM93+CM75)*(CM$4&lt;=In_COD)</f>
        <v>0</v>
      </c>
      <c r="CN121" s="46" t="n">
        <f aca="false">(CN55+CN62+CN88+CN92+CN93+CN75)*(CN$4&lt;=In_COD)</f>
        <v>0</v>
      </c>
      <c r="CO121" s="46" t="n">
        <f aca="false">(CO55+CO62+CO88+CO92+CO93+CO75)*(CO$4&lt;=In_COD)</f>
        <v>0</v>
      </c>
      <c r="CP121" s="46" t="n">
        <f aca="false">(CP55+CP62+CP88+CP92+CP93+CP75)*(CP$4&lt;=In_COD)</f>
        <v>0</v>
      </c>
      <c r="CQ121" s="46" t="n">
        <f aca="false">(CQ55+CQ62+CQ88+CQ92+CQ93+CQ75)*(CQ$4&lt;=In_COD)</f>
        <v>0</v>
      </c>
      <c r="CR121" s="46" t="n">
        <f aca="false">(CR55+CR62+CR88+CR92+CR93+CR75)*(CR$4&lt;=In_COD)</f>
        <v>0</v>
      </c>
      <c r="CS121" s="46" t="n">
        <f aca="false">(CS55+CS62+CS88+CS92+CS93+CS75)*(CS$4&lt;=In_COD)</f>
        <v>0</v>
      </c>
      <c r="CT121" s="46" t="n">
        <f aca="false">(CT55+CT62+CT88+CT92+CT93+CT75)*(CT$4&lt;=In_COD)</f>
        <v>0</v>
      </c>
      <c r="CU121" s="46" t="n">
        <f aca="false">(CU55+CU62+CU88+CU92+CU93+CU75)*(CU$4&lt;=In_COD)</f>
        <v>0</v>
      </c>
      <c r="CV121" s="46" t="n">
        <f aca="false">(CV55+CV62+CV88+CV92+CV93+CV75)*(CV$4&lt;=In_COD)</f>
        <v>0</v>
      </c>
      <c r="CW121" s="46" t="n">
        <f aca="false">(CW55+CW62+CW88+CW92+CW93+CW75)*(CW$4&lt;=In_COD)</f>
        <v>0</v>
      </c>
      <c r="CX121" s="46" t="n">
        <f aca="false">(CX55+CX62+CX88+CX92+CX93+CX75)*(CX$4&lt;=In_COD)</f>
        <v>0</v>
      </c>
      <c r="CY121" s="46" t="n">
        <f aca="false">(CY55+CY62+CY88+CY92+CY93+CY75)*(CY$4&lt;=In_COD)</f>
        <v>0</v>
      </c>
      <c r="CZ121" s="46" t="n">
        <f aca="false">(CZ55+CZ62+CZ88+CZ92+CZ93+CZ75)*(CZ$4&lt;=In_COD)</f>
        <v>0</v>
      </c>
      <c r="DA121" s="46" t="n">
        <f aca="false">(DA55+DA62+DA88+DA92+DA93+DA75)*(DA$4&lt;=In_COD)</f>
        <v>0</v>
      </c>
      <c r="DB121" s="46" t="n">
        <f aca="false">(DB55+DB62+DB88+DB92+DB93+DB75)*(DB$4&lt;=In_COD)</f>
        <v>0</v>
      </c>
      <c r="DC121" s="46" t="n">
        <f aca="false">(DC55+DC62+DC88+DC92+DC93+DC75)*(DC$4&lt;=In_COD)</f>
        <v>0</v>
      </c>
      <c r="DD121" s="46" t="n">
        <f aca="false">(DD55+DD62+DD88+DD92+DD93+DD75)*(DD$4&lt;=In_COD)</f>
        <v>0</v>
      </c>
      <c r="DE121" s="46" t="n">
        <f aca="false">(DE55+DE62+DE88+DE92+DE93+DE75)*(DE$4&lt;=In_COD)</f>
        <v>0</v>
      </c>
      <c r="DF121" s="46" t="n">
        <f aca="false">(DF55+DF62+DF88+DF92+DF93+DF75)*(DF$4&lt;=In_COD)</f>
        <v>0</v>
      </c>
      <c r="DG121" s="46" t="n">
        <f aca="false">(DG55+DG62+DG88+DG92+DG93+DG75)*(DG$4&lt;=In_COD)</f>
        <v>0</v>
      </c>
      <c r="DH121" s="46" t="n">
        <f aca="false">(DH55+DH62+DH88+DH92+DH93+DH75)*(DH$4&lt;=In_COD)</f>
        <v>0</v>
      </c>
      <c r="DI121" s="46" t="n">
        <f aca="false">(DI55+DI62+DI88+DI92+DI93+DI75)*(DI$4&lt;=In_COD)</f>
        <v>0</v>
      </c>
      <c r="DJ121" s="46" t="n">
        <f aca="false">(DJ55+DJ62+DJ88+DJ92+DJ93+DJ75)*(DJ$4&lt;=In_COD)</f>
        <v>0</v>
      </c>
      <c r="DK121" s="46" t="n">
        <f aca="false">(DK55+DK62+DK88+DK92+DK93+DK75)*(DK$4&lt;=In_COD)</f>
        <v>0</v>
      </c>
      <c r="DL121" s="46" t="n">
        <f aca="false">(DL55+DL62+DL88+DL92+DL93+DL75)*(DL$4&lt;=In_COD)</f>
        <v>0</v>
      </c>
      <c r="DM121" s="46" t="n">
        <f aca="false">(DM55+DM62+DM88+DM92+DM93+DM75)*(DM$4&lt;=In_COD)</f>
        <v>0</v>
      </c>
      <c r="DN121" s="46" t="n">
        <f aca="false">(DN55+DN62+DN88+DN92+DN93+DN75)*(DN$4&lt;=In_COD)</f>
        <v>0</v>
      </c>
      <c r="DO121" s="46" t="n">
        <f aca="false">(DO55+DO62+DO88+DO92+DO93+DO75)*(DO$4&lt;=In_COD)</f>
        <v>0</v>
      </c>
      <c r="DP121" s="46" t="n">
        <f aca="false">(DP55+DP62+DP88+DP92+DP93+DP75)*(DP$4&lt;=In_COD)</f>
        <v>0</v>
      </c>
      <c r="DQ121" s="46" t="n">
        <f aca="false">(DQ55+DQ62+DQ88+DQ92+DQ93+DQ75)*(DQ$4&lt;=In_COD)</f>
        <v>0</v>
      </c>
      <c r="DR121" s="46" t="n">
        <f aca="false">(DR55+DR62+DR88+DR92+DR93+DR75)*(DR$4&lt;=In_COD)</f>
        <v>0</v>
      </c>
      <c r="DS121" s="46" t="n">
        <f aca="false">(DS55+DS62+DS88+DS92+DS93+DS75)*(DS$4&lt;=In_COD)</f>
        <v>0</v>
      </c>
      <c r="DT121" s="46" t="n">
        <f aca="false">(DT55+DT62+DT88+DT92+DT93+DT75)*(DT$4&lt;=In_COD)</f>
        <v>0</v>
      </c>
      <c r="DU121" s="46" t="n">
        <f aca="false">(DU55+DU62+DU88+DU92+DU93+DU75)*(DU$4&lt;=In_COD)</f>
        <v>0</v>
      </c>
      <c r="DV121" s="46" t="n">
        <f aca="false">(DV55+DV62+DV88+DV92+DV93+DV75)*(DV$4&lt;=In_COD)</f>
        <v>0</v>
      </c>
      <c r="DW121" s="46" t="n">
        <f aca="false">(DW55+DW62+DW88+DW92+DW93+DW75)*(DW$4&lt;=In_COD)</f>
        <v>0</v>
      </c>
      <c r="DX121" s="46" t="n">
        <f aca="false">(DX55+DX62+DX88+DX92+DX93+DX75)*(DX$4&lt;=In_COD)</f>
        <v>0</v>
      </c>
      <c r="DY121" s="46" t="n">
        <f aca="false">(DY55+DY62+DY88+DY92+DY93+DY75)*(DY$4&lt;=In_COD)</f>
        <v>0</v>
      </c>
      <c r="DZ121" s="46" t="n">
        <f aca="false">(DZ55+DZ62+DZ88+DZ92+DZ93+DZ75)*(DZ$4&lt;=In_COD)</f>
        <v>0</v>
      </c>
      <c r="EA121" s="46" t="n">
        <f aca="false">(EA55+EA62+EA88+EA92+EA93+EA75)*(EA$4&lt;=In_COD)</f>
        <v>0</v>
      </c>
      <c r="EB121" s="46" t="n">
        <f aca="false">(EB55+EB62+EB88+EB92+EB93+EB75)*(EB$4&lt;=In_COD)</f>
        <v>0</v>
      </c>
      <c r="EC121" s="46" t="n">
        <f aca="false">(EC55+EC62+EC88+EC92+EC93+EC75)*(EC$4&lt;=In_COD)</f>
        <v>0</v>
      </c>
      <c r="ED121" s="46" t="n">
        <f aca="false">(ED55+ED62+ED88+ED92+ED93+ED75)*(ED$4&lt;=In_COD)</f>
        <v>0</v>
      </c>
      <c r="EE121" s="46" t="n">
        <f aca="false">(EE55+EE62+EE88+EE92+EE93+EE75)*(EE$4&lt;=In_COD)</f>
        <v>0</v>
      </c>
      <c r="EF121" s="46" t="n">
        <f aca="false">(EF55+EF62+EF88+EF92+EF93+EF75)*(EF$4&lt;=In_COD)</f>
        <v>0</v>
      </c>
      <c r="EG121" s="46" t="n">
        <f aca="false">(EG55+EG62+EG88+EG92+EG93+EG75)*(EG$4&lt;=In_COD)</f>
        <v>0</v>
      </c>
      <c r="EH121" s="46" t="n">
        <f aca="false">(EH55+EH62+EH88+EH92+EH93+EH75)*(EH$4&lt;=In_COD)</f>
        <v>0</v>
      </c>
      <c r="EI121" s="46" t="n">
        <f aca="false">(EI55+EI62+EI88+EI92+EI93+EI75)*(EI$4&lt;=In_COD)</f>
        <v>0</v>
      </c>
      <c r="EJ121" s="46" t="n">
        <f aca="false">(EJ55+EJ62+EJ88+EJ92+EJ93+EJ75)*(EJ$4&lt;=In_COD)</f>
        <v>0</v>
      </c>
      <c r="EK121" s="46" t="n">
        <f aca="false">(EK55+EK62+EK88+EK92+EK93+EK75)*(EK$4&lt;=In_COD)</f>
        <v>0</v>
      </c>
      <c r="EL121" s="46" t="n">
        <f aca="false">(EL55+EL62+EL88+EL92+EL93+EL75)*(EL$4&lt;=In_COD)</f>
        <v>0</v>
      </c>
      <c r="EM121" s="46" t="n">
        <f aca="false">(EM55+EM62+EM88+EM92+EM93+EM75)*(EM$4&lt;=In_COD)</f>
        <v>0</v>
      </c>
      <c r="EN121" s="46" t="n">
        <f aca="false">(EN55+EN62+EN88+EN92+EN93+EN75)*(EN$4&lt;=In_COD)</f>
        <v>0</v>
      </c>
      <c r="EO121" s="46" t="n">
        <f aca="false">(EO55+EO62+EO88+EO92+EO93+EO75)*(EO$4&lt;=In_COD)</f>
        <v>0</v>
      </c>
    </row>
    <row r="122" customFormat="false" ht="15" hidden="false" customHeight="false" outlineLevel="0" collapsed="false">
      <c r="C122" s="0" t="s">
        <v>434</v>
      </c>
      <c r="D122" s="11" t="s">
        <v>33</v>
      </c>
      <c r="E122" s="46" t="n">
        <f aca="false">IF($E35=1,In_COD_Price,In_COD_Price_CN)*$F24*(1-$E25)</f>
        <v>134137.5</v>
      </c>
    </row>
    <row r="123" customFormat="false" ht="15" hidden="false" customHeight="false" outlineLevel="0" collapsed="false">
      <c r="C123" s="0" t="s">
        <v>435</v>
      </c>
      <c r="D123" s="11" t="s">
        <v>33</v>
      </c>
      <c r="E123" s="46" t="n">
        <f aca="false">$E122+$I54-$E91-In_Sale_Costs</f>
        <v>68577.2205802689</v>
      </c>
    </row>
    <row r="124" customFormat="false" ht="15" hidden="false" customHeight="false" outlineLevel="0" collapsed="false">
      <c r="C124" s="0" t="s">
        <v>114</v>
      </c>
      <c r="D124" s="11" t="s">
        <v>33</v>
      </c>
      <c r="E124" s="46" t="n">
        <f aca="false">-In_CIT*In_Sale_Gain_Taxed*MAX(0,$E123+$I121)</f>
        <v>-0</v>
      </c>
    </row>
    <row r="125" customFormat="false" ht="15" hidden="false" customHeight="false" outlineLevel="0" collapsed="false">
      <c r="C125" s="24" t="s">
        <v>436</v>
      </c>
      <c r="D125" s="11" t="s">
        <v>33</v>
      </c>
      <c r="I125" s="56" t="n">
        <f aca="false">SUM(J125:EO125)</f>
        <v>44820.2946941717</v>
      </c>
      <c r="J125" s="56" t="n">
        <f aca="false">J121+($E123+$E124)*J14</f>
        <v>-4661.67501595046</v>
      </c>
      <c r="K125" s="56" t="n">
        <f aca="false">K121+($E123+$E124)*K14</f>
        <v>-701.6716250968</v>
      </c>
      <c r="L125" s="56" t="n">
        <f aca="false">L121+($E123+$E124)*L14</f>
        <v>-96.1638368733281</v>
      </c>
      <c r="M125" s="56" t="n">
        <f aca="false">M121+($E123+$E124)*M14</f>
        <v>-97.2205823334746</v>
      </c>
      <c r="N125" s="56" t="n">
        <f aca="false">N121+($E123+$E124)*N14</f>
        <v>-97.2205823334746</v>
      </c>
      <c r="O125" s="56" t="n">
        <f aca="false">O121+($E123+$E124)*O14</f>
        <v>-96.1638368733281</v>
      </c>
      <c r="P125" s="56" t="n">
        <f aca="false">P121+($E123+$E124)*P14</f>
        <v>-96.1638368733281</v>
      </c>
      <c r="Q125" s="56" t="n">
        <f aca="false">Q121+($E123+$E124)*Q14</f>
        <v>-97.2205823334746</v>
      </c>
      <c r="R125" s="56" t="n">
        <f aca="false">R121+($E123+$E124)*R14</f>
        <v>-3053.98484794861</v>
      </c>
      <c r="S125" s="56" t="n">
        <f aca="false">S121+($E123+$E124)*S14</f>
        <v>-3490.61253879611</v>
      </c>
      <c r="T125" s="56" t="n">
        <f aca="false">T121+($E123+$E124)*T14</f>
        <v>-1850.67818054383</v>
      </c>
      <c r="U125" s="56" t="n">
        <f aca="false">U121+($E123+$E124)*U14</f>
        <v>-1855.6880864882</v>
      </c>
      <c r="V125" s="56" t="n">
        <f aca="false">V121+($E123+$E124)*V14</f>
        <v>-1840.1924386143</v>
      </c>
      <c r="W125" s="56" t="n">
        <f aca="false">W121+($E123+$E124)*W14</f>
        <v>-1786.0714003753</v>
      </c>
      <c r="X125" s="56" t="n">
        <f aca="false">X121+($E123+$E124)*X14</f>
        <v>-1790.92262160631</v>
      </c>
      <c r="Y125" s="56" t="n">
        <f aca="false">Y121+($E123+$E124)*Y14</f>
        <v>66431.9447072121</v>
      </c>
      <c r="Z125" s="56" t="n">
        <f aca="false">Z121+($E123+$E124)*Z14</f>
        <v>0</v>
      </c>
      <c r="AA125" s="56" t="n">
        <f aca="false">AA121+($E123+$E124)*AA14</f>
        <v>0</v>
      </c>
      <c r="AB125" s="56" t="n">
        <f aca="false">AB121+($E123+$E124)*AB14</f>
        <v>0</v>
      </c>
      <c r="AC125" s="56" t="n">
        <f aca="false">AC121+($E123+$E124)*AC14</f>
        <v>0</v>
      </c>
      <c r="AD125" s="56" t="n">
        <f aca="false">AD121+($E123+$E124)*AD14</f>
        <v>0</v>
      </c>
      <c r="AE125" s="56" t="n">
        <f aca="false">AE121+($E123+$E124)*AE14</f>
        <v>0</v>
      </c>
      <c r="AF125" s="56" t="n">
        <f aca="false">AF121+($E123+$E124)*AF14</f>
        <v>0</v>
      </c>
      <c r="AG125" s="56" t="n">
        <f aca="false">AG121+($E123+$E124)*AG14</f>
        <v>0</v>
      </c>
      <c r="AH125" s="56" t="n">
        <f aca="false">AH121+($E123+$E124)*AH14</f>
        <v>0</v>
      </c>
      <c r="AI125" s="56" t="n">
        <f aca="false">AI121+($E123+$E124)*AI14</f>
        <v>0</v>
      </c>
      <c r="AJ125" s="56" t="n">
        <f aca="false">AJ121+($E123+$E124)*AJ14</f>
        <v>0</v>
      </c>
      <c r="AK125" s="56" t="n">
        <f aca="false">AK121+($E123+$E124)*AK14</f>
        <v>0</v>
      </c>
      <c r="AL125" s="56" t="n">
        <f aca="false">AL121+($E123+$E124)*AL14</f>
        <v>0</v>
      </c>
      <c r="AM125" s="56" t="n">
        <f aca="false">AM121+($E123+$E124)*AM14</f>
        <v>0</v>
      </c>
      <c r="AN125" s="56" t="n">
        <f aca="false">AN121+($E123+$E124)*AN14</f>
        <v>0</v>
      </c>
      <c r="AO125" s="56" t="n">
        <f aca="false">AO121+($E123+$E124)*AO14</f>
        <v>0</v>
      </c>
      <c r="AP125" s="56" t="n">
        <f aca="false">AP121+($E123+$E124)*AP14</f>
        <v>0</v>
      </c>
      <c r="AQ125" s="56" t="n">
        <f aca="false">AQ121+($E123+$E124)*AQ14</f>
        <v>0</v>
      </c>
      <c r="AR125" s="56" t="n">
        <f aca="false">AR121+($E123+$E124)*AR14</f>
        <v>0</v>
      </c>
      <c r="AS125" s="56" t="n">
        <f aca="false">AS121+($E123+$E124)*AS14</f>
        <v>0</v>
      </c>
      <c r="AT125" s="56" t="n">
        <f aca="false">AT121+($E123+$E124)*AT14</f>
        <v>0</v>
      </c>
      <c r="AU125" s="56" t="n">
        <f aca="false">AU121+($E123+$E124)*AU14</f>
        <v>0</v>
      </c>
      <c r="AV125" s="56" t="n">
        <f aca="false">AV121+($E123+$E124)*AV14</f>
        <v>0</v>
      </c>
      <c r="AW125" s="56" t="n">
        <f aca="false">AW121+($E123+$E124)*AW14</f>
        <v>0</v>
      </c>
      <c r="AX125" s="56" t="n">
        <f aca="false">AX121+($E123+$E124)*AX14</f>
        <v>0</v>
      </c>
      <c r="AY125" s="56" t="n">
        <f aca="false">AY121+($E123+$E124)*AY14</f>
        <v>0</v>
      </c>
      <c r="AZ125" s="56" t="n">
        <f aca="false">AZ121+($E123+$E124)*AZ14</f>
        <v>0</v>
      </c>
      <c r="BA125" s="56" t="n">
        <f aca="false">BA121+($E123+$E124)*BA14</f>
        <v>0</v>
      </c>
      <c r="BB125" s="56" t="n">
        <f aca="false">BB121+($E123+$E124)*BB14</f>
        <v>0</v>
      </c>
      <c r="BC125" s="56" t="n">
        <f aca="false">BC121+($E123+$E124)*BC14</f>
        <v>0</v>
      </c>
      <c r="BD125" s="56" t="n">
        <f aca="false">BD121+($E123+$E124)*BD14</f>
        <v>0</v>
      </c>
      <c r="BE125" s="56" t="n">
        <f aca="false">BE121+($E123+$E124)*BE14</f>
        <v>0</v>
      </c>
      <c r="BF125" s="56" t="n">
        <f aca="false">BF121+($E123+$E124)*BF14</f>
        <v>0</v>
      </c>
      <c r="BG125" s="56" t="n">
        <f aca="false">BG121+($E123+$E124)*BG14</f>
        <v>0</v>
      </c>
      <c r="BH125" s="56" t="n">
        <f aca="false">BH121+($E123+$E124)*BH14</f>
        <v>0</v>
      </c>
      <c r="BI125" s="56" t="n">
        <f aca="false">BI121+($E123+$E124)*BI14</f>
        <v>0</v>
      </c>
      <c r="BJ125" s="56" t="n">
        <f aca="false">BJ121+($E123+$E124)*BJ14</f>
        <v>0</v>
      </c>
      <c r="BK125" s="56" t="n">
        <f aca="false">BK121+($E123+$E124)*BK14</f>
        <v>0</v>
      </c>
      <c r="BL125" s="56" t="n">
        <f aca="false">BL121+($E123+$E124)*BL14</f>
        <v>0</v>
      </c>
      <c r="BM125" s="56" t="n">
        <f aca="false">BM121+($E123+$E124)*BM14</f>
        <v>0</v>
      </c>
      <c r="BN125" s="56" t="n">
        <f aca="false">BN121+($E123+$E124)*BN14</f>
        <v>0</v>
      </c>
      <c r="BO125" s="56" t="n">
        <f aca="false">BO121+($E123+$E124)*BO14</f>
        <v>0</v>
      </c>
      <c r="BP125" s="56" t="n">
        <f aca="false">BP121+($E123+$E124)*BP14</f>
        <v>0</v>
      </c>
      <c r="BQ125" s="56" t="n">
        <f aca="false">BQ121+($E123+$E124)*BQ14</f>
        <v>0</v>
      </c>
      <c r="BR125" s="56" t="n">
        <f aca="false">BR121+($E123+$E124)*BR14</f>
        <v>0</v>
      </c>
      <c r="BS125" s="56" t="n">
        <f aca="false">BS121+($E123+$E124)*BS14</f>
        <v>0</v>
      </c>
      <c r="BT125" s="56" t="n">
        <f aca="false">BT121+($E123+$E124)*BT14</f>
        <v>0</v>
      </c>
      <c r="BU125" s="56" t="n">
        <f aca="false">BU121+($E123+$E124)*BU14</f>
        <v>0</v>
      </c>
      <c r="BV125" s="56" t="n">
        <f aca="false">BV121+($E123+$E124)*BV14</f>
        <v>0</v>
      </c>
      <c r="BW125" s="56" t="n">
        <f aca="false">BW121+($E123+$E124)*BW14</f>
        <v>0</v>
      </c>
      <c r="BX125" s="56" t="n">
        <f aca="false">BX121+($E123+$E124)*BX14</f>
        <v>0</v>
      </c>
      <c r="BY125" s="56" t="n">
        <f aca="false">BY121+($E123+$E124)*BY14</f>
        <v>0</v>
      </c>
      <c r="BZ125" s="56" t="n">
        <f aca="false">BZ121+($E123+$E124)*BZ14</f>
        <v>0</v>
      </c>
      <c r="CA125" s="56" t="n">
        <f aca="false">CA121+($E123+$E124)*CA14</f>
        <v>0</v>
      </c>
      <c r="CB125" s="56" t="n">
        <f aca="false">CB121+($E123+$E124)*CB14</f>
        <v>0</v>
      </c>
      <c r="CC125" s="56" t="n">
        <f aca="false">CC121+($E123+$E124)*CC14</f>
        <v>0</v>
      </c>
      <c r="CD125" s="56" t="n">
        <f aca="false">CD121+($E123+$E124)*CD14</f>
        <v>0</v>
      </c>
      <c r="CE125" s="56" t="n">
        <f aca="false">CE121+($E123+$E124)*CE14</f>
        <v>0</v>
      </c>
      <c r="CF125" s="56" t="n">
        <f aca="false">CF121+($E123+$E124)*CF14</f>
        <v>0</v>
      </c>
      <c r="CG125" s="56" t="n">
        <f aca="false">CG121+($E123+$E124)*CG14</f>
        <v>0</v>
      </c>
      <c r="CH125" s="56" t="n">
        <f aca="false">CH121+($E123+$E124)*CH14</f>
        <v>0</v>
      </c>
      <c r="CI125" s="56" t="n">
        <f aca="false">CI121+($E123+$E124)*CI14</f>
        <v>0</v>
      </c>
      <c r="CJ125" s="56" t="n">
        <f aca="false">CJ121+($E123+$E124)*CJ14</f>
        <v>0</v>
      </c>
      <c r="CK125" s="56" t="n">
        <f aca="false">CK121+($E123+$E124)*CK14</f>
        <v>0</v>
      </c>
      <c r="CL125" s="56" t="n">
        <f aca="false">CL121+($E123+$E124)*CL14</f>
        <v>0</v>
      </c>
      <c r="CM125" s="56" t="n">
        <f aca="false">CM121+($E123+$E124)*CM14</f>
        <v>0</v>
      </c>
      <c r="CN125" s="56" t="n">
        <f aca="false">CN121+($E123+$E124)*CN14</f>
        <v>0</v>
      </c>
      <c r="CO125" s="56" t="n">
        <f aca="false">CO121+($E123+$E124)*CO14</f>
        <v>0</v>
      </c>
      <c r="CP125" s="56" t="n">
        <f aca="false">CP121+($E123+$E124)*CP14</f>
        <v>0</v>
      </c>
      <c r="CQ125" s="56" t="n">
        <f aca="false">CQ121+($E123+$E124)*CQ14</f>
        <v>0</v>
      </c>
      <c r="CR125" s="56" t="n">
        <f aca="false">CR121+($E123+$E124)*CR14</f>
        <v>0</v>
      </c>
      <c r="CS125" s="56" t="n">
        <f aca="false">CS121+($E123+$E124)*CS14</f>
        <v>0</v>
      </c>
      <c r="CT125" s="56" t="n">
        <f aca="false">CT121+($E123+$E124)*CT14</f>
        <v>0</v>
      </c>
      <c r="CU125" s="56" t="n">
        <f aca="false">CU121+($E123+$E124)*CU14</f>
        <v>0</v>
      </c>
      <c r="CV125" s="56" t="n">
        <f aca="false">CV121+($E123+$E124)*CV14</f>
        <v>0</v>
      </c>
      <c r="CW125" s="56" t="n">
        <f aca="false">CW121+($E123+$E124)*CW14</f>
        <v>0</v>
      </c>
      <c r="CX125" s="56" t="n">
        <f aca="false">CX121+($E123+$E124)*CX14</f>
        <v>0</v>
      </c>
      <c r="CY125" s="56" t="n">
        <f aca="false">CY121+($E123+$E124)*CY14</f>
        <v>0</v>
      </c>
      <c r="CZ125" s="56" t="n">
        <f aca="false">CZ121+($E123+$E124)*CZ14</f>
        <v>0</v>
      </c>
      <c r="DA125" s="56" t="n">
        <f aca="false">DA121+($E123+$E124)*DA14</f>
        <v>0</v>
      </c>
      <c r="DB125" s="56" t="n">
        <f aca="false">DB121+($E123+$E124)*DB14</f>
        <v>0</v>
      </c>
      <c r="DC125" s="56" t="n">
        <f aca="false">DC121+($E123+$E124)*DC14</f>
        <v>0</v>
      </c>
      <c r="DD125" s="56" t="n">
        <f aca="false">DD121+($E123+$E124)*DD14</f>
        <v>0</v>
      </c>
      <c r="DE125" s="56" t="n">
        <f aca="false">DE121+($E123+$E124)*DE14</f>
        <v>0</v>
      </c>
      <c r="DF125" s="56" t="n">
        <f aca="false">DF121+($E123+$E124)*DF14</f>
        <v>0</v>
      </c>
      <c r="DG125" s="56" t="n">
        <f aca="false">DG121+($E123+$E124)*DG14</f>
        <v>0</v>
      </c>
      <c r="DH125" s="56" t="n">
        <f aca="false">DH121+($E123+$E124)*DH14</f>
        <v>0</v>
      </c>
      <c r="DI125" s="56" t="n">
        <f aca="false">DI121+($E123+$E124)*DI14</f>
        <v>0</v>
      </c>
      <c r="DJ125" s="56" t="n">
        <f aca="false">DJ121+($E123+$E124)*DJ14</f>
        <v>0</v>
      </c>
      <c r="DK125" s="56" t="n">
        <f aca="false">DK121+($E123+$E124)*DK14</f>
        <v>0</v>
      </c>
      <c r="DL125" s="56" t="n">
        <f aca="false">DL121+($E123+$E124)*DL14</f>
        <v>0</v>
      </c>
      <c r="DM125" s="56" t="n">
        <f aca="false">DM121+($E123+$E124)*DM14</f>
        <v>0</v>
      </c>
      <c r="DN125" s="56" t="n">
        <f aca="false">DN121+($E123+$E124)*DN14</f>
        <v>0</v>
      </c>
      <c r="DO125" s="56" t="n">
        <f aca="false">DO121+($E123+$E124)*DO14</f>
        <v>0</v>
      </c>
      <c r="DP125" s="56" t="n">
        <f aca="false">DP121+($E123+$E124)*DP14</f>
        <v>0</v>
      </c>
      <c r="DQ125" s="56" t="n">
        <f aca="false">DQ121+($E123+$E124)*DQ14</f>
        <v>0</v>
      </c>
      <c r="DR125" s="56" t="n">
        <f aca="false">DR121+($E123+$E124)*DR14</f>
        <v>0</v>
      </c>
      <c r="DS125" s="56" t="n">
        <f aca="false">DS121+($E123+$E124)*DS14</f>
        <v>0</v>
      </c>
      <c r="DT125" s="56" t="n">
        <f aca="false">DT121+($E123+$E124)*DT14</f>
        <v>0</v>
      </c>
      <c r="DU125" s="56" t="n">
        <f aca="false">DU121+($E123+$E124)*DU14</f>
        <v>0</v>
      </c>
      <c r="DV125" s="56" t="n">
        <f aca="false">DV121+($E123+$E124)*DV14</f>
        <v>0</v>
      </c>
      <c r="DW125" s="56" t="n">
        <f aca="false">DW121+($E123+$E124)*DW14</f>
        <v>0</v>
      </c>
      <c r="DX125" s="56" t="n">
        <f aca="false">DX121+($E123+$E124)*DX14</f>
        <v>0</v>
      </c>
      <c r="DY125" s="56" t="n">
        <f aca="false">DY121+($E123+$E124)*DY14</f>
        <v>0</v>
      </c>
      <c r="DZ125" s="56" t="n">
        <f aca="false">DZ121+($E123+$E124)*DZ14</f>
        <v>0</v>
      </c>
      <c r="EA125" s="56" t="n">
        <f aca="false">EA121+($E123+$E124)*EA14</f>
        <v>0</v>
      </c>
      <c r="EB125" s="56" t="n">
        <f aca="false">EB121+($E123+$E124)*EB14</f>
        <v>0</v>
      </c>
      <c r="EC125" s="56" t="n">
        <f aca="false">EC121+($E123+$E124)*EC14</f>
        <v>0</v>
      </c>
      <c r="ED125" s="56" t="n">
        <f aca="false">ED121+($E123+$E124)*ED14</f>
        <v>0</v>
      </c>
      <c r="EE125" s="56" t="n">
        <f aca="false">EE121+($E123+$E124)*EE14</f>
        <v>0</v>
      </c>
      <c r="EF125" s="56" t="n">
        <f aca="false">EF121+($E123+$E124)*EF14</f>
        <v>0</v>
      </c>
      <c r="EG125" s="56" t="n">
        <f aca="false">EG121+($E123+$E124)*EG14</f>
        <v>0</v>
      </c>
      <c r="EH125" s="56" t="n">
        <f aca="false">EH121+($E123+$E124)*EH14</f>
        <v>0</v>
      </c>
      <c r="EI125" s="56" t="n">
        <f aca="false">EI121+($E123+$E124)*EI14</f>
        <v>0</v>
      </c>
      <c r="EJ125" s="56" t="n">
        <f aca="false">EJ121+($E123+$E124)*EJ14</f>
        <v>0</v>
      </c>
      <c r="EK125" s="56" t="n">
        <f aca="false">EK121+($E123+$E124)*EK14</f>
        <v>0</v>
      </c>
      <c r="EL125" s="56" t="n">
        <f aca="false">EL121+($E123+$E124)*EL14</f>
        <v>0</v>
      </c>
      <c r="EM125" s="56" t="n">
        <f aca="false">EM121+($E123+$E124)*EM14</f>
        <v>0</v>
      </c>
      <c r="EN125" s="56" t="n">
        <f aca="false">EN121+($E123+$E124)*EN14</f>
        <v>0</v>
      </c>
      <c r="EO125" s="56" t="n">
        <f aca="false">EO121+($E123+$E124)*EO14</f>
        <v>0</v>
      </c>
    </row>
    <row r="126" customFormat="false" ht="15" hidden="false" customHeight="false" outlineLevel="0" collapsed="false">
      <c r="C126" s="24" t="s">
        <v>75</v>
      </c>
      <c r="D126" s="11" t="s">
        <v>27</v>
      </c>
      <c r="E126" s="32" t="n">
        <f aca="false">XIRR($J125:$EO125,$J$4:$EO$4)</f>
        <v>0.663535311491085</v>
      </c>
    </row>
    <row r="127" customFormat="false" ht="15" hidden="false" customHeight="false" outlineLevel="0" collapsed="false">
      <c r="C127" s="24" t="s">
        <v>76</v>
      </c>
      <c r="D127" s="11" t="s">
        <v>13</v>
      </c>
      <c r="E127" s="59" t="n">
        <f aca="false">($E123+$E124)/-$I121</f>
        <v>2.88662013381121</v>
      </c>
    </row>
    <row r="128" customFormat="false" ht="15" hidden="false" customHeight="false" outlineLevel="0" collapsed="false">
      <c r="C128" s="24" t="s">
        <v>77</v>
      </c>
      <c r="D128" s="11" t="s">
        <v>33</v>
      </c>
      <c r="E128" s="56" t="n">
        <f aca="false">XNPV(In_Discount_Rate,$J125:$EO125,$J$4:$EO$4)</f>
        <v>31091.2649449531</v>
      </c>
    </row>
    <row r="130" customFormat="false" ht="15" hidden="false" customHeight="false" outlineLevel="0" collapsed="false">
      <c r="A130" s="9" t="s">
        <v>13</v>
      </c>
      <c r="B130" s="9"/>
      <c r="C130" s="9" t="s">
        <v>437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</row>
    <row r="131" customFormat="false" ht="15" hidden="false" customHeight="false" outlineLevel="0" collapsed="false">
      <c r="C131" s="0" t="s">
        <v>438</v>
      </c>
      <c r="D131" s="11" t="s">
        <v>33</v>
      </c>
      <c r="I131" s="46" t="n">
        <f aca="false">SUM(J131:EO131)</f>
        <v>179500.187666043</v>
      </c>
      <c r="J131" s="46" t="n">
        <f aca="false">J55+J62+J75+J54+J105</f>
        <v>-4661.67501595046</v>
      </c>
      <c r="K131" s="46" t="n">
        <f aca="false">K55+K62+K75+K54+K105</f>
        <v>-701.6716250968</v>
      </c>
      <c r="L131" s="46" t="n">
        <f aca="false">L55+L62+L75+L54+L105</f>
        <v>-96.1638368733281</v>
      </c>
      <c r="M131" s="46" t="n">
        <f aca="false">M55+M62+M75+M54+M105</f>
        <v>-97.2205823334746</v>
      </c>
      <c r="N131" s="46" t="n">
        <f aca="false">N55+N62+N75+N54+N105</f>
        <v>-97.2205823334746</v>
      </c>
      <c r="O131" s="46" t="n">
        <f aca="false">O55+O62+O75+O54+O105</f>
        <v>-96.1638368733281</v>
      </c>
      <c r="P131" s="46" t="n">
        <f aca="false">P55+P62+P75+P54+P105</f>
        <v>-96.1638368733281</v>
      </c>
      <c r="Q131" s="46" t="n">
        <f aca="false">Q55+Q62+Q75+Q54+Q105</f>
        <v>-97.2205823334746</v>
      </c>
      <c r="R131" s="46" t="n">
        <f aca="false">R55+R62+R75+R54+R105</f>
        <v>-8605.3111009663</v>
      </c>
      <c r="S131" s="46" t="n">
        <f aca="false">S55+S62+S75+S54+S105</f>
        <v>-16574.0787894127</v>
      </c>
      <c r="T131" s="46" t="n">
        <f aca="false">T55+T62+T75+T54+T105</f>
        <v>-8512.80292360257</v>
      </c>
      <c r="U131" s="46" t="n">
        <f aca="false">U55+U62+U75+U54+U105</f>
        <v>-8606.35020847732</v>
      </c>
      <c r="V131" s="46" t="n">
        <f aca="false">V55+V62+V75+V54+V105</f>
        <v>-8606.35020847732</v>
      </c>
      <c r="W131" s="46" t="n">
        <f aca="false">W55+W62+W75+W54+W105</f>
        <v>-8420.29756990055</v>
      </c>
      <c r="X131" s="46" t="n">
        <f aca="false">X55+X62+X75+X54+X105</f>
        <v>-8513.85643178833</v>
      </c>
      <c r="Y131" s="46" t="n">
        <f aca="false">Y55+Y62+Y75+Y54+Y105</f>
        <v>-10357.4152936761</v>
      </c>
      <c r="Z131" s="46" t="n">
        <f aca="false">Z55+Z62+Z75+Z54+Z105</f>
        <v>2220.47140728892</v>
      </c>
      <c r="AA131" s="46" t="n">
        <f aca="false">AA55+AA62+AA75+AA54+AA105</f>
        <v>2186.47786738259</v>
      </c>
      <c r="AB131" s="46" t="n">
        <f aca="false">AB55+AB62+AB75+AB54+AB105</f>
        <v>2210.06438255148</v>
      </c>
      <c r="AC131" s="46" t="n">
        <f aca="false">AC55+AC62+AC75+AC54+AC105</f>
        <v>2233.63891339817</v>
      </c>
      <c r="AD131" s="46" t="n">
        <f aca="false">AD55+AD62+AD75+AD54+AD105</f>
        <v>2225.60564690685</v>
      </c>
      <c r="AE131" s="46" t="n">
        <f aca="false">AE55+AE62+AE75+AE54+AE105</f>
        <v>2215.27974938954</v>
      </c>
      <c r="AF131" s="46" t="n">
        <f aca="false">AF55+AF62+AF75+AF54+AF105</f>
        <v>2214.9492400296</v>
      </c>
      <c r="AG131" s="46" t="n">
        <f aca="false">AG55+AG62+AG75+AG54+AG105</f>
        <v>2238.57378420046</v>
      </c>
      <c r="AH131" s="46" t="n">
        <f aca="false">AH55+AH62+AH75+AH54+AH105</f>
        <v>2230.47385491211</v>
      </c>
      <c r="AI131" s="46" t="n">
        <f aca="false">AI55+AI62+AI75+AI54+AI105</f>
        <v>2195.89407583139</v>
      </c>
      <c r="AJ131" s="46" t="n">
        <f aca="false">AJ55+AJ62+AJ75+AJ54+AJ105</f>
        <v>2243.41396589167</v>
      </c>
      <c r="AK131" s="46" t="n">
        <f aca="false">AK55+AK62+AK75+AK54+AK105</f>
        <v>2267.33936916202</v>
      </c>
      <c r="AL131" s="46" t="n">
        <f aca="false">AL55+AL62+AL75+AL54+AL105</f>
        <v>2238.06085770468</v>
      </c>
      <c r="AM131" s="46" t="n">
        <f aca="false">AM55+AM62+AM75+AM54+AM105</f>
        <v>2202.82577058487</v>
      </c>
      <c r="AN131" s="46" t="n">
        <f aca="false">AN55+AN62+AN75+AN54+AN105</f>
        <v>2225.86356101445</v>
      </c>
      <c r="AO131" s="46" t="n">
        <f aca="false">AO55+AO62+AO75+AO54+AO105</f>
        <v>2248.87634486633</v>
      </c>
      <c r="AP131" s="46" t="n">
        <f aca="false">AP55+AP62+AP75+AP54+AP105</f>
        <v>2240.62309000082</v>
      </c>
      <c r="AQ131" s="46" t="n">
        <f aca="false">AQ55+AQ62+AQ75+AQ54+AQ105</f>
        <v>2205.0808242857</v>
      </c>
      <c r="AR131" s="46" t="n">
        <f aca="false">AR55+AR62+AR75+AR54+AR105</f>
        <v>2228.1379131575</v>
      </c>
      <c r="AS131" s="46" t="n">
        <f aca="false">AS55+AS62+AS75+AS54+AS105</f>
        <v>2251.16949069798</v>
      </c>
      <c r="AT131" s="46" t="n">
        <f aca="false">AT55+AT62+AT75+AT54+AT105</f>
        <v>2242.82932927706</v>
      </c>
      <c r="AU131" s="46" t="n">
        <f aca="false">AU55+AU62+AU75+AU54+AU105</f>
        <v>2230.85101012703</v>
      </c>
      <c r="AV131" s="46" t="n">
        <f aca="false">AV55+AV62+AV75+AV54+AV105</f>
        <v>2230.03155178646</v>
      </c>
      <c r="AW131" s="46" t="n">
        <f aca="false">AW55+AW62+AW75+AW54+AW105</f>
        <v>2253.07773359388</v>
      </c>
      <c r="AX131" s="46" t="n">
        <f aca="false">AX55+AX62+AX75+AX54+AX105</f>
        <v>2244.64852942207</v>
      </c>
      <c r="AY131" s="46" t="n">
        <f aca="false">AY55+AY62+AY75+AY54+AY105</f>
        <v>2208.47902540422</v>
      </c>
      <c r="AZ131" s="46" t="n">
        <f aca="false">AZ55+AZ62+AZ75+AZ54+AZ105</f>
        <v>2231.56242637193</v>
      </c>
      <c r="BA131" s="46" t="n">
        <f aca="false">BA55+BA62+BA75+BA54+BA105</f>
        <v>2254.61924576161</v>
      </c>
      <c r="BB131" s="46" t="n">
        <f aca="false">BB55+BB62+BB75+BB54+BB105</f>
        <v>2246.0991703551</v>
      </c>
      <c r="BC131" s="46" t="n">
        <f aca="false">BC55+BC62+BC75+BC54+BC105</f>
        <v>2209.60957078683</v>
      </c>
      <c r="BD131" s="46" t="n">
        <f aca="false">BD55+BD62+BD75+BD54+BD105</f>
        <v>2232.69985654634</v>
      </c>
      <c r="BE131" s="46" t="n">
        <f aca="false">BE55+BE62+BE75+BE54+BE105</f>
        <v>2255.76299570578</v>
      </c>
      <c r="BF131" s="46" t="n">
        <f aca="false">BF55+BF62+BF75+BF54+BF105</f>
        <v>2247.14994986718</v>
      </c>
      <c r="BG131" s="46" t="n">
        <f aca="false">BG55+BG62+BG75+BG54+BG105</f>
        <v>2210.33571826155</v>
      </c>
      <c r="BH131" s="46" t="n">
        <f aca="false">BH55+BH62+BH75+BH54+BH105</f>
        <v>2233.42842227216</v>
      </c>
      <c r="BI131" s="46" t="n">
        <f aca="false">BI55+BI62+BI75+BI54+BI105</f>
        <v>2256.49339272754</v>
      </c>
      <c r="BJ131" s="46" t="n">
        <f aca="false">BJ55+BJ62+BJ75+BJ54+BJ105</f>
        <v>2247.78519141332</v>
      </c>
      <c r="BK131" s="46" t="n">
        <f aca="false">BK55+BK62+BK75+BK54+BK105</f>
        <v>2234.71870441182</v>
      </c>
      <c r="BL131" s="46" t="n">
        <f aca="false">BL55+BL62+BL75+BL54+BL105</f>
        <v>2233.71545115223</v>
      </c>
      <c r="BM131" s="46" t="n">
        <f aca="false">BM55+BM62+BM75+BM54+BM105</f>
        <v>2256.77739037862</v>
      </c>
      <c r="BN131" s="46" t="n">
        <f aca="false">BN55+BN62+BN75+BN54+BN105</f>
        <v>2247.97155923495</v>
      </c>
      <c r="BO131" s="46" t="n">
        <f aca="false">BO55+BO62+BO75+BO54+BO105</f>
        <v>2210.49375010121</v>
      </c>
      <c r="BP131" s="46" t="n">
        <f aca="false">BP55+BP62+BP75+BP54+BP105</f>
        <v>2233.57697665953</v>
      </c>
      <c r="BQ131" s="46" t="n">
        <f aca="false">BQ55+BQ62+BQ75+BQ54+BQ105</f>
        <v>2256.63122343963</v>
      </c>
      <c r="BR131" s="46" t="n">
        <f aca="false">BR55+BR62+BR75+BR54+BR105</f>
        <v>2247.72558333896</v>
      </c>
      <c r="BS131" s="46" t="n">
        <f aca="false">BS55+BS62+BS75+BS54+BS105</f>
        <v>2209.90875746102</v>
      </c>
      <c r="BT131" s="46" t="n">
        <f aca="false">BT55+BT62+BT75+BT54+BT105</f>
        <v>2232.97991117554</v>
      </c>
      <c r="BU131" s="46" t="n">
        <f aca="false">BU55+BU62+BU75+BU54+BU105</f>
        <v>2256.02142596453</v>
      </c>
      <c r="BV131" s="46" t="n">
        <f aca="false">BV55+BV62+BV75+BV54+BV105</f>
        <v>2247.01350897132</v>
      </c>
      <c r="BW131" s="46" t="n">
        <f aca="false">BW55+BW62+BW75+BW54+BW105</f>
        <v>2208.85260225762</v>
      </c>
      <c r="BX131" s="46" t="n">
        <f aca="false">BX55+BX62+BX75+BX54+BX105</f>
        <v>2231.90647257832</v>
      </c>
      <c r="BY131" s="46" t="n">
        <f aca="false">BY55+BY62+BY75+BY54+BY105</f>
        <v>2254.93001853409</v>
      </c>
      <c r="BZ131" s="46" t="n">
        <f aca="false">BZ55+BZ62+BZ75+BZ54+BZ105</f>
        <v>2245.81725357765</v>
      </c>
      <c r="CA131" s="46" t="n">
        <f aca="false">CA55+CA62+CA75+CA54+CA105</f>
        <v>2231.54358646802</v>
      </c>
      <c r="CB131" s="46" t="n">
        <f aca="false">CB55+CB62+CB75+CB54+CB105</f>
        <v>2230.32142378009</v>
      </c>
      <c r="CC131" s="46" t="n">
        <f aca="false">CC55+CC62+CC75+CC54+CC105</f>
        <v>2253.32136101265</v>
      </c>
      <c r="CD131" s="46" t="n">
        <f aca="false">CD55+CD62+CD75+CD54+CD105</f>
        <v>2244.10086827496</v>
      </c>
      <c r="CE131" s="46" t="n">
        <f aca="false">CE55+CE62+CE75+CE54+CE105</f>
        <v>2205.23581896898</v>
      </c>
      <c r="CF131" s="46" t="n">
        <f aca="false">CF55+CF62+CF75+CF54+CF105</f>
        <v>2228.23846414381</v>
      </c>
      <c r="CG131" s="46" t="n">
        <f aca="false">CG55+CG62+CG75+CG54+CG105</f>
        <v>2251.20932782831</v>
      </c>
      <c r="CH131" s="46" t="n">
        <f aca="false">CH55+CH62+CH75+CH54+CH105</f>
        <v>2241.87850631417</v>
      </c>
      <c r="CI131" s="46" t="n">
        <f aca="false">CI55+CI62+CI75+CI54+CI105</f>
        <v>2202.65328130302</v>
      </c>
      <c r="CJ131" s="46" t="n">
        <f aca="false">CJ55+CJ62+CJ75+CJ54+CJ105</f>
        <v>2225.62175058932</v>
      </c>
      <c r="CK131" s="46" t="n">
        <f aca="false">CK55+CK62+CK75+CK54+CK105</f>
        <v>2248.55766638901</v>
      </c>
      <c r="CL131" s="46" t="n">
        <f aca="false">CL55+CL62+CL75+CL54+CL105</f>
        <v>2239.11360514416</v>
      </c>
      <c r="CM131" s="46" t="n">
        <f aca="false">CM55+CM62+CM75+CM54+CM105</f>
        <v>2199.52252470763</v>
      </c>
      <c r="CN131" s="46" t="n">
        <f aca="false">CN55+CN62+CN75+CN54+CN105</f>
        <v>2222.45074688046</v>
      </c>
      <c r="CO131" s="46" t="n">
        <f aca="false">CO55+CO62+CO75+CO54+CO105</f>
        <v>2245.34561202638</v>
      </c>
      <c r="CP131" s="46" t="n">
        <f aca="false">CP55+CP62+CP75+CP54+CP105</f>
        <v>2235.78527611931</v>
      </c>
      <c r="CQ131" s="46" t="n">
        <f aca="false">CQ55+CQ62+CQ75+CQ54+CQ105</f>
        <v>2220.17031074863</v>
      </c>
      <c r="CR131" s="46" t="n">
        <f aca="false">CR55+CR62+CR75+CR54+CR105</f>
        <v>2218.68727604558</v>
      </c>
      <c r="CS131" s="46" t="n">
        <f aca="false">CS55+CS62+CS75+CS54+CS105</f>
        <v>2241.53455142708</v>
      </c>
      <c r="CT131" s="46" t="n">
        <f aca="false">CT55+CT62+CT75+CT54+CT105</f>
        <v>2231.85457441773</v>
      </c>
      <c r="CU131" s="46" t="n">
        <f aca="false">CU55+CU62+CU75+CU54+CU105</f>
        <v>2193.06147623176</v>
      </c>
      <c r="CV131" s="46" t="n">
        <f aca="false">CV55+CV62+CV75+CV54+CV105</f>
        <v>2217.42882596766</v>
      </c>
      <c r="CW131" s="46" t="n">
        <f aca="false">CW55+CW62+CW75+CW54+CW105</f>
        <v>2241.79617570357</v>
      </c>
      <c r="CX131" s="46" t="n">
        <f aca="false">CX55+CX62+CX75+CX54+CX105</f>
        <v>2233.60299011813</v>
      </c>
      <c r="CY131" s="46" t="n">
        <f aca="false">CY55+CY62+CY75+CY54+CY105</f>
        <v>2194.50118554088</v>
      </c>
      <c r="CZ131" s="46" t="n">
        <f aca="false">CZ55+CZ62+CZ75+CZ54+CZ105</f>
        <v>2218.88453204689</v>
      </c>
      <c r="DA131" s="46" t="n">
        <f aca="false">DA55+DA62+DA75+DA54+DA105</f>
        <v>2243.2678785529</v>
      </c>
      <c r="DB131" s="46" t="n">
        <f aca="false">DB55+DB62+DB75+DB54+DB105</f>
        <v>2137.1420964714</v>
      </c>
      <c r="DC131" s="46" t="n">
        <f aca="false">DC55+DC62+DC75+DC54+DC105</f>
        <v>2099.85648575453</v>
      </c>
      <c r="DD131" s="46" t="n">
        <f aca="false">DD55+DD62+DD75+DD54+DD105</f>
        <v>2123.18822448513</v>
      </c>
      <c r="DE131" s="46" t="n">
        <f aca="false">DE55+DE62+DE75+DE54+DE105</f>
        <v>2146.51996321574</v>
      </c>
      <c r="DF131" s="46" t="n">
        <f aca="false">DF55+DF62+DF75+DF54+DF105</f>
        <v>2138.22978045169</v>
      </c>
      <c r="DG131" s="46" t="n">
        <f aca="false">DG55+DG62+DG75+DG54+DG105</f>
        <v>2123.96971469438</v>
      </c>
      <c r="DH131" s="46" t="n">
        <f aca="false">DH55+DH62+DH75+DH54+DH105</f>
        <v>2123.96971469438</v>
      </c>
      <c r="DI131" s="46" t="n">
        <f aca="false">DI55+DI62+DI75+DI54+DI105</f>
        <v>2147.31004122948</v>
      </c>
      <c r="DJ131" s="46" t="n">
        <f aca="false">DJ55+DJ62+DJ75+DJ54+DJ105</f>
        <v>2138.97122265953</v>
      </c>
      <c r="DK131" s="46" t="n">
        <f aca="false">DK55+DK62+DK75+DK54+DK105</f>
        <v>2101.05294542443</v>
      </c>
      <c r="DL131" s="46" t="n">
        <f aca="false">DL55+DL62+DL75+DL54+DL105</f>
        <v>2124.39797815137</v>
      </c>
      <c r="DM131" s="46" t="n">
        <f aca="false">DM55+DM62+DM75+DM54+DM105</f>
        <v>2147.74301087831</v>
      </c>
      <c r="DN131" s="46" t="n">
        <f aca="false">DN55+DN62+DN75+DN54+DN105</f>
        <v>2139.35547118825</v>
      </c>
      <c r="DO131" s="46" t="n">
        <f aca="false">DO55+DO62+DO75+DO54+DO105</f>
        <v>2101.11616065373</v>
      </c>
      <c r="DP131" s="46" t="n">
        <f aca="false">DP55+DP62+DP75+DP54+DP105</f>
        <v>2124.4618957721</v>
      </c>
      <c r="DQ131" s="46" t="n">
        <f aca="false">DQ55+DQ62+DQ75+DQ54+DQ105</f>
        <v>2147.80763089048</v>
      </c>
      <c r="DR131" s="46" t="n">
        <f aca="false">DR55+DR62+DR75+DR54+DR105</f>
        <v>2139.37128957395</v>
      </c>
      <c r="DS131" s="46" t="n">
        <f aca="false">DS55+DS62+DS75+DS54+DS105</f>
        <v>2100.80775151472</v>
      </c>
      <c r="DT131" s="46" t="n">
        <f aca="false">DT55+DT62+DT75+DT54+DT105</f>
        <v>2124.15005986488</v>
      </c>
      <c r="DU131" s="46" t="n">
        <f aca="false">DU55+DU62+DU75+DU54+DU105</f>
        <v>2147.49236821505</v>
      </c>
      <c r="DV131" s="46" t="n">
        <f aca="false">DV55+DV62+DV75+DV54+DV105</f>
        <v>2139.00714972595</v>
      </c>
      <c r="DW131" s="46" t="n">
        <f aca="false">DW55+DW62+DW75+DW54+DW105</f>
        <v>2123.45076696211</v>
      </c>
      <c r="DX131" s="46" t="n">
        <f aca="false">DX55+DX62+DX75+DX54+DX105</f>
        <v>2123.45076696211</v>
      </c>
      <c r="DY131" s="46" t="n">
        <f aca="false">DY55+DY62+DY75+DY54+DY105</f>
        <v>2146.78539077488</v>
      </c>
      <c r="DZ131" s="46" t="n">
        <f aca="false">DZ55+DZ62+DZ75+DZ54+DZ105</f>
        <v>2138.25122468349</v>
      </c>
      <c r="EA131" s="46" t="n">
        <f aca="false">EA55+EA62+EA75+EA54+EA105</f>
        <v>2099.02946091011</v>
      </c>
      <c r="EB131" s="46" t="n">
        <f aca="false">EB55+EB62+EB75+EB54+EB105</f>
        <v>2122.35201047578</v>
      </c>
      <c r="EC131" s="46" t="n">
        <f aca="false">EC55+EC62+EC75+EC54+EC105</f>
        <v>2145.67456004145</v>
      </c>
      <c r="ED131" s="46" t="n">
        <f aca="false">ED55+ED62+ED75+ED54+ED105</f>
        <v>2137.09138119429</v>
      </c>
      <c r="EE131" s="46" t="n">
        <f aca="false">EE55+EE62+EE75+EE54+EE105</f>
        <v>2097.53552291781</v>
      </c>
      <c r="EF131" s="46" t="n">
        <f aca="false">EF55+EF62+EF75+EF54+EF105</f>
        <v>2120.84147317245</v>
      </c>
      <c r="EG131" s="46" t="n">
        <f aca="false">EG55+EG62+EG75+EG54+EG105</f>
        <v>2144.1474234271</v>
      </c>
      <c r="EH131" s="46" t="n">
        <f aca="false">EH55+EH62+EH75+EH54+EH105</f>
        <v>2135.5151721106</v>
      </c>
      <c r="EI131" s="46" t="n">
        <f aca="false">EI55+EI62+EI75+EI54+EI105</f>
        <v>2095.62183243614</v>
      </c>
      <c r="EJ131" s="46" t="n">
        <f aca="false">EJ55+EJ62+EJ75+EJ54+EJ105</f>
        <v>2118.90651946321</v>
      </c>
      <c r="EK131" s="46" t="n">
        <f aca="false">EK55+EK62+EK75+EK54+EK105</f>
        <v>2142.19120649028</v>
      </c>
      <c r="EL131" s="46" t="n">
        <f aca="false">EL55+EL62+EL75+EL54+EL105</f>
        <v>2133.50982859844</v>
      </c>
      <c r="EM131" s="46" t="n">
        <f aca="false">EM55+EM62+EM75+EM54+EM105</f>
        <v>2116.53418750407</v>
      </c>
      <c r="EN131" s="46" t="n">
        <f aca="false">EN55+EN62+EN75+EN54+EN105</f>
        <v>2116.53418750407</v>
      </c>
      <c r="EO131" s="46" t="n">
        <f aca="false">EO55+EO62+EO75+EO54+EO105</f>
        <v>2139.79280494917</v>
      </c>
    </row>
    <row r="132" customFormat="false" ht="15" hidden="false" customHeight="false" outlineLevel="0" collapsed="false">
      <c r="C132" s="24" t="s">
        <v>82</v>
      </c>
      <c r="D132" s="11" t="s">
        <v>27</v>
      </c>
      <c r="E132" s="32" t="n">
        <f aca="false">XIRR($J131:$EO131,$J$4:$EO$4)</f>
        <v>0.091457501165244</v>
      </c>
    </row>
    <row r="133" customFormat="false" ht="15" hidden="false" customHeight="false" outlineLevel="0" collapsed="false">
      <c r="C133" s="24" t="s">
        <v>439</v>
      </c>
      <c r="D133" s="11" t="s">
        <v>33</v>
      </c>
      <c r="I133" s="56" t="n">
        <f aca="false">SUM(J133:EO133)</f>
        <v>140799.068106776</v>
      </c>
      <c r="J133" s="56" t="n">
        <f aca="false">J55+J62+J88+J92+J93+J75+J86+J94+J54+J105</f>
        <v>-4661.67501595046</v>
      </c>
      <c r="K133" s="56" t="n">
        <f aca="false">K55+K62+K88+K92+K93+K75+K86+K94+K54+K105</f>
        <v>-701.6716250968</v>
      </c>
      <c r="L133" s="56" t="n">
        <f aca="false">L55+L62+L88+L92+L93+L75+L86+L94+L54+L105</f>
        <v>-96.1638368733281</v>
      </c>
      <c r="M133" s="56" t="n">
        <f aca="false">M55+M62+M88+M92+M93+M75+M86+M94+M54+M105</f>
        <v>-97.2205823334746</v>
      </c>
      <c r="N133" s="56" t="n">
        <f aca="false">N55+N62+N88+N92+N93+N75+N86+N94+N54+N105</f>
        <v>-97.2205823334746</v>
      </c>
      <c r="O133" s="56" t="n">
        <f aca="false">O55+O62+O88+O92+O93+O75+O86+O94+O54+O105</f>
        <v>-96.1638368733281</v>
      </c>
      <c r="P133" s="56" t="n">
        <f aca="false">P55+P62+P88+P92+P93+P75+P86+P94+P54+P105</f>
        <v>-96.1638368733281</v>
      </c>
      <c r="Q133" s="56" t="n">
        <f aca="false">Q55+Q62+Q88+Q92+Q93+Q75+Q86+Q94+Q54+Q105</f>
        <v>-97.2205823334746</v>
      </c>
      <c r="R133" s="56" t="n">
        <f aca="false">R55+R62+R88+R92+R93+R75+R86+R94+R54+R105</f>
        <v>-3053.98484794861</v>
      </c>
      <c r="S133" s="56" t="n">
        <f aca="false">S55+S62+S88+S92+S93+S75+S86+S94+S54+S105</f>
        <v>-3490.61253879611</v>
      </c>
      <c r="T133" s="56" t="n">
        <f aca="false">T55+T62+T88+T92+T93+T75+T86+T94+T54+T105</f>
        <v>-1850.67818054383</v>
      </c>
      <c r="U133" s="56" t="n">
        <f aca="false">U55+U62+U88+U92+U93+U75+U86+U94+U54+U105</f>
        <v>-1855.6880864882</v>
      </c>
      <c r="V133" s="56" t="n">
        <f aca="false">V55+V62+V88+V92+V93+V75+V86+V94+V54+V105</f>
        <v>-1840.1924386143</v>
      </c>
      <c r="W133" s="56" t="n">
        <f aca="false">W55+W62+W88+W92+W93+W75+W86+W94+W54+W105</f>
        <v>-1786.0714003753</v>
      </c>
      <c r="X133" s="56" t="n">
        <f aca="false">X55+X62+X88+X92+X93+X75+X86+X94+X54+X105</f>
        <v>-1790.92262160631</v>
      </c>
      <c r="Y133" s="56" t="n">
        <f aca="false">Y55+Y62+Y88+Y92+Y93+Y75+Y86+Y94+Y54+Y105</f>
        <v>-3513.92256330673</v>
      </c>
      <c r="Z133" s="56" t="n">
        <f aca="false">Z55+Z62+Z88+Z92+Z93+Z75+Z86+Z94+Z54+Z105</f>
        <v>851.824717039053</v>
      </c>
      <c r="AA133" s="56" t="n">
        <f aca="false">AA55+AA62+AA88+AA92+AA93+AA75+AA86+AA94+AA54+AA105</f>
        <v>838.784000812396</v>
      </c>
      <c r="AB133" s="56" t="n">
        <f aca="false">AB55+AB62+AB88+AB92+AB93+AB75+AB86+AB94+AB54+AB105</f>
        <v>847.83233917142</v>
      </c>
      <c r="AC133" s="56" t="n">
        <f aca="false">AC55+AC62+AC88+AC92+AC93+AC75+AC86+AC94+AC54+AC105</f>
        <v>856.876080064417</v>
      </c>
      <c r="AD133" s="56" t="n">
        <f aca="false">AD55+AD62+AD88+AD92+AD93+AD75+AD86+AD94+AD54+AD105</f>
        <v>853.794331327012</v>
      </c>
      <c r="AE133" s="56" t="n">
        <f aca="false">AE55+AE62+AE88+AE92+AE93+AE75+AE86+AE94+AE54+AE105</f>
        <v>849.833075756698</v>
      </c>
      <c r="AF133" s="56" t="n">
        <f aca="false">AF55+AF62+AF88+AF92+AF93+AF75+AF86+AF94+AF54+AF105</f>
        <v>849.706284643304</v>
      </c>
      <c r="AG133" s="56" t="n">
        <f aca="false">AG55+AG62+AG88+AG92+AG93+AG75+AG86+AG94+AG54+AG105</f>
        <v>858.769211816097</v>
      </c>
      <c r="AH133" s="56" t="n">
        <f aca="false">AH55+AH62+AH88+AH92+AH93+AH75+AH86+AH94+AH54+AH105</f>
        <v>855.661889672062</v>
      </c>
      <c r="AI133" s="56" t="n">
        <f aca="false">AI55+AI62+AI88+AI92+AI93+AI75+AI86+AI94+AI54+AI105</f>
        <v>842.396278399611</v>
      </c>
      <c r="AJ133" s="56" t="n">
        <f aca="false">AJ55+AJ62+AJ88+AJ92+AJ93+AJ75+AJ86+AJ94+AJ54+AJ105</f>
        <v>860.626018612191</v>
      </c>
      <c r="AK133" s="56" t="n">
        <f aca="false">AK55+AK62+AK88+AK92+AK93+AK75+AK86+AK94+AK54+AK105</f>
        <v>869.804362365651</v>
      </c>
      <c r="AL133" s="56" t="n">
        <f aca="false">AL55+AL62+AL88+AL92+AL93+AL75+AL86+AL94+AL54+AL105</f>
        <v>858.572441227011</v>
      </c>
      <c r="AM133" s="56" t="n">
        <f aca="false">AM55+AM62+AM88+AM92+AM93+AM75+AM86+AM94+AM54+AM105</f>
        <v>845.055438478359</v>
      </c>
      <c r="AN133" s="56" t="n">
        <f aca="false">AN55+AN62+AN88+AN92+AN93+AN75+AN86+AN94+AN54+AN105</f>
        <v>853.89327320549</v>
      </c>
      <c r="AO133" s="56" t="n">
        <f aca="false">AO55+AO62+AO88+AO92+AO93+AO75+AO86+AO94+AO54+AO105</f>
        <v>862.72151482509</v>
      </c>
      <c r="AP133" s="56" t="n">
        <f aca="false">AP55+AP62+AP88+AP92+AP93+AP75+AP86+AP94+AP54+AP105</f>
        <v>859.55537340695</v>
      </c>
      <c r="AQ133" s="56" t="n">
        <f aca="false">AQ55+AQ62+AQ88+AQ92+AQ93+AQ75+AQ86+AQ94+AQ54+AQ105</f>
        <v>845.920529771371</v>
      </c>
      <c r="AR133" s="56" t="n">
        <f aca="false">AR55+AR62+AR88+AR92+AR93+AR75+AR86+AR94+AR54+AR105</f>
        <v>854.765767831873</v>
      </c>
      <c r="AS133" s="56" t="n">
        <f aca="false">AS55+AS62+AS88+AS92+AS93+AS75+AS86+AS94+AS54+AS105</f>
        <v>863.601219149568</v>
      </c>
      <c r="AT133" s="56" t="n">
        <f aca="false">AT55+AT62+AT88+AT92+AT93+AT75+AT86+AT94+AT54+AT105</f>
        <v>860.401738346045</v>
      </c>
      <c r="AU133" s="56" t="n">
        <f aca="false">AU55+AU62+AU88+AU92+AU93+AU75+AU86+AU94+AU54+AU105</f>
        <v>855.806575225708</v>
      </c>
      <c r="AV133" s="56" t="n">
        <f aca="false">AV55+AV62+AV88+AV92+AV93+AV75+AV86+AV94+AV54+AV105</f>
        <v>855.492211858203</v>
      </c>
      <c r="AW133" s="56" t="n">
        <f aca="false">AW55+AW62+AW88+AW92+AW93+AW75+AW86+AW94+AW54+AW105</f>
        <v>864.333265713943</v>
      </c>
      <c r="AX133" s="56" t="n">
        <f aca="false">AX55+AX62+AX88+AX92+AX93+AX75+AX86+AX94+AX54+AX105</f>
        <v>861.099626030535</v>
      </c>
      <c r="AY133" s="56" t="n">
        <f aca="false">AY55+AY62+AY88+AY92+AY93+AY75+AY86+AY94+AY54+AY105</f>
        <v>847.224159125498</v>
      </c>
      <c r="AZ133" s="56" t="n">
        <f aca="false">AZ55+AZ62+AZ88+AZ92+AZ93+AZ75+AZ86+AZ94+AZ54+AZ105</f>
        <v>856.07949112081</v>
      </c>
      <c r="BA133" s="56" t="n">
        <f aca="false">BA55+BA62+BA88+BA92+BA93+BA75+BA86+BA94+BA54+BA105</f>
        <v>864.924625801664</v>
      </c>
      <c r="BB133" s="56" t="n">
        <f aca="false">BB55+BB62+BB88+BB92+BB93+BB75+BB86+BB94+BB54+BB105</f>
        <v>861.656125789252</v>
      </c>
      <c r="BC133" s="56" t="n">
        <f aca="false">BC55+BC62+BC88+BC92+BC93+BC75+BC86+BC94+BC54+BC105</f>
        <v>847.657862751475</v>
      </c>
      <c r="BD133" s="56" t="n">
        <f aca="false">BD55+BD62+BD88+BD92+BD93+BD75+BD86+BD94+BD54+BD105</f>
        <v>856.515835913788</v>
      </c>
      <c r="BE133" s="56" t="n">
        <f aca="false">BE55+BE62+BE88+BE92+BE93+BE75+BE86+BE94+BE54+BE105</f>
        <v>865.36339500599</v>
      </c>
      <c r="BF133" s="56" t="n">
        <f aca="false">BF55+BF62+BF88+BF92+BF93+BF75+BF86+BF94+BF54+BF105</f>
        <v>862.059229363403</v>
      </c>
      <c r="BG133" s="56" t="n">
        <f aca="false">BG55+BG62+BG88+BG92+BG93+BG75+BG86+BG94+BG54+BG105</f>
        <v>847.936429890489</v>
      </c>
      <c r="BH133" s="56" t="n">
        <f aca="false">BH55+BH62+BH88+BH92+BH93+BH75+BH86+BH94+BH54+BH105</f>
        <v>856.795330750425</v>
      </c>
      <c r="BI133" s="56" t="n">
        <f aca="false">BI55+BI62+BI88+BI92+BI93+BI75+BI86+BI94+BI54+BI105</f>
        <v>865.643592370528</v>
      </c>
      <c r="BJ133" s="56" t="n">
        <f aca="false">BJ55+BJ62+BJ88+BJ92+BJ93+BJ75+BJ86+BJ94+BJ54+BJ105</f>
        <v>862.302922864012</v>
      </c>
      <c r="BK133" s="56" t="n">
        <f aca="false">BK55+BK62+BK88+BK92+BK93+BK75+BK86+BK94+BK54+BK105</f>
        <v>857.290313128877</v>
      </c>
      <c r="BL133" s="56" t="n">
        <f aca="false">BL55+BL62+BL88+BL92+BL93+BL75+BL86+BL94+BL54+BL105</f>
        <v>856.905441735717</v>
      </c>
      <c r="BM133" s="56" t="n">
        <f aca="false">BM55+BM62+BM88+BM92+BM93+BM75+BM86+BM94+BM54+BM105</f>
        <v>865.752540505546</v>
      </c>
      <c r="BN133" s="56" t="n">
        <f aca="false">BN55+BN62+BN88+BN92+BN93+BN75+BN86+BN94+BN54+BN105</f>
        <v>862.374417915154</v>
      </c>
      <c r="BO133" s="56" t="n">
        <f aca="false">BO55+BO62+BO88+BO92+BO93+BO75+BO86+BO94+BO54+BO105</f>
        <v>847.99705459679</v>
      </c>
      <c r="BP133" s="56" t="n">
        <f aca="false">BP55+BP62+BP88+BP92+BP93+BP75+BP86+BP94+BP54+BP105</f>
        <v>856.85231968456</v>
      </c>
      <c r="BQ133" s="56" t="n">
        <f aca="false">BQ55+BQ62+BQ88+BQ92+BQ93+BQ75+BQ86+BQ94+BQ54+BQ105</f>
        <v>865.696467452238</v>
      </c>
      <c r="BR133" s="56" t="n">
        <f aca="false">BR55+BR62+BR88+BR92+BR93+BR75+BR86+BR94+BR54+BR105</f>
        <v>862.280055813722</v>
      </c>
      <c r="BS133" s="56" t="n">
        <f aca="false">BS55+BS62+BS88+BS92+BS93+BS75+BS86+BS94+BS54+BS105</f>
        <v>847.772637750561</v>
      </c>
      <c r="BT133" s="56" t="n">
        <f aca="false">BT55+BT62+BT88+BT92+BT93+BT75+BT86+BT94+BT54+BT105</f>
        <v>856.623271413342</v>
      </c>
      <c r="BU133" s="56" t="n">
        <f aca="false">BU55+BU62+BU88+BU92+BU93+BU75+BU86+BU94+BU54+BU105</f>
        <v>865.462534891722</v>
      </c>
      <c r="BV133" s="56" t="n">
        <f aca="false">BV55+BV62+BV88+BV92+BV93+BV75+BV86+BV94+BV54+BV105</f>
        <v>862.006887447348</v>
      </c>
      <c r="BW133" s="56" t="n">
        <f aca="false">BW55+BW62+BW88+BW92+BW93+BW75+BW86+BW94+BW54+BW105</f>
        <v>847.36747193554</v>
      </c>
      <c r="BX133" s="56" t="n">
        <f aca="false">BX55+BX62+BX88+BX92+BX93+BX75+BX86+BX94+BX54+BX105</f>
        <v>856.21147528459</v>
      </c>
      <c r="BY133" s="56" t="n">
        <f aca="false">BY55+BY62+BY88+BY92+BY93+BY75+BY86+BY94+BY54+BY105</f>
        <v>865.043845498674</v>
      </c>
      <c r="BZ133" s="56" t="n">
        <f aca="false">BZ55+BZ62+BZ88+BZ92+BZ93+BZ75+BZ86+BZ94+BZ54+BZ105</f>
        <v>861.547975925649</v>
      </c>
      <c r="CA133" s="56" t="n">
        <f aca="false">CA55+CA62+CA88+CA92+CA93+CA75+CA86+CA94+CA54+CA105</f>
        <v>856.072263693147</v>
      </c>
      <c r="CB133" s="56" t="n">
        <f aca="false">CB55+CB62+CB88+CB92+CB93+CB75+CB86+CB94+CB54+CB105</f>
        <v>855.603413528065</v>
      </c>
      <c r="CC133" s="56" t="n">
        <f aca="false">CC55+CC62+CC88+CC92+CC93+CC75+CC86+CC94+CC54+CC105</f>
        <v>864.426726884268</v>
      </c>
      <c r="CD133" s="56" t="n">
        <f aca="false">CD55+CD62+CD88+CD92+CD93+CD75+CD86+CD94+CD54+CD105</f>
        <v>860.889530417112</v>
      </c>
      <c r="CE133" s="56" t="n">
        <f aca="false">CE55+CE62+CE88+CE92+CE93+CE75+CE86+CE94+CE54+CE105</f>
        <v>845.979989353383</v>
      </c>
      <c r="CF133" s="56" t="n">
        <f aca="false">CF55+CF62+CF88+CF92+CF93+CF75+CF86+CF94+CF54+CF105</f>
        <v>854.804341539519</v>
      </c>
      <c r="CG133" s="56" t="n">
        <f aca="false">CG55+CG62+CG88+CG92+CG93+CG75+CG86+CG94+CG54+CG105</f>
        <v>863.616501603337</v>
      </c>
      <c r="CH133" s="56" t="n">
        <f aca="false">CH55+CH62+CH88+CH92+CH93+CH75+CH86+CH94+CH54+CH105</f>
        <v>860.036980439513</v>
      </c>
      <c r="CI133" s="56" t="n">
        <f aca="false">CI55+CI62+CI88+CI92+CI93+CI75+CI86+CI94+CI54+CI105</f>
        <v>844.989267559151</v>
      </c>
      <c r="CJ133" s="56" t="n">
        <f aca="false">CJ55+CJ62+CJ88+CJ92+CJ93+CJ75+CJ86+CJ94+CJ54+CJ105</f>
        <v>853.800509075875</v>
      </c>
      <c r="CK133" s="56" t="n">
        <f aca="false">CK55+CK62+CK88+CK92+CK93+CK75+CK86+CK94+CK54+CK105</f>
        <v>862.599262314467</v>
      </c>
      <c r="CL133" s="56" t="n">
        <f aca="false">CL55+CL62+CL88+CL92+CL93+CL75+CL86+CL94+CL54+CL105</f>
        <v>858.976299743905</v>
      </c>
      <c r="CM133" s="56" t="n">
        <f aca="false">CM55+CM62+CM88+CM92+CM93+CM75+CM86+CM94+CM54+CM105</f>
        <v>843.788236173521</v>
      </c>
      <c r="CN133" s="56" t="n">
        <f aca="false">CN55+CN62+CN88+CN92+CN93+CN75+CN86+CN94+CN54+CN105</f>
        <v>852.584037957081</v>
      </c>
      <c r="CO133" s="56" t="n">
        <f aca="false">CO55+CO62+CO88+CO92+CO93+CO75+CO86+CO94+CO54+CO105</f>
        <v>861.367043205671</v>
      </c>
      <c r="CP133" s="56" t="n">
        <f aca="false">CP55+CP62+CP88+CP92+CP93+CP75+CP86+CP94+CP54+CP105</f>
        <v>857.699474957731</v>
      </c>
      <c r="CQ133" s="56" t="n">
        <f aca="false">CQ55+CQ62+CQ88+CQ92+CQ93+CQ75+CQ86+CQ94+CQ54+CQ105</f>
        <v>851.70920937053</v>
      </c>
      <c r="CR133" s="56" t="n">
        <f aca="false">CR55+CR62+CR88+CR92+CR93+CR75+CR86+CR94+CR54+CR105</f>
        <v>851.140282604741</v>
      </c>
      <c r="CS133" s="56" t="n">
        <f aca="false">CS55+CS62+CS88+CS92+CS93+CS75+CS86+CS94+CS54+CS105</f>
        <v>2228.55172155756</v>
      </c>
      <c r="CT133" s="56" t="n">
        <f aca="false">CT55+CT62+CT88+CT92+CT93+CT75+CT86+CT94+CT54+CT105</f>
        <v>2231.85457441773</v>
      </c>
      <c r="CU133" s="56" t="n">
        <f aca="false">CU55+CU62+CU88+CU92+CU93+CU75+CU86+CU94+CU54+CU105</f>
        <v>2193.06147623176</v>
      </c>
      <c r="CV133" s="56" t="n">
        <f aca="false">CV55+CV62+CV88+CV92+CV93+CV75+CV86+CV94+CV54+CV105</f>
        <v>2217.42882596766</v>
      </c>
      <c r="CW133" s="56" t="n">
        <f aca="false">CW55+CW62+CW88+CW92+CW93+CW75+CW86+CW94+CW54+CW105</f>
        <v>2241.79617570357</v>
      </c>
      <c r="CX133" s="56" t="n">
        <f aca="false">CX55+CX62+CX88+CX92+CX93+CX75+CX86+CX94+CX54+CX105</f>
        <v>2233.60299011813</v>
      </c>
      <c r="CY133" s="56" t="n">
        <f aca="false">CY55+CY62+CY88+CY92+CY93+CY75+CY86+CY94+CY54+CY105</f>
        <v>2194.50118554088</v>
      </c>
      <c r="CZ133" s="56" t="n">
        <f aca="false">CZ55+CZ62+CZ88+CZ92+CZ93+CZ75+CZ86+CZ94+CZ54+CZ105</f>
        <v>2218.88453204689</v>
      </c>
      <c r="DA133" s="56" t="n">
        <f aca="false">DA55+DA62+DA88+DA92+DA93+DA75+DA86+DA94+DA54+DA105</f>
        <v>2243.2678785529</v>
      </c>
      <c r="DB133" s="56" t="n">
        <f aca="false">DB55+DB62+DB88+DB92+DB93+DB75+DB86+DB94+DB54+DB105</f>
        <v>2137.1420964714</v>
      </c>
      <c r="DC133" s="56" t="n">
        <f aca="false">DC55+DC62+DC88+DC92+DC93+DC75+DC86+DC94+DC54+DC105</f>
        <v>2099.85648575453</v>
      </c>
      <c r="DD133" s="56" t="n">
        <f aca="false">DD55+DD62+DD88+DD92+DD93+DD75+DD86+DD94+DD54+DD105</f>
        <v>2123.18822448513</v>
      </c>
      <c r="DE133" s="56" t="n">
        <f aca="false">DE55+DE62+DE88+DE92+DE93+DE75+DE86+DE94+DE54+DE105</f>
        <v>2146.51996321574</v>
      </c>
      <c r="DF133" s="56" t="n">
        <f aca="false">DF55+DF62+DF88+DF92+DF93+DF75+DF86+DF94+DF54+DF105</f>
        <v>2138.22978045169</v>
      </c>
      <c r="DG133" s="56" t="n">
        <f aca="false">DG55+DG62+DG88+DG92+DG93+DG75+DG86+DG94+DG54+DG105</f>
        <v>2123.96971469438</v>
      </c>
      <c r="DH133" s="56" t="n">
        <f aca="false">DH55+DH62+DH88+DH92+DH93+DH75+DH86+DH94+DH54+DH105</f>
        <v>2123.96971469438</v>
      </c>
      <c r="DI133" s="56" t="n">
        <f aca="false">DI55+DI62+DI88+DI92+DI93+DI75+DI86+DI94+DI54+DI105</f>
        <v>2147.31004122948</v>
      </c>
      <c r="DJ133" s="56" t="n">
        <f aca="false">DJ55+DJ62+DJ88+DJ92+DJ93+DJ75+DJ86+DJ94+DJ54+DJ105</f>
        <v>2138.97122265953</v>
      </c>
      <c r="DK133" s="56" t="n">
        <f aca="false">DK55+DK62+DK88+DK92+DK93+DK75+DK86+DK94+DK54+DK105</f>
        <v>2101.05294542443</v>
      </c>
      <c r="DL133" s="56" t="n">
        <f aca="false">DL55+DL62+DL88+DL92+DL93+DL75+DL86+DL94+DL54+DL105</f>
        <v>2124.39797815137</v>
      </c>
      <c r="DM133" s="56" t="n">
        <f aca="false">DM55+DM62+DM88+DM92+DM93+DM75+DM86+DM94+DM54+DM105</f>
        <v>2147.74301087831</v>
      </c>
      <c r="DN133" s="56" t="n">
        <f aca="false">DN55+DN62+DN88+DN92+DN93+DN75+DN86+DN94+DN54+DN105</f>
        <v>2139.35547118825</v>
      </c>
      <c r="DO133" s="56" t="n">
        <f aca="false">DO55+DO62+DO88+DO92+DO93+DO75+DO86+DO94+DO54+DO105</f>
        <v>2101.11616065373</v>
      </c>
      <c r="DP133" s="56" t="n">
        <f aca="false">DP55+DP62+DP88+DP92+DP93+DP75+DP86+DP94+DP54+DP105</f>
        <v>2124.4618957721</v>
      </c>
      <c r="DQ133" s="56" t="n">
        <f aca="false">DQ55+DQ62+DQ88+DQ92+DQ93+DQ75+DQ86+DQ94+DQ54+DQ105</f>
        <v>2147.80763089048</v>
      </c>
      <c r="DR133" s="56" t="n">
        <f aca="false">DR55+DR62+DR88+DR92+DR93+DR75+DR86+DR94+DR54+DR105</f>
        <v>2139.37128957395</v>
      </c>
      <c r="DS133" s="56" t="n">
        <f aca="false">DS55+DS62+DS88+DS92+DS93+DS75+DS86+DS94+DS54+DS105</f>
        <v>2100.80775151472</v>
      </c>
      <c r="DT133" s="56" t="n">
        <f aca="false">DT55+DT62+DT88+DT92+DT93+DT75+DT86+DT94+DT54+DT105</f>
        <v>2124.15005986488</v>
      </c>
      <c r="DU133" s="56" t="n">
        <f aca="false">DU55+DU62+DU88+DU92+DU93+DU75+DU86+DU94+DU54+DU105</f>
        <v>2147.49236821505</v>
      </c>
      <c r="DV133" s="56" t="n">
        <f aca="false">DV55+DV62+DV88+DV92+DV93+DV75+DV86+DV94+DV54+DV105</f>
        <v>2139.00714972595</v>
      </c>
      <c r="DW133" s="56" t="n">
        <f aca="false">DW55+DW62+DW88+DW92+DW93+DW75+DW86+DW94+DW54+DW105</f>
        <v>2123.45076696211</v>
      </c>
      <c r="DX133" s="56" t="n">
        <f aca="false">DX55+DX62+DX88+DX92+DX93+DX75+DX86+DX94+DX54+DX105</f>
        <v>2123.45076696211</v>
      </c>
      <c r="DY133" s="56" t="n">
        <f aca="false">DY55+DY62+DY88+DY92+DY93+DY75+DY86+DY94+DY54+DY105</f>
        <v>2146.78539077488</v>
      </c>
      <c r="DZ133" s="56" t="n">
        <f aca="false">DZ55+DZ62+DZ88+DZ92+DZ93+DZ75+DZ86+DZ94+DZ54+DZ105</f>
        <v>2138.25122468349</v>
      </c>
      <c r="EA133" s="56" t="n">
        <f aca="false">EA55+EA62+EA88+EA92+EA93+EA75+EA86+EA94+EA54+EA105</f>
        <v>2099.02946091011</v>
      </c>
      <c r="EB133" s="56" t="n">
        <f aca="false">EB55+EB62+EB88+EB92+EB93+EB75+EB86+EB94+EB54+EB105</f>
        <v>2122.35201047578</v>
      </c>
      <c r="EC133" s="56" t="n">
        <f aca="false">EC55+EC62+EC88+EC92+EC93+EC75+EC86+EC94+EC54+EC105</f>
        <v>2145.67456004145</v>
      </c>
      <c r="ED133" s="56" t="n">
        <f aca="false">ED55+ED62+ED88+ED92+ED93+ED75+ED86+ED94+ED54+ED105</f>
        <v>2137.09138119429</v>
      </c>
      <c r="EE133" s="56" t="n">
        <f aca="false">EE55+EE62+EE88+EE92+EE93+EE75+EE86+EE94+EE54+EE105</f>
        <v>2097.53552291781</v>
      </c>
      <c r="EF133" s="56" t="n">
        <f aca="false">EF55+EF62+EF88+EF92+EF93+EF75+EF86+EF94+EF54+EF105</f>
        <v>2120.84147317245</v>
      </c>
      <c r="EG133" s="56" t="n">
        <f aca="false">EG55+EG62+EG88+EG92+EG93+EG75+EG86+EG94+EG54+EG105</f>
        <v>2144.1474234271</v>
      </c>
      <c r="EH133" s="56" t="n">
        <f aca="false">EH55+EH62+EH88+EH92+EH93+EH75+EH86+EH94+EH54+EH105</f>
        <v>2135.5151721106</v>
      </c>
      <c r="EI133" s="56" t="n">
        <f aca="false">EI55+EI62+EI88+EI92+EI93+EI75+EI86+EI94+EI54+EI105</f>
        <v>2095.62183243614</v>
      </c>
      <c r="EJ133" s="56" t="n">
        <f aca="false">EJ55+EJ62+EJ88+EJ92+EJ93+EJ75+EJ86+EJ94+EJ54+EJ105</f>
        <v>2118.90651946321</v>
      </c>
      <c r="EK133" s="56" t="n">
        <f aca="false">EK55+EK62+EK88+EK92+EK93+EK75+EK86+EK94+EK54+EK105</f>
        <v>2142.19120649028</v>
      </c>
      <c r="EL133" s="56" t="n">
        <f aca="false">EL55+EL62+EL88+EL92+EL93+EL75+EL86+EL94+EL54+EL105</f>
        <v>2133.50982859844</v>
      </c>
      <c r="EM133" s="56" t="n">
        <f aca="false">EM55+EM62+EM88+EM92+EM93+EM75+EM86+EM94+EM54+EM105</f>
        <v>2116.53418750407</v>
      </c>
      <c r="EN133" s="56" t="n">
        <f aca="false">EN55+EN62+EN88+EN92+EN93+EN75+EN86+EN94+EN54+EN105</f>
        <v>2116.53418750407</v>
      </c>
      <c r="EO133" s="56" t="n">
        <f aca="false">EO55+EO62+EO88+EO92+EO93+EO75+EO86+EO94+EO54+EO105</f>
        <v>2139.79280494917</v>
      </c>
    </row>
    <row r="134" customFormat="false" ht="15" hidden="false" customHeight="false" outlineLevel="0" collapsed="false">
      <c r="C134" s="24" t="s">
        <v>79</v>
      </c>
      <c r="D134" s="11" t="s">
        <v>27</v>
      </c>
      <c r="E134" s="32" t="n">
        <f aca="false">XIRR($J133:$EO133,$J$4:$EO$4)</f>
        <v>0.129381611423992</v>
      </c>
    </row>
    <row r="135" customFormat="false" ht="15" hidden="false" customHeight="false" outlineLevel="0" collapsed="false">
      <c r="C135" s="24" t="s">
        <v>80</v>
      </c>
      <c r="D135" s="11" t="s">
        <v>13</v>
      </c>
      <c r="E135" s="59" t="n">
        <f aca="false">SUMIF($J133:$EO133,"&gt;0")/-SUMIF($J133:$EO133,"&lt;0")</f>
        <v>6.60381530327083</v>
      </c>
    </row>
    <row r="136" customFormat="false" ht="15" hidden="false" customHeight="false" outlineLevel="0" collapsed="false">
      <c r="C136" s="24" t="s">
        <v>81</v>
      </c>
      <c r="D136" s="11" t="s">
        <v>33</v>
      </c>
      <c r="E136" s="56" t="n">
        <f aca="false">XNPV(In_Discount_Rate,$J133:$EO133,$J$4:$EO$4)</f>
        <v>16180.0718168963</v>
      </c>
    </row>
    <row r="138" customFormat="false" ht="15" hidden="false" customHeight="false" outlineLevel="0" collapsed="false">
      <c r="C138" s="40" t="s">
        <v>149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5" t="n">
        <v>2</v>
      </c>
      <c r="C1" s="13" t="s">
        <v>343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344</v>
      </c>
      <c r="D3" s="11" t="s">
        <v>38</v>
      </c>
      <c r="J3" s="44" t="n">
        <f aca="false">I$4+1</f>
        <v>46296</v>
      </c>
      <c r="K3" s="44" t="n">
        <f aca="false">J$4+1</f>
        <v>46388</v>
      </c>
      <c r="L3" s="44" t="n">
        <f aca="false">K$4+1</f>
        <v>46478</v>
      </c>
      <c r="M3" s="44" t="n">
        <f aca="false">L$4+1</f>
        <v>46569</v>
      </c>
      <c r="N3" s="44" t="n">
        <f aca="false">M$4+1</f>
        <v>46661</v>
      </c>
      <c r="O3" s="44" t="n">
        <f aca="false">N$4+1</f>
        <v>46753</v>
      </c>
      <c r="P3" s="44" t="n">
        <f aca="false">O$4+1</f>
        <v>46844</v>
      </c>
      <c r="Q3" s="44" t="n">
        <f aca="false">P$4+1</f>
        <v>46935</v>
      </c>
      <c r="R3" s="44" t="n">
        <f aca="false">Q$4+1</f>
        <v>47027</v>
      </c>
      <c r="S3" s="44" t="n">
        <f aca="false">R$4+1</f>
        <v>47119</v>
      </c>
      <c r="T3" s="44" t="n">
        <f aca="false">S$4+1</f>
        <v>47209</v>
      </c>
      <c r="U3" s="44" t="n">
        <f aca="false">T$4+1</f>
        <v>47300</v>
      </c>
      <c r="V3" s="44" t="n">
        <f aca="false">U$4+1</f>
        <v>47392</v>
      </c>
      <c r="W3" s="44" t="n">
        <f aca="false">V$4+1</f>
        <v>47484</v>
      </c>
      <c r="X3" s="44" t="n">
        <f aca="false">W$4+1</f>
        <v>47574</v>
      </c>
      <c r="Y3" s="44" t="n">
        <f aca="false">X$4+1</f>
        <v>47665</v>
      </c>
      <c r="Z3" s="44" t="n">
        <f aca="false">Y$4+1</f>
        <v>47757</v>
      </c>
      <c r="AA3" s="44" t="n">
        <f aca="false">Z$4+1</f>
        <v>47849</v>
      </c>
      <c r="AB3" s="44" t="n">
        <f aca="false">AA$4+1</f>
        <v>47939</v>
      </c>
      <c r="AC3" s="44" t="n">
        <f aca="false">AB$4+1</f>
        <v>48030</v>
      </c>
      <c r="AD3" s="44" t="n">
        <f aca="false">AC$4+1</f>
        <v>48122</v>
      </c>
      <c r="AE3" s="44" t="n">
        <f aca="false">AD$4+1</f>
        <v>48214</v>
      </c>
      <c r="AF3" s="44" t="n">
        <f aca="false">AE$4+1</f>
        <v>48305</v>
      </c>
      <c r="AG3" s="44" t="n">
        <f aca="false">AF$4+1</f>
        <v>48396</v>
      </c>
      <c r="AH3" s="44" t="n">
        <f aca="false">AG$4+1</f>
        <v>48488</v>
      </c>
      <c r="AI3" s="44" t="n">
        <f aca="false">AH$4+1</f>
        <v>48580</v>
      </c>
      <c r="AJ3" s="44" t="n">
        <f aca="false">AI$4+1</f>
        <v>48670</v>
      </c>
      <c r="AK3" s="44" t="n">
        <f aca="false">AJ$4+1</f>
        <v>48761</v>
      </c>
      <c r="AL3" s="44" t="n">
        <f aca="false">AK$4+1</f>
        <v>48853</v>
      </c>
      <c r="AM3" s="44" t="n">
        <f aca="false">AL$4+1</f>
        <v>48945</v>
      </c>
      <c r="AN3" s="44" t="n">
        <f aca="false">AM$4+1</f>
        <v>49035</v>
      </c>
      <c r="AO3" s="44" t="n">
        <f aca="false">AN$4+1</f>
        <v>49126</v>
      </c>
      <c r="AP3" s="44" t="n">
        <f aca="false">AO$4+1</f>
        <v>49218</v>
      </c>
      <c r="AQ3" s="44" t="n">
        <f aca="false">AP$4+1</f>
        <v>49310</v>
      </c>
      <c r="AR3" s="44" t="n">
        <f aca="false">AQ$4+1</f>
        <v>49400</v>
      </c>
      <c r="AS3" s="44" t="n">
        <f aca="false">AR$4+1</f>
        <v>49491</v>
      </c>
      <c r="AT3" s="44" t="n">
        <f aca="false">AS$4+1</f>
        <v>49583</v>
      </c>
      <c r="AU3" s="44" t="n">
        <f aca="false">AT$4+1</f>
        <v>49675</v>
      </c>
      <c r="AV3" s="44" t="n">
        <f aca="false">AU$4+1</f>
        <v>49766</v>
      </c>
      <c r="AW3" s="44" t="n">
        <f aca="false">AV$4+1</f>
        <v>49857</v>
      </c>
      <c r="AX3" s="44" t="n">
        <f aca="false">AW$4+1</f>
        <v>49949</v>
      </c>
      <c r="AY3" s="44" t="n">
        <f aca="false">AX$4+1</f>
        <v>50041</v>
      </c>
      <c r="AZ3" s="44" t="n">
        <f aca="false">AY$4+1</f>
        <v>50131</v>
      </c>
      <c r="BA3" s="44" t="n">
        <f aca="false">AZ$4+1</f>
        <v>50222</v>
      </c>
      <c r="BB3" s="44" t="n">
        <f aca="false">BA$4+1</f>
        <v>50314</v>
      </c>
      <c r="BC3" s="44" t="n">
        <f aca="false">BB$4+1</f>
        <v>50406</v>
      </c>
      <c r="BD3" s="44" t="n">
        <f aca="false">BC$4+1</f>
        <v>50496</v>
      </c>
      <c r="BE3" s="44" t="n">
        <f aca="false">BD$4+1</f>
        <v>50587</v>
      </c>
      <c r="BF3" s="44" t="n">
        <f aca="false">BE$4+1</f>
        <v>50679</v>
      </c>
      <c r="BG3" s="44" t="n">
        <f aca="false">BF$4+1</f>
        <v>50771</v>
      </c>
      <c r="BH3" s="44" t="n">
        <f aca="false">BG$4+1</f>
        <v>50861</v>
      </c>
      <c r="BI3" s="44" t="n">
        <f aca="false">BH$4+1</f>
        <v>50952</v>
      </c>
      <c r="BJ3" s="44" t="n">
        <f aca="false">BI$4+1</f>
        <v>51044</v>
      </c>
      <c r="BK3" s="44" t="n">
        <f aca="false">BJ$4+1</f>
        <v>51136</v>
      </c>
      <c r="BL3" s="44" t="n">
        <f aca="false">BK$4+1</f>
        <v>51227</v>
      </c>
      <c r="BM3" s="44" t="n">
        <f aca="false">BL$4+1</f>
        <v>51318</v>
      </c>
      <c r="BN3" s="44" t="n">
        <f aca="false">BM$4+1</f>
        <v>51410</v>
      </c>
      <c r="BO3" s="44" t="n">
        <f aca="false">BN$4+1</f>
        <v>51502</v>
      </c>
      <c r="BP3" s="44" t="n">
        <f aca="false">BO$4+1</f>
        <v>51592</v>
      </c>
      <c r="BQ3" s="44" t="n">
        <f aca="false">BP$4+1</f>
        <v>51683</v>
      </c>
      <c r="BR3" s="44" t="n">
        <f aca="false">BQ$4+1</f>
        <v>51775</v>
      </c>
      <c r="BS3" s="44" t="n">
        <f aca="false">BR$4+1</f>
        <v>51867</v>
      </c>
      <c r="BT3" s="44" t="n">
        <f aca="false">BS$4+1</f>
        <v>51957</v>
      </c>
      <c r="BU3" s="44" t="n">
        <f aca="false">BT$4+1</f>
        <v>52048</v>
      </c>
      <c r="BV3" s="44" t="n">
        <f aca="false">BU$4+1</f>
        <v>52140</v>
      </c>
      <c r="BW3" s="44" t="n">
        <f aca="false">BV$4+1</f>
        <v>52232</v>
      </c>
      <c r="BX3" s="44" t="n">
        <f aca="false">BW$4+1</f>
        <v>52322</v>
      </c>
      <c r="BY3" s="44" t="n">
        <f aca="false">BX$4+1</f>
        <v>52413</v>
      </c>
      <c r="BZ3" s="44" t="n">
        <f aca="false">BY$4+1</f>
        <v>52505</v>
      </c>
      <c r="CA3" s="44" t="n">
        <f aca="false">BZ$4+1</f>
        <v>52597</v>
      </c>
      <c r="CB3" s="44" t="n">
        <f aca="false">CA$4+1</f>
        <v>52688</v>
      </c>
      <c r="CC3" s="44" t="n">
        <f aca="false">CB$4+1</f>
        <v>52779</v>
      </c>
      <c r="CD3" s="44" t="n">
        <f aca="false">CC$4+1</f>
        <v>52871</v>
      </c>
      <c r="CE3" s="44" t="n">
        <f aca="false">CD$4+1</f>
        <v>52963</v>
      </c>
      <c r="CF3" s="44" t="n">
        <f aca="false">CE$4+1</f>
        <v>53053</v>
      </c>
      <c r="CG3" s="44" t="n">
        <f aca="false">CF$4+1</f>
        <v>53144</v>
      </c>
      <c r="CH3" s="44" t="n">
        <f aca="false">CG$4+1</f>
        <v>53236</v>
      </c>
      <c r="CI3" s="44" t="n">
        <f aca="false">CH$4+1</f>
        <v>53328</v>
      </c>
      <c r="CJ3" s="44" t="n">
        <f aca="false">CI$4+1</f>
        <v>53418</v>
      </c>
      <c r="CK3" s="44" t="n">
        <f aca="false">CJ$4+1</f>
        <v>53509</v>
      </c>
      <c r="CL3" s="44" t="n">
        <f aca="false">CK$4+1</f>
        <v>53601</v>
      </c>
      <c r="CM3" s="44" t="n">
        <f aca="false">CL$4+1</f>
        <v>53693</v>
      </c>
      <c r="CN3" s="44" t="n">
        <f aca="false">CM$4+1</f>
        <v>53783</v>
      </c>
      <c r="CO3" s="44" t="n">
        <f aca="false">CN$4+1</f>
        <v>53874</v>
      </c>
      <c r="CP3" s="44" t="n">
        <f aca="false">CO$4+1</f>
        <v>53966</v>
      </c>
      <c r="CQ3" s="44" t="n">
        <f aca="false">CP$4+1</f>
        <v>54058</v>
      </c>
      <c r="CR3" s="44" t="n">
        <f aca="false">CQ$4+1</f>
        <v>54149</v>
      </c>
      <c r="CS3" s="44" t="n">
        <f aca="false">CR$4+1</f>
        <v>54240</v>
      </c>
      <c r="CT3" s="44" t="n">
        <f aca="false">CS$4+1</f>
        <v>54332</v>
      </c>
      <c r="CU3" s="44" t="n">
        <f aca="false">CT$4+1</f>
        <v>54424</v>
      </c>
      <c r="CV3" s="44" t="n">
        <f aca="false">CU$4+1</f>
        <v>54514</v>
      </c>
      <c r="CW3" s="44" t="n">
        <f aca="false">CV$4+1</f>
        <v>54605</v>
      </c>
      <c r="CX3" s="44" t="n">
        <f aca="false">CW$4+1</f>
        <v>54697</v>
      </c>
      <c r="CY3" s="44" t="n">
        <f aca="false">CX$4+1</f>
        <v>54789</v>
      </c>
      <c r="CZ3" s="44" t="n">
        <f aca="false">CY$4+1</f>
        <v>54879</v>
      </c>
      <c r="DA3" s="44" t="n">
        <f aca="false">CZ$4+1</f>
        <v>54970</v>
      </c>
      <c r="DB3" s="44" t="n">
        <f aca="false">DA$4+1</f>
        <v>55062</v>
      </c>
      <c r="DC3" s="44" t="n">
        <f aca="false">DB$4+1</f>
        <v>55154</v>
      </c>
      <c r="DD3" s="44" t="n">
        <f aca="false">DC$4+1</f>
        <v>55244</v>
      </c>
      <c r="DE3" s="44" t="n">
        <f aca="false">DD$4+1</f>
        <v>55335</v>
      </c>
      <c r="DF3" s="44" t="n">
        <f aca="false">DE$4+1</f>
        <v>55427</v>
      </c>
      <c r="DG3" s="44" t="n">
        <f aca="false">DF$4+1</f>
        <v>55519</v>
      </c>
      <c r="DH3" s="44" t="n">
        <f aca="false">DG$4+1</f>
        <v>55610</v>
      </c>
      <c r="DI3" s="44" t="n">
        <f aca="false">DH$4+1</f>
        <v>55701</v>
      </c>
      <c r="DJ3" s="44" t="n">
        <f aca="false">DI$4+1</f>
        <v>55793</v>
      </c>
      <c r="DK3" s="44" t="n">
        <f aca="false">DJ$4+1</f>
        <v>55885</v>
      </c>
      <c r="DL3" s="44" t="n">
        <f aca="false">DK$4+1</f>
        <v>55975</v>
      </c>
      <c r="DM3" s="44" t="n">
        <f aca="false">DL$4+1</f>
        <v>56066</v>
      </c>
      <c r="DN3" s="44" t="n">
        <f aca="false">DM$4+1</f>
        <v>56158</v>
      </c>
      <c r="DO3" s="44" t="n">
        <f aca="false">DN$4+1</f>
        <v>56250</v>
      </c>
      <c r="DP3" s="44" t="n">
        <f aca="false">DO$4+1</f>
        <v>56340</v>
      </c>
      <c r="DQ3" s="44" t="n">
        <f aca="false">DP$4+1</f>
        <v>56431</v>
      </c>
      <c r="DR3" s="44" t="n">
        <f aca="false">DQ$4+1</f>
        <v>56523</v>
      </c>
      <c r="DS3" s="44" t="n">
        <f aca="false">DR$4+1</f>
        <v>56615</v>
      </c>
      <c r="DT3" s="44" t="n">
        <f aca="false">DS$4+1</f>
        <v>56705</v>
      </c>
      <c r="DU3" s="44" t="n">
        <f aca="false">DT$4+1</f>
        <v>56796</v>
      </c>
      <c r="DV3" s="44" t="n">
        <f aca="false">DU$4+1</f>
        <v>56888</v>
      </c>
      <c r="DW3" s="44" t="n">
        <f aca="false">DV$4+1</f>
        <v>56980</v>
      </c>
      <c r="DX3" s="44" t="n">
        <f aca="false">DW$4+1</f>
        <v>57071</v>
      </c>
      <c r="DY3" s="44" t="n">
        <f aca="false">DX$4+1</f>
        <v>57162</v>
      </c>
      <c r="DZ3" s="44" t="n">
        <f aca="false">DY$4+1</f>
        <v>57254</v>
      </c>
      <c r="EA3" s="44" t="n">
        <f aca="false">DZ$4+1</f>
        <v>57346</v>
      </c>
      <c r="EB3" s="44" t="n">
        <f aca="false">EA$4+1</f>
        <v>57436</v>
      </c>
      <c r="EC3" s="44" t="n">
        <f aca="false">EB$4+1</f>
        <v>57527</v>
      </c>
      <c r="ED3" s="44" t="n">
        <f aca="false">EC$4+1</f>
        <v>57619</v>
      </c>
      <c r="EE3" s="44" t="n">
        <f aca="false">ED$4+1</f>
        <v>57711</v>
      </c>
      <c r="EF3" s="44" t="n">
        <f aca="false">EE$4+1</f>
        <v>57801</v>
      </c>
      <c r="EG3" s="44" t="n">
        <f aca="false">EF$4+1</f>
        <v>57892</v>
      </c>
      <c r="EH3" s="44" t="n">
        <f aca="false">EG$4+1</f>
        <v>57984</v>
      </c>
      <c r="EI3" s="44" t="n">
        <f aca="false">EH$4+1</f>
        <v>58076</v>
      </c>
      <c r="EJ3" s="44" t="n">
        <f aca="false">EI$4+1</f>
        <v>58166</v>
      </c>
      <c r="EK3" s="44" t="n">
        <f aca="false">EJ$4+1</f>
        <v>58257</v>
      </c>
      <c r="EL3" s="44" t="n">
        <f aca="false">EK$4+1</f>
        <v>58349</v>
      </c>
      <c r="EM3" s="44" t="n">
        <f aca="false">EL$4+1</f>
        <v>58441</v>
      </c>
      <c r="EN3" s="44" t="n">
        <f aca="false">EM$4+1</f>
        <v>58532</v>
      </c>
      <c r="EO3" s="44" t="n">
        <f aca="false">EN$4+1</f>
        <v>58623</v>
      </c>
    </row>
    <row r="4" customFormat="false" ht="15" hidden="false" customHeight="false" outlineLevel="0" collapsed="false">
      <c r="C4" s="0" t="s">
        <v>345</v>
      </c>
      <c r="D4" s="11" t="s">
        <v>38</v>
      </c>
      <c r="I4" s="44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346</v>
      </c>
      <c r="D5" s="11" t="s">
        <v>167</v>
      </c>
      <c r="J5" s="42" t="n">
        <f aca="false">J$4-J$3+1</f>
        <v>92</v>
      </c>
      <c r="K5" s="42" t="n">
        <f aca="false">K$4-K$3+1</f>
        <v>90</v>
      </c>
      <c r="L5" s="42" t="n">
        <f aca="false">L$4-L$3+1</f>
        <v>91</v>
      </c>
      <c r="M5" s="42" t="n">
        <f aca="false">M$4-M$3+1</f>
        <v>92</v>
      </c>
      <c r="N5" s="42" t="n">
        <f aca="false">N$4-N$3+1</f>
        <v>92</v>
      </c>
      <c r="O5" s="42" t="n">
        <f aca="false">O$4-O$3+1</f>
        <v>91</v>
      </c>
      <c r="P5" s="42" t="n">
        <f aca="false">P$4-P$3+1</f>
        <v>91</v>
      </c>
      <c r="Q5" s="42" t="n">
        <f aca="false">Q$4-Q$3+1</f>
        <v>92</v>
      </c>
      <c r="R5" s="42" t="n">
        <f aca="false">R$4-R$3+1</f>
        <v>92</v>
      </c>
      <c r="S5" s="42" t="n">
        <f aca="false">S$4-S$3+1</f>
        <v>90</v>
      </c>
      <c r="T5" s="42" t="n">
        <f aca="false">T$4-T$3+1</f>
        <v>91</v>
      </c>
      <c r="U5" s="42" t="n">
        <f aca="false">U$4-U$3+1</f>
        <v>92</v>
      </c>
      <c r="V5" s="42" t="n">
        <f aca="false">V$4-V$3+1</f>
        <v>92</v>
      </c>
      <c r="W5" s="42" t="n">
        <f aca="false">W$4-W$3+1</f>
        <v>90</v>
      </c>
      <c r="X5" s="42" t="n">
        <f aca="false">X$4-X$3+1</f>
        <v>91</v>
      </c>
      <c r="Y5" s="42" t="n">
        <f aca="false">Y$4-Y$3+1</f>
        <v>92</v>
      </c>
      <c r="Z5" s="42" t="n">
        <f aca="false">Z$4-Z$3+1</f>
        <v>92</v>
      </c>
      <c r="AA5" s="42" t="n">
        <f aca="false">AA$4-AA$3+1</f>
        <v>90</v>
      </c>
      <c r="AB5" s="42" t="n">
        <f aca="false">AB$4-AB$3+1</f>
        <v>91</v>
      </c>
      <c r="AC5" s="42" t="n">
        <f aca="false">AC$4-AC$3+1</f>
        <v>92</v>
      </c>
      <c r="AD5" s="42" t="n">
        <f aca="false">AD$4-AD$3+1</f>
        <v>92</v>
      </c>
      <c r="AE5" s="42" t="n">
        <f aca="false">AE$4-AE$3+1</f>
        <v>91</v>
      </c>
      <c r="AF5" s="42" t="n">
        <f aca="false">AF$4-AF$3+1</f>
        <v>91</v>
      </c>
      <c r="AG5" s="42" t="n">
        <f aca="false">AG$4-AG$3+1</f>
        <v>92</v>
      </c>
      <c r="AH5" s="42" t="n">
        <f aca="false">AH$4-AH$3+1</f>
        <v>92</v>
      </c>
      <c r="AI5" s="42" t="n">
        <f aca="false">AI$4-AI$3+1</f>
        <v>90</v>
      </c>
      <c r="AJ5" s="42" t="n">
        <f aca="false">AJ$4-AJ$3+1</f>
        <v>91</v>
      </c>
      <c r="AK5" s="42" t="n">
        <f aca="false">AK$4-AK$3+1</f>
        <v>92</v>
      </c>
      <c r="AL5" s="42" t="n">
        <f aca="false">AL$4-AL$3+1</f>
        <v>92</v>
      </c>
      <c r="AM5" s="42" t="n">
        <f aca="false">AM$4-AM$3+1</f>
        <v>90</v>
      </c>
      <c r="AN5" s="42" t="n">
        <f aca="false">AN$4-AN$3+1</f>
        <v>91</v>
      </c>
      <c r="AO5" s="42" t="n">
        <f aca="false">AO$4-AO$3+1</f>
        <v>92</v>
      </c>
      <c r="AP5" s="42" t="n">
        <f aca="false">AP$4-AP$3+1</f>
        <v>92</v>
      </c>
      <c r="AQ5" s="42" t="n">
        <f aca="false">AQ$4-AQ$3+1</f>
        <v>90</v>
      </c>
      <c r="AR5" s="42" t="n">
        <f aca="false">AR$4-AR$3+1</f>
        <v>91</v>
      </c>
      <c r="AS5" s="42" t="n">
        <f aca="false">AS$4-AS$3+1</f>
        <v>92</v>
      </c>
      <c r="AT5" s="42" t="n">
        <f aca="false">AT$4-AT$3+1</f>
        <v>92</v>
      </c>
      <c r="AU5" s="42" t="n">
        <f aca="false">AU$4-AU$3+1</f>
        <v>91</v>
      </c>
      <c r="AV5" s="42" t="n">
        <f aca="false">AV$4-AV$3+1</f>
        <v>91</v>
      </c>
      <c r="AW5" s="42" t="n">
        <f aca="false">AW$4-AW$3+1</f>
        <v>92</v>
      </c>
      <c r="AX5" s="42" t="n">
        <f aca="false">AX$4-AX$3+1</f>
        <v>92</v>
      </c>
      <c r="AY5" s="42" t="n">
        <f aca="false">AY$4-AY$3+1</f>
        <v>90</v>
      </c>
      <c r="AZ5" s="42" t="n">
        <f aca="false">AZ$4-AZ$3+1</f>
        <v>91</v>
      </c>
      <c r="BA5" s="42" t="n">
        <f aca="false">BA$4-BA$3+1</f>
        <v>92</v>
      </c>
      <c r="BB5" s="42" t="n">
        <f aca="false">BB$4-BB$3+1</f>
        <v>92</v>
      </c>
      <c r="BC5" s="42" t="n">
        <f aca="false">BC$4-BC$3+1</f>
        <v>90</v>
      </c>
      <c r="BD5" s="42" t="n">
        <f aca="false">BD$4-BD$3+1</f>
        <v>91</v>
      </c>
      <c r="BE5" s="42" t="n">
        <f aca="false">BE$4-BE$3+1</f>
        <v>92</v>
      </c>
      <c r="BF5" s="42" t="n">
        <f aca="false">BF$4-BF$3+1</f>
        <v>92</v>
      </c>
      <c r="BG5" s="42" t="n">
        <f aca="false">BG$4-BG$3+1</f>
        <v>90</v>
      </c>
      <c r="BH5" s="42" t="n">
        <f aca="false">BH$4-BH$3+1</f>
        <v>91</v>
      </c>
      <c r="BI5" s="42" t="n">
        <f aca="false">BI$4-BI$3+1</f>
        <v>92</v>
      </c>
      <c r="BJ5" s="42" t="n">
        <f aca="false">BJ$4-BJ$3+1</f>
        <v>92</v>
      </c>
      <c r="BK5" s="42" t="n">
        <f aca="false">BK$4-BK$3+1</f>
        <v>91</v>
      </c>
      <c r="BL5" s="42" t="n">
        <f aca="false">BL$4-BL$3+1</f>
        <v>91</v>
      </c>
      <c r="BM5" s="42" t="n">
        <f aca="false">BM$4-BM$3+1</f>
        <v>92</v>
      </c>
      <c r="BN5" s="42" t="n">
        <f aca="false">BN$4-BN$3+1</f>
        <v>92</v>
      </c>
      <c r="BO5" s="42" t="n">
        <f aca="false">BO$4-BO$3+1</f>
        <v>90</v>
      </c>
      <c r="BP5" s="42" t="n">
        <f aca="false">BP$4-BP$3+1</f>
        <v>91</v>
      </c>
      <c r="BQ5" s="42" t="n">
        <f aca="false">BQ$4-BQ$3+1</f>
        <v>92</v>
      </c>
      <c r="BR5" s="42" t="n">
        <f aca="false">BR$4-BR$3+1</f>
        <v>92</v>
      </c>
      <c r="BS5" s="42" t="n">
        <f aca="false">BS$4-BS$3+1</f>
        <v>90</v>
      </c>
      <c r="BT5" s="42" t="n">
        <f aca="false">BT$4-BT$3+1</f>
        <v>91</v>
      </c>
      <c r="BU5" s="42" t="n">
        <f aca="false">BU$4-BU$3+1</f>
        <v>92</v>
      </c>
      <c r="BV5" s="42" t="n">
        <f aca="false">BV$4-BV$3+1</f>
        <v>92</v>
      </c>
      <c r="BW5" s="42" t="n">
        <f aca="false">BW$4-BW$3+1</f>
        <v>90</v>
      </c>
      <c r="BX5" s="42" t="n">
        <f aca="false">BX$4-BX$3+1</f>
        <v>91</v>
      </c>
      <c r="BY5" s="42" t="n">
        <f aca="false">BY$4-BY$3+1</f>
        <v>92</v>
      </c>
      <c r="BZ5" s="42" t="n">
        <f aca="false">BZ$4-BZ$3+1</f>
        <v>92</v>
      </c>
      <c r="CA5" s="42" t="n">
        <f aca="false">CA$4-CA$3+1</f>
        <v>91</v>
      </c>
      <c r="CB5" s="42" t="n">
        <f aca="false">CB$4-CB$3+1</f>
        <v>91</v>
      </c>
      <c r="CC5" s="42" t="n">
        <f aca="false">CC$4-CC$3+1</f>
        <v>92</v>
      </c>
      <c r="CD5" s="42" t="n">
        <f aca="false">CD$4-CD$3+1</f>
        <v>92</v>
      </c>
      <c r="CE5" s="42" t="n">
        <f aca="false">CE$4-CE$3+1</f>
        <v>90</v>
      </c>
      <c r="CF5" s="42" t="n">
        <f aca="false">CF$4-CF$3+1</f>
        <v>91</v>
      </c>
      <c r="CG5" s="42" t="n">
        <f aca="false">CG$4-CG$3+1</f>
        <v>92</v>
      </c>
      <c r="CH5" s="42" t="n">
        <f aca="false">CH$4-CH$3+1</f>
        <v>92</v>
      </c>
      <c r="CI5" s="42" t="n">
        <f aca="false">CI$4-CI$3+1</f>
        <v>90</v>
      </c>
      <c r="CJ5" s="42" t="n">
        <f aca="false">CJ$4-CJ$3+1</f>
        <v>91</v>
      </c>
      <c r="CK5" s="42" t="n">
        <f aca="false">CK$4-CK$3+1</f>
        <v>92</v>
      </c>
      <c r="CL5" s="42" t="n">
        <f aca="false">CL$4-CL$3+1</f>
        <v>92</v>
      </c>
      <c r="CM5" s="42" t="n">
        <f aca="false">CM$4-CM$3+1</f>
        <v>90</v>
      </c>
      <c r="CN5" s="42" t="n">
        <f aca="false">CN$4-CN$3+1</f>
        <v>91</v>
      </c>
      <c r="CO5" s="42" t="n">
        <f aca="false">CO$4-CO$3+1</f>
        <v>92</v>
      </c>
      <c r="CP5" s="42" t="n">
        <f aca="false">CP$4-CP$3+1</f>
        <v>92</v>
      </c>
      <c r="CQ5" s="42" t="n">
        <f aca="false">CQ$4-CQ$3+1</f>
        <v>91</v>
      </c>
      <c r="CR5" s="42" t="n">
        <f aca="false">CR$4-CR$3+1</f>
        <v>91</v>
      </c>
      <c r="CS5" s="42" t="n">
        <f aca="false">CS$4-CS$3+1</f>
        <v>92</v>
      </c>
      <c r="CT5" s="42" t="n">
        <f aca="false">CT$4-CT$3+1</f>
        <v>92</v>
      </c>
      <c r="CU5" s="42" t="n">
        <f aca="false">CU$4-CU$3+1</f>
        <v>90</v>
      </c>
      <c r="CV5" s="42" t="n">
        <f aca="false">CV$4-CV$3+1</f>
        <v>91</v>
      </c>
      <c r="CW5" s="42" t="n">
        <f aca="false">CW$4-CW$3+1</f>
        <v>92</v>
      </c>
      <c r="CX5" s="42" t="n">
        <f aca="false">CX$4-CX$3+1</f>
        <v>92</v>
      </c>
      <c r="CY5" s="42" t="n">
        <f aca="false">CY$4-CY$3+1</f>
        <v>90</v>
      </c>
      <c r="CZ5" s="42" t="n">
        <f aca="false">CZ$4-CZ$3+1</f>
        <v>91</v>
      </c>
      <c r="DA5" s="42" t="n">
        <f aca="false">DA$4-DA$3+1</f>
        <v>92</v>
      </c>
      <c r="DB5" s="42" t="n">
        <f aca="false">DB$4-DB$3+1</f>
        <v>92</v>
      </c>
      <c r="DC5" s="42" t="n">
        <f aca="false">DC$4-DC$3+1</f>
        <v>90</v>
      </c>
      <c r="DD5" s="42" t="n">
        <f aca="false">DD$4-DD$3+1</f>
        <v>91</v>
      </c>
      <c r="DE5" s="42" t="n">
        <f aca="false">DE$4-DE$3+1</f>
        <v>92</v>
      </c>
      <c r="DF5" s="42" t="n">
        <f aca="false">DF$4-DF$3+1</f>
        <v>92</v>
      </c>
      <c r="DG5" s="42" t="n">
        <f aca="false">DG$4-DG$3+1</f>
        <v>91</v>
      </c>
      <c r="DH5" s="42" t="n">
        <f aca="false">DH$4-DH$3+1</f>
        <v>91</v>
      </c>
      <c r="DI5" s="42" t="n">
        <f aca="false">DI$4-DI$3+1</f>
        <v>92</v>
      </c>
      <c r="DJ5" s="42" t="n">
        <f aca="false">DJ$4-DJ$3+1</f>
        <v>92</v>
      </c>
      <c r="DK5" s="42" t="n">
        <f aca="false">DK$4-DK$3+1</f>
        <v>90</v>
      </c>
      <c r="DL5" s="42" t="n">
        <f aca="false">DL$4-DL$3+1</f>
        <v>91</v>
      </c>
      <c r="DM5" s="42" t="n">
        <f aca="false">DM$4-DM$3+1</f>
        <v>92</v>
      </c>
      <c r="DN5" s="42" t="n">
        <f aca="false">DN$4-DN$3+1</f>
        <v>92</v>
      </c>
      <c r="DO5" s="42" t="n">
        <f aca="false">DO$4-DO$3+1</f>
        <v>90</v>
      </c>
      <c r="DP5" s="42" t="n">
        <f aca="false">DP$4-DP$3+1</f>
        <v>91</v>
      </c>
      <c r="DQ5" s="42" t="n">
        <f aca="false">DQ$4-DQ$3+1</f>
        <v>92</v>
      </c>
      <c r="DR5" s="42" t="n">
        <f aca="false">DR$4-DR$3+1</f>
        <v>92</v>
      </c>
      <c r="DS5" s="42" t="n">
        <f aca="false">DS$4-DS$3+1</f>
        <v>90</v>
      </c>
      <c r="DT5" s="42" t="n">
        <f aca="false">DT$4-DT$3+1</f>
        <v>91</v>
      </c>
      <c r="DU5" s="42" t="n">
        <f aca="false">DU$4-DU$3+1</f>
        <v>92</v>
      </c>
      <c r="DV5" s="42" t="n">
        <f aca="false">DV$4-DV$3+1</f>
        <v>92</v>
      </c>
      <c r="DW5" s="42" t="n">
        <f aca="false">DW$4-DW$3+1</f>
        <v>91</v>
      </c>
      <c r="DX5" s="42" t="n">
        <f aca="false">DX$4-DX$3+1</f>
        <v>91</v>
      </c>
      <c r="DY5" s="42" t="n">
        <f aca="false">DY$4-DY$3+1</f>
        <v>92</v>
      </c>
      <c r="DZ5" s="42" t="n">
        <f aca="false">DZ$4-DZ$3+1</f>
        <v>92</v>
      </c>
      <c r="EA5" s="42" t="n">
        <f aca="false">EA$4-EA$3+1</f>
        <v>90</v>
      </c>
      <c r="EB5" s="42" t="n">
        <f aca="false">EB$4-EB$3+1</f>
        <v>91</v>
      </c>
      <c r="EC5" s="42" t="n">
        <f aca="false">EC$4-EC$3+1</f>
        <v>92</v>
      </c>
      <c r="ED5" s="42" t="n">
        <f aca="false">ED$4-ED$3+1</f>
        <v>92</v>
      </c>
      <c r="EE5" s="42" t="n">
        <f aca="false">EE$4-EE$3+1</f>
        <v>90</v>
      </c>
      <c r="EF5" s="42" t="n">
        <f aca="false">EF$4-EF$3+1</f>
        <v>91</v>
      </c>
      <c r="EG5" s="42" t="n">
        <f aca="false">EG$4-EG$3+1</f>
        <v>92</v>
      </c>
      <c r="EH5" s="42" t="n">
        <f aca="false">EH$4-EH$3+1</f>
        <v>92</v>
      </c>
      <c r="EI5" s="42" t="n">
        <f aca="false">EI$4-EI$3+1</f>
        <v>90</v>
      </c>
      <c r="EJ5" s="42" t="n">
        <f aca="false">EJ$4-EJ$3+1</f>
        <v>91</v>
      </c>
      <c r="EK5" s="42" t="n">
        <f aca="false">EK$4-EK$3+1</f>
        <v>92</v>
      </c>
      <c r="EL5" s="42" t="n">
        <f aca="false">EL$4-EL$3+1</f>
        <v>92</v>
      </c>
      <c r="EM5" s="42" t="n">
        <f aca="false">EM$4-EM$3+1</f>
        <v>91</v>
      </c>
      <c r="EN5" s="42" t="n">
        <f aca="false">EN$4-EN$3+1</f>
        <v>91</v>
      </c>
      <c r="EO5" s="42" t="n">
        <f aca="false">EO$4-EO$3+1</f>
        <v>92</v>
      </c>
    </row>
    <row r="6" customFormat="false" ht="15" hidden="false" customHeight="false" outlineLevel="0" collapsed="false">
      <c r="C6" s="0" t="s">
        <v>347</v>
      </c>
      <c r="D6" s="11" t="s">
        <v>348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349</v>
      </c>
      <c r="D7" s="11" t="s">
        <v>350</v>
      </c>
      <c r="J7" s="42" t="n">
        <f aca="false">YEAR(J$4)</f>
        <v>2026</v>
      </c>
      <c r="K7" s="42" t="n">
        <f aca="false">YEAR(K$4)</f>
        <v>2027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2028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2029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2030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2031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2032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2033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2034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2035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2036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2037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2038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2039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2040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2041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2042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2043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2044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2045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2046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2047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2048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2049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2050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2051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2052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2053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2054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2055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2056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2057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2058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2059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2060</v>
      </c>
      <c r="EN7" s="42" t="n">
        <f aca="false">YEAR(EN$4)</f>
        <v>2060</v>
      </c>
      <c r="EO7" s="42" t="n">
        <f aca="false">YEAR(EO$4)</f>
        <v>2060</v>
      </c>
    </row>
    <row r="8" customFormat="false" ht="15" hidden="false" customHeight="false" outlineLevel="0" collapsed="false">
      <c r="C8" s="0" t="s">
        <v>351</v>
      </c>
      <c r="D8" s="11" t="s">
        <v>131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352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353</v>
      </c>
      <c r="D12" s="11" t="s">
        <v>348</v>
      </c>
      <c r="E12" s="44" t="n">
        <f aca="false">In_NTP+1</f>
        <v>47027</v>
      </c>
      <c r="F12" s="21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354</v>
      </c>
      <c r="D13" s="11" t="s">
        <v>348</v>
      </c>
      <c r="E13" s="44" t="n">
        <f aca="false">In_Closing+1</f>
        <v>46388</v>
      </c>
      <c r="F13" s="21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35</v>
      </c>
      <c r="E14" s="21" t="n">
        <f aca="false">In_COD</f>
        <v>47756</v>
      </c>
      <c r="I14" s="48" t="n">
        <f aca="false">SUM(J14:EO14)</f>
        <v>1</v>
      </c>
      <c r="J14" s="48" t="n">
        <f aca="false">N(AND(J$3&lt;=$E14,J$4&gt;=$E14))</f>
        <v>0</v>
      </c>
      <c r="K14" s="48" t="n">
        <f aca="false">N(AND(K$3&lt;=$E14,K$4&gt;=$E14))</f>
        <v>0</v>
      </c>
      <c r="L14" s="48" t="n">
        <f aca="false">N(AND(L$3&lt;=$E14,L$4&gt;=$E14))</f>
        <v>0</v>
      </c>
      <c r="M14" s="48" t="n">
        <f aca="false">N(AND(M$3&lt;=$E14,M$4&gt;=$E14))</f>
        <v>0</v>
      </c>
      <c r="N14" s="48" t="n">
        <f aca="false">N(AND(N$3&lt;=$E14,N$4&gt;=$E14))</f>
        <v>0</v>
      </c>
      <c r="O14" s="48" t="n">
        <f aca="false">N(AND(O$3&lt;=$E14,O$4&gt;=$E14))</f>
        <v>0</v>
      </c>
      <c r="P14" s="48" t="n">
        <f aca="false">N(AND(P$3&lt;=$E14,P$4&gt;=$E14))</f>
        <v>0</v>
      </c>
      <c r="Q14" s="48" t="n">
        <f aca="false">N(AND(Q$3&lt;=$E14,Q$4&gt;=$E14))</f>
        <v>0</v>
      </c>
      <c r="R14" s="48" t="n">
        <f aca="false">N(AND(R$3&lt;=$E14,R$4&gt;=$E14))</f>
        <v>0</v>
      </c>
      <c r="S14" s="48" t="n">
        <f aca="false">N(AND(S$3&lt;=$E14,S$4&gt;=$E14))</f>
        <v>0</v>
      </c>
      <c r="T14" s="48" t="n">
        <f aca="false">N(AND(T$3&lt;=$E14,T$4&gt;=$E14))</f>
        <v>0</v>
      </c>
      <c r="U14" s="48" t="n">
        <f aca="false">N(AND(U$3&lt;=$E14,U$4&gt;=$E14))</f>
        <v>0</v>
      </c>
      <c r="V14" s="48" t="n">
        <f aca="false">N(AND(V$3&lt;=$E14,V$4&gt;=$E14))</f>
        <v>0</v>
      </c>
      <c r="W14" s="48" t="n">
        <f aca="false">N(AND(W$3&lt;=$E14,W$4&gt;=$E14))</f>
        <v>0</v>
      </c>
      <c r="X14" s="48" t="n">
        <f aca="false">N(AND(X$3&lt;=$E14,X$4&gt;=$E14))</f>
        <v>0</v>
      </c>
      <c r="Y14" s="48" t="n">
        <f aca="false">N(AND(Y$3&lt;=$E14,Y$4&gt;=$E14))</f>
        <v>1</v>
      </c>
      <c r="Z14" s="48" t="n">
        <f aca="false">N(AND(Z$3&lt;=$E14,Z$4&gt;=$E14))</f>
        <v>0</v>
      </c>
      <c r="AA14" s="48" t="n">
        <f aca="false">N(AND(AA$3&lt;=$E14,AA$4&gt;=$E14))</f>
        <v>0</v>
      </c>
      <c r="AB14" s="48" t="n">
        <f aca="false">N(AND(AB$3&lt;=$E14,AB$4&gt;=$E14))</f>
        <v>0</v>
      </c>
      <c r="AC14" s="48" t="n">
        <f aca="false">N(AND(AC$3&lt;=$E14,AC$4&gt;=$E14))</f>
        <v>0</v>
      </c>
      <c r="AD14" s="48" t="n">
        <f aca="false">N(AND(AD$3&lt;=$E14,AD$4&gt;=$E14))</f>
        <v>0</v>
      </c>
      <c r="AE14" s="48" t="n">
        <f aca="false">N(AND(AE$3&lt;=$E14,AE$4&gt;=$E14))</f>
        <v>0</v>
      </c>
      <c r="AF14" s="48" t="n">
        <f aca="false">N(AND(AF$3&lt;=$E14,AF$4&gt;=$E14))</f>
        <v>0</v>
      </c>
      <c r="AG14" s="48" t="n">
        <f aca="false">N(AND(AG$3&lt;=$E14,AG$4&gt;=$E14))</f>
        <v>0</v>
      </c>
      <c r="AH14" s="48" t="n">
        <f aca="false">N(AND(AH$3&lt;=$E14,AH$4&gt;=$E14))</f>
        <v>0</v>
      </c>
      <c r="AI14" s="48" t="n">
        <f aca="false">N(AND(AI$3&lt;=$E14,AI$4&gt;=$E14))</f>
        <v>0</v>
      </c>
      <c r="AJ14" s="48" t="n">
        <f aca="false">N(AND(AJ$3&lt;=$E14,AJ$4&gt;=$E14))</f>
        <v>0</v>
      </c>
      <c r="AK14" s="48" t="n">
        <f aca="false">N(AND(AK$3&lt;=$E14,AK$4&gt;=$E14))</f>
        <v>0</v>
      </c>
      <c r="AL14" s="48" t="n">
        <f aca="false">N(AND(AL$3&lt;=$E14,AL$4&gt;=$E14))</f>
        <v>0</v>
      </c>
      <c r="AM14" s="48" t="n">
        <f aca="false">N(AND(AM$3&lt;=$E14,AM$4&gt;=$E14))</f>
        <v>0</v>
      </c>
      <c r="AN14" s="48" t="n">
        <f aca="false">N(AND(AN$3&lt;=$E14,AN$4&gt;=$E14))</f>
        <v>0</v>
      </c>
      <c r="AO14" s="48" t="n">
        <f aca="false">N(AND(AO$3&lt;=$E14,AO$4&gt;=$E14))</f>
        <v>0</v>
      </c>
      <c r="AP14" s="48" t="n">
        <f aca="false">N(AND(AP$3&lt;=$E14,AP$4&gt;=$E14))</f>
        <v>0</v>
      </c>
      <c r="AQ14" s="48" t="n">
        <f aca="false">N(AND(AQ$3&lt;=$E14,AQ$4&gt;=$E14))</f>
        <v>0</v>
      </c>
      <c r="AR14" s="48" t="n">
        <f aca="false">N(AND(AR$3&lt;=$E14,AR$4&gt;=$E14))</f>
        <v>0</v>
      </c>
      <c r="AS14" s="48" t="n">
        <f aca="false">N(AND(AS$3&lt;=$E14,AS$4&gt;=$E14))</f>
        <v>0</v>
      </c>
      <c r="AT14" s="48" t="n">
        <f aca="false">N(AND(AT$3&lt;=$E14,AT$4&gt;=$E14))</f>
        <v>0</v>
      </c>
      <c r="AU14" s="48" t="n">
        <f aca="false">N(AND(AU$3&lt;=$E14,AU$4&gt;=$E14))</f>
        <v>0</v>
      </c>
      <c r="AV14" s="48" t="n">
        <f aca="false">N(AND(AV$3&lt;=$E14,AV$4&gt;=$E14))</f>
        <v>0</v>
      </c>
      <c r="AW14" s="48" t="n">
        <f aca="false">N(AND(AW$3&lt;=$E14,AW$4&gt;=$E14))</f>
        <v>0</v>
      </c>
      <c r="AX14" s="48" t="n">
        <f aca="false">N(AND(AX$3&lt;=$E14,AX$4&gt;=$E14))</f>
        <v>0</v>
      </c>
      <c r="AY14" s="48" t="n">
        <f aca="false">N(AND(AY$3&lt;=$E14,AY$4&gt;=$E14))</f>
        <v>0</v>
      </c>
      <c r="AZ14" s="48" t="n">
        <f aca="false">N(AND(AZ$3&lt;=$E14,AZ$4&gt;=$E14))</f>
        <v>0</v>
      </c>
      <c r="BA14" s="48" t="n">
        <f aca="false">N(AND(BA$3&lt;=$E14,BA$4&gt;=$E14))</f>
        <v>0</v>
      </c>
      <c r="BB14" s="48" t="n">
        <f aca="false">N(AND(BB$3&lt;=$E14,BB$4&gt;=$E14))</f>
        <v>0</v>
      </c>
      <c r="BC14" s="48" t="n">
        <f aca="false">N(AND(BC$3&lt;=$E14,BC$4&gt;=$E14))</f>
        <v>0</v>
      </c>
      <c r="BD14" s="48" t="n">
        <f aca="false">N(AND(BD$3&lt;=$E14,BD$4&gt;=$E14))</f>
        <v>0</v>
      </c>
      <c r="BE14" s="48" t="n">
        <f aca="false">N(AND(BE$3&lt;=$E14,BE$4&gt;=$E14))</f>
        <v>0</v>
      </c>
      <c r="BF14" s="48" t="n">
        <f aca="false">N(AND(BF$3&lt;=$E14,BF$4&gt;=$E14))</f>
        <v>0</v>
      </c>
      <c r="BG14" s="48" t="n">
        <f aca="false">N(AND(BG$3&lt;=$E14,BG$4&gt;=$E14))</f>
        <v>0</v>
      </c>
      <c r="BH14" s="48" t="n">
        <f aca="false">N(AND(BH$3&lt;=$E14,BH$4&gt;=$E14))</f>
        <v>0</v>
      </c>
      <c r="BI14" s="48" t="n">
        <f aca="false">N(AND(BI$3&lt;=$E14,BI$4&gt;=$E14))</f>
        <v>0</v>
      </c>
      <c r="BJ14" s="48" t="n">
        <f aca="false">N(AND(BJ$3&lt;=$E14,BJ$4&gt;=$E14))</f>
        <v>0</v>
      </c>
      <c r="BK14" s="48" t="n">
        <f aca="false">N(AND(BK$3&lt;=$E14,BK$4&gt;=$E14))</f>
        <v>0</v>
      </c>
      <c r="BL14" s="48" t="n">
        <f aca="false">N(AND(BL$3&lt;=$E14,BL$4&gt;=$E14))</f>
        <v>0</v>
      </c>
      <c r="BM14" s="48" t="n">
        <f aca="false">N(AND(BM$3&lt;=$E14,BM$4&gt;=$E14))</f>
        <v>0</v>
      </c>
      <c r="BN14" s="48" t="n">
        <f aca="false">N(AND(BN$3&lt;=$E14,BN$4&gt;=$E14))</f>
        <v>0</v>
      </c>
      <c r="BO14" s="48" t="n">
        <f aca="false">N(AND(BO$3&lt;=$E14,BO$4&gt;=$E14))</f>
        <v>0</v>
      </c>
      <c r="BP14" s="48" t="n">
        <f aca="false">N(AND(BP$3&lt;=$E14,BP$4&gt;=$E14))</f>
        <v>0</v>
      </c>
      <c r="BQ14" s="48" t="n">
        <f aca="false">N(AND(BQ$3&lt;=$E14,BQ$4&gt;=$E14))</f>
        <v>0</v>
      </c>
      <c r="BR14" s="48" t="n">
        <f aca="false">N(AND(BR$3&lt;=$E14,BR$4&gt;=$E14))</f>
        <v>0</v>
      </c>
      <c r="BS14" s="48" t="n">
        <f aca="false">N(AND(BS$3&lt;=$E14,BS$4&gt;=$E14))</f>
        <v>0</v>
      </c>
      <c r="BT14" s="48" t="n">
        <f aca="false">N(AND(BT$3&lt;=$E14,BT$4&gt;=$E14))</f>
        <v>0</v>
      </c>
      <c r="BU14" s="48" t="n">
        <f aca="false">N(AND(BU$3&lt;=$E14,BU$4&gt;=$E14))</f>
        <v>0</v>
      </c>
      <c r="BV14" s="48" t="n">
        <f aca="false">N(AND(BV$3&lt;=$E14,BV$4&gt;=$E14))</f>
        <v>0</v>
      </c>
      <c r="BW14" s="48" t="n">
        <f aca="false">N(AND(BW$3&lt;=$E14,BW$4&gt;=$E14))</f>
        <v>0</v>
      </c>
      <c r="BX14" s="48" t="n">
        <f aca="false">N(AND(BX$3&lt;=$E14,BX$4&gt;=$E14))</f>
        <v>0</v>
      </c>
      <c r="BY14" s="48" t="n">
        <f aca="false">N(AND(BY$3&lt;=$E14,BY$4&gt;=$E14))</f>
        <v>0</v>
      </c>
      <c r="BZ14" s="48" t="n">
        <f aca="false">N(AND(BZ$3&lt;=$E14,BZ$4&gt;=$E14))</f>
        <v>0</v>
      </c>
      <c r="CA14" s="48" t="n">
        <f aca="false">N(AND(CA$3&lt;=$E14,CA$4&gt;=$E14))</f>
        <v>0</v>
      </c>
      <c r="CB14" s="48" t="n">
        <f aca="false">N(AND(CB$3&lt;=$E14,CB$4&gt;=$E14))</f>
        <v>0</v>
      </c>
      <c r="CC14" s="48" t="n">
        <f aca="false">N(AND(CC$3&lt;=$E14,CC$4&gt;=$E14))</f>
        <v>0</v>
      </c>
      <c r="CD14" s="48" t="n">
        <f aca="false">N(AND(CD$3&lt;=$E14,CD$4&gt;=$E14))</f>
        <v>0</v>
      </c>
      <c r="CE14" s="48" t="n">
        <f aca="false">N(AND(CE$3&lt;=$E14,CE$4&gt;=$E14))</f>
        <v>0</v>
      </c>
      <c r="CF14" s="48" t="n">
        <f aca="false">N(AND(CF$3&lt;=$E14,CF$4&gt;=$E14))</f>
        <v>0</v>
      </c>
      <c r="CG14" s="48" t="n">
        <f aca="false">N(AND(CG$3&lt;=$E14,CG$4&gt;=$E14))</f>
        <v>0</v>
      </c>
      <c r="CH14" s="48" t="n">
        <f aca="false">N(AND(CH$3&lt;=$E14,CH$4&gt;=$E14))</f>
        <v>0</v>
      </c>
      <c r="CI14" s="48" t="n">
        <f aca="false">N(AND(CI$3&lt;=$E14,CI$4&gt;=$E14))</f>
        <v>0</v>
      </c>
      <c r="CJ14" s="48" t="n">
        <f aca="false">N(AND(CJ$3&lt;=$E14,CJ$4&gt;=$E14))</f>
        <v>0</v>
      </c>
      <c r="CK14" s="48" t="n">
        <f aca="false">N(AND(CK$3&lt;=$E14,CK$4&gt;=$E14))</f>
        <v>0</v>
      </c>
      <c r="CL14" s="48" t="n">
        <f aca="false">N(AND(CL$3&lt;=$E14,CL$4&gt;=$E14))</f>
        <v>0</v>
      </c>
      <c r="CM14" s="48" t="n">
        <f aca="false">N(AND(CM$3&lt;=$E14,CM$4&gt;=$E14))</f>
        <v>0</v>
      </c>
      <c r="CN14" s="48" t="n">
        <f aca="false">N(AND(CN$3&lt;=$E14,CN$4&gt;=$E14))</f>
        <v>0</v>
      </c>
      <c r="CO14" s="48" t="n">
        <f aca="false">N(AND(CO$3&lt;=$E14,CO$4&gt;=$E14))</f>
        <v>0</v>
      </c>
      <c r="CP14" s="48" t="n">
        <f aca="false">N(AND(CP$3&lt;=$E14,CP$4&gt;=$E14))</f>
        <v>0</v>
      </c>
      <c r="CQ14" s="48" t="n">
        <f aca="false">N(AND(CQ$3&lt;=$E14,CQ$4&gt;=$E14))</f>
        <v>0</v>
      </c>
      <c r="CR14" s="48" t="n">
        <f aca="false">N(AND(CR$3&lt;=$E14,CR$4&gt;=$E14))</f>
        <v>0</v>
      </c>
      <c r="CS14" s="48" t="n">
        <f aca="false">N(AND(CS$3&lt;=$E14,CS$4&gt;=$E14))</f>
        <v>0</v>
      </c>
      <c r="CT14" s="48" t="n">
        <f aca="false">N(AND(CT$3&lt;=$E14,CT$4&gt;=$E14))</f>
        <v>0</v>
      </c>
      <c r="CU14" s="48" t="n">
        <f aca="false">N(AND(CU$3&lt;=$E14,CU$4&gt;=$E14))</f>
        <v>0</v>
      </c>
      <c r="CV14" s="48" t="n">
        <f aca="false">N(AND(CV$3&lt;=$E14,CV$4&gt;=$E14))</f>
        <v>0</v>
      </c>
      <c r="CW14" s="48" t="n">
        <f aca="false">N(AND(CW$3&lt;=$E14,CW$4&gt;=$E14))</f>
        <v>0</v>
      </c>
      <c r="CX14" s="48" t="n">
        <f aca="false">N(AND(CX$3&lt;=$E14,CX$4&gt;=$E14))</f>
        <v>0</v>
      </c>
      <c r="CY14" s="48" t="n">
        <f aca="false">N(AND(CY$3&lt;=$E14,CY$4&gt;=$E14))</f>
        <v>0</v>
      </c>
      <c r="CZ14" s="48" t="n">
        <f aca="false">N(AND(CZ$3&lt;=$E14,CZ$4&gt;=$E14))</f>
        <v>0</v>
      </c>
      <c r="DA14" s="48" t="n">
        <f aca="false">N(AND(DA$3&lt;=$E14,DA$4&gt;=$E14))</f>
        <v>0</v>
      </c>
      <c r="DB14" s="48" t="n">
        <f aca="false">N(AND(DB$3&lt;=$E14,DB$4&gt;=$E14))</f>
        <v>0</v>
      </c>
      <c r="DC14" s="48" t="n">
        <f aca="false">N(AND(DC$3&lt;=$E14,DC$4&gt;=$E14))</f>
        <v>0</v>
      </c>
      <c r="DD14" s="48" t="n">
        <f aca="false">N(AND(DD$3&lt;=$E14,DD$4&gt;=$E14))</f>
        <v>0</v>
      </c>
      <c r="DE14" s="48" t="n">
        <f aca="false">N(AND(DE$3&lt;=$E14,DE$4&gt;=$E14))</f>
        <v>0</v>
      </c>
      <c r="DF14" s="48" t="n">
        <f aca="false">N(AND(DF$3&lt;=$E14,DF$4&gt;=$E14))</f>
        <v>0</v>
      </c>
      <c r="DG14" s="48" t="n">
        <f aca="false">N(AND(DG$3&lt;=$E14,DG$4&gt;=$E14))</f>
        <v>0</v>
      </c>
      <c r="DH14" s="48" t="n">
        <f aca="false">N(AND(DH$3&lt;=$E14,DH$4&gt;=$E14))</f>
        <v>0</v>
      </c>
      <c r="DI14" s="48" t="n">
        <f aca="false">N(AND(DI$3&lt;=$E14,DI$4&gt;=$E14))</f>
        <v>0</v>
      </c>
      <c r="DJ14" s="48" t="n">
        <f aca="false">N(AND(DJ$3&lt;=$E14,DJ$4&gt;=$E14))</f>
        <v>0</v>
      </c>
      <c r="DK14" s="48" t="n">
        <f aca="false">N(AND(DK$3&lt;=$E14,DK$4&gt;=$E14))</f>
        <v>0</v>
      </c>
      <c r="DL14" s="48" t="n">
        <f aca="false">N(AND(DL$3&lt;=$E14,DL$4&gt;=$E14))</f>
        <v>0</v>
      </c>
      <c r="DM14" s="48" t="n">
        <f aca="false">N(AND(DM$3&lt;=$E14,DM$4&gt;=$E14))</f>
        <v>0</v>
      </c>
      <c r="DN14" s="48" t="n">
        <f aca="false">N(AND(DN$3&lt;=$E14,DN$4&gt;=$E14))</f>
        <v>0</v>
      </c>
      <c r="DO14" s="48" t="n">
        <f aca="false">N(AND(DO$3&lt;=$E14,DO$4&gt;=$E14))</f>
        <v>0</v>
      </c>
      <c r="DP14" s="48" t="n">
        <f aca="false">N(AND(DP$3&lt;=$E14,DP$4&gt;=$E14))</f>
        <v>0</v>
      </c>
      <c r="DQ14" s="48" t="n">
        <f aca="false">N(AND(DQ$3&lt;=$E14,DQ$4&gt;=$E14))</f>
        <v>0</v>
      </c>
      <c r="DR14" s="48" t="n">
        <f aca="false">N(AND(DR$3&lt;=$E14,DR$4&gt;=$E14))</f>
        <v>0</v>
      </c>
      <c r="DS14" s="48" t="n">
        <f aca="false">N(AND(DS$3&lt;=$E14,DS$4&gt;=$E14))</f>
        <v>0</v>
      </c>
      <c r="DT14" s="48" t="n">
        <f aca="false">N(AND(DT$3&lt;=$E14,DT$4&gt;=$E14))</f>
        <v>0</v>
      </c>
      <c r="DU14" s="48" t="n">
        <f aca="false">N(AND(DU$3&lt;=$E14,DU$4&gt;=$E14))</f>
        <v>0</v>
      </c>
      <c r="DV14" s="48" t="n">
        <f aca="false">N(AND(DV$3&lt;=$E14,DV$4&gt;=$E14))</f>
        <v>0</v>
      </c>
      <c r="DW14" s="48" t="n">
        <f aca="false">N(AND(DW$3&lt;=$E14,DW$4&gt;=$E14))</f>
        <v>0</v>
      </c>
      <c r="DX14" s="48" t="n">
        <f aca="false">N(AND(DX$3&lt;=$E14,DX$4&gt;=$E14))</f>
        <v>0</v>
      </c>
      <c r="DY14" s="48" t="n">
        <f aca="false">N(AND(DY$3&lt;=$E14,DY$4&gt;=$E14))</f>
        <v>0</v>
      </c>
      <c r="DZ14" s="48" t="n">
        <f aca="false">N(AND(DZ$3&lt;=$E14,DZ$4&gt;=$E14))</f>
        <v>0</v>
      </c>
      <c r="EA14" s="48" t="n">
        <f aca="false">N(AND(EA$3&lt;=$E14,EA$4&gt;=$E14))</f>
        <v>0</v>
      </c>
      <c r="EB14" s="48" t="n">
        <f aca="false">N(AND(EB$3&lt;=$E14,EB$4&gt;=$E14))</f>
        <v>0</v>
      </c>
      <c r="EC14" s="48" t="n">
        <f aca="false">N(AND(EC$3&lt;=$E14,EC$4&gt;=$E14))</f>
        <v>0</v>
      </c>
      <c r="ED14" s="48" t="n">
        <f aca="false">N(AND(ED$3&lt;=$E14,ED$4&gt;=$E14))</f>
        <v>0</v>
      </c>
      <c r="EE14" s="48" t="n">
        <f aca="false">N(AND(EE$3&lt;=$E14,EE$4&gt;=$E14))</f>
        <v>0</v>
      </c>
      <c r="EF14" s="48" t="n">
        <f aca="false">N(AND(EF$3&lt;=$E14,EF$4&gt;=$E14))</f>
        <v>0</v>
      </c>
      <c r="EG14" s="48" t="n">
        <f aca="false">N(AND(EG$3&lt;=$E14,EG$4&gt;=$E14))</f>
        <v>0</v>
      </c>
      <c r="EH14" s="48" t="n">
        <f aca="false">N(AND(EH$3&lt;=$E14,EH$4&gt;=$E14))</f>
        <v>0</v>
      </c>
      <c r="EI14" s="48" t="n">
        <f aca="false">N(AND(EI$3&lt;=$E14,EI$4&gt;=$E14))</f>
        <v>0</v>
      </c>
      <c r="EJ14" s="48" t="n">
        <f aca="false">N(AND(EJ$3&lt;=$E14,EJ$4&gt;=$E14))</f>
        <v>0</v>
      </c>
      <c r="EK14" s="48" t="n">
        <f aca="false">N(AND(EK$3&lt;=$E14,EK$4&gt;=$E14))</f>
        <v>0</v>
      </c>
      <c r="EL14" s="48" t="n">
        <f aca="false">N(AND(EL$3&lt;=$E14,EL$4&gt;=$E14))</f>
        <v>0</v>
      </c>
      <c r="EM14" s="48" t="n">
        <f aca="false">N(AND(EM$3&lt;=$E14,EM$4&gt;=$E14))</f>
        <v>0</v>
      </c>
      <c r="EN14" s="48" t="n">
        <f aca="false">N(AND(EN$3&lt;=$E14,EN$4&gt;=$E14))</f>
        <v>0</v>
      </c>
      <c r="EO14" s="48" t="n">
        <f aca="false">N(AND(EO$3&lt;=$E14,EO$4&gt;=$E14))</f>
        <v>0</v>
      </c>
    </row>
    <row r="15" customFormat="false" ht="15" hidden="false" customHeight="false" outlineLevel="0" collapsed="false">
      <c r="C15" s="0" t="s">
        <v>273</v>
      </c>
      <c r="D15" s="11" t="s">
        <v>35</v>
      </c>
      <c r="E15" s="44" t="n">
        <f aca="false">In_COD+1</f>
        <v>47757</v>
      </c>
      <c r="F15" s="44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355</v>
      </c>
      <c r="D16" s="11" t="s">
        <v>35</v>
      </c>
      <c r="E16" s="44" t="n">
        <f aca="false">In_NTP+1</f>
        <v>47027</v>
      </c>
      <c r="F16" s="44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356</v>
      </c>
      <c r="D17" s="11" t="s">
        <v>35</v>
      </c>
      <c r="E17" s="44" t="n">
        <f aca="false">In_COD+1</f>
        <v>47757</v>
      </c>
      <c r="F17" s="44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357</v>
      </c>
      <c r="D18" s="11" t="s">
        <v>35</v>
      </c>
      <c r="E18" s="44" t="n">
        <f aca="false">EDATE(In_COD,In_Debt_Tenor*Months_In_Year)</f>
        <v>54331</v>
      </c>
      <c r="I18" s="48" t="n">
        <f aca="false">SUM(J18:EO18)</f>
        <v>1</v>
      </c>
      <c r="J18" s="48" t="n">
        <f aca="false">N(AND(J$3&lt;=$E18,J$4&gt;=$E18))</f>
        <v>0</v>
      </c>
      <c r="K18" s="48" t="n">
        <f aca="false">N(AND(K$3&lt;=$E18,K$4&gt;=$E18))</f>
        <v>0</v>
      </c>
      <c r="L18" s="48" t="n">
        <f aca="false">N(AND(L$3&lt;=$E18,L$4&gt;=$E18))</f>
        <v>0</v>
      </c>
      <c r="M18" s="48" t="n">
        <f aca="false">N(AND(M$3&lt;=$E18,M$4&gt;=$E18))</f>
        <v>0</v>
      </c>
      <c r="N18" s="48" t="n">
        <f aca="false">N(AND(N$3&lt;=$E18,N$4&gt;=$E18))</f>
        <v>0</v>
      </c>
      <c r="O18" s="48" t="n">
        <f aca="false">N(AND(O$3&lt;=$E18,O$4&gt;=$E18))</f>
        <v>0</v>
      </c>
      <c r="P18" s="48" t="n">
        <f aca="false">N(AND(P$3&lt;=$E18,P$4&gt;=$E18))</f>
        <v>0</v>
      </c>
      <c r="Q18" s="48" t="n">
        <f aca="false">N(AND(Q$3&lt;=$E18,Q$4&gt;=$E18))</f>
        <v>0</v>
      </c>
      <c r="R18" s="48" t="n">
        <f aca="false">N(AND(R$3&lt;=$E18,R$4&gt;=$E18))</f>
        <v>0</v>
      </c>
      <c r="S18" s="48" t="n">
        <f aca="false">N(AND(S$3&lt;=$E18,S$4&gt;=$E18))</f>
        <v>0</v>
      </c>
      <c r="T18" s="48" t="n">
        <f aca="false">N(AND(T$3&lt;=$E18,T$4&gt;=$E18))</f>
        <v>0</v>
      </c>
      <c r="U18" s="48" t="n">
        <f aca="false">N(AND(U$3&lt;=$E18,U$4&gt;=$E18))</f>
        <v>0</v>
      </c>
      <c r="V18" s="48" t="n">
        <f aca="false">N(AND(V$3&lt;=$E18,V$4&gt;=$E18))</f>
        <v>0</v>
      </c>
      <c r="W18" s="48" t="n">
        <f aca="false">N(AND(W$3&lt;=$E18,W$4&gt;=$E18))</f>
        <v>0</v>
      </c>
      <c r="X18" s="48" t="n">
        <f aca="false">N(AND(X$3&lt;=$E18,X$4&gt;=$E18))</f>
        <v>0</v>
      </c>
      <c r="Y18" s="48" t="n">
        <f aca="false">N(AND(Y$3&lt;=$E18,Y$4&gt;=$E18))</f>
        <v>0</v>
      </c>
      <c r="Z18" s="48" t="n">
        <f aca="false">N(AND(Z$3&lt;=$E18,Z$4&gt;=$E18))</f>
        <v>0</v>
      </c>
      <c r="AA18" s="48" t="n">
        <f aca="false">N(AND(AA$3&lt;=$E18,AA$4&gt;=$E18))</f>
        <v>0</v>
      </c>
      <c r="AB18" s="48" t="n">
        <f aca="false">N(AND(AB$3&lt;=$E18,AB$4&gt;=$E18))</f>
        <v>0</v>
      </c>
      <c r="AC18" s="48" t="n">
        <f aca="false">N(AND(AC$3&lt;=$E18,AC$4&gt;=$E18))</f>
        <v>0</v>
      </c>
      <c r="AD18" s="48" t="n">
        <f aca="false">N(AND(AD$3&lt;=$E18,AD$4&gt;=$E18))</f>
        <v>0</v>
      </c>
      <c r="AE18" s="48" t="n">
        <f aca="false">N(AND(AE$3&lt;=$E18,AE$4&gt;=$E18))</f>
        <v>0</v>
      </c>
      <c r="AF18" s="48" t="n">
        <f aca="false">N(AND(AF$3&lt;=$E18,AF$4&gt;=$E18))</f>
        <v>0</v>
      </c>
      <c r="AG18" s="48" t="n">
        <f aca="false">N(AND(AG$3&lt;=$E18,AG$4&gt;=$E18))</f>
        <v>0</v>
      </c>
      <c r="AH18" s="48" t="n">
        <f aca="false">N(AND(AH$3&lt;=$E18,AH$4&gt;=$E18))</f>
        <v>0</v>
      </c>
      <c r="AI18" s="48" t="n">
        <f aca="false">N(AND(AI$3&lt;=$E18,AI$4&gt;=$E18))</f>
        <v>0</v>
      </c>
      <c r="AJ18" s="48" t="n">
        <f aca="false">N(AND(AJ$3&lt;=$E18,AJ$4&gt;=$E18))</f>
        <v>0</v>
      </c>
      <c r="AK18" s="48" t="n">
        <f aca="false">N(AND(AK$3&lt;=$E18,AK$4&gt;=$E18))</f>
        <v>0</v>
      </c>
      <c r="AL18" s="48" t="n">
        <f aca="false">N(AND(AL$3&lt;=$E18,AL$4&gt;=$E18))</f>
        <v>0</v>
      </c>
      <c r="AM18" s="48" t="n">
        <f aca="false">N(AND(AM$3&lt;=$E18,AM$4&gt;=$E18))</f>
        <v>0</v>
      </c>
      <c r="AN18" s="48" t="n">
        <f aca="false">N(AND(AN$3&lt;=$E18,AN$4&gt;=$E18))</f>
        <v>0</v>
      </c>
      <c r="AO18" s="48" t="n">
        <f aca="false">N(AND(AO$3&lt;=$E18,AO$4&gt;=$E18))</f>
        <v>0</v>
      </c>
      <c r="AP18" s="48" t="n">
        <f aca="false">N(AND(AP$3&lt;=$E18,AP$4&gt;=$E18))</f>
        <v>0</v>
      </c>
      <c r="AQ18" s="48" t="n">
        <f aca="false">N(AND(AQ$3&lt;=$E18,AQ$4&gt;=$E18))</f>
        <v>0</v>
      </c>
      <c r="AR18" s="48" t="n">
        <f aca="false">N(AND(AR$3&lt;=$E18,AR$4&gt;=$E18))</f>
        <v>0</v>
      </c>
      <c r="AS18" s="48" t="n">
        <f aca="false">N(AND(AS$3&lt;=$E18,AS$4&gt;=$E18))</f>
        <v>0</v>
      </c>
      <c r="AT18" s="48" t="n">
        <f aca="false">N(AND(AT$3&lt;=$E18,AT$4&gt;=$E18))</f>
        <v>0</v>
      </c>
      <c r="AU18" s="48" t="n">
        <f aca="false">N(AND(AU$3&lt;=$E18,AU$4&gt;=$E18))</f>
        <v>0</v>
      </c>
      <c r="AV18" s="48" t="n">
        <f aca="false">N(AND(AV$3&lt;=$E18,AV$4&gt;=$E18))</f>
        <v>0</v>
      </c>
      <c r="AW18" s="48" t="n">
        <f aca="false">N(AND(AW$3&lt;=$E18,AW$4&gt;=$E18))</f>
        <v>0</v>
      </c>
      <c r="AX18" s="48" t="n">
        <f aca="false">N(AND(AX$3&lt;=$E18,AX$4&gt;=$E18))</f>
        <v>0</v>
      </c>
      <c r="AY18" s="48" t="n">
        <f aca="false">N(AND(AY$3&lt;=$E18,AY$4&gt;=$E18))</f>
        <v>0</v>
      </c>
      <c r="AZ18" s="48" t="n">
        <f aca="false">N(AND(AZ$3&lt;=$E18,AZ$4&gt;=$E18))</f>
        <v>0</v>
      </c>
      <c r="BA18" s="48" t="n">
        <f aca="false">N(AND(BA$3&lt;=$E18,BA$4&gt;=$E18))</f>
        <v>0</v>
      </c>
      <c r="BB18" s="48" t="n">
        <f aca="false">N(AND(BB$3&lt;=$E18,BB$4&gt;=$E18))</f>
        <v>0</v>
      </c>
      <c r="BC18" s="48" t="n">
        <f aca="false">N(AND(BC$3&lt;=$E18,BC$4&gt;=$E18))</f>
        <v>0</v>
      </c>
      <c r="BD18" s="48" t="n">
        <f aca="false">N(AND(BD$3&lt;=$E18,BD$4&gt;=$E18))</f>
        <v>0</v>
      </c>
      <c r="BE18" s="48" t="n">
        <f aca="false">N(AND(BE$3&lt;=$E18,BE$4&gt;=$E18))</f>
        <v>0</v>
      </c>
      <c r="BF18" s="48" t="n">
        <f aca="false">N(AND(BF$3&lt;=$E18,BF$4&gt;=$E18))</f>
        <v>0</v>
      </c>
      <c r="BG18" s="48" t="n">
        <f aca="false">N(AND(BG$3&lt;=$E18,BG$4&gt;=$E18))</f>
        <v>0</v>
      </c>
      <c r="BH18" s="48" t="n">
        <f aca="false">N(AND(BH$3&lt;=$E18,BH$4&gt;=$E18))</f>
        <v>0</v>
      </c>
      <c r="BI18" s="48" t="n">
        <f aca="false">N(AND(BI$3&lt;=$E18,BI$4&gt;=$E18))</f>
        <v>0</v>
      </c>
      <c r="BJ18" s="48" t="n">
        <f aca="false">N(AND(BJ$3&lt;=$E18,BJ$4&gt;=$E18))</f>
        <v>0</v>
      </c>
      <c r="BK18" s="48" t="n">
        <f aca="false">N(AND(BK$3&lt;=$E18,BK$4&gt;=$E18))</f>
        <v>0</v>
      </c>
      <c r="BL18" s="48" t="n">
        <f aca="false">N(AND(BL$3&lt;=$E18,BL$4&gt;=$E18))</f>
        <v>0</v>
      </c>
      <c r="BM18" s="48" t="n">
        <f aca="false">N(AND(BM$3&lt;=$E18,BM$4&gt;=$E18))</f>
        <v>0</v>
      </c>
      <c r="BN18" s="48" t="n">
        <f aca="false">N(AND(BN$3&lt;=$E18,BN$4&gt;=$E18))</f>
        <v>0</v>
      </c>
      <c r="BO18" s="48" t="n">
        <f aca="false">N(AND(BO$3&lt;=$E18,BO$4&gt;=$E18))</f>
        <v>0</v>
      </c>
      <c r="BP18" s="48" t="n">
        <f aca="false">N(AND(BP$3&lt;=$E18,BP$4&gt;=$E18))</f>
        <v>0</v>
      </c>
      <c r="BQ18" s="48" t="n">
        <f aca="false">N(AND(BQ$3&lt;=$E18,BQ$4&gt;=$E18))</f>
        <v>0</v>
      </c>
      <c r="BR18" s="48" t="n">
        <f aca="false">N(AND(BR$3&lt;=$E18,BR$4&gt;=$E18))</f>
        <v>0</v>
      </c>
      <c r="BS18" s="48" t="n">
        <f aca="false">N(AND(BS$3&lt;=$E18,BS$4&gt;=$E18))</f>
        <v>0</v>
      </c>
      <c r="BT18" s="48" t="n">
        <f aca="false">N(AND(BT$3&lt;=$E18,BT$4&gt;=$E18))</f>
        <v>0</v>
      </c>
      <c r="BU18" s="48" t="n">
        <f aca="false">N(AND(BU$3&lt;=$E18,BU$4&gt;=$E18))</f>
        <v>0</v>
      </c>
      <c r="BV18" s="48" t="n">
        <f aca="false">N(AND(BV$3&lt;=$E18,BV$4&gt;=$E18))</f>
        <v>0</v>
      </c>
      <c r="BW18" s="48" t="n">
        <f aca="false">N(AND(BW$3&lt;=$E18,BW$4&gt;=$E18))</f>
        <v>0</v>
      </c>
      <c r="BX18" s="48" t="n">
        <f aca="false">N(AND(BX$3&lt;=$E18,BX$4&gt;=$E18))</f>
        <v>0</v>
      </c>
      <c r="BY18" s="48" t="n">
        <f aca="false">N(AND(BY$3&lt;=$E18,BY$4&gt;=$E18))</f>
        <v>0</v>
      </c>
      <c r="BZ18" s="48" t="n">
        <f aca="false">N(AND(BZ$3&lt;=$E18,BZ$4&gt;=$E18))</f>
        <v>0</v>
      </c>
      <c r="CA18" s="48" t="n">
        <f aca="false">N(AND(CA$3&lt;=$E18,CA$4&gt;=$E18))</f>
        <v>0</v>
      </c>
      <c r="CB18" s="48" t="n">
        <f aca="false">N(AND(CB$3&lt;=$E18,CB$4&gt;=$E18))</f>
        <v>0</v>
      </c>
      <c r="CC18" s="48" t="n">
        <f aca="false">N(AND(CC$3&lt;=$E18,CC$4&gt;=$E18))</f>
        <v>0</v>
      </c>
      <c r="CD18" s="48" t="n">
        <f aca="false">N(AND(CD$3&lt;=$E18,CD$4&gt;=$E18))</f>
        <v>0</v>
      </c>
      <c r="CE18" s="48" t="n">
        <f aca="false">N(AND(CE$3&lt;=$E18,CE$4&gt;=$E18))</f>
        <v>0</v>
      </c>
      <c r="CF18" s="48" t="n">
        <f aca="false">N(AND(CF$3&lt;=$E18,CF$4&gt;=$E18))</f>
        <v>0</v>
      </c>
      <c r="CG18" s="48" t="n">
        <f aca="false">N(AND(CG$3&lt;=$E18,CG$4&gt;=$E18))</f>
        <v>0</v>
      </c>
      <c r="CH18" s="48" t="n">
        <f aca="false">N(AND(CH$3&lt;=$E18,CH$4&gt;=$E18))</f>
        <v>0</v>
      </c>
      <c r="CI18" s="48" t="n">
        <f aca="false">N(AND(CI$3&lt;=$E18,CI$4&gt;=$E18))</f>
        <v>0</v>
      </c>
      <c r="CJ18" s="48" t="n">
        <f aca="false">N(AND(CJ$3&lt;=$E18,CJ$4&gt;=$E18))</f>
        <v>0</v>
      </c>
      <c r="CK18" s="48" t="n">
        <f aca="false">N(AND(CK$3&lt;=$E18,CK$4&gt;=$E18))</f>
        <v>0</v>
      </c>
      <c r="CL18" s="48" t="n">
        <f aca="false">N(AND(CL$3&lt;=$E18,CL$4&gt;=$E18))</f>
        <v>0</v>
      </c>
      <c r="CM18" s="48" t="n">
        <f aca="false">N(AND(CM$3&lt;=$E18,CM$4&gt;=$E18))</f>
        <v>0</v>
      </c>
      <c r="CN18" s="48" t="n">
        <f aca="false">N(AND(CN$3&lt;=$E18,CN$4&gt;=$E18))</f>
        <v>0</v>
      </c>
      <c r="CO18" s="48" t="n">
        <f aca="false">N(AND(CO$3&lt;=$E18,CO$4&gt;=$E18))</f>
        <v>0</v>
      </c>
      <c r="CP18" s="48" t="n">
        <f aca="false">N(AND(CP$3&lt;=$E18,CP$4&gt;=$E18))</f>
        <v>0</v>
      </c>
      <c r="CQ18" s="48" t="n">
        <f aca="false">N(AND(CQ$3&lt;=$E18,CQ$4&gt;=$E18))</f>
        <v>0</v>
      </c>
      <c r="CR18" s="48" t="n">
        <f aca="false">N(AND(CR$3&lt;=$E18,CR$4&gt;=$E18))</f>
        <v>0</v>
      </c>
      <c r="CS18" s="48" t="n">
        <f aca="false">N(AND(CS$3&lt;=$E18,CS$4&gt;=$E18))</f>
        <v>1</v>
      </c>
      <c r="CT18" s="48" t="n">
        <f aca="false">N(AND(CT$3&lt;=$E18,CT$4&gt;=$E18))</f>
        <v>0</v>
      </c>
      <c r="CU18" s="48" t="n">
        <f aca="false">N(AND(CU$3&lt;=$E18,CU$4&gt;=$E18))</f>
        <v>0</v>
      </c>
      <c r="CV18" s="48" t="n">
        <f aca="false">N(AND(CV$3&lt;=$E18,CV$4&gt;=$E18))</f>
        <v>0</v>
      </c>
      <c r="CW18" s="48" t="n">
        <f aca="false">N(AND(CW$3&lt;=$E18,CW$4&gt;=$E18))</f>
        <v>0</v>
      </c>
      <c r="CX18" s="48" t="n">
        <f aca="false">N(AND(CX$3&lt;=$E18,CX$4&gt;=$E18))</f>
        <v>0</v>
      </c>
      <c r="CY18" s="48" t="n">
        <f aca="false">N(AND(CY$3&lt;=$E18,CY$4&gt;=$E18))</f>
        <v>0</v>
      </c>
      <c r="CZ18" s="48" t="n">
        <f aca="false">N(AND(CZ$3&lt;=$E18,CZ$4&gt;=$E18))</f>
        <v>0</v>
      </c>
      <c r="DA18" s="48" t="n">
        <f aca="false">N(AND(DA$3&lt;=$E18,DA$4&gt;=$E18))</f>
        <v>0</v>
      </c>
      <c r="DB18" s="48" t="n">
        <f aca="false">N(AND(DB$3&lt;=$E18,DB$4&gt;=$E18))</f>
        <v>0</v>
      </c>
      <c r="DC18" s="48" t="n">
        <f aca="false">N(AND(DC$3&lt;=$E18,DC$4&gt;=$E18))</f>
        <v>0</v>
      </c>
      <c r="DD18" s="48" t="n">
        <f aca="false">N(AND(DD$3&lt;=$E18,DD$4&gt;=$E18))</f>
        <v>0</v>
      </c>
      <c r="DE18" s="48" t="n">
        <f aca="false">N(AND(DE$3&lt;=$E18,DE$4&gt;=$E18))</f>
        <v>0</v>
      </c>
      <c r="DF18" s="48" t="n">
        <f aca="false">N(AND(DF$3&lt;=$E18,DF$4&gt;=$E18))</f>
        <v>0</v>
      </c>
      <c r="DG18" s="48" t="n">
        <f aca="false">N(AND(DG$3&lt;=$E18,DG$4&gt;=$E18))</f>
        <v>0</v>
      </c>
      <c r="DH18" s="48" t="n">
        <f aca="false">N(AND(DH$3&lt;=$E18,DH$4&gt;=$E18))</f>
        <v>0</v>
      </c>
      <c r="DI18" s="48" t="n">
        <f aca="false">N(AND(DI$3&lt;=$E18,DI$4&gt;=$E18))</f>
        <v>0</v>
      </c>
      <c r="DJ18" s="48" t="n">
        <f aca="false">N(AND(DJ$3&lt;=$E18,DJ$4&gt;=$E18))</f>
        <v>0</v>
      </c>
      <c r="DK18" s="48" t="n">
        <f aca="false">N(AND(DK$3&lt;=$E18,DK$4&gt;=$E18))</f>
        <v>0</v>
      </c>
      <c r="DL18" s="48" t="n">
        <f aca="false">N(AND(DL$3&lt;=$E18,DL$4&gt;=$E18))</f>
        <v>0</v>
      </c>
      <c r="DM18" s="48" t="n">
        <f aca="false">N(AND(DM$3&lt;=$E18,DM$4&gt;=$E18))</f>
        <v>0</v>
      </c>
      <c r="DN18" s="48" t="n">
        <f aca="false">N(AND(DN$3&lt;=$E18,DN$4&gt;=$E18))</f>
        <v>0</v>
      </c>
      <c r="DO18" s="48" t="n">
        <f aca="false">N(AND(DO$3&lt;=$E18,DO$4&gt;=$E18))</f>
        <v>0</v>
      </c>
      <c r="DP18" s="48" t="n">
        <f aca="false">N(AND(DP$3&lt;=$E18,DP$4&gt;=$E18))</f>
        <v>0</v>
      </c>
      <c r="DQ18" s="48" t="n">
        <f aca="false">N(AND(DQ$3&lt;=$E18,DQ$4&gt;=$E18))</f>
        <v>0</v>
      </c>
      <c r="DR18" s="48" t="n">
        <f aca="false">N(AND(DR$3&lt;=$E18,DR$4&gt;=$E18))</f>
        <v>0</v>
      </c>
      <c r="DS18" s="48" t="n">
        <f aca="false">N(AND(DS$3&lt;=$E18,DS$4&gt;=$E18))</f>
        <v>0</v>
      </c>
      <c r="DT18" s="48" t="n">
        <f aca="false">N(AND(DT$3&lt;=$E18,DT$4&gt;=$E18))</f>
        <v>0</v>
      </c>
      <c r="DU18" s="48" t="n">
        <f aca="false">N(AND(DU$3&lt;=$E18,DU$4&gt;=$E18))</f>
        <v>0</v>
      </c>
      <c r="DV18" s="48" t="n">
        <f aca="false">N(AND(DV$3&lt;=$E18,DV$4&gt;=$E18))</f>
        <v>0</v>
      </c>
      <c r="DW18" s="48" t="n">
        <f aca="false">N(AND(DW$3&lt;=$E18,DW$4&gt;=$E18))</f>
        <v>0</v>
      </c>
      <c r="DX18" s="48" t="n">
        <f aca="false">N(AND(DX$3&lt;=$E18,DX$4&gt;=$E18))</f>
        <v>0</v>
      </c>
      <c r="DY18" s="48" t="n">
        <f aca="false">N(AND(DY$3&lt;=$E18,DY$4&gt;=$E18))</f>
        <v>0</v>
      </c>
      <c r="DZ18" s="48" t="n">
        <f aca="false">N(AND(DZ$3&lt;=$E18,DZ$4&gt;=$E18))</f>
        <v>0</v>
      </c>
      <c r="EA18" s="48" t="n">
        <f aca="false">N(AND(EA$3&lt;=$E18,EA$4&gt;=$E18))</f>
        <v>0</v>
      </c>
      <c r="EB18" s="48" t="n">
        <f aca="false">N(AND(EB$3&lt;=$E18,EB$4&gt;=$E18))</f>
        <v>0</v>
      </c>
      <c r="EC18" s="48" t="n">
        <f aca="false">N(AND(EC$3&lt;=$E18,EC$4&gt;=$E18))</f>
        <v>0</v>
      </c>
      <c r="ED18" s="48" t="n">
        <f aca="false">N(AND(ED$3&lt;=$E18,ED$4&gt;=$E18))</f>
        <v>0</v>
      </c>
      <c r="EE18" s="48" t="n">
        <f aca="false">N(AND(EE$3&lt;=$E18,EE$4&gt;=$E18))</f>
        <v>0</v>
      </c>
      <c r="EF18" s="48" t="n">
        <f aca="false">N(AND(EF$3&lt;=$E18,EF$4&gt;=$E18))</f>
        <v>0</v>
      </c>
      <c r="EG18" s="48" t="n">
        <f aca="false">N(AND(EG$3&lt;=$E18,EG$4&gt;=$E18))</f>
        <v>0</v>
      </c>
      <c r="EH18" s="48" t="n">
        <f aca="false">N(AND(EH$3&lt;=$E18,EH$4&gt;=$E18))</f>
        <v>0</v>
      </c>
      <c r="EI18" s="48" t="n">
        <f aca="false">N(AND(EI$3&lt;=$E18,EI$4&gt;=$E18))</f>
        <v>0</v>
      </c>
      <c r="EJ18" s="48" t="n">
        <f aca="false">N(AND(EJ$3&lt;=$E18,EJ$4&gt;=$E18))</f>
        <v>0</v>
      </c>
      <c r="EK18" s="48" t="n">
        <f aca="false">N(AND(EK$3&lt;=$E18,EK$4&gt;=$E18))</f>
        <v>0</v>
      </c>
      <c r="EL18" s="48" t="n">
        <f aca="false">N(AND(EL$3&lt;=$E18,EL$4&gt;=$E18))</f>
        <v>0</v>
      </c>
      <c r="EM18" s="48" t="n">
        <f aca="false">N(AND(EM$3&lt;=$E18,EM$4&gt;=$E18))</f>
        <v>0</v>
      </c>
      <c r="EN18" s="48" t="n">
        <f aca="false">N(AND(EN$3&lt;=$E18,EN$4&gt;=$E18))</f>
        <v>0</v>
      </c>
      <c r="EO18" s="48" t="n">
        <f aca="false">N(AND(EO$3&lt;=$E18,EO$4&gt;=$E18))</f>
        <v>0</v>
      </c>
    </row>
    <row r="19" customFormat="false" ht="15" hidden="false" customHeight="false" outlineLevel="0" collapsed="false">
      <c r="C19" s="0" t="s">
        <v>358</v>
      </c>
      <c r="D19" s="11" t="s">
        <v>348</v>
      </c>
      <c r="E19" s="44" t="n">
        <f aca="false">In_COD+1</f>
        <v>47757</v>
      </c>
      <c r="F19" s="44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359</v>
      </c>
      <c r="D20" s="11" t="s">
        <v>131</v>
      </c>
      <c r="J20" s="42" t="n">
        <f aca="false">ROUNDUP(YEARFRAC(In_COD,J$4),0)*(J$4&gt;In_COD)</f>
        <v>0</v>
      </c>
      <c r="K20" s="42" t="n">
        <f aca="false">ROUNDUP(YEARFRAC(In_COD,K$4),0)*(K$4&gt;In_COD)</f>
        <v>0</v>
      </c>
      <c r="L20" s="42" t="n">
        <f aca="false">ROUNDUP(YEARFRAC(In_COD,L$4),0)*(L$4&gt;In_COD)</f>
        <v>0</v>
      </c>
      <c r="M20" s="42" t="n">
        <f aca="false">ROUNDUP(YEARFRAC(In_COD,M$4),0)*(M$4&gt;In_COD)</f>
        <v>0</v>
      </c>
      <c r="N20" s="42" t="n">
        <f aca="false">ROUNDUP(YEARFRAC(In_COD,N$4),0)*(N$4&gt;In_COD)</f>
        <v>0</v>
      </c>
      <c r="O20" s="42" t="n">
        <f aca="false">ROUNDUP(YEARFRAC(In_COD,O$4),0)*(O$4&gt;In_COD)</f>
        <v>0</v>
      </c>
      <c r="P20" s="42" t="n">
        <f aca="false">ROUNDUP(YEARFRAC(In_COD,P$4),0)*(P$4&gt;In_COD)</f>
        <v>0</v>
      </c>
      <c r="Q20" s="42" t="n">
        <f aca="false">ROUNDUP(YEARFRAC(In_COD,Q$4),0)*(Q$4&gt;In_COD)</f>
        <v>0</v>
      </c>
      <c r="R20" s="42" t="n">
        <f aca="false">ROUNDUP(YEARFRAC(In_COD,R$4),0)*(R$4&gt;In_COD)</f>
        <v>0</v>
      </c>
      <c r="S20" s="42" t="n">
        <f aca="false">ROUNDUP(YEARFRAC(In_COD,S$4),0)*(S$4&gt;In_COD)</f>
        <v>0</v>
      </c>
      <c r="T20" s="42" t="n">
        <f aca="false">ROUNDUP(YEARFRAC(In_COD,T$4),0)*(T$4&gt;In_COD)</f>
        <v>0</v>
      </c>
      <c r="U20" s="42" t="n">
        <f aca="false">ROUNDUP(YEARFRAC(In_COD,U$4),0)*(U$4&gt;In_COD)</f>
        <v>0</v>
      </c>
      <c r="V20" s="42" t="n">
        <f aca="false">ROUNDUP(YEARFRAC(In_COD,V$4),0)*(V$4&gt;In_COD)</f>
        <v>0</v>
      </c>
      <c r="W20" s="42" t="n">
        <f aca="false">ROUNDUP(YEARFRAC(In_COD,W$4),0)*(W$4&gt;In_COD)</f>
        <v>0</v>
      </c>
      <c r="X20" s="42" t="n">
        <f aca="false">ROUNDUP(YEARFRAC(In_COD,X$4),0)*(X$4&gt;In_COD)</f>
        <v>0</v>
      </c>
      <c r="Y20" s="42" t="n">
        <f aca="false">ROUNDUP(YEARFRAC(In_COD,Y$4),0)*(Y$4&gt;In_COD)</f>
        <v>0</v>
      </c>
      <c r="Z20" s="42" t="n">
        <f aca="false">ROUNDUP(YEARFRAC(In_COD,Z$4),0)*(Z$4&gt;In_COD)</f>
        <v>1</v>
      </c>
      <c r="AA20" s="42" t="n">
        <f aca="false">ROUNDUP(YEARFRAC(In_COD,AA$4),0)*(AA$4&gt;In_COD)</f>
        <v>1</v>
      </c>
      <c r="AB20" s="42" t="n">
        <f aca="false">ROUNDUP(YEARFRAC(In_COD,AB$4),0)*(AB$4&gt;In_COD)</f>
        <v>1</v>
      </c>
      <c r="AC20" s="42" t="n">
        <f aca="false">ROUNDUP(YEARFRAC(In_COD,AC$4),0)*(AC$4&gt;In_COD)</f>
        <v>1</v>
      </c>
      <c r="AD20" s="42" t="n">
        <f aca="false">ROUNDUP(YEARFRAC(In_COD,AD$4),0)*(AD$4&gt;In_COD)</f>
        <v>2</v>
      </c>
      <c r="AE20" s="42" t="n">
        <f aca="false">ROUNDUP(YEARFRAC(In_COD,AE$4),0)*(AE$4&gt;In_COD)</f>
        <v>2</v>
      </c>
      <c r="AF20" s="42" t="n">
        <f aca="false">ROUNDUP(YEARFRAC(In_COD,AF$4),0)*(AF$4&gt;In_COD)</f>
        <v>2</v>
      </c>
      <c r="AG20" s="42" t="n">
        <f aca="false">ROUNDUP(YEARFRAC(In_COD,AG$4),0)*(AG$4&gt;In_COD)</f>
        <v>2</v>
      </c>
      <c r="AH20" s="42" t="n">
        <f aca="false">ROUNDUP(YEARFRAC(In_COD,AH$4),0)*(AH$4&gt;In_COD)</f>
        <v>3</v>
      </c>
      <c r="AI20" s="42" t="n">
        <f aca="false">ROUNDUP(YEARFRAC(In_COD,AI$4),0)*(AI$4&gt;In_COD)</f>
        <v>3</v>
      </c>
      <c r="AJ20" s="42" t="n">
        <f aca="false">ROUNDUP(YEARFRAC(In_COD,AJ$4),0)*(AJ$4&gt;In_COD)</f>
        <v>3</v>
      </c>
      <c r="AK20" s="42" t="n">
        <f aca="false">ROUNDUP(YEARFRAC(In_COD,AK$4),0)*(AK$4&gt;In_COD)</f>
        <v>3</v>
      </c>
      <c r="AL20" s="42" t="n">
        <f aca="false">ROUNDUP(YEARFRAC(In_COD,AL$4),0)*(AL$4&gt;In_COD)</f>
        <v>4</v>
      </c>
      <c r="AM20" s="42" t="n">
        <f aca="false">ROUNDUP(YEARFRAC(In_COD,AM$4),0)*(AM$4&gt;In_COD)</f>
        <v>4</v>
      </c>
      <c r="AN20" s="42" t="n">
        <f aca="false">ROUNDUP(YEARFRAC(In_COD,AN$4),0)*(AN$4&gt;In_COD)</f>
        <v>4</v>
      </c>
      <c r="AO20" s="42" t="n">
        <f aca="false">ROUNDUP(YEARFRAC(In_COD,AO$4),0)*(AO$4&gt;In_COD)</f>
        <v>4</v>
      </c>
      <c r="AP20" s="42" t="n">
        <f aca="false">ROUNDUP(YEARFRAC(In_COD,AP$4),0)*(AP$4&gt;In_COD)</f>
        <v>5</v>
      </c>
      <c r="AQ20" s="42" t="n">
        <f aca="false">ROUNDUP(YEARFRAC(In_COD,AQ$4),0)*(AQ$4&gt;In_COD)</f>
        <v>5</v>
      </c>
      <c r="AR20" s="42" t="n">
        <f aca="false">ROUNDUP(YEARFRAC(In_COD,AR$4),0)*(AR$4&gt;In_COD)</f>
        <v>5</v>
      </c>
      <c r="AS20" s="42" t="n">
        <f aca="false">ROUNDUP(YEARFRAC(In_COD,AS$4),0)*(AS$4&gt;In_COD)</f>
        <v>5</v>
      </c>
      <c r="AT20" s="42" t="n">
        <f aca="false">ROUNDUP(YEARFRAC(In_COD,AT$4),0)*(AT$4&gt;In_COD)</f>
        <v>6</v>
      </c>
      <c r="AU20" s="42" t="n">
        <f aca="false">ROUNDUP(YEARFRAC(In_COD,AU$4),0)*(AU$4&gt;In_COD)</f>
        <v>6</v>
      </c>
      <c r="AV20" s="42" t="n">
        <f aca="false">ROUNDUP(YEARFRAC(In_COD,AV$4),0)*(AV$4&gt;In_COD)</f>
        <v>6</v>
      </c>
      <c r="AW20" s="42" t="n">
        <f aca="false">ROUNDUP(YEARFRAC(In_COD,AW$4),0)*(AW$4&gt;In_COD)</f>
        <v>6</v>
      </c>
      <c r="AX20" s="42" t="n">
        <f aca="false">ROUNDUP(YEARFRAC(In_COD,AX$4),0)*(AX$4&gt;In_COD)</f>
        <v>7</v>
      </c>
      <c r="AY20" s="42" t="n">
        <f aca="false">ROUNDUP(YEARFRAC(In_COD,AY$4),0)*(AY$4&gt;In_COD)</f>
        <v>7</v>
      </c>
      <c r="AZ20" s="42" t="n">
        <f aca="false">ROUNDUP(YEARFRAC(In_COD,AZ$4),0)*(AZ$4&gt;In_COD)</f>
        <v>7</v>
      </c>
      <c r="BA20" s="42" t="n">
        <f aca="false">ROUNDUP(YEARFRAC(In_COD,BA$4),0)*(BA$4&gt;In_COD)</f>
        <v>7</v>
      </c>
      <c r="BB20" s="42" t="n">
        <f aca="false">ROUNDUP(YEARFRAC(In_COD,BB$4),0)*(BB$4&gt;In_COD)</f>
        <v>8</v>
      </c>
      <c r="BC20" s="42" t="n">
        <f aca="false">ROUNDUP(YEARFRAC(In_COD,BC$4),0)*(BC$4&gt;In_COD)</f>
        <v>8</v>
      </c>
      <c r="BD20" s="42" t="n">
        <f aca="false">ROUNDUP(YEARFRAC(In_COD,BD$4),0)*(BD$4&gt;In_COD)</f>
        <v>8</v>
      </c>
      <c r="BE20" s="42" t="n">
        <f aca="false">ROUNDUP(YEARFRAC(In_COD,BE$4),0)*(BE$4&gt;In_COD)</f>
        <v>8</v>
      </c>
      <c r="BF20" s="42" t="n">
        <f aca="false">ROUNDUP(YEARFRAC(In_COD,BF$4),0)*(BF$4&gt;In_COD)</f>
        <v>9</v>
      </c>
      <c r="BG20" s="42" t="n">
        <f aca="false">ROUNDUP(YEARFRAC(In_COD,BG$4),0)*(BG$4&gt;In_COD)</f>
        <v>9</v>
      </c>
      <c r="BH20" s="42" t="n">
        <f aca="false">ROUNDUP(YEARFRAC(In_COD,BH$4),0)*(BH$4&gt;In_COD)</f>
        <v>9</v>
      </c>
      <c r="BI20" s="42" t="n">
        <f aca="false">ROUNDUP(YEARFRAC(In_COD,BI$4),0)*(BI$4&gt;In_COD)</f>
        <v>9</v>
      </c>
      <c r="BJ20" s="42" t="n">
        <f aca="false">ROUNDUP(YEARFRAC(In_COD,BJ$4),0)*(BJ$4&gt;In_COD)</f>
        <v>10</v>
      </c>
      <c r="BK20" s="42" t="n">
        <f aca="false">ROUNDUP(YEARFRAC(In_COD,BK$4),0)*(BK$4&gt;In_COD)</f>
        <v>10</v>
      </c>
      <c r="BL20" s="42" t="n">
        <f aca="false">ROUNDUP(YEARFRAC(In_COD,BL$4),0)*(BL$4&gt;In_COD)</f>
        <v>10</v>
      </c>
      <c r="BM20" s="42" t="n">
        <f aca="false">ROUNDUP(YEARFRAC(In_COD,BM$4),0)*(BM$4&gt;In_COD)</f>
        <v>10</v>
      </c>
      <c r="BN20" s="42" t="n">
        <f aca="false">ROUNDUP(YEARFRAC(In_COD,BN$4),0)*(BN$4&gt;In_COD)</f>
        <v>11</v>
      </c>
      <c r="BO20" s="42" t="n">
        <f aca="false">ROUNDUP(YEARFRAC(In_COD,BO$4),0)*(BO$4&gt;In_COD)</f>
        <v>11</v>
      </c>
      <c r="BP20" s="42" t="n">
        <f aca="false">ROUNDUP(YEARFRAC(In_COD,BP$4),0)*(BP$4&gt;In_COD)</f>
        <v>11</v>
      </c>
      <c r="BQ20" s="42" t="n">
        <f aca="false">ROUNDUP(YEARFRAC(In_COD,BQ$4),0)*(BQ$4&gt;In_COD)</f>
        <v>11</v>
      </c>
      <c r="BR20" s="42" t="n">
        <f aca="false">ROUNDUP(YEARFRAC(In_COD,BR$4),0)*(BR$4&gt;In_COD)</f>
        <v>12</v>
      </c>
      <c r="BS20" s="42" t="n">
        <f aca="false">ROUNDUP(YEARFRAC(In_COD,BS$4),0)*(BS$4&gt;In_COD)</f>
        <v>12</v>
      </c>
      <c r="BT20" s="42" t="n">
        <f aca="false">ROUNDUP(YEARFRAC(In_COD,BT$4),0)*(BT$4&gt;In_COD)</f>
        <v>12</v>
      </c>
      <c r="BU20" s="42" t="n">
        <f aca="false">ROUNDUP(YEARFRAC(In_COD,BU$4),0)*(BU$4&gt;In_COD)</f>
        <v>12</v>
      </c>
      <c r="BV20" s="42" t="n">
        <f aca="false">ROUNDUP(YEARFRAC(In_COD,BV$4),0)*(BV$4&gt;In_COD)</f>
        <v>13</v>
      </c>
      <c r="BW20" s="42" t="n">
        <f aca="false">ROUNDUP(YEARFRAC(In_COD,BW$4),0)*(BW$4&gt;In_COD)</f>
        <v>13</v>
      </c>
      <c r="BX20" s="42" t="n">
        <f aca="false">ROUNDUP(YEARFRAC(In_COD,BX$4),0)*(BX$4&gt;In_COD)</f>
        <v>13</v>
      </c>
      <c r="BY20" s="42" t="n">
        <f aca="false">ROUNDUP(YEARFRAC(In_COD,BY$4),0)*(BY$4&gt;In_COD)</f>
        <v>13</v>
      </c>
      <c r="BZ20" s="42" t="n">
        <f aca="false">ROUNDUP(YEARFRAC(In_COD,BZ$4),0)*(BZ$4&gt;In_COD)</f>
        <v>14</v>
      </c>
      <c r="CA20" s="42" t="n">
        <f aca="false">ROUNDUP(YEARFRAC(In_COD,CA$4),0)*(CA$4&gt;In_COD)</f>
        <v>14</v>
      </c>
      <c r="CB20" s="42" t="n">
        <f aca="false">ROUNDUP(YEARFRAC(In_COD,CB$4),0)*(CB$4&gt;In_COD)</f>
        <v>14</v>
      </c>
      <c r="CC20" s="42" t="n">
        <f aca="false">ROUNDUP(YEARFRAC(In_COD,CC$4),0)*(CC$4&gt;In_COD)</f>
        <v>14</v>
      </c>
      <c r="CD20" s="42" t="n">
        <f aca="false">ROUNDUP(YEARFRAC(In_COD,CD$4),0)*(CD$4&gt;In_COD)</f>
        <v>15</v>
      </c>
      <c r="CE20" s="42" t="n">
        <f aca="false">ROUNDUP(YEARFRAC(In_COD,CE$4),0)*(CE$4&gt;In_COD)</f>
        <v>15</v>
      </c>
      <c r="CF20" s="42" t="n">
        <f aca="false">ROUNDUP(YEARFRAC(In_COD,CF$4),0)*(CF$4&gt;In_COD)</f>
        <v>15</v>
      </c>
      <c r="CG20" s="42" t="n">
        <f aca="false">ROUNDUP(YEARFRAC(In_COD,CG$4),0)*(CG$4&gt;In_COD)</f>
        <v>15</v>
      </c>
      <c r="CH20" s="42" t="n">
        <f aca="false">ROUNDUP(YEARFRAC(In_COD,CH$4),0)*(CH$4&gt;In_COD)</f>
        <v>16</v>
      </c>
      <c r="CI20" s="42" t="n">
        <f aca="false">ROUNDUP(YEARFRAC(In_COD,CI$4),0)*(CI$4&gt;In_COD)</f>
        <v>16</v>
      </c>
      <c r="CJ20" s="42" t="n">
        <f aca="false">ROUNDUP(YEARFRAC(In_COD,CJ$4),0)*(CJ$4&gt;In_COD)</f>
        <v>16</v>
      </c>
      <c r="CK20" s="42" t="n">
        <f aca="false">ROUNDUP(YEARFRAC(In_COD,CK$4),0)*(CK$4&gt;In_COD)</f>
        <v>16</v>
      </c>
      <c r="CL20" s="42" t="n">
        <f aca="false">ROUNDUP(YEARFRAC(In_COD,CL$4),0)*(CL$4&gt;In_COD)</f>
        <v>17</v>
      </c>
      <c r="CM20" s="42" t="n">
        <f aca="false">ROUNDUP(YEARFRAC(In_COD,CM$4),0)*(CM$4&gt;In_COD)</f>
        <v>17</v>
      </c>
      <c r="CN20" s="42" t="n">
        <f aca="false">ROUNDUP(YEARFRAC(In_COD,CN$4),0)*(CN$4&gt;In_COD)</f>
        <v>17</v>
      </c>
      <c r="CO20" s="42" t="n">
        <f aca="false">ROUNDUP(YEARFRAC(In_COD,CO$4),0)*(CO$4&gt;In_COD)</f>
        <v>17</v>
      </c>
      <c r="CP20" s="42" t="n">
        <f aca="false">ROUNDUP(YEARFRAC(In_COD,CP$4),0)*(CP$4&gt;In_COD)</f>
        <v>18</v>
      </c>
      <c r="CQ20" s="42" t="n">
        <f aca="false">ROUNDUP(YEARFRAC(In_COD,CQ$4),0)*(CQ$4&gt;In_COD)</f>
        <v>18</v>
      </c>
      <c r="CR20" s="42" t="n">
        <f aca="false">ROUNDUP(YEARFRAC(In_COD,CR$4),0)*(CR$4&gt;In_COD)</f>
        <v>18</v>
      </c>
      <c r="CS20" s="42" t="n">
        <f aca="false">ROUNDUP(YEARFRAC(In_COD,CS$4),0)*(CS$4&gt;In_COD)</f>
        <v>18</v>
      </c>
      <c r="CT20" s="42" t="n">
        <f aca="false">ROUNDUP(YEARFRAC(In_COD,CT$4),0)*(CT$4&gt;In_COD)</f>
        <v>19</v>
      </c>
      <c r="CU20" s="42" t="n">
        <f aca="false">ROUNDUP(YEARFRAC(In_COD,CU$4),0)*(CU$4&gt;In_COD)</f>
        <v>19</v>
      </c>
      <c r="CV20" s="42" t="n">
        <f aca="false">ROUNDUP(YEARFRAC(In_COD,CV$4),0)*(CV$4&gt;In_COD)</f>
        <v>19</v>
      </c>
      <c r="CW20" s="42" t="n">
        <f aca="false">ROUNDUP(YEARFRAC(In_COD,CW$4),0)*(CW$4&gt;In_COD)</f>
        <v>19</v>
      </c>
      <c r="CX20" s="42" t="n">
        <f aca="false">ROUNDUP(YEARFRAC(In_COD,CX$4),0)*(CX$4&gt;In_COD)</f>
        <v>20</v>
      </c>
      <c r="CY20" s="42" t="n">
        <f aca="false">ROUNDUP(YEARFRAC(In_COD,CY$4),0)*(CY$4&gt;In_COD)</f>
        <v>20</v>
      </c>
      <c r="CZ20" s="42" t="n">
        <f aca="false">ROUNDUP(YEARFRAC(In_COD,CZ$4),0)*(CZ$4&gt;In_COD)</f>
        <v>20</v>
      </c>
      <c r="DA20" s="42" t="n">
        <f aca="false">ROUNDUP(YEARFRAC(In_COD,DA$4),0)*(DA$4&gt;In_COD)</f>
        <v>20</v>
      </c>
      <c r="DB20" s="42" t="n">
        <f aca="false">ROUNDUP(YEARFRAC(In_COD,DB$4),0)*(DB$4&gt;In_COD)</f>
        <v>21</v>
      </c>
      <c r="DC20" s="42" t="n">
        <f aca="false">ROUNDUP(YEARFRAC(In_COD,DC$4),0)*(DC$4&gt;In_COD)</f>
        <v>21</v>
      </c>
      <c r="DD20" s="42" t="n">
        <f aca="false">ROUNDUP(YEARFRAC(In_COD,DD$4),0)*(DD$4&gt;In_COD)</f>
        <v>21</v>
      </c>
      <c r="DE20" s="42" t="n">
        <f aca="false">ROUNDUP(YEARFRAC(In_COD,DE$4),0)*(DE$4&gt;In_COD)</f>
        <v>21</v>
      </c>
      <c r="DF20" s="42" t="n">
        <f aca="false">ROUNDUP(YEARFRAC(In_COD,DF$4),0)*(DF$4&gt;In_COD)</f>
        <v>22</v>
      </c>
      <c r="DG20" s="42" t="n">
        <f aca="false">ROUNDUP(YEARFRAC(In_COD,DG$4),0)*(DG$4&gt;In_COD)</f>
        <v>22</v>
      </c>
      <c r="DH20" s="42" t="n">
        <f aca="false">ROUNDUP(YEARFRAC(In_COD,DH$4),0)*(DH$4&gt;In_COD)</f>
        <v>22</v>
      </c>
      <c r="DI20" s="42" t="n">
        <f aca="false">ROUNDUP(YEARFRAC(In_COD,DI$4),0)*(DI$4&gt;In_COD)</f>
        <v>22</v>
      </c>
      <c r="DJ20" s="42" t="n">
        <f aca="false">ROUNDUP(YEARFRAC(In_COD,DJ$4),0)*(DJ$4&gt;In_COD)</f>
        <v>23</v>
      </c>
      <c r="DK20" s="42" t="n">
        <f aca="false">ROUNDUP(YEARFRAC(In_COD,DK$4),0)*(DK$4&gt;In_COD)</f>
        <v>23</v>
      </c>
      <c r="DL20" s="42" t="n">
        <f aca="false">ROUNDUP(YEARFRAC(In_COD,DL$4),0)*(DL$4&gt;In_COD)</f>
        <v>23</v>
      </c>
      <c r="DM20" s="42" t="n">
        <f aca="false">ROUNDUP(YEARFRAC(In_COD,DM$4),0)*(DM$4&gt;In_COD)</f>
        <v>23</v>
      </c>
      <c r="DN20" s="42" t="n">
        <f aca="false">ROUNDUP(YEARFRAC(In_COD,DN$4),0)*(DN$4&gt;In_COD)</f>
        <v>24</v>
      </c>
      <c r="DO20" s="42" t="n">
        <f aca="false">ROUNDUP(YEARFRAC(In_COD,DO$4),0)*(DO$4&gt;In_COD)</f>
        <v>24</v>
      </c>
      <c r="DP20" s="42" t="n">
        <f aca="false">ROUNDUP(YEARFRAC(In_COD,DP$4),0)*(DP$4&gt;In_COD)</f>
        <v>24</v>
      </c>
      <c r="DQ20" s="42" t="n">
        <f aca="false">ROUNDUP(YEARFRAC(In_COD,DQ$4),0)*(DQ$4&gt;In_COD)</f>
        <v>24</v>
      </c>
      <c r="DR20" s="42" t="n">
        <f aca="false">ROUNDUP(YEARFRAC(In_COD,DR$4),0)*(DR$4&gt;In_COD)</f>
        <v>25</v>
      </c>
      <c r="DS20" s="42" t="n">
        <f aca="false">ROUNDUP(YEARFRAC(In_COD,DS$4),0)*(DS$4&gt;In_COD)</f>
        <v>25</v>
      </c>
      <c r="DT20" s="42" t="n">
        <f aca="false">ROUNDUP(YEARFRAC(In_COD,DT$4),0)*(DT$4&gt;In_COD)</f>
        <v>25</v>
      </c>
      <c r="DU20" s="42" t="n">
        <f aca="false">ROUNDUP(YEARFRAC(In_COD,DU$4),0)*(DU$4&gt;In_COD)</f>
        <v>25</v>
      </c>
      <c r="DV20" s="42" t="n">
        <f aca="false">ROUNDUP(YEARFRAC(In_COD,DV$4),0)*(DV$4&gt;In_COD)</f>
        <v>26</v>
      </c>
      <c r="DW20" s="42" t="n">
        <f aca="false">ROUNDUP(YEARFRAC(In_COD,DW$4),0)*(DW$4&gt;In_COD)</f>
        <v>26</v>
      </c>
      <c r="DX20" s="42" t="n">
        <f aca="false">ROUNDUP(YEARFRAC(In_COD,DX$4),0)*(DX$4&gt;In_COD)</f>
        <v>26</v>
      </c>
      <c r="DY20" s="42" t="n">
        <f aca="false">ROUNDUP(YEARFRAC(In_COD,DY$4),0)*(DY$4&gt;In_COD)</f>
        <v>26</v>
      </c>
      <c r="DZ20" s="42" t="n">
        <f aca="false">ROUNDUP(YEARFRAC(In_COD,DZ$4),0)*(DZ$4&gt;In_COD)</f>
        <v>27</v>
      </c>
      <c r="EA20" s="42" t="n">
        <f aca="false">ROUNDUP(YEARFRAC(In_COD,EA$4),0)*(EA$4&gt;In_COD)</f>
        <v>27</v>
      </c>
      <c r="EB20" s="42" t="n">
        <f aca="false">ROUNDUP(YEARFRAC(In_COD,EB$4),0)*(EB$4&gt;In_COD)</f>
        <v>27</v>
      </c>
      <c r="EC20" s="42" t="n">
        <f aca="false">ROUNDUP(YEARFRAC(In_COD,EC$4),0)*(EC$4&gt;In_COD)</f>
        <v>27</v>
      </c>
      <c r="ED20" s="42" t="n">
        <f aca="false">ROUNDUP(YEARFRAC(In_COD,ED$4),0)*(ED$4&gt;In_COD)</f>
        <v>28</v>
      </c>
      <c r="EE20" s="42" t="n">
        <f aca="false">ROUNDUP(YEARFRAC(In_COD,EE$4),0)*(EE$4&gt;In_COD)</f>
        <v>28</v>
      </c>
      <c r="EF20" s="42" t="n">
        <f aca="false">ROUNDUP(YEARFRAC(In_COD,EF$4),0)*(EF$4&gt;In_COD)</f>
        <v>28</v>
      </c>
      <c r="EG20" s="42" t="n">
        <f aca="false">ROUNDUP(YEARFRAC(In_COD,EG$4),0)*(EG$4&gt;In_COD)</f>
        <v>28</v>
      </c>
      <c r="EH20" s="42" t="n">
        <f aca="false">ROUNDUP(YEARFRAC(In_COD,EH$4),0)*(EH$4&gt;In_COD)</f>
        <v>29</v>
      </c>
      <c r="EI20" s="42" t="n">
        <f aca="false">ROUNDUP(YEARFRAC(In_COD,EI$4),0)*(EI$4&gt;In_COD)</f>
        <v>29</v>
      </c>
      <c r="EJ20" s="42" t="n">
        <f aca="false">ROUNDUP(YEARFRAC(In_COD,EJ$4),0)*(EJ$4&gt;In_COD)</f>
        <v>29</v>
      </c>
      <c r="EK20" s="42" t="n">
        <f aca="false">ROUNDUP(YEARFRAC(In_COD,EK$4),0)*(EK$4&gt;In_COD)</f>
        <v>29</v>
      </c>
      <c r="EL20" s="42" t="n">
        <f aca="false">ROUNDUP(YEARFRAC(In_COD,EL$4),0)*(EL$4&gt;In_COD)</f>
        <v>30</v>
      </c>
      <c r="EM20" s="42" t="n">
        <f aca="false">ROUNDUP(YEARFRAC(In_COD,EM$4),0)*(EM$4&gt;In_COD)</f>
        <v>30</v>
      </c>
      <c r="EN20" s="42" t="n">
        <f aca="false">ROUNDUP(YEARFRAC(In_COD,EN$4),0)*(EN$4&gt;In_COD)</f>
        <v>30</v>
      </c>
      <c r="EO20" s="42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360</v>
      </c>
      <c r="D21" s="11" t="s">
        <v>348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361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362</v>
      </c>
      <c r="D24" s="11" t="s">
        <v>55</v>
      </c>
      <c r="E24" s="35" t="n">
        <f aca="false">In_MVA*(1+INDEX(Dash_Overbuild,1,$A$1))</f>
        <v>60</v>
      </c>
      <c r="F24" s="35" t="n">
        <f aca="false">In_MVA*(1+In_Overbuild_Built)</f>
        <v>55</v>
      </c>
    </row>
    <row r="25" customFormat="false" ht="15" hidden="false" customHeight="false" outlineLevel="0" collapsed="false">
      <c r="C25" s="0" t="s">
        <v>363</v>
      </c>
      <c r="D25" s="11" t="s">
        <v>27</v>
      </c>
      <c r="E25" s="55" t="n">
        <f aca="false">($F24-In_MVA)/$F24*In_Bottleneck_Loss</f>
        <v>0.00454545454545455</v>
      </c>
    </row>
    <row r="26" customFormat="false" ht="15" hidden="false" customHeight="false" outlineLevel="0" collapsed="false">
      <c r="C26" s="0" t="s">
        <v>59</v>
      </c>
      <c r="D26" s="11" t="s">
        <v>27</v>
      </c>
      <c r="E26" s="47" t="n">
        <f aca="false">MAX(0,1-$F24/$E24)</f>
        <v>0.0833333333333333</v>
      </c>
    </row>
    <row r="28" customFormat="false" ht="15" hidden="false" customHeight="false" outlineLevel="0" collapsed="false">
      <c r="A28" s="9" t="s">
        <v>13</v>
      </c>
      <c r="B28" s="9"/>
      <c r="C28" s="9" t="s">
        <v>364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</row>
    <row r="29" customFormat="false" ht="15" hidden="false" customHeight="false" outlineLevel="0" collapsed="false">
      <c r="C29" s="0" t="s">
        <v>365</v>
      </c>
      <c r="D29" s="11" t="s">
        <v>19</v>
      </c>
      <c r="E29" s="31" t="n">
        <f aca="false">INDEX(Dash_Municipal,1,$A$1)</f>
        <v>35</v>
      </c>
      <c r="F29" s="31" t="n">
        <f aca="false">INDEX(Osz1_Pts,1+SUMPRODUCT((Osz1_LB&lt;$E29)+(Osz1_LB=$E29)*Osz1_Incl))*Osz1_W</f>
        <v>11</v>
      </c>
    </row>
    <row r="30" customFormat="false" ht="15" hidden="false" customHeight="false" outlineLevel="0" collapsed="false">
      <c r="C30" s="0" t="s">
        <v>366</v>
      </c>
      <c r="D30" s="11" t="s">
        <v>24</v>
      </c>
      <c r="E30" s="31" t="n">
        <f aca="false">INDEX(Dash_Community,1,$A$1)</f>
        <v>2.5</v>
      </c>
      <c r="F30" s="31" t="n">
        <f aca="false">INDEX(Osz2_Pts,1+SUMPRODUCT((Osz2_LB&lt;$E30)+(Osz2_LB=$E30)*Osz2_Incl))*Osz2_W</f>
        <v>6</v>
      </c>
    </row>
    <row r="31" customFormat="false" ht="15" hidden="false" customHeight="false" outlineLevel="0" collapsed="false">
      <c r="C31" s="0" t="s">
        <v>367</v>
      </c>
      <c r="D31" s="11" t="s">
        <v>27</v>
      </c>
      <c r="E31" s="47" t="n">
        <f aca="false">INDEX(Dash_Overbuild,1,$A$1)</f>
        <v>0.2</v>
      </c>
      <c r="F31" s="31" t="n">
        <f aca="false">INDEX(Osz3_Pts,1+SUMPRODUCT((Osz3_LB&lt;$E31)+(Osz3_LB=$E31)*Osz3_Incl))*Osz3_W</f>
        <v>5</v>
      </c>
    </row>
    <row r="32" customFormat="false" ht="15" hidden="false" customHeight="false" outlineLevel="0" collapsed="false">
      <c r="C32" s="0" t="s">
        <v>368</v>
      </c>
      <c r="D32" s="11" t="s">
        <v>35</v>
      </c>
      <c r="E32" s="48" t="n">
        <f aca="false">INDEX(Dash_Partial,1,$A$1)</f>
        <v>0</v>
      </c>
      <c r="F32" s="31" t="n">
        <f aca="false">$E32*Osz5_Pts*Osz5_W</f>
        <v>0</v>
      </c>
    </row>
    <row r="33" customFormat="false" ht="15" hidden="false" customHeight="false" outlineLevel="0" collapsed="false">
      <c r="C33" s="0" t="s">
        <v>369</v>
      </c>
      <c r="D33" s="11" t="s">
        <v>13</v>
      </c>
      <c r="E33" s="52" t="n">
        <f aca="false">INDEX(Dash_PB_Mult,1,$A$1)</f>
        <v>1</v>
      </c>
      <c r="F33" s="31" t="n">
        <f aca="false">INDEX(Osz6_Pts,1+SUMPRODUCT((Osz6_LB&lt;$E33)+(Osz6_LB=$E33)*Osz6_Incl))*Osz6_W</f>
        <v>0</v>
      </c>
    </row>
    <row r="34" customFormat="false" ht="15" hidden="false" customHeight="false" outlineLevel="0" collapsed="false">
      <c r="C34" s="0" t="s">
        <v>370</v>
      </c>
      <c r="D34" s="11" t="s">
        <v>35</v>
      </c>
      <c r="E34" s="48" t="n">
        <f aca="false">INDEX(Dash_Shared,1,$A$1)</f>
        <v>0</v>
      </c>
      <c r="F34" s="31" t="n">
        <f aca="false">$E34*Osz8_Pts*Osz8_W</f>
        <v>0</v>
      </c>
    </row>
    <row r="35" customFormat="false" ht="15" hidden="false" customHeight="false" outlineLevel="0" collapsed="false">
      <c r="C35" s="0" t="s">
        <v>371</v>
      </c>
      <c r="D35" s="11" t="s">
        <v>35</v>
      </c>
      <c r="E35" s="48" t="n">
        <f aca="false">INDEX(Dash_EU_Turbine,1,$A$1)</f>
        <v>0</v>
      </c>
      <c r="F35" s="31" t="n">
        <f aca="false">$E35*Osz9a_Pts*Osz9_W</f>
        <v>0</v>
      </c>
    </row>
    <row r="36" customFormat="false" ht="15" hidden="false" customHeight="false" outlineLevel="0" collapsed="false">
      <c r="C36" s="0" t="s">
        <v>372</v>
      </c>
      <c r="D36" s="11" t="s">
        <v>35</v>
      </c>
      <c r="E36" s="48" t="n">
        <f aca="false">INDEX(Dash_EU_Transformer,1,$A$1)</f>
        <v>0</v>
      </c>
      <c r="F36" s="31" t="n">
        <f aca="false">$E36*Osz9b_Pts*Osz9_W</f>
        <v>0</v>
      </c>
    </row>
    <row r="37" customFormat="false" ht="15" hidden="false" customHeight="false" outlineLevel="0" collapsed="false">
      <c r="C37" s="24" t="s">
        <v>45</v>
      </c>
      <c r="D37" s="11" t="s">
        <v>46</v>
      </c>
      <c r="E37" s="25" t="n">
        <f aca="false">ROUND(SUM($F29:$F36),Points_Decimals)</f>
        <v>22</v>
      </c>
    </row>
    <row r="38" customFormat="false" ht="15" hidden="false" customHeight="false" outlineLevel="0" collapsed="false">
      <c r="C38" s="0" t="s">
        <v>373</v>
      </c>
      <c r="D38" s="11" t="s">
        <v>131</v>
      </c>
      <c r="E38" s="42" t="n">
        <f aca="false">($E29&lt;&gt;0)*($E29&lt;Osz1_Min)+($E29&gt;Osz1_Max)+($E30&lt;&gt;0)*($E30&lt;Osz2_Min)+($E30&gt;Osz2_Max)</f>
        <v>0</v>
      </c>
      <c r="F38" s="42" t="n">
        <f aca="false">N($E33&lt;1)</f>
        <v>0</v>
      </c>
    </row>
    <row r="40" customFormat="false" ht="15" hidden="false" customHeight="false" outlineLevel="0" collapsed="false">
      <c r="A40" s="9" t="s">
        <v>13</v>
      </c>
      <c r="B40" s="9"/>
      <c r="C40" s="9" t="s">
        <v>374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</row>
    <row r="41" customFormat="false" ht="15" hidden="false" customHeight="false" outlineLevel="0" collapsed="false">
      <c r="C41" s="0" t="s">
        <v>32</v>
      </c>
      <c r="D41" s="11" t="s">
        <v>33</v>
      </c>
      <c r="E41" s="19" t="n">
        <f aca="false">In_Purchase_Price</f>
        <v>4500</v>
      </c>
      <c r="F41" s="21" t="n">
        <f aca="false">In_Closing</f>
        <v>46387</v>
      </c>
      <c r="I41" s="46" t="n">
        <f aca="false">SUM(J41:EO41)</f>
        <v>-4500</v>
      </c>
      <c r="J41" s="46" t="n">
        <f aca="false">-$E41*N(AND(J$3&lt;=$F41,J$4&gt;=$F41))</f>
        <v>-4500</v>
      </c>
      <c r="K41" s="46" t="n">
        <f aca="false">-$E41*N(AND(K$3&lt;=$F41,K$4&gt;=$F41))</f>
        <v>-0</v>
      </c>
      <c r="L41" s="46" t="n">
        <f aca="false">-$E41*N(AND(L$3&lt;=$F41,L$4&gt;=$F41))</f>
        <v>-0</v>
      </c>
      <c r="M41" s="46" t="n">
        <f aca="false">-$E41*N(AND(M$3&lt;=$F41,M$4&gt;=$F41))</f>
        <v>-0</v>
      </c>
      <c r="N41" s="46" t="n">
        <f aca="false">-$E41*N(AND(N$3&lt;=$F41,N$4&gt;=$F41))</f>
        <v>-0</v>
      </c>
      <c r="O41" s="46" t="n">
        <f aca="false">-$E41*N(AND(O$3&lt;=$F41,O$4&gt;=$F41))</f>
        <v>-0</v>
      </c>
      <c r="P41" s="46" t="n">
        <f aca="false">-$E41*N(AND(P$3&lt;=$F41,P$4&gt;=$F41))</f>
        <v>-0</v>
      </c>
      <c r="Q41" s="46" t="n">
        <f aca="false">-$E41*N(AND(Q$3&lt;=$F41,Q$4&gt;=$F41))</f>
        <v>-0</v>
      </c>
      <c r="R41" s="46" t="n">
        <f aca="false">-$E41*N(AND(R$3&lt;=$F41,R$4&gt;=$F41))</f>
        <v>-0</v>
      </c>
      <c r="S41" s="46" t="n">
        <f aca="false">-$E41*N(AND(S$3&lt;=$F41,S$4&gt;=$F41))</f>
        <v>-0</v>
      </c>
      <c r="T41" s="46" t="n">
        <f aca="false">-$E41*N(AND(T$3&lt;=$F41,T$4&gt;=$F41))</f>
        <v>-0</v>
      </c>
      <c r="U41" s="46" t="n">
        <f aca="false">-$E41*N(AND(U$3&lt;=$F41,U$4&gt;=$F41))</f>
        <v>-0</v>
      </c>
      <c r="V41" s="46" t="n">
        <f aca="false">-$E41*N(AND(V$3&lt;=$F41,V$4&gt;=$F41))</f>
        <v>-0</v>
      </c>
      <c r="W41" s="46" t="n">
        <f aca="false">-$E41*N(AND(W$3&lt;=$F41,W$4&gt;=$F41))</f>
        <v>-0</v>
      </c>
      <c r="X41" s="46" t="n">
        <f aca="false">-$E41*N(AND(X$3&lt;=$F41,X$4&gt;=$F41))</f>
        <v>-0</v>
      </c>
      <c r="Y41" s="46" t="n">
        <f aca="false">-$E41*N(AND(Y$3&lt;=$F41,Y$4&gt;=$F41))</f>
        <v>-0</v>
      </c>
      <c r="Z41" s="46" t="n">
        <f aca="false">-$E41*N(AND(Z$3&lt;=$F41,Z$4&gt;=$F41))</f>
        <v>-0</v>
      </c>
      <c r="AA41" s="46" t="n">
        <f aca="false">-$E41*N(AND(AA$3&lt;=$F41,AA$4&gt;=$F41))</f>
        <v>-0</v>
      </c>
      <c r="AB41" s="46" t="n">
        <f aca="false">-$E41*N(AND(AB$3&lt;=$F41,AB$4&gt;=$F41))</f>
        <v>-0</v>
      </c>
      <c r="AC41" s="46" t="n">
        <f aca="false">-$E41*N(AND(AC$3&lt;=$F41,AC$4&gt;=$F41))</f>
        <v>-0</v>
      </c>
      <c r="AD41" s="46" t="n">
        <f aca="false">-$E41*N(AND(AD$3&lt;=$F41,AD$4&gt;=$F41))</f>
        <v>-0</v>
      </c>
      <c r="AE41" s="46" t="n">
        <f aca="false">-$E41*N(AND(AE$3&lt;=$F41,AE$4&gt;=$F41))</f>
        <v>-0</v>
      </c>
      <c r="AF41" s="46" t="n">
        <f aca="false">-$E41*N(AND(AF$3&lt;=$F41,AF$4&gt;=$F41))</f>
        <v>-0</v>
      </c>
      <c r="AG41" s="46" t="n">
        <f aca="false">-$E41*N(AND(AG$3&lt;=$F41,AG$4&gt;=$F41))</f>
        <v>-0</v>
      </c>
      <c r="AH41" s="46" t="n">
        <f aca="false">-$E41*N(AND(AH$3&lt;=$F41,AH$4&gt;=$F41))</f>
        <v>-0</v>
      </c>
      <c r="AI41" s="46" t="n">
        <f aca="false">-$E41*N(AND(AI$3&lt;=$F41,AI$4&gt;=$F41))</f>
        <v>-0</v>
      </c>
      <c r="AJ41" s="46" t="n">
        <f aca="false">-$E41*N(AND(AJ$3&lt;=$F41,AJ$4&gt;=$F41))</f>
        <v>-0</v>
      </c>
      <c r="AK41" s="46" t="n">
        <f aca="false">-$E41*N(AND(AK$3&lt;=$F41,AK$4&gt;=$F41))</f>
        <v>-0</v>
      </c>
      <c r="AL41" s="46" t="n">
        <f aca="false">-$E41*N(AND(AL$3&lt;=$F41,AL$4&gt;=$F41))</f>
        <v>-0</v>
      </c>
      <c r="AM41" s="46" t="n">
        <f aca="false">-$E41*N(AND(AM$3&lt;=$F41,AM$4&gt;=$F41))</f>
        <v>-0</v>
      </c>
      <c r="AN41" s="46" t="n">
        <f aca="false">-$E41*N(AND(AN$3&lt;=$F41,AN$4&gt;=$F41))</f>
        <v>-0</v>
      </c>
      <c r="AO41" s="46" t="n">
        <f aca="false">-$E41*N(AND(AO$3&lt;=$F41,AO$4&gt;=$F41))</f>
        <v>-0</v>
      </c>
      <c r="AP41" s="46" t="n">
        <f aca="false">-$E41*N(AND(AP$3&lt;=$F41,AP$4&gt;=$F41))</f>
        <v>-0</v>
      </c>
      <c r="AQ41" s="46" t="n">
        <f aca="false">-$E41*N(AND(AQ$3&lt;=$F41,AQ$4&gt;=$F41))</f>
        <v>-0</v>
      </c>
      <c r="AR41" s="46" t="n">
        <f aca="false">-$E41*N(AND(AR$3&lt;=$F41,AR$4&gt;=$F41))</f>
        <v>-0</v>
      </c>
      <c r="AS41" s="46" t="n">
        <f aca="false">-$E41*N(AND(AS$3&lt;=$F41,AS$4&gt;=$F41))</f>
        <v>-0</v>
      </c>
      <c r="AT41" s="46" t="n">
        <f aca="false">-$E41*N(AND(AT$3&lt;=$F41,AT$4&gt;=$F41))</f>
        <v>-0</v>
      </c>
      <c r="AU41" s="46" t="n">
        <f aca="false">-$E41*N(AND(AU$3&lt;=$F41,AU$4&gt;=$F41))</f>
        <v>-0</v>
      </c>
      <c r="AV41" s="46" t="n">
        <f aca="false">-$E41*N(AND(AV$3&lt;=$F41,AV$4&gt;=$F41))</f>
        <v>-0</v>
      </c>
      <c r="AW41" s="46" t="n">
        <f aca="false">-$E41*N(AND(AW$3&lt;=$F41,AW$4&gt;=$F41))</f>
        <v>-0</v>
      </c>
      <c r="AX41" s="46" t="n">
        <f aca="false">-$E41*N(AND(AX$3&lt;=$F41,AX$4&gt;=$F41))</f>
        <v>-0</v>
      </c>
      <c r="AY41" s="46" t="n">
        <f aca="false">-$E41*N(AND(AY$3&lt;=$F41,AY$4&gt;=$F41))</f>
        <v>-0</v>
      </c>
      <c r="AZ41" s="46" t="n">
        <f aca="false">-$E41*N(AND(AZ$3&lt;=$F41,AZ$4&gt;=$F41))</f>
        <v>-0</v>
      </c>
      <c r="BA41" s="46" t="n">
        <f aca="false">-$E41*N(AND(BA$3&lt;=$F41,BA$4&gt;=$F41))</f>
        <v>-0</v>
      </c>
      <c r="BB41" s="46" t="n">
        <f aca="false">-$E41*N(AND(BB$3&lt;=$F41,BB$4&gt;=$F41))</f>
        <v>-0</v>
      </c>
      <c r="BC41" s="46" t="n">
        <f aca="false">-$E41*N(AND(BC$3&lt;=$F41,BC$4&gt;=$F41))</f>
        <v>-0</v>
      </c>
      <c r="BD41" s="46" t="n">
        <f aca="false">-$E41*N(AND(BD$3&lt;=$F41,BD$4&gt;=$F41))</f>
        <v>-0</v>
      </c>
      <c r="BE41" s="46" t="n">
        <f aca="false">-$E41*N(AND(BE$3&lt;=$F41,BE$4&gt;=$F41))</f>
        <v>-0</v>
      </c>
      <c r="BF41" s="46" t="n">
        <f aca="false">-$E41*N(AND(BF$3&lt;=$F41,BF$4&gt;=$F41))</f>
        <v>-0</v>
      </c>
      <c r="BG41" s="46" t="n">
        <f aca="false">-$E41*N(AND(BG$3&lt;=$F41,BG$4&gt;=$F41))</f>
        <v>-0</v>
      </c>
      <c r="BH41" s="46" t="n">
        <f aca="false">-$E41*N(AND(BH$3&lt;=$F41,BH$4&gt;=$F41))</f>
        <v>-0</v>
      </c>
      <c r="BI41" s="46" t="n">
        <f aca="false">-$E41*N(AND(BI$3&lt;=$F41,BI$4&gt;=$F41))</f>
        <v>-0</v>
      </c>
      <c r="BJ41" s="46" t="n">
        <f aca="false">-$E41*N(AND(BJ$3&lt;=$F41,BJ$4&gt;=$F41))</f>
        <v>-0</v>
      </c>
      <c r="BK41" s="46" t="n">
        <f aca="false">-$E41*N(AND(BK$3&lt;=$F41,BK$4&gt;=$F41))</f>
        <v>-0</v>
      </c>
      <c r="BL41" s="46" t="n">
        <f aca="false">-$E41*N(AND(BL$3&lt;=$F41,BL$4&gt;=$F41))</f>
        <v>-0</v>
      </c>
      <c r="BM41" s="46" t="n">
        <f aca="false">-$E41*N(AND(BM$3&lt;=$F41,BM$4&gt;=$F41))</f>
        <v>-0</v>
      </c>
      <c r="BN41" s="46" t="n">
        <f aca="false">-$E41*N(AND(BN$3&lt;=$F41,BN$4&gt;=$F41))</f>
        <v>-0</v>
      </c>
      <c r="BO41" s="46" t="n">
        <f aca="false">-$E41*N(AND(BO$3&lt;=$F41,BO$4&gt;=$F41))</f>
        <v>-0</v>
      </c>
      <c r="BP41" s="46" t="n">
        <f aca="false">-$E41*N(AND(BP$3&lt;=$F41,BP$4&gt;=$F41))</f>
        <v>-0</v>
      </c>
      <c r="BQ41" s="46" t="n">
        <f aca="false">-$E41*N(AND(BQ$3&lt;=$F41,BQ$4&gt;=$F41))</f>
        <v>-0</v>
      </c>
      <c r="BR41" s="46" t="n">
        <f aca="false">-$E41*N(AND(BR$3&lt;=$F41,BR$4&gt;=$F41))</f>
        <v>-0</v>
      </c>
      <c r="BS41" s="46" t="n">
        <f aca="false">-$E41*N(AND(BS$3&lt;=$F41,BS$4&gt;=$F41))</f>
        <v>-0</v>
      </c>
      <c r="BT41" s="46" t="n">
        <f aca="false">-$E41*N(AND(BT$3&lt;=$F41,BT$4&gt;=$F41))</f>
        <v>-0</v>
      </c>
      <c r="BU41" s="46" t="n">
        <f aca="false">-$E41*N(AND(BU$3&lt;=$F41,BU$4&gt;=$F41))</f>
        <v>-0</v>
      </c>
      <c r="BV41" s="46" t="n">
        <f aca="false">-$E41*N(AND(BV$3&lt;=$F41,BV$4&gt;=$F41))</f>
        <v>-0</v>
      </c>
      <c r="BW41" s="46" t="n">
        <f aca="false">-$E41*N(AND(BW$3&lt;=$F41,BW$4&gt;=$F41))</f>
        <v>-0</v>
      </c>
      <c r="BX41" s="46" t="n">
        <f aca="false">-$E41*N(AND(BX$3&lt;=$F41,BX$4&gt;=$F41))</f>
        <v>-0</v>
      </c>
      <c r="BY41" s="46" t="n">
        <f aca="false">-$E41*N(AND(BY$3&lt;=$F41,BY$4&gt;=$F41))</f>
        <v>-0</v>
      </c>
      <c r="BZ41" s="46" t="n">
        <f aca="false">-$E41*N(AND(BZ$3&lt;=$F41,BZ$4&gt;=$F41))</f>
        <v>-0</v>
      </c>
      <c r="CA41" s="46" t="n">
        <f aca="false">-$E41*N(AND(CA$3&lt;=$F41,CA$4&gt;=$F41))</f>
        <v>-0</v>
      </c>
      <c r="CB41" s="46" t="n">
        <f aca="false">-$E41*N(AND(CB$3&lt;=$F41,CB$4&gt;=$F41))</f>
        <v>-0</v>
      </c>
      <c r="CC41" s="46" t="n">
        <f aca="false">-$E41*N(AND(CC$3&lt;=$F41,CC$4&gt;=$F41))</f>
        <v>-0</v>
      </c>
      <c r="CD41" s="46" t="n">
        <f aca="false">-$E41*N(AND(CD$3&lt;=$F41,CD$4&gt;=$F41))</f>
        <v>-0</v>
      </c>
      <c r="CE41" s="46" t="n">
        <f aca="false">-$E41*N(AND(CE$3&lt;=$F41,CE$4&gt;=$F41))</f>
        <v>-0</v>
      </c>
      <c r="CF41" s="46" t="n">
        <f aca="false">-$E41*N(AND(CF$3&lt;=$F41,CF$4&gt;=$F41))</f>
        <v>-0</v>
      </c>
      <c r="CG41" s="46" t="n">
        <f aca="false">-$E41*N(AND(CG$3&lt;=$F41,CG$4&gt;=$F41))</f>
        <v>-0</v>
      </c>
      <c r="CH41" s="46" t="n">
        <f aca="false">-$E41*N(AND(CH$3&lt;=$F41,CH$4&gt;=$F41))</f>
        <v>-0</v>
      </c>
      <c r="CI41" s="46" t="n">
        <f aca="false">-$E41*N(AND(CI$3&lt;=$F41,CI$4&gt;=$F41))</f>
        <v>-0</v>
      </c>
      <c r="CJ41" s="46" t="n">
        <f aca="false">-$E41*N(AND(CJ$3&lt;=$F41,CJ$4&gt;=$F41))</f>
        <v>-0</v>
      </c>
      <c r="CK41" s="46" t="n">
        <f aca="false">-$E41*N(AND(CK$3&lt;=$F41,CK$4&gt;=$F41))</f>
        <v>-0</v>
      </c>
      <c r="CL41" s="46" t="n">
        <f aca="false">-$E41*N(AND(CL$3&lt;=$F41,CL$4&gt;=$F41))</f>
        <v>-0</v>
      </c>
      <c r="CM41" s="46" t="n">
        <f aca="false">-$E41*N(AND(CM$3&lt;=$F41,CM$4&gt;=$F41))</f>
        <v>-0</v>
      </c>
      <c r="CN41" s="46" t="n">
        <f aca="false">-$E41*N(AND(CN$3&lt;=$F41,CN$4&gt;=$F41))</f>
        <v>-0</v>
      </c>
      <c r="CO41" s="46" t="n">
        <f aca="false">-$E41*N(AND(CO$3&lt;=$F41,CO$4&gt;=$F41))</f>
        <v>-0</v>
      </c>
      <c r="CP41" s="46" t="n">
        <f aca="false">-$E41*N(AND(CP$3&lt;=$F41,CP$4&gt;=$F41))</f>
        <v>-0</v>
      </c>
      <c r="CQ41" s="46" t="n">
        <f aca="false">-$E41*N(AND(CQ$3&lt;=$F41,CQ$4&gt;=$F41))</f>
        <v>-0</v>
      </c>
      <c r="CR41" s="46" t="n">
        <f aca="false">-$E41*N(AND(CR$3&lt;=$F41,CR$4&gt;=$F41))</f>
        <v>-0</v>
      </c>
      <c r="CS41" s="46" t="n">
        <f aca="false">-$E41*N(AND(CS$3&lt;=$F41,CS$4&gt;=$F41))</f>
        <v>-0</v>
      </c>
      <c r="CT41" s="46" t="n">
        <f aca="false">-$E41*N(AND(CT$3&lt;=$F41,CT$4&gt;=$F41))</f>
        <v>-0</v>
      </c>
      <c r="CU41" s="46" t="n">
        <f aca="false">-$E41*N(AND(CU$3&lt;=$F41,CU$4&gt;=$F41))</f>
        <v>-0</v>
      </c>
      <c r="CV41" s="46" t="n">
        <f aca="false">-$E41*N(AND(CV$3&lt;=$F41,CV$4&gt;=$F41))</f>
        <v>-0</v>
      </c>
      <c r="CW41" s="46" t="n">
        <f aca="false">-$E41*N(AND(CW$3&lt;=$F41,CW$4&gt;=$F41))</f>
        <v>-0</v>
      </c>
      <c r="CX41" s="46" t="n">
        <f aca="false">-$E41*N(AND(CX$3&lt;=$F41,CX$4&gt;=$F41))</f>
        <v>-0</v>
      </c>
      <c r="CY41" s="46" t="n">
        <f aca="false">-$E41*N(AND(CY$3&lt;=$F41,CY$4&gt;=$F41))</f>
        <v>-0</v>
      </c>
      <c r="CZ41" s="46" t="n">
        <f aca="false">-$E41*N(AND(CZ$3&lt;=$F41,CZ$4&gt;=$F41))</f>
        <v>-0</v>
      </c>
      <c r="DA41" s="46" t="n">
        <f aca="false">-$E41*N(AND(DA$3&lt;=$F41,DA$4&gt;=$F41))</f>
        <v>-0</v>
      </c>
      <c r="DB41" s="46" t="n">
        <f aca="false">-$E41*N(AND(DB$3&lt;=$F41,DB$4&gt;=$F41))</f>
        <v>-0</v>
      </c>
      <c r="DC41" s="46" t="n">
        <f aca="false">-$E41*N(AND(DC$3&lt;=$F41,DC$4&gt;=$F41))</f>
        <v>-0</v>
      </c>
      <c r="DD41" s="46" t="n">
        <f aca="false">-$E41*N(AND(DD$3&lt;=$F41,DD$4&gt;=$F41))</f>
        <v>-0</v>
      </c>
      <c r="DE41" s="46" t="n">
        <f aca="false">-$E41*N(AND(DE$3&lt;=$F41,DE$4&gt;=$F41))</f>
        <v>-0</v>
      </c>
      <c r="DF41" s="46" t="n">
        <f aca="false">-$E41*N(AND(DF$3&lt;=$F41,DF$4&gt;=$F41))</f>
        <v>-0</v>
      </c>
      <c r="DG41" s="46" t="n">
        <f aca="false">-$E41*N(AND(DG$3&lt;=$F41,DG$4&gt;=$F41))</f>
        <v>-0</v>
      </c>
      <c r="DH41" s="46" t="n">
        <f aca="false">-$E41*N(AND(DH$3&lt;=$F41,DH$4&gt;=$F41))</f>
        <v>-0</v>
      </c>
      <c r="DI41" s="46" t="n">
        <f aca="false">-$E41*N(AND(DI$3&lt;=$F41,DI$4&gt;=$F41))</f>
        <v>-0</v>
      </c>
      <c r="DJ41" s="46" t="n">
        <f aca="false">-$E41*N(AND(DJ$3&lt;=$F41,DJ$4&gt;=$F41))</f>
        <v>-0</v>
      </c>
      <c r="DK41" s="46" t="n">
        <f aca="false">-$E41*N(AND(DK$3&lt;=$F41,DK$4&gt;=$F41))</f>
        <v>-0</v>
      </c>
      <c r="DL41" s="46" t="n">
        <f aca="false">-$E41*N(AND(DL$3&lt;=$F41,DL$4&gt;=$F41))</f>
        <v>-0</v>
      </c>
      <c r="DM41" s="46" t="n">
        <f aca="false">-$E41*N(AND(DM$3&lt;=$F41,DM$4&gt;=$F41))</f>
        <v>-0</v>
      </c>
      <c r="DN41" s="46" t="n">
        <f aca="false">-$E41*N(AND(DN$3&lt;=$F41,DN$4&gt;=$F41))</f>
        <v>-0</v>
      </c>
      <c r="DO41" s="46" t="n">
        <f aca="false">-$E41*N(AND(DO$3&lt;=$F41,DO$4&gt;=$F41))</f>
        <v>-0</v>
      </c>
      <c r="DP41" s="46" t="n">
        <f aca="false">-$E41*N(AND(DP$3&lt;=$F41,DP$4&gt;=$F41))</f>
        <v>-0</v>
      </c>
      <c r="DQ41" s="46" t="n">
        <f aca="false">-$E41*N(AND(DQ$3&lt;=$F41,DQ$4&gt;=$F41))</f>
        <v>-0</v>
      </c>
      <c r="DR41" s="46" t="n">
        <f aca="false">-$E41*N(AND(DR$3&lt;=$F41,DR$4&gt;=$F41))</f>
        <v>-0</v>
      </c>
      <c r="DS41" s="46" t="n">
        <f aca="false">-$E41*N(AND(DS$3&lt;=$F41,DS$4&gt;=$F41))</f>
        <v>-0</v>
      </c>
      <c r="DT41" s="46" t="n">
        <f aca="false">-$E41*N(AND(DT$3&lt;=$F41,DT$4&gt;=$F41))</f>
        <v>-0</v>
      </c>
      <c r="DU41" s="46" t="n">
        <f aca="false">-$E41*N(AND(DU$3&lt;=$F41,DU$4&gt;=$F41))</f>
        <v>-0</v>
      </c>
      <c r="DV41" s="46" t="n">
        <f aca="false">-$E41*N(AND(DV$3&lt;=$F41,DV$4&gt;=$F41))</f>
        <v>-0</v>
      </c>
      <c r="DW41" s="46" t="n">
        <f aca="false">-$E41*N(AND(DW$3&lt;=$F41,DW$4&gt;=$F41))</f>
        <v>-0</v>
      </c>
      <c r="DX41" s="46" t="n">
        <f aca="false">-$E41*N(AND(DX$3&lt;=$F41,DX$4&gt;=$F41))</f>
        <v>-0</v>
      </c>
      <c r="DY41" s="46" t="n">
        <f aca="false">-$E41*N(AND(DY$3&lt;=$F41,DY$4&gt;=$F41))</f>
        <v>-0</v>
      </c>
      <c r="DZ41" s="46" t="n">
        <f aca="false">-$E41*N(AND(DZ$3&lt;=$F41,DZ$4&gt;=$F41))</f>
        <v>-0</v>
      </c>
      <c r="EA41" s="46" t="n">
        <f aca="false">-$E41*N(AND(EA$3&lt;=$F41,EA$4&gt;=$F41))</f>
        <v>-0</v>
      </c>
      <c r="EB41" s="46" t="n">
        <f aca="false">-$E41*N(AND(EB$3&lt;=$F41,EB$4&gt;=$F41))</f>
        <v>-0</v>
      </c>
      <c r="EC41" s="46" t="n">
        <f aca="false">-$E41*N(AND(EC$3&lt;=$F41,EC$4&gt;=$F41))</f>
        <v>-0</v>
      </c>
      <c r="ED41" s="46" t="n">
        <f aca="false">-$E41*N(AND(ED$3&lt;=$F41,ED$4&gt;=$F41))</f>
        <v>-0</v>
      </c>
      <c r="EE41" s="46" t="n">
        <f aca="false">-$E41*N(AND(EE$3&lt;=$F41,EE$4&gt;=$F41))</f>
        <v>-0</v>
      </c>
      <c r="EF41" s="46" t="n">
        <f aca="false">-$E41*N(AND(EF$3&lt;=$F41,EF$4&gt;=$F41))</f>
        <v>-0</v>
      </c>
      <c r="EG41" s="46" t="n">
        <f aca="false">-$E41*N(AND(EG$3&lt;=$F41,EG$4&gt;=$F41))</f>
        <v>-0</v>
      </c>
      <c r="EH41" s="46" t="n">
        <f aca="false">-$E41*N(AND(EH$3&lt;=$F41,EH$4&gt;=$F41))</f>
        <v>-0</v>
      </c>
      <c r="EI41" s="46" t="n">
        <f aca="false">-$E41*N(AND(EI$3&lt;=$F41,EI$4&gt;=$F41))</f>
        <v>-0</v>
      </c>
      <c r="EJ41" s="46" t="n">
        <f aca="false">-$E41*N(AND(EJ$3&lt;=$F41,EJ$4&gt;=$F41))</f>
        <v>-0</v>
      </c>
      <c r="EK41" s="46" t="n">
        <f aca="false">-$E41*N(AND(EK$3&lt;=$F41,EK$4&gt;=$F41))</f>
        <v>-0</v>
      </c>
      <c r="EL41" s="46" t="n">
        <f aca="false">-$E41*N(AND(EL$3&lt;=$F41,EL$4&gt;=$F41))</f>
        <v>-0</v>
      </c>
      <c r="EM41" s="46" t="n">
        <f aca="false">-$E41*N(AND(EM$3&lt;=$F41,EM$4&gt;=$F41))</f>
        <v>-0</v>
      </c>
      <c r="EN41" s="46" t="n">
        <f aca="false">-$E41*N(AND(EN$3&lt;=$F41,EN$4&gt;=$F41))</f>
        <v>-0</v>
      </c>
      <c r="EO41" s="46" t="n">
        <f aca="false">-$E41*N(AND(EO$3&lt;=$F41,EO$4&gt;=$F41))</f>
        <v>-0</v>
      </c>
    </row>
    <row r="42" customFormat="false" ht="15" hidden="false" customHeight="false" outlineLevel="0" collapsed="false">
      <c r="C42" s="0" t="s">
        <v>203</v>
      </c>
      <c r="D42" s="11" t="s">
        <v>33</v>
      </c>
      <c r="E42" s="19" t="n">
        <f aca="false">In_DD</f>
        <v>150</v>
      </c>
      <c r="F42" s="21" t="n">
        <f aca="false">In_Bid_Date</f>
        <v>46325</v>
      </c>
      <c r="I42" s="46" t="n">
        <f aca="false">SUM(J42:EO42)</f>
        <v>-150</v>
      </c>
      <c r="J42" s="46" t="n">
        <f aca="false">-$E42*N(AND(J$3&lt;=$F42,J$4&gt;=$F42))</f>
        <v>-150</v>
      </c>
      <c r="K42" s="46" t="n">
        <f aca="false">-$E42*N(AND(K$3&lt;=$F42,K$4&gt;=$F42))</f>
        <v>-0</v>
      </c>
      <c r="L42" s="46" t="n">
        <f aca="false">-$E42*N(AND(L$3&lt;=$F42,L$4&gt;=$F42))</f>
        <v>-0</v>
      </c>
      <c r="M42" s="46" t="n">
        <f aca="false">-$E42*N(AND(M$3&lt;=$F42,M$4&gt;=$F42))</f>
        <v>-0</v>
      </c>
      <c r="N42" s="46" t="n">
        <f aca="false">-$E42*N(AND(N$3&lt;=$F42,N$4&gt;=$F42))</f>
        <v>-0</v>
      </c>
      <c r="O42" s="46" t="n">
        <f aca="false">-$E42*N(AND(O$3&lt;=$F42,O$4&gt;=$F42))</f>
        <v>-0</v>
      </c>
      <c r="P42" s="46" t="n">
        <f aca="false">-$E42*N(AND(P$3&lt;=$F42,P$4&gt;=$F42))</f>
        <v>-0</v>
      </c>
      <c r="Q42" s="46" t="n">
        <f aca="false">-$E42*N(AND(Q$3&lt;=$F42,Q$4&gt;=$F42))</f>
        <v>-0</v>
      </c>
      <c r="R42" s="46" t="n">
        <f aca="false">-$E42*N(AND(R$3&lt;=$F42,R$4&gt;=$F42))</f>
        <v>-0</v>
      </c>
      <c r="S42" s="46" t="n">
        <f aca="false">-$E42*N(AND(S$3&lt;=$F42,S$4&gt;=$F42))</f>
        <v>-0</v>
      </c>
      <c r="T42" s="46" t="n">
        <f aca="false">-$E42*N(AND(T$3&lt;=$F42,T$4&gt;=$F42))</f>
        <v>-0</v>
      </c>
      <c r="U42" s="46" t="n">
        <f aca="false">-$E42*N(AND(U$3&lt;=$F42,U$4&gt;=$F42))</f>
        <v>-0</v>
      </c>
      <c r="V42" s="46" t="n">
        <f aca="false">-$E42*N(AND(V$3&lt;=$F42,V$4&gt;=$F42))</f>
        <v>-0</v>
      </c>
      <c r="W42" s="46" t="n">
        <f aca="false">-$E42*N(AND(W$3&lt;=$F42,W$4&gt;=$F42))</f>
        <v>-0</v>
      </c>
      <c r="X42" s="46" t="n">
        <f aca="false">-$E42*N(AND(X$3&lt;=$F42,X$4&gt;=$F42))</f>
        <v>-0</v>
      </c>
      <c r="Y42" s="46" t="n">
        <f aca="false">-$E42*N(AND(Y$3&lt;=$F42,Y$4&gt;=$F42))</f>
        <v>-0</v>
      </c>
      <c r="Z42" s="46" t="n">
        <f aca="false">-$E42*N(AND(Z$3&lt;=$F42,Z$4&gt;=$F42))</f>
        <v>-0</v>
      </c>
      <c r="AA42" s="46" t="n">
        <f aca="false">-$E42*N(AND(AA$3&lt;=$F42,AA$4&gt;=$F42))</f>
        <v>-0</v>
      </c>
      <c r="AB42" s="46" t="n">
        <f aca="false">-$E42*N(AND(AB$3&lt;=$F42,AB$4&gt;=$F42))</f>
        <v>-0</v>
      </c>
      <c r="AC42" s="46" t="n">
        <f aca="false">-$E42*N(AND(AC$3&lt;=$F42,AC$4&gt;=$F42))</f>
        <v>-0</v>
      </c>
      <c r="AD42" s="46" t="n">
        <f aca="false">-$E42*N(AND(AD$3&lt;=$F42,AD$4&gt;=$F42))</f>
        <v>-0</v>
      </c>
      <c r="AE42" s="46" t="n">
        <f aca="false">-$E42*N(AND(AE$3&lt;=$F42,AE$4&gt;=$F42))</f>
        <v>-0</v>
      </c>
      <c r="AF42" s="46" t="n">
        <f aca="false">-$E42*N(AND(AF$3&lt;=$F42,AF$4&gt;=$F42))</f>
        <v>-0</v>
      </c>
      <c r="AG42" s="46" t="n">
        <f aca="false">-$E42*N(AND(AG$3&lt;=$F42,AG$4&gt;=$F42))</f>
        <v>-0</v>
      </c>
      <c r="AH42" s="46" t="n">
        <f aca="false">-$E42*N(AND(AH$3&lt;=$F42,AH$4&gt;=$F42))</f>
        <v>-0</v>
      </c>
      <c r="AI42" s="46" t="n">
        <f aca="false">-$E42*N(AND(AI$3&lt;=$F42,AI$4&gt;=$F42))</f>
        <v>-0</v>
      </c>
      <c r="AJ42" s="46" t="n">
        <f aca="false">-$E42*N(AND(AJ$3&lt;=$F42,AJ$4&gt;=$F42))</f>
        <v>-0</v>
      </c>
      <c r="AK42" s="46" t="n">
        <f aca="false">-$E42*N(AND(AK$3&lt;=$F42,AK$4&gt;=$F42))</f>
        <v>-0</v>
      </c>
      <c r="AL42" s="46" t="n">
        <f aca="false">-$E42*N(AND(AL$3&lt;=$F42,AL$4&gt;=$F42))</f>
        <v>-0</v>
      </c>
      <c r="AM42" s="46" t="n">
        <f aca="false">-$E42*N(AND(AM$3&lt;=$F42,AM$4&gt;=$F42))</f>
        <v>-0</v>
      </c>
      <c r="AN42" s="46" t="n">
        <f aca="false">-$E42*N(AND(AN$3&lt;=$F42,AN$4&gt;=$F42))</f>
        <v>-0</v>
      </c>
      <c r="AO42" s="46" t="n">
        <f aca="false">-$E42*N(AND(AO$3&lt;=$F42,AO$4&gt;=$F42))</f>
        <v>-0</v>
      </c>
      <c r="AP42" s="46" t="n">
        <f aca="false">-$E42*N(AND(AP$3&lt;=$F42,AP$4&gt;=$F42))</f>
        <v>-0</v>
      </c>
      <c r="AQ42" s="46" t="n">
        <f aca="false">-$E42*N(AND(AQ$3&lt;=$F42,AQ$4&gt;=$F42))</f>
        <v>-0</v>
      </c>
      <c r="AR42" s="46" t="n">
        <f aca="false">-$E42*N(AND(AR$3&lt;=$F42,AR$4&gt;=$F42))</f>
        <v>-0</v>
      </c>
      <c r="AS42" s="46" t="n">
        <f aca="false">-$E42*N(AND(AS$3&lt;=$F42,AS$4&gt;=$F42))</f>
        <v>-0</v>
      </c>
      <c r="AT42" s="46" t="n">
        <f aca="false">-$E42*N(AND(AT$3&lt;=$F42,AT$4&gt;=$F42))</f>
        <v>-0</v>
      </c>
      <c r="AU42" s="46" t="n">
        <f aca="false">-$E42*N(AND(AU$3&lt;=$F42,AU$4&gt;=$F42))</f>
        <v>-0</v>
      </c>
      <c r="AV42" s="46" t="n">
        <f aca="false">-$E42*N(AND(AV$3&lt;=$F42,AV$4&gt;=$F42))</f>
        <v>-0</v>
      </c>
      <c r="AW42" s="46" t="n">
        <f aca="false">-$E42*N(AND(AW$3&lt;=$F42,AW$4&gt;=$F42))</f>
        <v>-0</v>
      </c>
      <c r="AX42" s="46" t="n">
        <f aca="false">-$E42*N(AND(AX$3&lt;=$F42,AX$4&gt;=$F42))</f>
        <v>-0</v>
      </c>
      <c r="AY42" s="46" t="n">
        <f aca="false">-$E42*N(AND(AY$3&lt;=$F42,AY$4&gt;=$F42))</f>
        <v>-0</v>
      </c>
      <c r="AZ42" s="46" t="n">
        <f aca="false">-$E42*N(AND(AZ$3&lt;=$F42,AZ$4&gt;=$F42))</f>
        <v>-0</v>
      </c>
      <c r="BA42" s="46" t="n">
        <f aca="false">-$E42*N(AND(BA$3&lt;=$F42,BA$4&gt;=$F42))</f>
        <v>-0</v>
      </c>
      <c r="BB42" s="46" t="n">
        <f aca="false">-$E42*N(AND(BB$3&lt;=$F42,BB$4&gt;=$F42))</f>
        <v>-0</v>
      </c>
      <c r="BC42" s="46" t="n">
        <f aca="false">-$E42*N(AND(BC$3&lt;=$F42,BC$4&gt;=$F42))</f>
        <v>-0</v>
      </c>
      <c r="BD42" s="46" t="n">
        <f aca="false">-$E42*N(AND(BD$3&lt;=$F42,BD$4&gt;=$F42))</f>
        <v>-0</v>
      </c>
      <c r="BE42" s="46" t="n">
        <f aca="false">-$E42*N(AND(BE$3&lt;=$F42,BE$4&gt;=$F42))</f>
        <v>-0</v>
      </c>
      <c r="BF42" s="46" t="n">
        <f aca="false">-$E42*N(AND(BF$3&lt;=$F42,BF$4&gt;=$F42))</f>
        <v>-0</v>
      </c>
      <c r="BG42" s="46" t="n">
        <f aca="false">-$E42*N(AND(BG$3&lt;=$F42,BG$4&gt;=$F42))</f>
        <v>-0</v>
      </c>
      <c r="BH42" s="46" t="n">
        <f aca="false">-$E42*N(AND(BH$3&lt;=$F42,BH$4&gt;=$F42))</f>
        <v>-0</v>
      </c>
      <c r="BI42" s="46" t="n">
        <f aca="false">-$E42*N(AND(BI$3&lt;=$F42,BI$4&gt;=$F42))</f>
        <v>-0</v>
      </c>
      <c r="BJ42" s="46" t="n">
        <f aca="false">-$E42*N(AND(BJ$3&lt;=$F42,BJ$4&gt;=$F42))</f>
        <v>-0</v>
      </c>
      <c r="BK42" s="46" t="n">
        <f aca="false">-$E42*N(AND(BK$3&lt;=$F42,BK$4&gt;=$F42))</f>
        <v>-0</v>
      </c>
      <c r="BL42" s="46" t="n">
        <f aca="false">-$E42*N(AND(BL$3&lt;=$F42,BL$4&gt;=$F42))</f>
        <v>-0</v>
      </c>
      <c r="BM42" s="46" t="n">
        <f aca="false">-$E42*N(AND(BM$3&lt;=$F42,BM$4&gt;=$F42))</f>
        <v>-0</v>
      </c>
      <c r="BN42" s="46" t="n">
        <f aca="false">-$E42*N(AND(BN$3&lt;=$F42,BN$4&gt;=$F42))</f>
        <v>-0</v>
      </c>
      <c r="BO42" s="46" t="n">
        <f aca="false">-$E42*N(AND(BO$3&lt;=$F42,BO$4&gt;=$F42))</f>
        <v>-0</v>
      </c>
      <c r="BP42" s="46" t="n">
        <f aca="false">-$E42*N(AND(BP$3&lt;=$F42,BP$4&gt;=$F42))</f>
        <v>-0</v>
      </c>
      <c r="BQ42" s="46" t="n">
        <f aca="false">-$E42*N(AND(BQ$3&lt;=$F42,BQ$4&gt;=$F42))</f>
        <v>-0</v>
      </c>
      <c r="BR42" s="46" t="n">
        <f aca="false">-$E42*N(AND(BR$3&lt;=$F42,BR$4&gt;=$F42))</f>
        <v>-0</v>
      </c>
      <c r="BS42" s="46" t="n">
        <f aca="false">-$E42*N(AND(BS$3&lt;=$F42,BS$4&gt;=$F42))</f>
        <v>-0</v>
      </c>
      <c r="BT42" s="46" t="n">
        <f aca="false">-$E42*N(AND(BT$3&lt;=$F42,BT$4&gt;=$F42))</f>
        <v>-0</v>
      </c>
      <c r="BU42" s="46" t="n">
        <f aca="false">-$E42*N(AND(BU$3&lt;=$F42,BU$4&gt;=$F42))</f>
        <v>-0</v>
      </c>
      <c r="BV42" s="46" t="n">
        <f aca="false">-$E42*N(AND(BV$3&lt;=$F42,BV$4&gt;=$F42))</f>
        <v>-0</v>
      </c>
      <c r="BW42" s="46" t="n">
        <f aca="false">-$E42*N(AND(BW$3&lt;=$F42,BW$4&gt;=$F42))</f>
        <v>-0</v>
      </c>
      <c r="BX42" s="46" t="n">
        <f aca="false">-$E42*N(AND(BX$3&lt;=$F42,BX$4&gt;=$F42))</f>
        <v>-0</v>
      </c>
      <c r="BY42" s="46" t="n">
        <f aca="false">-$E42*N(AND(BY$3&lt;=$F42,BY$4&gt;=$F42))</f>
        <v>-0</v>
      </c>
      <c r="BZ42" s="46" t="n">
        <f aca="false">-$E42*N(AND(BZ$3&lt;=$F42,BZ$4&gt;=$F42))</f>
        <v>-0</v>
      </c>
      <c r="CA42" s="46" t="n">
        <f aca="false">-$E42*N(AND(CA$3&lt;=$F42,CA$4&gt;=$F42))</f>
        <v>-0</v>
      </c>
      <c r="CB42" s="46" t="n">
        <f aca="false">-$E42*N(AND(CB$3&lt;=$F42,CB$4&gt;=$F42))</f>
        <v>-0</v>
      </c>
      <c r="CC42" s="46" t="n">
        <f aca="false">-$E42*N(AND(CC$3&lt;=$F42,CC$4&gt;=$F42))</f>
        <v>-0</v>
      </c>
      <c r="CD42" s="46" t="n">
        <f aca="false">-$E42*N(AND(CD$3&lt;=$F42,CD$4&gt;=$F42))</f>
        <v>-0</v>
      </c>
      <c r="CE42" s="46" t="n">
        <f aca="false">-$E42*N(AND(CE$3&lt;=$F42,CE$4&gt;=$F42))</f>
        <v>-0</v>
      </c>
      <c r="CF42" s="46" t="n">
        <f aca="false">-$E42*N(AND(CF$3&lt;=$F42,CF$4&gt;=$F42))</f>
        <v>-0</v>
      </c>
      <c r="CG42" s="46" t="n">
        <f aca="false">-$E42*N(AND(CG$3&lt;=$F42,CG$4&gt;=$F42))</f>
        <v>-0</v>
      </c>
      <c r="CH42" s="46" t="n">
        <f aca="false">-$E42*N(AND(CH$3&lt;=$F42,CH$4&gt;=$F42))</f>
        <v>-0</v>
      </c>
      <c r="CI42" s="46" t="n">
        <f aca="false">-$E42*N(AND(CI$3&lt;=$F42,CI$4&gt;=$F42))</f>
        <v>-0</v>
      </c>
      <c r="CJ42" s="46" t="n">
        <f aca="false">-$E42*N(AND(CJ$3&lt;=$F42,CJ$4&gt;=$F42))</f>
        <v>-0</v>
      </c>
      <c r="CK42" s="46" t="n">
        <f aca="false">-$E42*N(AND(CK$3&lt;=$F42,CK$4&gt;=$F42))</f>
        <v>-0</v>
      </c>
      <c r="CL42" s="46" t="n">
        <f aca="false">-$E42*N(AND(CL$3&lt;=$F42,CL$4&gt;=$F42))</f>
        <v>-0</v>
      </c>
      <c r="CM42" s="46" t="n">
        <f aca="false">-$E42*N(AND(CM$3&lt;=$F42,CM$4&gt;=$F42))</f>
        <v>-0</v>
      </c>
      <c r="CN42" s="46" t="n">
        <f aca="false">-$E42*N(AND(CN$3&lt;=$F42,CN$4&gt;=$F42))</f>
        <v>-0</v>
      </c>
      <c r="CO42" s="46" t="n">
        <f aca="false">-$E42*N(AND(CO$3&lt;=$F42,CO$4&gt;=$F42))</f>
        <v>-0</v>
      </c>
      <c r="CP42" s="46" t="n">
        <f aca="false">-$E42*N(AND(CP$3&lt;=$F42,CP$4&gt;=$F42))</f>
        <v>-0</v>
      </c>
      <c r="CQ42" s="46" t="n">
        <f aca="false">-$E42*N(AND(CQ$3&lt;=$F42,CQ$4&gt;=$F42))</f>
        <v>-0</v>
      </c>
      <c r="CR42" s="46" t="n">
        <f aca="false">-$E42*N(AND(CR$3&lt;=$F42,CR$4&gt;=$F42))</f>
        <v>-0</v>
      </c>
      <c r="CS42" s="46" t="n">
        <f aca="false">-$E42*N(AND(CS$3&lt;=$F42,CS$4&gt;=$F42))</f>
        <v>-0</v>
      </c>
      <c r="CT42" s="46" t="n">
        <f aca="false">-$E42*N(AND(CT$3&lt;=$F42,CT$4&gt;=$F42))</f>
        <v>-0</v>
      </c>
      <c r="CU42" s="46" t="n">
        <f aca="false">-$E42*N(AND(CU$3&lt;=$F42,CU$4&gt;=$F42))</f>
        <v>-0</v>
      </c>
      <c r="CV42" s="46" t="n">
        <f aca="false">-$E42*N(AND(CV$3&lt;=$F42,CV$4&gt;=$F42))</f>
        <v>-0</v>
      </c>
      <c r="CW42" s="46" t="n">
        <f aca="false">-$E42*N(AND(CW$3&lt;=$F42,CW$4&gt;=$F42))</f>
        <v>-0</v>
      </c>
      <c r="CX42" s="46" t="n">
        <f aca="false">-$E42*N(AND(CX$3&lt;=$F42,CX$4&gt;=$F42))</f>
        <v>-0</v>
      </c>
      <c r="CY42" s="46" t="n">
        <f aca="false">-$E42*N(AND(CY$3&lt;=$F42,CY$4&gt;=$F42))</f>
        <v>-0</v>
      </c>
      <c r="CZ42" s="46" t="n">
        <f aca="false">-$E42*N(AND(CZ$3&lt;=$F42,CZ$4&gt;=$F42))</f>
        <v>-0</v>
      </c>
      <c r="DA42" s="46" t="n">
        <f aca="false">-$E42*N(AND(DA$3&lt;=$F42,DA$4&gt;=$F42))</f>
        <v>-0</v>
      </c>
      <c r="DB42" s="46" t="n">
        <f aca="false">-$E42*N(AND(DB$3&lt;=$F42,DB$4&gt;=$F42))</f>
        <v>-0</v>
      </c>
      <c r="DC42" s="46" t="n">
        <f aca="false">-$E42*N(AND(DC$3&lt;=$F42,DC$4&gt;=$F42))</f>
        <v>-0</v>
      </c>
      <c r="DD42" s="46" t="n">
        <f aca="false">-$E42*N(AND(DD$3&lt;=$F42,DD$4&gt;=$F42))</f>
        <v>-0</v>
      </c>
      <c r="DE42" s="46" t="n">
        <f aca="false">-$E42*N(AND(DE$3&lt;=$F42,DE$4&gt;=$F42))</f>
        <v>-0</v>
      </c>
      <c r="DF42" s="46" t="n">
        <f aca="false">-$E42*N(AND(DF$3&lt;=$F42,DF$4&gt;=$F42))</f>
        <v>-0</v>
      </c>
      <c r="DG42" s="46" t="n">
        <f aca="false">-$E42*N(AND(DG$3&lt;=$F42,DG$4&gt;=$F42))</f>
        <v>-0</v>
      </c>
      <c r="DH42" s="46" t="n">
        <f aca="false">-$E42*N(AND(DH$3&lt;=$F42,DH$4&gt;=$F42))</f>
        <v>-0</v>
      </c>
      <c r="DI42" s="46" t="n">
        <f aca="false">-$E42*N(AND(DI$3&lt;=$F42,DI$4&gt;=$F42))</f>
        <v>-0</v>
      </c>
      <c r="DJ42" s="46" t="n">
        <f aca="false">-$E42*N(AND(DJ$3&lt;=$F42,DJ$4&gt;=$F42))</f>
        <v>-0</v>
      </c>
      <c r="DK42" s="46" t="n">
        <f aca="false">-$E42*N(AND(DK$3&lt;=$F42,DK$4&gt;=$F42))</f>
        <v>-0</v>
      </c>
      <c r="DL42" s="46" t="n">
        <f aca="false">-$E42*N(AND(DL$3&lt;=$F42,DL$4&gt;=$F42))</f>
        <v>-0</v>
      </c>
      <c r="DM42" s="46" t="n">
        <f aca="false">-$E42*N(AND(DM$3&lt;=$F42,DM$4&gt;=$F42))</f>
        <v>-0</v>
      </c>
      <c r="DN42" s="46" t="n">
        <f aca="false">-$E42*N(AND(DN$3&lt;=$F42,DN$4&gt;=$F42))</f>
        <v>-0</v>
      </c>
      <c r="DO42" s="46" t="n">
        <f aca="false">-$E42*N(AND(DO$3&lt;=$F42,DO$4&gt;=$F42))</f>
        <v>-0</v>
      </c>
      <c r="DP42" s="46" t="n">
        <f aca="false">-$E42*N(AND(DP$3&lt;=$F42,DP$4&gt;=$F42))</f>
        <v>-0</v>
      </c>
      <c r="DQ42" s="46" t="n">
        <f aca="false">-$E42*N(AND(DQ$3&lt;=$F42,DQ$4&gt;=$F42))</f>
        <v>-0</v>
      </c>
      <c r="DR42" s="46" t="n">
        <f aca="false">-$E42*N(AND(DR$3&lt;=$F42,DR$4&gt;=$F42))</f>
        <v>-0</v>
      </c>
      <c r="DS42" s="46" t="n">
        <f aca="false">-$E42*N(AND(DS$3&lt;=$F42,DS$4&gt;=$F42))</f>
        <v>-0</v>
      </c>
      <c r="DT42" s="46" t="n">
        <f aca="false">-$E42*N(AND(DT$3&lt;=$F42,DT$4&gt;=$F42))</f>
        <v>-0</v>
      </c>
      <c r="DU42" s="46" t="n">
        <f aca="false">-$E42*N(AND(DU$3&lt;=$F42,DU$4&gt;=$F42))</f>
        <v>-0</v>
      </c>
      <c r="DV42" s="46" t="n">
        <f aca="false">-$E42*N(AND(DV$3&lt;=$F42,DV$4&gt;=$F42))</f>
        <v>-0</v>
      </c>
      <c r="DW42" s="46" t="n">
        <f aca="false">-$E42*N(AND(DW$3&lt;=$F42,DW$4&gt;=$F42))</f>
        <v>-0</v>
      </c>
      <c r="DX42" s="46" t="n">
        <f aca="false">-$E42*N(AND(DX$3&lt;=$F42,DX$4&gt;=$F42))</f>
        <v>-0</v>
      </c>
      <c r="DY42" s="46" t="n">
        <f aca="false">-$E42*N(AND(DY$3&lt;=$F42,DY$4&gt;=$F42))</f>
        <v>-0</v>
      </c>
      <c r="DZ42" s="46" t="n">
        <f aca="false">-$E42*N(AND(DZ$3&lt;=$F42,DZ$4&gt;=$F42))</f>
        <v>-0</v>
      </c>
      <c r="EA42" s="46" t="n">
        <f aca="false">-$E42*N(AND(EA$3&lt;=$F42,EA$4&gt;=$F42))</f>
        <v>-0</v>
      </c>
      <c r="EB42" s="46" t="n">
        <f aca="false">-$E42*N(AND(EB$3&lt;=$F42,EB$4&gt;=$F42))</f>
        <v>-0</v>
      </c>
      <c r="EC42" s="46" t="n">
        <f aca="false">-$E42*N(AND(EC$3&lt;=$F42,EC$4&gt;=$F42))</f>
        <v>-0</v>
      </c>
      <c r="ED42" s="46" t="n">
        <f aca="false">-$E42*N(AND(ED$3&lt;=$F42,ED$4&gt;=$F42))</f>
        <v>-0</v>
      </c>
      <c r="EE42" s="46" t="n">
        <f aca="false">-$E42*N(AND(EE$3&lt;=$F42,EE$4&gt;=$F42))</f>
        <v>-0</v>
      </c>
      <c r="EF42" s="46" t="n">
        <f aca="false">-$E42*N(AND(EF$3&lt;=$F42,EF$4&gt;=$F42))</f>
        <v>-0</v>
      </c>
      <c r="EG42" s="46" t="n">
        <f aca="false">-$E42*N(AND(EG$3&lt;=$F42,EG$4&gt;=$F42))</f>
        <v>-0</v>
      </c>
      <c r="EH42" s="46" t="n">
        <f aca="false">-$E42*N(AND(EH$3&lt;=$F42,EH$4&gt;=$F42))</f>
        <v>-0</v>
      </c>
      <c r="EI42" s="46" t="n">
        <f aca="false">-$E42*N(AND(EI$3&lt;=$F42,EI$4&gt;=$F42))</f>
        <v>-0</v>
      </c>
      <c r="EJ42" s="46" t="n">
        <f aca="false">-$E42*N(AND(EJ$3&lt;=$F42,EJ$4&gt;=$F42))</f>
        <v>-0</v>
      </c>
      <c r="EK42" s="46" t="n">
        <f aca="false">-$E42*N(AND(EK$3&lt;=$F42,EK$4&gt;=$F42))</f>
        <v>-0</v>
      </c>
      <c r="EL42" s="46" t="n">
        <f aca="false">-$E42*N(AND(EL$3&lt;=$F42,EL$4&gt;=$F42))</f>
        <v>-0</v>
      </c>
      <c r="EM42" s="46" t="n">
        <f aca="false">-$E42*N(AND(EM$3&lt;=$F42,EM$4&gt;=$F42))</f>
        <v>-0</v>
      </c>
      <c r="EN42" s="46" t="n">
        <f aca="false">-$E42*N(AND(EN$3&lt;=$F42,EN$4&gt;=$F42))</f>
        <v>-0</v>
      </c>
      <c r="EO42" s="46" t="n">
        <f aca="false">-$E42*N(AND(EO$3&lt;=$F42,EO$4&gt;=$F42))</f>
        <v>-0</v>
      </c>
    </row>
    <row r="43" customFormat="false" ht="15" hidden="false" customHeight="false" outlineLevel="0" collapsed="false">
      <c r="C43" s="0" t="s">
        <v>375</v>
      </c>
      <c r="D43" s="11" t="s">
        <v>33</v>
      </c>
      <c r="I43" s="46" t="n">
        <f aca="false">SUM(J43:EO43)</f>
        <v>-500</v>
      </c>
      <c r="J43" s="46" t="n">
        <f aca="false">-In_Devex*J13</f>
        <v>-0</v>
      </c>
      <c r="K43" s="46" t="n">
        <f aca="false">-In_Devex*K13</f>
        <v>-70.4225352112676</v>
      </c>
      <c r="L43" s="46" t="n">
        <f aca="false">-In_Devex*L13</f>
        <v>-71.2050078247261</v>
      </c>
      <c r="M43" s="46" t="n">
        <f aca="false">-In_Devex*M13</f>
        <v>-71.9874804381847</v>
      </c>
      <c r="N43" s="46" t="n">
        <f aca="false">-In_Devex*N13</f>
        <v>-71.9874804381847</v>
      </c>
      <c r="O43" s="46" t="n">
        <f aca="false">-In_Devex*O13</f>
        <v>-71.2050078247261</v>
      </c>
      <c r="P43" s="46" t="n">
        <f aca="false">-In_Devex*P13</f>
        <v>-71.2050078247261</v>
      </c>
      <c r="Q43" s="46" t="n">
        <f aca="false">-In_Devex*Q13</f>
        <v>-71.9874804381847</v>
      </c>
      <c r="R43" s="46" t="n">
        <f aca="false">-In_Devex*R13</f>
        <v>-0</v>
      </c>
      <c r="S43" s="46" t="n">
        <f aca="false">-In_Devex*S13</f>
        <v>-0</v>
      </c>
      <c r="T43" s="46" t="n">
        <f aca="false">-In_Devex*T13</f>
        <v>-0</v>
      </c>
      <c r="U43" s="46" t="n">
        <f aca="false">-In_Devex*U13</f>
        <v>-0</v>
      </c>
      <c r="V43" s="46" t="n">
        <f aca="false">-In_Devex*V13</f>
        <v>-0</v>
      </c>
      <c r="W43" s="46" t="n">
        <f aca="false">-In_Devex*W13</f>
        <v>-0</v>
      </c>
      <c r="X43" s="46" t="n">
        <f aca="false">-In_Devex*X13</f>
        <v>-0</v>
      </c>
      <c r="Y43" s="46" t="n">
        <f aca="false">-In_Devex*Y13</f>
        <v>-0</v>
      </c>
      <c r="Z43" s="46" t="n">
        <f aca="false">-In_Devex*Z13</f>
        <v>-0</v>
      </c>
      <c r="AA43" s="46" t="n">
        <f aca="false">-In_Devex*AA13</f>
        <v>-0</v>
      </c>
      <c r="AB43" s="46" t="n">
        <f aca="false">-In_Devex*AB13</f>
        <v>-0</v>
      </c>
      <c r="AC43" s="46" t="n">
        <f aca="false">-In_Devex*AC13</f>
        <v>-0</v>
      </c>
      <c r="AD43" s="46" t="n">
        <f aca="false">-In_Devex*AD13</f>
        <v>-0</v>
      </c>
      <c r="AE43" s="46" t="n">
        <f aca="false">-In_Devex*AE13</f>
        <v>-0</v>
      </c>
      <c r="AF43" s="46" t="n">
        <f aca="false">-In_Devex*AF13</f>
        <v>-0</v>
      </c>
      <c r="AG43" s="46" t="n">
        <f aca="false">-In_Devex*AG13</f>
        <v>-0</v>
      </c>
      <c r="AH43" s="46" t="n">
        <f aca="false">-In_Devex*AH13</f>
        <v>-0</v>
      </c>
      <c r="AI43" s="46" t="n">
        <f aca="false">-In_Devex*AI13</f>
        <v>-0</v>
      </c>
      <c r="AJ43" s="46" t="n">
        <f aca="false">-In_Devex*AJ13</f>
        <v>-0</v>
      </c>
      <c r="AK43" s="46" t="n">
        <f aca="false">-In_Devex*AK13</f>
        <v>-0</v>
      </c>
      <c r="AL43" s="46" t="n">
        <f aca="false">-In_Devex*AL13</f>
        <v>-0</v>
      </c>
      <c r="AM43" s="46" t="n">
        <f aca="false">-In_Devex*AM13</f>
        <v>-0</v>
      </c>
      <c r="AN43" s="46" t="n">
        <f aca="false">-In_Devex*AN13</f>
        <v>-0</v>
      </c>
      <c r="AO43" s="46" t="n">
        <f aca="false">-In_Devex*AO13</f>
        <v>-0</v>
      </c>
      <c r="AP43" s="46" t="n">
        <f aca="false">-In_Devex*AP13</f>
        <v>-0</v>
      </c>
      <c r="AQ43" s="46" t="n">
        <f aca="false">-In_Devex*AQ13</f>
        <v>-0</v>
      </c>
      <c r="AR43" s="46" t="n">
        <f aca="false">-In_Devex*AR13</f>
        <v>-0</v>
      </c>
      <c r="AS43" s="46" t="n">
        <f aca="false">-In_Devex*AS13</f>
        <v>-0</v>
      </c>
      <c r="AT43" s="46" t="n">
        <f aca="false">-In_Devex*AT13</f>
        <v>-0</v>
      </c>
      <c r="AU43" s="46" t="n">
        <f aca="false">-In_Devex*AU13</f>
        <v>-0</v>
      </c>
      <c r="AV43" s="46" t="n">
        <f aca="false">-In_Devex*AV13</f>
        <v>-0</v>
      </c>
      <c r="AW43" s="46" t="n">
        <f aca="false">-In_Devex*AW13</f>
        <v>-0</v>
      </c>
      <c r="AX43" s="46" t="n">
        <f aca="false">-In_Devex*AX13</f>
        <v>-0</v>
      </c>
      <c r="AY43" s="46" t="n">
        <f aca="false">-In_Devex*AY13</f>
        <v>-0</v>
      </c>
      <c r="AZ43" s="46" t="n">
        <f aca="false">-In_Devex*AZ13</f>
        <v>-0</v>
      </c>
      <c r="BA43" s="46" t="n">
        <f aca="false">-In_Devex*BA13</f>
        <v>-0</v>
      </c>
      <c r="BB43" s="46" t="n">
        <f aca="false">-In_Devex*BB13</f>
        <v>-0</v>
      </c>
      <c r="BC43" s="46" t="n">
        <f aca="false">-In_Devex*BC13</f>
        <v>-0</v>
      </c>
      <c r="BD43" s="46" t="n">
        <f aca="false">-In_Devex*BD13</f>
        <v>-0</v>
      </c>
      <c r="BE43" s="46" t="n">
        <f aca="false">-In_Devex*BE13</f>
        <v>-0</v>
      </c>
      <c r="BF43" s="46" t="n">
        <f aca="false">-In_Devex*BF13</f>
        <v>-0</v>
      </c>
      <c r="BG43" s="46" t="n">
        <f aca="false">-In_Devex*BG13</f>
        <v>-0</v>
      </c>
      <c r="BH43" s="46" t="n">
        <f aca="false">-In_Devex*BH13</f>
        <v>-0</v>
      </c>
      <c r="BI43" s="46" t="n">
        <f aca="false">-In_Devex*BI13</f>
        <v>-0</v>
      </c>
      <c r="BJ43" s="46" t="n">
        <f aca="false">-In_Devex*BJ13</f>
        <v>-0</v>
      </c>
      <c r="BK43" s="46" t="n">
        <f aca="false">-In_Devex*BK13</f>
        <v>-0</v>
      </c>
      <c r="BL43" s="46" t="n">
        <f aca="false">-In_Devex*BL13</f>
        <v>-0</v>
      </c>
      <c r="BM43" s="46" t="n">
        <f aca="false">-In_Devex*BM13</f>
        <v>-0</v>
      </c>
      <c r="BN43" s="46" t="n">
        <f aca="false">-In_Devex*BN13</f>
        <v>-0</v>
      </c>
      <c r="BO43" s="46" t="n">
        <f aca="false">-In_Devex*BO13</f>
        <v>-0</v>
      </c>
      <c r="BP43" s="46" t="n">
        <f aca="false">-In_Devex*BP13</f>
        <v>-0</v>
      </c>
      <c r="BQ43" s="46" t="n">
        <f aca="false">-In_Devex*BQ13</f>
        <v>-0</v>
      </c>
      <c r="BR43" s="46" t="n">
        <f aca="false">-In_Devex*BR13</f>
        <v>-0</v>
      </c>
      <c r="BS43" s="46" t="n">
        <f aca="false">-In_Devex*BS13</f>
        <v>-0</v>
      </c>
      <c r="BT43" s="46" t="n">
        <f aca="false">-In_Devex*BT13</f>
        <v>-0</v>
      </c>
      <c r="BU43" s="46" t="n">
        <f aca="false">-In_Devex*BU13</f>
        <v>-0</v>
      </c>
      <c r="BV43" s="46" t="n">
        <f aca="false">-In_Devex*BV13</f>
        <v>-0</v>
      </c>
      <c r="BW43" s="46" t="n">
        <f aca="false">-In_Devex*BW13</f>
        <v>-0</v>
      </c>
      <c r="BX43" s="46" t="n">
        <f aca="false">-In_Devex*BX13</f>
        <v>-0</v>
      </c>
      <c r="BY43" s="46" t="n">
        <f aca="false">-In_Devex*BY13</f>
        <v>-0</v>
      </c>
      <c r="BZ43" s="46" t="n">
        <f aca="false">-In_Devex*BZ13</f>
        <v>-0</v>
      </c>
      <c r="CA43" s="46" t="n">
        <f aca="false">-In_Devex*CA13</f>
        <v>-0</v>
      </c>
      <c r="CB43" s="46" t="n">
        <f aca="false">-In_Devex*CB13</f>
        <v>-0</v>
      </c>
      <c r="CC43" s="46" t="n">
        <f aca="false">-In_Devex*CC13</f>
        <v>-0</v>
      </c>
      <c r="CD43" s="46" t="n">
        <f aca="false">-In_Devex*CD13</f>
        <v>-0</v>
      </c>
      <c r="CE43" s="46" t="n">
        <f aca="false">-In_Devex*CE13</f>
        <v>-0</v>
      </c>
      <c r="CF43" s="46" t="n">
        <f aca="false">-In_Devex*CF13</f>
        <v>-0</v>
      </c>
      <c r="CG43" s="46" t="n">
        <f aca="false">-In_Devex*CG13</f>
        <v>-0</v>
      </c>
      <c r="CH43" s="46" t="n">
        <f aca="false">-In_Devex*CH13</f>
        <v>-0</v>
      </c>
      <c r="CI43" s="46" t="n">
        <f aca="false">-In_Devex*CI13</f>
        <v>-0</v>
      </c>
      <c r="CJ43" s="46" t="n">
        <f aca="false">-In_Devex*CJ13</f>
        <v>-0</v>
      </c>
      <c r="CK43" s="46" t="n">
        <f aca="false">-In_Devex*CK13</f>
        <v>-0</v>
      </c>
      <c r="CL43" s="46" t="n">
        <f aca="false">-In_Devex*CL13</f>
        <v>-0</v>
      </c>
      <c r="CM43" s="46" t="n">
        <f aca="false">-In_Devex*CM13</f>
        <v>-0</v>
      </c>
      <c r="CN43" s="46" t="n">
        <f aca="false">-In_Devex*CN13</f>
        <v>-0</v>
      </c>
      <c r="CO43" s="46" t="n">
        <f aca="false">-In_Devex*CO13</f>
        <v>-0</v>
      </c>
      <c r="CP43" s="46" t="n">
        <f aca="false">-In_Devex*CP13</f>
        <v>-0</v>
      </c>
      <c r="CQ43" s="46" t="n">
        <f aca="false">-In_Devex*CQ13</f>
        <v>-0</v>
      </c>
      <c r="CR43" s="46" t="n">
        <f aca="false">-In_Devex*CR13</f>
        <v>-0</v>
      </c>
      <c r="CS43" s="46" t="n">
        <f aca="false">-In_Devex*CS13</f>
        <v>-0</v>
      </c>
      <c r="CT43" s="46" t="n">
        <f aca="false">-In_Devex*CT13</f>
        <v>-0</v>
      </c>
      <c r="CU43" s="46" t="n">
        <f aca="false">-In_Devex*CU13</f>
        <v>-0</v>
      </c>
      <c r="CV43" s="46" t="n">
        <f aca="false">-In_Devex*CV13</f>
        <v>-0</v>
      </c>
      <c r="CW43" s="46" t="n">
        <f aca="false">-In_Devex*CW13</f>
        <v>-0</v>
      </c>
      <c r="CX43" s="46" t="n">
        <f aca="false">-In_Devex*CX13</f>
        <v>-0</v>
      </c>
      <c r="CY43" s="46" t="n">
        <f aca="false">-In_Devex*CY13</f>
        <v>-0</v>
      </c>
      <c r="CZ43" s="46" t="n">
        <f aca="false">-In_Devex*CZ13</f>
        <v>-0</v>
      </c>
      <c r="DA43" s="46" t="n">
        <f aca="false">-In_Devex*DA13</f>
        <v>-0</v>
      </c>
      <c r="DB43" s="46" t="n">
        <f aca="false">-In_Devex*DB13</f>
        <v>-0</v>
      </c>
      <c r="DC43" s="46" t="n">
        <f aca="false">-In_Devex*DC13</f>
        <v>-0</v>
      </c>
      <c r="DD43" s="46" t="n">
        <f aca="false">-In_Devex*DD13</f>
        <v>-0</v>
      </c>
      <c r="DE43" s="46" t="n">
        <f aca="false">-In_Devex*DE13</f>
        <v>-0</v>
      </c>
      <c r="DF43" s="46" t="n">
        <f aca="false">-In_Devex*DF13</f>
        <v>-0</v>
      </c>
      <c r="DG43" s="46" t="n">
        <f aca="false">-In_Devex*DG13</f>
        <v>-0</v>
      </c>
      <c r="DH43" s="46" t="n">
        <f aca="false">-In_Devex*DH13</f>
        <v>-0</v>
      </c>
      <c r="DI43" s="46" t="n">
        <f aca="false">-In_Devex*DI13</f>
        <v>-0</v>
      </c>
      <c r="DJ43" s="46" t="n">
        <f aca="false">-In_Devex*DJ13</f>
        <v>-0</v>
      </c>
      <c r="DK43" s="46" t="n">
        <f aca="false">-In_Devex*DK13</f>
        <v>-0</v>
      </c>
      <c r="DL43" s="46" t="n">
        <f aca="false">-In_Devex*DL13</f>
        <v>-0</v>
      </c>
      <c r="DM43" s="46" t="n">
        <f aca="false">-In_Devex*DM13</f>
        <v>-0</v>
      </c>
      <c r="DN43" s="46" t="n">
        <f aca="false">-In_Devex*DN13</f>
        <v>-0</v>
      </c>
      <c r="DO43" s="46" t="n">
        <f aca="false">-In_Devex*DO13</f>
        <v>-0</v>
      </c>
      <c r="DP43" s="46" t="n">
        <f aca="false">-In_Devex*DP13</f>
        <v>-0</v>
      </c>
      <c r="DQ43" s="46" t="n">
        <f aca="false">-In_Devex*DQ13</f>
        <v>-0</v>
      </c>
      <c r="DR43" s="46" t="n">
        <f aca="false">-In_Devex*DR13</f>
        <v>-0</v>
      </c>
      <c r="DS43" s="46" t="n">
        <f aca="false">-In_Devex*DS13</f>
        <v>-0</v>
      </c>
      <c r="DT43" s="46" t="n">
        <f aca="false">-In_Devex*DT13</f>
        <v>-0</v>
      </c>
      <c r="DU43" s="46" t="n">
        <f aca="false">-In_Devex*DU13</f>
        <v>-0</v>
      </c>
      <c r="DV43" s="46" t="n">
        <f aca="false">-In_Devex*DV13</f>
        <v>-0</v>
      </c>
      <c r="DW43" s="46" t="n">
        <f aca="false">-In_Devex*DW13</f>
        <v>-0</v>
      </c>
      <c r="DX43" s="46" t="n">
        <f aca="false">-In_Devex*DX13</f>
        <v>-0</v>
      </c>
      <c r="DY43" s="46" t="n">
        <f aca="false">-In_Devex*DY13</f>
        <v>-0</v>
      </c>
      <c r="DZ43" s="46" t="n">
        <f aca="false">-In_Devex*DZ13</f>
        <v>-0</v>
      </c>
      <c r="EA43" s="46" t="n">
        <f aca="false">-In_Devex*EA13</f>
        <v>-0</v>
      </c>
      <c r="EB43" s="46" t="n">
        <f aca="false">-In_Devex*EB13</f>
        <v>-0</v>
      </c>
      <c r="EC43" s="46" t="n">
        <f aca="false">-In_Devex*EC13</f>
        <v>-0</v>
      </c>
      <c r="ED43" s="46" t="n">
        <f aca="false">-In_Devex*ED13</f>
        <v>-0</v>
      </c>
      <c r="EE43" s="46" t="n">
        <f aca="false">-In_Devex*EE13</f>
        <v>-0</v>
      </c>
      <c r="EF43" s="46" t="n">
        <f aca="false">-In_Devex*EF13</f>
        <v>-0</v>
      </c>
      <c r="EG43" s="46" t="n">
        <f aca="false">-In_Devex*EG13</f>
        <v>-0</v>
      </c>
      <c r="EH43" s="46" t="n">
        <f aca="false">-In_Devex*EH13</f>
        <v>-0</v>
      </c>
      <c r="EI43" s="46" t="n">
        <f aca="false">-In_Devex*EI13</f>
        <v>-0</v>
      </c>
      <c r="EJ43" s="46" t="n">
        <f aca="false">-In_Devex*EJ13</f>
        <v>-0</v>
      </c>
      <c r="EK43" s="46" t="n">
        <f aca="false">-In_Devex*EK13</f>
        <v>-0</v>
      </c>
      <c r="EL43" s="46" t="n">
        <f aca="false">-In_Devex*EL13</f>
        <v>-0</v>
      </c>
      <c r="EM43" s="46" t="n">
        <f aca="false">-In_Devex*EM13</f>
        <v>-0</v>
      </c>
      <c r="EN43" s="46" t="n">
        <f aca="false">-In_Devex*EN13</f>
        <v>-0</v>
      </c>
      <c r="EO43" s="46" t="n">
        <f aca="false">-In_Devex*EO13</f>
        <v>-0</v>
      </c>
    </row>
    <row r="44" customFormat="false" ht="15" hidden="false" customHeight="false" outlineLevel="0" collapsed="false">
      <c r="C44" s="0" t="s">
        <v>376</v>
      </c>
      <c r="D44" s="11" t="s">
        <v>245</v>
      </c>
      <c r="E44" s="46" t="n">
        <f aca="false">$E24*In_Bench_Wind</f>
        <v>24360</v>
      </c>
    </row>
    <row r="45" customFormat="false" ht="15" hidden="false" customHeight="false" outlineLevel="0" collapsed="false">
      <c r="C45" s="0" t="s">
        <v>377</v>
      </c>
      <c r="D45" s="11" t="s">
        <v>33</v>
      </c>
      <c r="E45" s="46" t="n">
        <f aca="false">In_Part_Fee*Thousand/In_FX</f>
        <v>8.21917808219178</v>
      </c>
      <c r="F45" s="21" t="n">
        <f aca="false">In_Bid_Date</f>
        <v>46325</v>
      </c>
      <c r="I45" s="46" t="n">
        <f aca="false">SUM(J45:EO45)</f>
        <v>-8.21917808219178</v>
      </c>
      <c r="J45" s="46" t="n">
        <f aca="false">-$E45*N(AND(J$3&lt;=$F45,J$4&gt;=$F45))</f>
        <v>-8.21917808219178</v>
      </c>
      <c r="K45" s="46" t="n">
        <f aca="false">-$E45*N(AND(K$3&lt;=$F45,K$4&gt;=$F45))</f>
        <v>-0</v>
      </c>
      <c r="L45" s="46" t="n">
        <f aca="false">-$E45*N(AND(L$3&lt;=$F45,L$4&gt;=$F45))</f>
        <v>-0</v>
      </c>
      <c r="M45" s="46" t="n">
        <f aca="false">-$E45*N(AND(M$3&lt;=$F45,M$4&gt;=$F45))</f>
        <v>-0</v>
      </c>
      <c r="N45" s="46" t="n">
        <f aca="false">-$E45*N(AND(N$3&lt;=$F45,N$4&gt;=$F45))</f>
        <v>-0</v>
      </c>
      <c r="O45" s="46" t="n">
        <f aca="false">-$E45*N(AND(O$3&lt;=$F45,O$4&gt;=$F45))</f>
        <v>-0</v>
      </c>
      <c r="P45" s="46" t="n">
        <f aca="false">-$E45*N(AND(P$3&lt;=$F45,P$4&gt;=$F45))</f>
        <v>-0</v>
      </c>
      <c r="Q45" s="46" t="n">
        <f aca="false">-$E45*N(AND(Q$3&lt;=$F45,Q$4&gt;=$F45))</f>
        <v>-0</v>
      </c>
      <c r="R45" s="46" t="n">
        <f aca="false">-$E45*N(AND(R$3&lt;=$F45,R$4&gt;=$F45))</f>
        <v>-0</v>
      </c>
      <c r="S45" s="46" t="n">
        <f aca="false">-$E45*N(AND(S$3&lt;=$F45,S$4&gt;=$F45))</f>
        <v>-0</v>
      </c>
      <c r="T45" s="46" t="n">
        <f aca="false">-$E45*N(AND(T$3&lt;=$F45,T$4&gt;=$F45))</f>
        <v>-0</v>
      </c>
      <c r="U45" s="46" t="n">
        <f aca="false">-$E45*N(AND(U$3&lt;=$F45,U$4&gt;=$F45))</f>
        <v>-0</v>
      </c>
      <c r="V45" s="46" t="n">
        <f aca="false">-$E45*N(AND(V$3&lt;=$F45,V$4&gt;=$F45))</f>
        <v>-0</v>
      </c>
      <c r="W45" s="46" t="n">
        <f aca="false">-$E45*N(AND(W$3&lt;=$F45,W$4&gt;=$F45))</f>
        <v>-0</v>
      </c>
      <c r="X45" s="46" t="n">
        <f aca="false">-$E45*N(AND(X$3&lt;=$F45,X$4&gt;=$F45))</f>
        <v>-0</v>
      </c>
      <c r="Y45" s="46" t="n">
        <f aca="false">-$E45*N(AND(Y$3&lt;=$F45,Y$4&gt;=$F45))</f>
        <v>-0</v>
      </c>
      <c r="Z45" s="46" t="n">
        <f aca="false">-$E45*N(AND(Z$3&lt;=$F45,Z$4&gt;=$F45))</f>
        <v>-0</v>
      </c>
      <c r="AA45" s="46" t="n">
        <f aca="false">-$E45*N(AND(AA$3&lt;=$F45,AA$4&gt;=$F45))</f>
        <v>-0</v>
      </c>
      <c r="AB45" s="46" t="n">
        <f aca="false">-$E45*N(AND(AB$3&lt;=$F45,AB$4&gt;=$F45))</f>
        <v>-0</v>
      </c>
      <c r="AC45" s="46" t="n">
        <f aca="false">-$E45*N(AND(AC$3&lt;=$F45,AC$4&gt;=$F45))</f>
        <v>-0</v>
      </c>
      <c r="AD45" s="46" t="n">
        <f aca="false">-$E45*N(AND(AD$3&lt;=$F45,AD$4&gt;=$F45))</f>
        <v>-0</v>
      </c>
      <c r="AE45" s="46" t="n">
        <f aca="false">-$E45*N(AND(AE$3&lt;=$F45,AE$4&gt;=$F45))</f>
        <v>-0</v>
      </c>
      <c r="AF45" s="46" t="n">
        <f aca="false">-$E45*N(AND(AF$3&lt;=$F45,AF$4&gt;=$F45))</f>
        <v>-0</v>
      </c>
      <c r="AG45" s="46" t="n">
        <f aca="false">-$E45*N(AND(AG$3&lt;=$F45,AG$4&gt;=$F45))</f>
        <v>-0</v>
      </c>
      <c r="AH45" s="46" t="n">
        <f aca="false">-$E45*N(AND(AH$3&lt;=$F45,AH$4&gt;=$F45))</f>
        <v>-0</v>
      </c>
      <c r="AI45" s="46" t="n">
        <f aca="false">-$E45*N(AND(AI$3&lt;=$F45,AI$4&gt;=$F45))</f>
        <v>-0</v>
      </c>
      <c r="AJ45" s="46" t="n">
        <f aca="false">-$E45*N(AND(AJ$3&lt;=$F45,AJ$4&gt;=$F45))</f>
        <v>-0</v>
      </c>
      <c r="AK45" s="46" t="n">
        <f aca="false">-$E45*N(AND(AK$3&lt;=$F45,AK$4&gt;=$F45))</f>
        <v>-0</v>
      </c>
      <c r="AL45" s="46" t="n">
        <f aca="false">-$E45*N(AND(AL$3&lt;=$F45,AL$4&gt;=$F45))</f>
        <v>-0</v>
      </c>
      <c r="AM45" s="46" t="n">
        <f aca="false">-$E45*N(AND(AM$3&lt;=$F45,AM$4&gt;=$F45))</f>
        <v>-0</v>
      </c>
      <c r="AN45" s="46" t="n">
        <f aca="false">-$E45*N(AND(AN$3&lt;=$F45,AN$4&gt;=$F45))</f>
        <v>-0</v>
      </c>
      <c r="AO45" s="46" t="n">
        <f aca="false">-$E45*N(AND(AO$3&lt;=$F45,AO$4&gt;=$F45))</f>
        <v>-0</v>
      </c>
      <c r="AP45" s="46" t="n">
        <f aca="false">-$E45*N(AND(AP$3&lt;=$F45,AP$4&gt;=$F45))</f>
        <v>-0</v>
      </c>
      <c r="AQ45" s="46" t="n">
        <f aca="false">-$E45*N(AND(AQ$3&lt;=$F45,AQ$4&gt;=$F45))</f>
        <v>-0</v>
      </c>
      <c r="AR45" s="46" t="n">
        <f aca="false">-$E45*N(AND(AR$3&lt;=$F45,AR$4&gt;=$F45))</f>
        <v>-0</v>
      </c>
      <c r="AS45" s="46" t="n">
        <f aca="false">-$E45*N(AND(AS$3&lt;=$F45,AS$4&gt;=$F45))</f>
        <v>-0</v>
      </c>
      <c r="AT45" s="46" t="n">
        <f aca="false">-$E45*N(AND(AT$3&lt;=$F45,AT$4&gt;=$F45))</f>
        <v>-0</v>
      </c>
      <c r="AU45" s="46" t="n">
        <f aca="false">-$E45*N(AND(AU$3&lt;=$F45,AU$4&gt;=$F45))</f>
        <v>-0</v>
      </c>
      <c r="AV45" s="46" t="n">
        <f aca="false">-$E45*N(AND(AV$3&lt;=$F45,AV$4&gt;=$F45))</f>
        <v>-0</v>
      </c>
      <c r="AW45" s="46" t="n">
        <f aca="false">-$E45*N(AND(AW$3&lt;=$F45,AW$4&gt;=$F45))</f>
        <v>-0</v>
      </c>
      <c r="AX45" s="46" t="n">
        <f aca="false">-$E45*N(AND(AX$3&lt;=$F45,AX$4&gt;=$F45))</f>
        <v>-0</v>
      </c>
      <c r="AY45" s="46" t="n">
        <f aca="false">-$E45*N(AND(AY$3&lt;=$F45,AY$4&gt;=$F45))</f>
        <v>-0</v>
      </c>
      <c r="AZ45" s="46" t="n">
        <f aca="false">-$E45*N(AND(AZ$3&lt;=$F45,AZ$4&gt;=$F45))</f>
        <v>-0</v>
      </c>
      <c r="BA45" s="46" t="n">
        <f aca="false">-$E45*N(AND(BA$3&lt;=$F45,BA$4&gt;=$F45))</f>
        <v>-0</v>
      </c>
      <c r="BB45" s="46" t="n">
        <f aca="false">-$E45*N(AND(BB$3&lt;=$F45,BB$4&gt;=$F45))</f>
        <v>-0</v>
      </c>
      <c r="BC45" s="46" t="n">
        <f aca="false">-$E45*N(AND(BC$3&lt;=$F45,BC$4&gt;=$F45))</f>
        <v>-0</v>
      </c>
      <c r="BD45" s="46" t="n">
        <f aca="false">-$E45*N(AND(BD$3&lt;=$F45,BD$4&gt;=$F45))</f>
        <v>-0</v>
      </c>
      <c r="BE45" s="46" t="n">
        <f aca="false">-$E45*N(AND(BE$3&lt;=$F45,BE$4&gt;=$F45))</f>
        <v>-0</v>
      </c>
      <c r="BF45" s="46" t="n">
        <f aca="false">-$E45*N(AND(BF$3&lt;=$F45,BF$4&gt;=$F45))</f>
        <v>-0</v>
      </c>
      <c r="BG45" s="46" t="n">
        <f aca="false">-$E45*N(AND(BG$3&lt;=$F45,BG$4&gt;=$F45))</f>
        <v>-0</v>
      </c>
      <c r="BH45" s="46" t="n">
        <f aca="false">-$E45*N(AND(BH$3&lt;=$F45,BH$4&gt;=$F45))</f>
        <v>-0</v>
      </c>
      <c r="BI45" s="46" t="n">
        <f aca="false">-$E45*N(AND(BI$3&lt;=$F45,BI$4&gt;=$F45))</f>
        <v>-0</v>
      </c>
      <c r="BJ45" s="46" t="n">
        <f aca="false">-$E45*N(AND(BJ$3&lt;=$F45,BJ$4&gt;=$F45))</f>
        <v>-0</v>
      </c>
      <c r="BK45" s="46" t="n">
        <f aca="false">-$E45*N(AND(BK$3&lt;=$F45,BK$4&gt;=$F45))</f>
        <v>-0</v>
      </c>
      <c r="BL45" s="46" t="n">
        <f aca="false">-$E45*N(AND(BL$3&lt;=$F45,BL$4&gt;=$F45))</f>
        <v>-0</v>
      </c>
      <c r="BM45" s="46" t="n">
        <f aca="false">-$E45*N(AND(BM$3&lt;=$F45,BM$4&gt;=$F45))</f>
        <v>-0</v>
      </c>
      <c r="BN45" s="46" t="n">
        <f aca="false">-$E45*N(AND(BN$3&lt;=$F45,BN$4&gt;=$F45))</f>
        <v>-0</v>
      </c>
      <c r="BO45" s="46" t="n">
        <f aca="false">-$E45*N(AND(BO$3&lt;=$F45,BO$4&gt;=$F45))</f>
        <v>-0</v>
      </c>
      <c r="BP45" s="46" t="n">
        <f aca="false">-$E45*N(AND(BP$3&lt;=$F45,BP$4&gt;=$F45))</f>
        <v>-0</v>
      </c>
      <c r="BQ45" s="46" t="n">
        <f aca="false">-$E45*N(AND(BQ$3&lt;=$F45,BQ$4&gt;=$F45))</f>
        <v>-0</v>
      </c>
      <c r="BR45" s="46" t="n">
        <f aca="false">-$E45*N(AND(BR$3&lt;=$F45,BR$4&gt;=$F45))</f>
        <v>-0</v>
      </c>
      <c r="BS45" s="46" t="n">
        <f aca="false">-$E45*N(AND(BS$3&lt;=$F45,BS$4&gt;=$F45))</f>
        <v>-0</v>
      </c>
      <c r="BT45" s="46" t="n">
        <f aca="false">-$E45*N(AND(BT$3&lt;=$F45,BT$4&gt;=$F45))</f>
        <v>-0</v>
      </c>
      <c r="BU45" s="46" t="n">
        <f aca="false">-$E45*N(AND(BU$3&lt;=$F45,BU$4&gt;=$F45))</f>
        <v>-0</v>
      </c>
      <c r="BV45" s="46" t="n">
        <f aca="false">-$E45*N(AND(BV$3&lt;=$F45,BV$4&gt;=$F45))</f>
        <v>-0</v>
      </c>
      <c r="BW45" s="46" t="n">
        <f aca="false">-$E45*N(AND(BW$3&lt;=$F45,BW$4&gt;=$F45))</f>
        <v>-0</v>
      </c>
      <c r="BX45" s="46" t="n">
        <f aca="false">-$E45*N(AND(BX$3&lt;=$F45,BX$4&gt;=$F45))</f>
        <v>-0</v>
      </c>
      <c r="BY45" s="46" t="n">
        <f aca="false">-$E45*N(AND(BY$3&lt;=$F45,BY$4&gt;=$F45))</f>
        <v>-0</v>
      </c>
      <c r="BZ45" s="46" t="n">
        <f aca="false">-$E45*N(AND(BZ$3&lt;=$F45,BZ$4&gt;=$F45))</f>
        <v>-0</v>
      </c>
      <c r="CA45" s="46" t="n">
        <f aca="false">-$E45*N(AND(CA$3&lt;=$F45,CA$4&gt;=$F45))</f>
        <v>-0</v>
      </c>
      <c r="CB45" s="46" t="n">
        <f aca="false">-$E45*N(AND(CB$3&lt;=$F45,CB$4&gt;=$F45))</f>
        <v>-0</v>
      </c>
      <c r="CC45" s="46" t="n">
        <f aca="false">-$E45*N(AND(CC$3&lt;=$F45,CC$4&gt;=$F45))</f>
        <v>-0</v>
      </c>
      <c r="CD45" s="46" t="n">
        <f aca="false">-$E45*N(AND(CD$3&lt;=$F45,CD$4&gt;=$F45))</f>
        <v>-0</v>
      </c>
      <c r="CE45" s="46" t="n">
        <f aca="false">-$E45*N(AND(CE$3&lt;=$F45,CE$4&gt;=$F45))</f>
        <v>-0</v>
      </c>
      <c r="CF45" s="46" t="n">
        <f aca="false">-$E45*N(AND(CF$3&lt;=$F45,CF$4&gt;=$F45))</f>
        <v>-0</v>
      </c>
      <c r="CG45" s="46" t="n">
        <f aca="false">-$E45*N(AND(CG$3&lt;=$F45,CG$4&gt;=$F45))</f>
        <v>-0</v>
      </c>
      <c r="CH45" s="46" t="n">
        <f aca="false">-$E45*N(AND(CH$3&lt;=$F45,CH$4&gt;=$F45))</f>
        <v>-0</v>
      </c>
      <c r="CI45" s="46" t="n">
        <f aca="false">-$E45*N(AND(CI$3&lt;=$F45,CI$4&gt;=$F45))</f>
        <v>-0</v>
      </c>
      <c r="CJ45" s="46" t="n">
        <f aca="false">-$E45*N(AND(CJ$3&lt;=$F45,CJ$4&gt;=$F45))</f>
        <v>-0</v>
      </c>
      <c r="CK45" s="46" t="n">
        <f aca="false">-$E45*N(AND(CK$3&lt;=$F45,CK$4&gt;=$F45))</f>
        <v>-0</v>
      </c>
      <c r="CL45" s="46" t="n">
        <f aca="false">-$E45*N(AND(CL$3&lt;=$F45,CL$4&gt;=$F45))</f>
        <v>-0</v>
      </c>
      <c r="CM45" s="46" t="n">
        <f aca="false">-$E45*N(AND(CM$3&lt;=$F45,CM$4&gt;=$F45))</f>
        <v>-0</v>
      </c>
      <c r="CN45" s="46" t="n">
        <f aca="false">-$E45*N(AND(CN$3&lt;=$F45,CN$4&gt;=$F45))</f>
        <v>-0</v>
      </c>
      <c r="CO45" s="46" t="n">
        <f aca="false">-$E45*N(AND(CO$3&lt;=$F45,CO$4&gt;=$F45))</f>
        <v>-0</v>
      </c>
      <c r="CP45" s="46" t="n">
        <f aca="false">-$E45*N(AND(CP$3&lt;=$F45,CP$4&gt;=$F45))</f>
        <v>-0</v>
      </c>
      <c r="CQ45" s="46" t="n">
        <f aca="false">-$E45*N(AND(CQ$3&lt;=$F45,CQ$4&gt;=$F45))</f>
        <v>-0</v>
      </c>
      <c r="CR45" s="46" t="n">
        <f aca="false">-$E45*N(AND(CR$3&lt;=$F45,CR$4&gt;=$F45))</f>
        <v>-0</v>
      </c>
      <c r="CS45" s="46" t="n">
        <f aca="false">-$E45*N(AND(CS$3&lt;=$F45,CS$4&gt;=$F45))</f>
        <v>-0</v>
      </c>
      <c r="CT45" s="46" t="n">
        <f aca="false">-$E45*N(AND(CT$3&lt;=$F45,CT$4&gt;=$F45))</f>
        <v>-0</v>
      </c>
      <c r="CU45" s="46" t="n">
        <f aca="false">-$E45*N(AND(CU$3&lt;=$F45,CU$4&gt;=$F45))</f>
        <v>-0</v>
      </c>
      <c r="CV45" s="46" t="n">
        <f aca="false">-$E45*N(AND(CV$3&lt;=$F45,CV$4&gt;=$F45))</f>
        <v>-0</v>
      </c>
      <c r="CW45" s="46" t="n">
        <f aca="false">-$E45*N(AND(CW$3&lt;=$F45,CW$4&gt;=$F45))</f>
        <v>-0</v>
      </c>
      <c r="CX45" s="46" t="n">
        <f aca="false">-$E45*N(AND(CX$3&lt;=$F45,CX$4&gt;=$F45))</f>
        <v>-0</v>
      </c>
      <c r="CY45" s="46" t="n">
        <f aca="false">-$E45*N(AND(CY$3&lt;=$F45,CY$4&gt;=$F45))</f>
        <v>-0</v>
      </c>
      <c r="CZ45" s="46" t="n">
        <f aca="false">-$E45*N(AND(CZ$3&lt;=$F45,CZ$4&gt;=$F45))</f>
        <v>-0</v>
      </c>
      <c r="DA45" s="46" t="n">
        <f aca="false">-$E45*N(AND(DA$3&lt;=$F45,DA$4&gt;=$F45))</f>
        <v>-0</v>
      </c>
      <c r="DB45" s="46" t="n">
        <f aca="false">-$E45*N(AND(DB$3&lt;=$F45,DB$4&gt;=$F45))</f>
        <v>-0</v>
      </c>
      <c r="DC45" s="46" t="n">
        <f aca="false">-$E45*N(AND(DC$3&lt;=$F45,DC$4&gt;=$F45))</f>
        <v>-0</v>
      </c>
      <c r="DD45" s="46" t="n">
        <f aca="false">-$E45*N(AND(DD$3&lt;=$F45,DD$4&gt;=$F45))</f>
        <v>-0</v>
      </c>
      <c r="DE45" s="46" t="n">
        <f aca="false">-$E45*N(AND(DE$3&lt;=$F45,DE$4&gt;=$F45))</f>
        <v>-0</v>
      </c>
      <c r="DF45" s="46" t="n">
        <f aca="false">-$E45*N(AND(DF$3&lt;=$F45,DF$4&gt;=$F45))</f>
        <v>-0</v>
      </c>
      <c r="DG45" s="46" t="n">
        <f aca="false">-$E45*N(AND(DG$3&lt;=$F45,DG$4&gt;=$F45))</f>
        <v>-0</v>
      </c>
      <c r="DH45" s="46" t="n">
        <f aca="false">-$E45*N(AND(DH$3&lt;=$F45,DH$4&gt;=$F45))</f>
        <v>-0</v>
      </c>
      <c r="DI45" s="46" t="n">
        <f aca="false">-$E45*N(AND(DI$3&lt;=$F45,DI$4&gt;=$F45))</f>
        <v>-0</v>
      </c>
      <c r="DJ45" s="46" t="n">
        <f aca="false">-$E45*N(AND(DJ$3&lt;=$F45,DJ$4&gt;=$F45))</f>
        <v>-0</v>
      </c>
      <c r="DK45" s="46" t="n">
        <f aca="false">-$E45*N(AND(DK$3&lt;=$F45,DK$4&gt;=$F45))</f>
        <v>-0</v>
      </c>
      <c r="DL45" s="46" t="n">
        <f aca="false">-$E45*N(AND(DL$3&lt;=$F45,DL$4&gt;=$F45))</f>
        <v>-0</v>
      </c>
      <c r="DM45" s="46" t="n">
        <f aca="false">-$E45*N(AND(DM$3&lt;=$F45,DM$4&gt;=$F45))</f>
        <v>-0</v>
      </c>
      <c r="DN45" s="46" t="n">
        <f aca="false">-$E45*N(AND(DN$3&lt;=$F45,DN$4&gt;=$F45))</f>
        <v>-0</v>
      </c>
      <c r="DO45" s="46" t="n">
        <f aca="false">-$E45*N(AND(DO$3&lt;=$F45,DO$4&gt;=$F45))</f>
        <v>-0</v>
      </c>
      <c r="DP45" s="46" t="n">
        <f aca="false">-$E45*N(AND(DP$3&lt;=$F45,DP$4&gt;=$F45))</f>
        <v>-0</v>
      </c>
      <c r="DQ45" s="46" t="n">
        <f aca="false">-$E45*N(AND(DQ$3&lt;=$F45,DQ$4&gt;=$F45))</f>
        <v>-0</v>
      </c>
      <c r="DR45" s="46" t="n">
        <f aca="false">-$E45*N(AND(DR$3&lt;=$F45,DR$4&gt;=$F45))</f>
        <v>-0</v>
      </c>
      <c r="DS45" s="46" t="n">
        <f aca="false">-$E45*N(AND(DS$3&lt;=$F45,DS$4&gt;=$F45))</f>
        <v>-0</v>
      </c>
      <c r="DT45" s="46" t="n">
        <f aca="false">-$E45*N(AND(DT$3&lt;=$F45,DT$4&gt;=$F45))</f>
        <v>-0</v>
      </c>
      <c r="DU45" s="46" t="n">
        <f aca="false">-$E45*N(AND(DU$3&lt;=$F45,DU$4&gt;=$F45))</f>
        <v>-0</v>
      </c>
      <c r="DV45" s="46" t="n">
        <f aca="false">-$E45*N(AND(DV$3&lt;=$F45,DV$4&gt;=$F45))</f>
        <v>-0</v>
      </c>
      <c r="DW45" s="46" t="n">
        <f aca="false">-$E45*N(AND(DW$3&lt;=$F45,DW$4&gt;=$F45))</f>
        <v>-0</v>
      </c>
      <c r="DX45" s="46" t="n">
        <f aca="false">-$E45*N(AND(DX$3&lt;=$F45,DX$4&gt;=$F45))</f>
        <v>-0</v>
      </c>
      <c r="DY45" s="46" t="n">
        <f aca="false">-$E45*N(AND(DY$3&lt;=$F45,DY$4&gt;=$F45))</f>
        <v>-0</v>
      </c>
      <c r="DZ45" s="46" t="n">
        <f aca="false">-$E45*N(AND(DZ$3&lt;=$F45,DZ$4&gt;=$F45))</f>
        <v>-0</v>
      </c>
      <c r="EA45" s="46" t="n">
        <f aca="false">-$E45*N(AND(EA$3&lt;=$F45,EA$4&gt;=$F45))</f>
        <v>-0</v>
      </c>
      <c r="EB45" s="46" t="n">
        <f aca="false">-$E45*N(AND(EB$3&lt;=$F45,EB$4&gt;=$F45))</f>
        <v>-0</v>
      </c>
      <c r="EC45" s="46" t="n">
        <f aca="false">-$E45*N(AND(EC$3&lt;=$F45,EC$4&gt;=$F45))</f>
        <v>-0</v>
      </c>
      <c r="ED45" s="46" t="n">
        <f aca="false">-$E45*N(AND(ED$3&lt;=$F45,ED$4&gt;=$F45))</f>
        <v>-0</v>
      </c>
      <c r="EE45" s="46" t="n">
        <f aca="false">-$E45*N(AND(EE$3&lt;=$F45,EE$4&gt;=$F45))</f>
        <v>-0</v>
      </c>
      <c r="EF45" s="46" t="n">
        <f aca="false">-$E45*N(AND(EF$3&lt;=$F45,EF$4&gt;=$F45))</f>
        <v>-0</v>
      </c>
      <c r="EG45" s="46" t="n">
        <f aca="false">-$E45*N(AND(EG$3&lt;=$F45,EG$4&gt;=$F45))</f>
        <v>-0</v>
      </c>
      <c r="EH45" s="46" t="n">
        <f aca="false">-$E45*N(AND(EH$3&lt;=$F45,EH$4&gt;=$F45))</f>
        <v>-0</v>
      </c>
      <c r="EI45" s="46" t="n">
        <f aca="false">-$E45*N(AND(EI$3&lt;=$F45,EI$4&gt;=$F45))</f>
        <v>-0</v>
      </c>
      <c r="EJ45" s="46" t="n">
        <f aca="false">-$E45*N(AND(EJ$3&lt;=$F45,EJ$4&gt;=$F45))</f>
        <v>-0</v>
      </c>
      <c r="EK45" s="46" t="n">
        <f aca="false">-$E45*N(AND(EK$3&lt;=$F45,EK$4&gt;=$F45))</f>
        <v>-0</v>
      </c>
      <c r="EL45" s="46" t="n">
        <f aca="false">-$E45*N(AND(EL$3&lt;=$F45,EL$4&gt;=$F45))</f>
        <v>-0</v>
      </c>
      <c r="EM45" s="46" t="n">
        <f aca="false">-$E45*N(AND(EM$3&lt;=$F45,EM$4&gt;=$F45))</f>
        <v>-0</v>
      </c>
      <c r="EN45" s="46" t="n">
        <f aca="false">-$E45*N(AND(EN$3&lt;=$F45,EN$4&gt;=$F45))</f>
        <v>-0</v>
      </c>
      <c r="EO45" s="46" t="n">
        <f aca="false">-$E45*N(AND(EO$3&lt;=$F45,EO$4&gt;=$F45))</f>
        <v>-0</v>
      </c>
    </row>
    <row r="46" customFormat="false" ht="15" hidden="false" customHeight="false" outlineLevel="0" collapsed="false">
      <c r="C46" s="0" t="s">
        <v>378</v>
      </c>
      <c r="D46" s="11" t="s">
        <v>33</v>
      </c>
      <c r="E46" s="46" t="n">
        <f aca="false">In_Bid_Rate*$E44*Thousand/In_FX</f>
        <v>333.698630136986</v>
      </c>
      <c r="F46" s="21" t="n">
        <f aca="false">In_Bid_Date</f>
        <v>46325</v>
      </c>
      <c r="J46" s="46" t="n">
        <f aca="false">$E46*MAX(0,(MIN(In_Decision_Date+In_PB_Days-1,J$4)-MAX($F46,J$3)+1)/J$5)</f>
        <v>228.511018463371</v>
      </c>
      <c r="K46" s="46" t="n">
        <f aca="false">$E46*MAX(0,(MIN(In_Decision_Date+In_PB_Days-1,K$4)-MAX($F46,K$3)+1)/K$5)</f>
        <v>166.849315068493</v>
      </c>
      <c r="L46" s="46" t="n">
        <f aca="false">$E46*MAX(0,(MIN(In_Decision_Date+In_PB_Days-1,L$4)-MAX($F46,L$3)+1)/L$5)</f>
        <v>0</v>
      </c>
      <c r="M46" s="46" t="n">
        <f aca="false">$E46*MAX(0,(MIN(In_Decision_Date+In_PB_Days-1,M$4)-MAX($F46,M$3)+1)/M$5)</f>
        <v>0</v>
      </c>
      <c r="N46" s="46" t="n">
        <f aca="false">$E46*MAX(0,(MIN(In_Decision_Date+In_PB_Days-1,N$4)-MAX($F46,N$3)+1)/N$5)</f>
        <v>0</v>
      </c>
      <c r="O46" s="46" t="n">
        <f aca="false">$E46*MAX(0,(MIN(In_Decision_Date+In_PB_Days-1,O$4)-MAX($F46,O$3)+1)/O$5)</f>
        <v>0</v>
      </c>
      <c r="P46" s="46" t="n">
        <f aca="false">$E46*MAX(0,(MIN(In_Decision_Date+In_PB_Days-1,P$4)-MAX($F46,P$3)+1)/P$5)</f>
        <v>0</v>
      </c>
      <c r="Q46" s="46" t="n">
        <f aca="false">$E46*MAX(0,(MIN(In_Decision_Date+In_PB_Days-1,Q$4)-MAX($F46,Q$3)+1)/Q$5)</f>
        <v>0</v>
      </c>
      <c r="R46" s="46" t="n">
        <f aca="false">$E46*MAX(0,(MIN(In_Decision_Date+In_PB_Days-1,R$4)-MAX($F46,R$3)+1)/R$5)</f>
        <v>0</v>
      </c>
      <c r="S46" s="46" t="n">
        <f aca="false">$E46*MAX(0,(MIN(In_Decision_Date+In_PB_Days-1,S$4)-MAX($F46,S$3)+1)/S$5)</f>
        <v>0</v>
      </c>
      <c r="T46" s="46" t="n">
        <f aca="false">$E46*MAX(0,(MIN(In_Decision_Date+In_PB_Days-1,T$4)-MAX($F46,T$3)+1)/T$5)</f>
        <v>0</v>
      </c>
      <c r="U46" s="46" t="n">
        <f aca="false">$E46*MAX(0,(MIN(In_Decision_Date+In_PB_Days-1,U$4)-MAX($F46,U$3)+1)/U$5)</f>
        <v>0</v>
      </c>
      <c r="V46" s="46" t="n">
        <f aca="false">$E46*MAX(0,(MIN(In_Decision_Date+In_PB_Days-1,V$4)-MAX($F46,V$3)+1)/V$5)</f>
        <v>0</v>
      </c>
      <c r="W46" s="46" t="n">
        <f aca="false">$E46*MAX(0,(MIN(In_Decision_Date+In_PB_Days-1,W$4)-MAX($F46,W$3)+1)/W$5)</f>
        <v>0</v>
      </c>
      <c r="X46" s="46" t="n">
        <f aca="false">$E46*MAX(0,(MIN(In_Decision_Date+In_PB_Days-1,X$4)-MAX($F46,X$3)+1)/X$5)</f>
        <v>0</v>
      </c>
      <c r="Y46" s="46" t="n">
        <f aca="false">$E46*MAX(0,(MIN(In_Decision_Date+In_PB_Days-1,Y$4)-MAX($F46,Y$3)+1)/Y$5)</f>
        <v>0</v>
      </c>
      <c r="Z46" s="46" t="n">
        <f aca="false">$E46*MAX(0,(MIN(In_Decision_Date+In_PB_Days-1,Z$4)-MAX($F46,Z$3)+1)/Z$5)</f>
        <v>0</v>
      </c>
      <c r="AA46" s="46" t="n">
        <f aca="false">$E46*MAX(0,(MIN(In_Decision_Date+In_PB_Days-1,AA$4)-MAX($F46,AA$3)+1)/AA$5)</f>
        <v>0</v>
      </c>
      <c r="AB46" s="46" t="n">
        <f aca="false">$E46*MAX(0,(MIN(In_Decision_Date+In_PB_Days-1,AB$4)-MAX($F46,AB$3)+1)/AB$5)</f>
        <v>0</v>
      </c>
      <c r="AC46" s="46" t="n">
        <f aca="false">$E46*MAX(0,(MIN(In_Decision_Date+In_PB_Days-1,AC$4)-MAX($F46,AC$3)+1)/AC$5)</f>
        <v>0</v>
      </c>
      <c r="AD46" s="46" t="n">
        <f aca="false">$E46*MAX(0,(MIN(In_Decision_Date+In_PB_Days-1,AD$4)-MAX($F46,AD$3)+1)/AD$5)</f>
        <v>0</v>
      </c>
      <c r="AE46" s="46" t="n">
        <f aca="false">$E46*MAX(0,(MIN(In_Decision_Date+In_PB_Days-1,AE$4)-MAX($F46,AE$3)+1)/AE$5)</f>
        <v>0</v>
      </c>
      <c r="AF46" s="46" t="n">
        <f aca="false">$E46*MAX(0,(MIN(In_Decision_Date+In_PB_Days-1,AF$4)-MAX($F46,AF$3)+1)/AF$5)</f>
        <v>0</v>
      </c>
      <c r="AG46" s="46" t="n">
        <f aca="false">$E46*MAX(0,(MIN(In_Decision_Date+In_PB_Days-1,AG$4)-MAX($F46,AG$3)+1)/AG$5)</f>
        <v>0</v>
      </c>
      <c r="AH46" s="46" t="n">
        <f aca="false">$E46*MAX(0,(MIN(In_Decision_Date+In_PB_Days-1,AH$4)-MAX($F46,AH$3)+1)/AH$5)</f>
        <v>0</v>
      </c>
      <c r="AI46" s="46" t="n">
        <f aca="false">$E46*MAX(0,(MIN(In_Decision_Date+In_PB_Days-1,AI$4)-MAX($F46,AI$3)+1)/AI$5)</f>
        <v>0</v>
      </c>
      <c r="AJ46" s="46" t="n">
        <f aca="false">$E46*MAX(0,(MIN(In_Decision_Date+In_PB_Days-1,AJ$4)-MAX($F46,AJ$3)+1)/AJ$5)</f>
        <v>0</v>
      </c>
      <c r="AK46" s="46" t="n">
        <f aca="false">$E46*MAX(0,(MIN(In_Decision_Date+In_PB_Days-1,AK$4)-MAX($F46,AK$3)+1)/AK$5)</f>
        <v>0</v>
      </c>
      <c r="AL46" s="46" t="n">
        <f aca="false">$E46*MAX(0,(MIN(In_Decision_Date+In_PB_Days-1,AL$4)-MAX($F46,AL$3)+1)/AL$5)</f>
        <v>0</v>
      </c>
      <c r="AM46" s="46" t="n">
        <f aca="false">$E46*MAX(0,(MIN(In_Decision_Date+In_PB_Days-1,AM$4)-MAX($F46,AM$3)+1)/AM$5)</f>
        <v>0</v>
      </c>
      <c r="AN46" s="46" t="n">
        <f aca="false">$E46*MAX(0,(MIN(In_Decision_Date+In_PB_Days-1,AN$4)-MAX($F46,AN$3)+1)/AN$5)</f>
        <v>0</v>
      </c>
      <c r="AO46" s="46" t="n">
        <f aca="false">$E46*MAX(0,(MIN(In_Decision_Date+In_PB_Days-1,AO$4)-MAX($F46,AO$3)+1)/AO$5)</f>
        <v>0</v>
      </c>
      <c r="AP46" s="46" t="n">
        <f aca="false">$E46*MAX(0,(MIN(In_Decision_Date+In_PB_Days-1,AP$4)-MAX($F46,AP$3)+1)/AP$5)</f>
        <v>0</v>
      </c>
      <c r="AQ46" s="46" t="n">
        <f aca="false">$E46*MAX(0,(MIN(In_Decision_Date+In_PB_Days-1,AQ$4)-MAX($F46,AQ$3)+1)/AQ$5)</f>
        <v>0</v>
      </c>
      <c r="AR46" s="46" t="n">
        <f aca="false">$E46*MAX(0,(MIN(In_Decision_Date+In_PB_Days-1,AR$4)-MAX($F46,AR$3)+1)/AR$5)</f>
        <v>0</v>
      </c>
      <c r="AS46" s="46" t="n">
        <f aca="false">$E46*MAX(0,(MIN(In_Decision_Date+In_PB_Days-1,AS$4)-MAX($F46,AS$3)+1)/AS$5)</f>
        <v>0</v>
      </c>
      <c r="AT46" s="46" t="n">
        <f aca="false">$E46*MAX(0,(MIN(In_Decision_Date+In_PB_Days-1,AT$4)-MAX($F46,AT$3)+1)/AT$5)</f>
        <v>0</v>
      </c>
      <c r="AU46" s="46" t="n">
        <f aca="false">$E46*MAX(0,(MIN(In_Decision_Date+In_PB_Days-1,AU$4)-MAX($F46,AU$3)+1)/AU$5)</f>
        <v>0</v>
      </c>
      <c r="AV46" s="46" t="n">
        <f aca="false">$E46*MAX(0,(MIN(In_Decision_Date+In_PB_Days-1,AV$4)-MAX($F46,AV$3)+1)/AV$5)</f>
        <v>0</v>
      </c>
      <c r="AW46" s="46" t="n">
        <f aca="false">$E46*MAX(0,(MIN(In_Decision_Date+In_PB_Days-1,AW$4)-MAX($F46,AW$3)+1)/AW$5)</f>
        <v>0</v>
      </c>
      <c r="AX46" s="46" t="n">
        <f aca="false">$E46*MAX(0,(MIN(In_Decision_Date+In_PB_Days-1,AX$4)-MAX($F46,AX$3)+1)/AX$5)</f>
        <v>0</v>
      </c>
      <c r="AY46" s="46" t="n">
        <f aca="false">$E46*MAX(0,(MIN(In_Decision_Date+In_PB_Days-1,AY$4)-MAX($F46,AY$3)+1)/AY$5)</f>
        <v>0</v>
      </c>
      <c r="AZ46" s="46" t="n">
        <f aca="false">$E46*MAX(0,(MIN(In_Decision_Date+In_PB_Days-1,AZ$4)-MAX($F46,AZ$3)+1)/AZ$5)</f>
        <v>0</v>
      </c>
      <c r="BA46" s="46" t="n">
        <f aca="false">$E46*MAX(0,(MIN(In_Decision_Date+In_PB_Days-1,BA$4)-MAX($F46,BA$3)+1)/BA$5)</f>
        <v>0</v>
      </c>
      <c r="BB46" s="46" t="n">
        <f aca="false">$E46*MAX(0,(MIN(In_Decision_Date+In_PB_Days-1,BB$4)-MAX($F46,BB$3)+1)/BB$5)</f>
        <v>0</v>
      </c>
      <c r="BC46" s="46" t="n">
        <f aca="false">$E46*MAX(0,(MIN(In_Decision_Date+In_PB_Days-1,BC$4)-MAX($F46,BC$3)+1)/BC$5)</f>
        <v>0</v>
      </c>
      <c r="BD46" s="46" t="n">
        <f aca="false">$E46*MAX(0,(MIN(In_Decision_Date+In_PB_Days-1,BD$4)-MAX($F46,BD$3)+1)/BD$5)</f>
        <v>0</v>
      </c>
      <c r="BE46" s="46" t="n">
        <f aca="false">$E46*MAX(0,(MIN(In_Decision_Date+In_PB_Days-1,BE$4)-MAX($F46,BE$3)+1)/BE$5)</f>
        <v>0</v>
      </c>
      <c r="BF46" s="46" t="n">
        <f aca="false">$E46*MAX(0,(MIN(In_Decision_Date+In_PB_Days-1,BF$4)-MAX($F46,BF$3)+1)/BF$5)</f>
        <v>0</v>
      </c>
      <c r="BG46" s="46" t="n">
        <f aca="false">$E46*MAX(0,(MIN(In_Decision_Date+In_PB_Days-1,BG$4)-MAX($F46,BG$3)+1)/BG$5)</f>
        <v>0</v>
      </c>
      <c r="BH46" s="46" t="n">
        <f aca="false">$E46*MAX(0,(MIN(In_Decision_Date+In_PB_Days-1,BH$4)-MAX($F46,BH$3)+1)/BH$5)</f>
        <v>0</v>
      </c>
      <c r="BI46" s="46" t="n">
        <f aca="false">$E46*MAX(0,(MIN(In_Decision_Date+In_PB_Days-1,BI$4)-MAX($F46,BI$3)+1)/BI$5)</f>
        <v>0</v>
      </c>
      <c r="BJ46" s="46" t="n">
        <f aca="false">$E46*MAX(0,(MIN(In_Decision_Date+In_PB_Days-1,BJ$4)-MAX($F46,BJ$3)+1)/BJ$5)</f>
        <v>0</v>
      </c>
      <c r="BK46" s="46" t="n">
        <f aca="false">$E46*MAX(0,(MIN(In_Decision_Date+In_PB_Days-1,BK$4)-MAX($F46,BK$3)+1)/BK$5)</f>
        <v>0</v>
      </c>
      <c r="BL46" s="46" t="n">
        <f aca="false">$E46*MAX(0,(MIN(In_Decision_Date+In_PB_Days-1,BL$4)-MAX($F46,BL$3)+1)/BL$5)</f>
        <v>0</v>
      </c>
      <c r="BM46" s="46" t="n">
        <f aca="false">$E46*MAX(0,(MIN(In_Decision_Date+In_PB_Days-1,BM$4)-MAX($F46,BM$3)+1)/BM$5)</f>
        <v>0</v>
      </c>
      <c r="BN46" s="46" t="n">
        <f aca="false">$E46*MAX(0,(MIN(In_Decision_Date+In_PB_Days-1,BN$4)-MAX($F46,BN$3)+1)/BN$5)</f>
        <v>0</v>
      </c>
      <c r="BO46" s="46" t="n">
        <f aca="false">$E46*MAX(0,(MIN(In_Decision_Date+In_PB_Days-1,BO$4)-MAX($F46,BO$3)+1)/BO$5)</f>
        <v>0</v>
      </c>
      <c r="BP46" s="46" t="n">
        <f aca="false">$E46*MAX(0,(MIN(In_Decision_Date+In_PB_Days-1,BP$4)-MAX($F46,BP$3)+1)/BP$5)</f>
        <v>0</v>
      </c>
      <c r="BQ46" s="46" t="n">
        <f aca="false">$E46*MAX(0,(MIN(In_Decision_Date+In_PB_Days-1,BQ$4)-MAX($F46,BQ$3)+1)/BQ$5)</f>
        <v>0</v>
      </c>
      <c r="BR46" s="46" t="n">
        <f aca="false">$E46*MAX(0,(MIN(In_Decision_Date+In_PB_Days-1,BR$4)-MAX($F46,BR$3)+1)/BR$5)</f>
        <v>0</v>
      </c>
      <c r="BS46" s="46" t="n">
        <f aca="false">$E46*MAX(0,(MIN(In_Decision_Date+In_PB_Days-1,BS$4)-MAX($F46,BS$3)+1)/BS$5)</f>
        <v>0</v>
      </c>
      <c r="BT46" s="46" t="n">
        <f aca="false">$E46*MAX(0,(MIN(In_Decision_Date+In_PB_Days-1,BT$4)-MAX($F46,BT$3)+1)/BT$5)</f>
        <v>0</v>
      </c>
      <c r="BU46" s="46" t="n">
        <f aca="false">$E46*MAX(0,(MIN(In_Decision_Date+In_PB_Days-1,BU$4)-MAX($F46,BU$3)+1)/BU$5)</f>
        <v>0</v>
      </c>
      <c r="BV46" s="46" t="n">
        <f aca="false">$E46*MAX(0,(MIN(In_Decision_Date+In_PB_Days-1,BV$4)-MAX($F46,BV$3)+1)/BV$5)</f>
        <v>0</v>
      </c>
      <c r="BW46" s="46" t="n">
        <f aca="false">$E46*MAX(0,(MIN(In_Decision_Date+In_PB_Days-1,BW$4)-MAX($F46,BW$3)+1)/BW$5)</f>
        <v>0</v>
      </c>
      <c r="BX46" s="46" t="n">
        <f aca="false">$E46*MAX(0,(MIN(In_Decision_Date+In_PB_Days-1,BX$4)-MAX($F46,BX$3)+1)/BX$5)</f>
        <v>0</v>
      </c>
      <c r="BY46" s="46" t="n">
        <f aca="false">$E46*MAX(0,(MIN(In_Decision_Date+In_PB_Days-1,BY$4)-MAX($F46,BY$3)+1)/BY$5)</f>
        <v>0</v>
      </c>
      <c r="BZ46" s="46" t="n">
        <f aca="false">$E46*MAX(0,(MIN(In_Decision_Date+In_PB_Days-1,BZ$4)-MAX($F46,BZ$3)+1)/BZ$5)</f>
        <v>0</v>
      </c>
      <c r="CA46" s="46" t="n">
        <f aca="false">$E46*MAX(0,(MIN(In_Decision_Date+In_PB_Days-1,CA$4)-MAX($F46,CA$3)+1)/CA$5)</f>
        <v>0</v>
      </c>
      <c r="CB46" s="46" t="n">
        <f aca="false">$E46*MAX(0,(MIN(In_Decision_Date+In_PB_Days-1,CB$4)-MAX($F46,CB$3)+1)/CB$5)</f>
        <v>0</v>
      </c>
      <c r="CC46" s="46" t="n">
        <f aca="false">$E46*MAX(0,(MIN(In_Decision_Date+In_PB_Days-1,CC$4)-MAX($F46,CC$3)+1)/CC$5)</f>
        <v>0</v>
      </c>
      <c r="CD46" s="46" t="n">
        <f aca="false">$E46*MAX(0,(MIN(In_Decision_Date+In_PB_Days-1,CD$4)-MAX($F46,CD$3)+1)/CD$5)</f>
        <v>0</v>
      </c>
      <c r="CE46" s="46" t="n">
        <f aca="false">$E46*MAX(0,(MIN(In_Decision_Date+In_PB_Days-1,CE$4)-MAX($F46,CE$3)+1)/CE$5)</f>
        <v>0</v>
      </c>
      <c r="CF46" s="46" t="n">
        <f aca="false">$E46*MAX(0,(MIN(In_Decision_Date+In_PB_Days-1,CF$4)-MAX($F46,CF$3)+1)/CF$5)</f>
        <v>0</v>
      </c>
      <c r="CG46" s="46" t="n">
        <f aca="false">$E46*MAX(0,(MIN(In_Decision_Date+In_PB_Days-1,CG$4)-MAX($F46,CG$3)+1)/CG$5)</f>
        <v>0</v>
      </c>
      <c r="CH46" s="46" t="n">
        <f aca="false">$E46*MAX(0,(MIN(In_Decision_Date+In_PB_Days-1,CH$4)-MAX($F46,CH$3)+1)/CH$5)</f>
        <v>0</v>
      </c>
      <c r="CI46" s="46" t="n">
        <f aca="false">$E46*MAX(0,(MIN(In_Decision_Date+In_PB_Days-1,CI$4)-MAX($F46,CI$3)+1)/CI$5)</f>
        <v>0</v>
      </c>
      <c r="CJ46" s="46" t="n">
        <f aca="false">$E46*MAX(0,(MIN(In_Decision_Date+In_PB_Days-1,CJ$4)-MAX($F46,CJ$3)+1)/CJ$5)</f>
        <v>0</v>
      </c>
      <c r="CK46" s="46" t="n">
        <f aca="false">$E46*MAX(0,(MIN(In_Decision_Date+In_PB_Days-1,CK$4)-MAX($F46,CK$3)+1)/CK$5)</f>
        <v>0</v>
      </c>
      <c r="CL46" s="46" t="n">
        <f aca="false">$E46*MAX(0,(MIN(In_Decision_Date+In_PB_Days-1,CL$4)-MAX($F46,CL$3)+1)/CL$5)</f>
        <v>0</v>
      </c>
      <c r="CM46" s="46" t="n">
        <f aca="false">$E46*MAX(0,(MIN(In_Decision_Date+In_PB_Days-1,CM$4)-MAX($F46,CM$3)+1)/CM$5)</f>
        <v>0</v>
      </c>
      <c r="CN46" s="46" t="n">
        <f aca="false">$E46*MAX(0,(MIN(In_Decision_Date+In_PB_Days-1,CN$4)-MAX($F46,CN$3)+1)/CN$5)</f>
        <v>0</v>
      </c>
      <c r="CO46" s="46" t="n">
        <f aca="false">$E46*MAX(0,(MIN(In_Decision_Date+In_PB_Days-1,CO$4)-MAX($F46,CO$3)+1)/CO$5)</f>
        <v>0</v>
      </c>
      <c r="CP46" s="46" t="n">
        <f aca="false">$E46*MAX(0,(MIN(In_Decision_Date+In_PB_Days-1,CP$4)-MAX($F46,CP$3)+1)/CP$5)</f>
        <v>0</v>
      </c>
      <c r="CQ46" s="46" t="n">
        <f aca="false">$E46*MAX(0,(MIN(In_Decision_Date+In_PB_Days-1,CQ$4)-MAX($F46,CQ$3)+1)/CQ$5)</f>
        <v>0</v>
      </c>
      <c r="CR46" s="46" t="n">
        <f aca="false">$E46*MAX(0,(MIN(In_Decision_Date+In_PB_Days-1,CR$4)-MAX($F46,CR$3)+1)/CR$5)</f>
        <v>0</v>
      </c>
      <c r="CS46" s="46" t="n">
        <f aca="false">$E46*MAX(0,(MIN(In_Decision_Date+In_PB_Days-1,CS$4)-MAX($F46,CS$3)+1)/CS$5)</f>
        <v>0</v>
      </c>
      <c r="CT46" s="46" t="n">
        <f aca="false">$E46*MAX(0,(MIN(In_Decision_Date+In_PB_Days-1,CT$4)-MAX($F46,CT$3)+1)/CT$5)</f>
        <v>0</v>
      </c>
      <c r="CU46" s="46" t="n">
        <f aca="false">$E46*MAX(0,(MIN(In_Decision_Date+In_PB_Days-1,CU$4)-MAX($F46,CU$3)+1)/CU$5)</f>
        <v>0</v>
      </c>
      <c r="CV46" s="46" t="n">
        <f aca="false">$E46*MAX(0,(MIN(In_Decision_Date+In_PB_Days-1,CV$4)-MAX($F46,CV$3)+1)/CV$5)</f>
        <v>0</v>
      </c>
      <c r="CW46" s="46" t="n">
        <f aca="false">$E46*MAX(0,(MIN(In_Decision_Date+In_PB_Days-1,CW$4)-MAX($F46,CW$3)+1)/CW$5)</f>
        <v>0</v>
      </c>
      <c r="CX46" s="46" t="n">
        <f aca="false">$E46*MAX(0,(MIN(In_Decision_Date+In_PB_Days-1,CX$4)-MAX($F46,CX$3)+1)/CX$5)</f>
        <v>0</v>
      </c>
      <c r="CY46" s="46" t="n">
        <f aca="false">$E46*MAX(0,(MIN(In_Decision_Date+In_PB_Days-1,CY$4)-MAX($F46,CY$3)+1)/CY$5)</f>
        <v>0</v>
      </c>
      <c r="CZ46" s="46" t="n">
        <f aca="false">$E46*MAX(0,(MIN(In_Decision_Date+In_PB_Days-1,CZ$4)-MAX($F46,CZ$3)+1)/CZ$5)</f>
        <v>0</v>
      </c>
      <c r="DA46" s="46" t="n">
        <f aca="false">$E46*MAX(0,(MIN(In_Decision_Date+In_PB_Days-1,DA$4)-MAX($F46,DA$3)+1)/DA$5)</f>
        <v>0</v>
      </c>
      <c r="DB46" s="46" t="n">
        <f aca="false">$E46*MAX(0,(MIN(In_Decision_Date+In_PB_Days-1,DB$4)-MAX($F46,DB$3)+1)/DB$5)</f>
        <v>0</v>
      </c>
      <c r="DC46" s="46" t="n">
        <f aca="false">$E46*MAX(0,(MIN(In_Decision_Date+In_PB_Days-1,DC$4)-MAX($F46,DC$3)+1)/DC$5)</f>
        <v>0</v>
      </c>
      <c r="DD46" s="46" t="n">
        <f aca="false">$E46*MAX(0,(MIN(In_Decision_Date+In_PB_Days-1,DD$4)-MAX($F46,DD$3)+1)/DD$5)</f>
        <v>0</v>
      </c>
      <c r="DE46" s="46" t="n">
        <f aca="false">$E46*MAX(0,(MIN(In_Decision_Date+In_PB_Days-1,DE$4)-MAX($F46,DE$3)+1)/DE$5)</f>
        <v>0</v>
      </c>
      <c r="DF46" s="46" t="n">
        <f aca="false">$E46*MAX(0,(MIN(In_Decision_Date+In_PB_Days-1,DF$4)-MAX($F46,DF$3)+1)/DF$5)</f>
        <v>0</v>
      </c>
      <c r="DG46" s="46" t="n">
        <f aca="false">$E46*MAX(0,(MIN(In_Decision_Date+In_PB_Days-1,DG$4)-MAX($F46,DG$3)+1)/DG$5)</f>
        <v>0</v>
      </c>
      <c r="DH46" s="46" t="n">
        <f aca="false">$E46*MAX(0,(MIN(In_Decision_Date+In_PB_Days-1,DH$4)-MAX($F46,DH$3)+1)/DH$5)</f>
        <v>0</v>
      </c>
      <c r="DI46" s="46" t="n">
        <f aca="false">$E46*MAX(0,(MIN(In_Decision_Date+In_PB_Days-1,DI$4)-MAX($F46,DI$3)+1)/DI$5)</f>
        <v>0</v>
      </c>
      <c r="DJ46" s="46" t="n">
        <f aca="false">$E46*MAX(0,(MIN(In_Decision_Date+In_PB_Days-1,DJ$4)-MAX($F46,DJ$3)+1)/DJ$5)</f>
        <v>0</v>
      </c>
      <c r="DK46" s="46" t="n">
        <f aca="false">$E46*MAX(0,(MIN(In_Decision_Date+In_PB_Days-1,DK$4)-MAX($F46,DK$3)+1)/DK$5)</f>
        <v>0</v>
      </c>
      <c r="DL46" s="46" t="n">
        <f aca="false">$E46*MAX(0,(MIN(In_Decision_Date+In_PB_Days-1,DL$4)-MAX($F46,DL$3)+1)/DL$5)</f>
        <v>0</v>
      </c>
      <c r="DM46" s="46" t="n">
        <f aca="false">$E46*MAX(0,(MIN(In_Decision_Date+In_PB_Days-1,DM$4)-MAX($F46,DM$3)+1)/DM$5)</f>
        <v>0</v>
      </c>
      <c r="DN46" s="46" t="n">
        <f aca="false">$E46*MAX(0,(MIN(In_Decision_Date+In_PB_Days-1,DN$4)-MAX($F46,DN$3)+1)/DN$5)</f>
        <v>0</v>
      </c>
      <c r="DO46" s="46" t="n">
        <f aca="false">$E46*MAX(0,(MIN(In_Decision_Date+In_PB_Days-1,DO$4)-MAX($F46,DO$3)+1)/DO$5)</f>
        <v>0</v>
      </c>
      <c r="DP46" s="46" t="n">
        <f aca="false">$E46*MAX(0,(MIN(In_Decision_Date+In_PB_Days-1,DP$4)-MAX($F46,DP$3)+1)/DP$5)</f>
        <v>0</v>
      </c>
      <c r="DQ46" s="46" t="n">
        <f aca="false">$E46*MAX(0,(MIN(In_Decision_Date+In_PB_Days-1,DQ$4)-MAX($F46,DQ$3)+1)/DQ$5)</f>
        <v>0</v>
      </c>
      <c r="DR46" s="46" t="n">
        <f aca="false">$E46*MAX(0,(MIN(In_Decision_Date+In_PB_Days-1,DR$4)-MAX($F46,DR$3)+1)/DR$5)</f>
        <v>0</v>
      </c>
      <c r="DS46" s="46" t="n">
        <f aca="false">$E46*MAX(0,(MIN(In_Decision_Date+In_PB_Days-1,DS$4)-MAX($F46,DS$3)+1)/DS$5)</f>
        <v>0</v>
      </c>
      <c r="DT46" s="46" t="n">
        <f aca="false">$E46*MAX(0,(MIN(In_Decision_Date+In_PB_Days-1,DT$4)-MAX($F46,DT$3)+1)/DT$5)</f>
        <v>0</v>
      </c>
      <c r="DU46" s="46" t="n">
        <f aca="false">$E46*MAX(0,(MIN(In_Decision_Date+In_PB_Days-1,DU$4)-MAX($F46,DU$3)+1)/DU$5)</f>
        <v>0</v>
      </c>
      <c r="DV46" s="46" t="n">
        <f aca="false">$E46*MAX(0,(MIN(In_Decision_Date+In_PB_Days-1,DV$4)-MAX($F46,DV$3)+1)/DV$5)</f>
        <v>0</v>
      </c>
      <c r="DW46" s="46" t="n">
        <f aca="false">$E46*MAX(0,(MIN(In_Decision_Date+In_PB_Days-1,DW$4)-MAX($F46,DW$3)+1)/DW$5)</f>
        <v>0</v>
      </c>
      <c r="DX46" s="46" t="n">
        <f aca="false">$E46*MAX(0,(MIN(In_Decision_Date+In_PB_Days-1,DX$4)-MAX($F46,DX$3)+1)/DX$5)</f>
        <v>0</v>
      </c>
      <c r="DY46" s="46" t="n">
        <f aca="false">$E46*MAX(0,(MIN(In_Decision_Date+In_PB_Days-1,DY$4)-MAX($F46,DY$3)+1)/DY$5)</f>
        <v>0</v>
      </c>
      <c r="DZ46" s="46" t="n">
        <f aca="false">$E46*MAX(0,(MIN(In_Decision_Date+In_PB_Days-1,DZ$4)-MAX($F46,DZ$3)+1)/DZ$5)</f>
        <v>0</v>
      </c>
      <c r="EA46" s="46" t="n">
        <f aca="false">$E46*MAX(0,(MIN(In_Decision_Date+In_PB_Days-1,EA$4)-MAX($F46,EA$3)+1)/EA$5)</f>
        <v>0</v>
      </c>
      <c r="EB46" s="46" t="n">
        <f aca="false">$E46*MAX(0,(MIN(In_Decision_Date+In_PB_Days-1,EB$4)-MAX($F46,EB$3)+1)/EB$5)</f>
        <v>0</v>
      </c>
      <c r="EC46" s="46" t="n">
        <f aca="false">$E46*MAX(0,(MIN(In_Decision_Date+In_PB_Days-1,EC$4)-MAX($F46,EC$3)+1)/EC$5)</f>
        <v>0</v>
      </c>
      <c r="ED46" s="46" t="n">
        <f aca="false">$E46*MAX(0,(MIN(In_Decision_Date+In_PB_Days-1,ED$4)-MAX($F46,ED$3)+1)/ED$5)</f>
        <v>0</v>
      </c>
      <c r="EE46" s="46" t="n">
        <f aca="false">$E46*MAX(0,(MIN(In_Decision_Date+In_PB_Days-1,EE$4)-MAX($F46,EE$3)+1)/EE$5)</f>
        <v>0</v>
      </c>
      <c r="EF46" s="46" t="n">
        <f aca="false">$E46*MAX(0,(MIN(In_Decision_Date+In_PB_Days-1,EF$4)-MAX($F46,EF$3)+1)/EF$5)</f>
        <v>0</v>
      </c>
      <c r="EG46" s="46" t="n">
        <f aca="false">$E46*MAX(0,(MIN(In_Decision_Date+In_PB_Days-1,EG$4)-MAX($F46,EG$3)+1)/EG$5)</f>
        <v>0</v>
      </c>
      <c r="EH46" s="46" t="n">
        <f aca="false">$E46*MAX(0,(MIN(In_Decision_Date+In_PB_Days-1,EH$4)-MAX($F46,EH$3)+1)/EH$5)</f>
        <v>0</v>
      </c>
      <c r="EI46" s="46" t="n">
        <f aca="false">$E46*MAX(0,(MIN(In_Decision_Date+In_PB_Days-1,EI$4)-MAX($F46,EI$3)+1)/EI$5)</f>
        <v>0</v>
      </c>
      <c r="EJ46" s="46" t="n">
        <f aca="false">$E46*MAX(0,(MIN(In_Decision_Date+In_PB_Days-1,EJ$4)-MAX($F46,EJ$3)+1)/EJ$5)</f>
        <v>0</v>
      </c>
      <c r="EK46" s="46" t="n">
        <f aca="false">$E46*MAX(0,(MIN(In_Decision_Date+In_PB_Days-1,EK$4)-MAX($F46,EK$3)+1)/EK$5)</f>
        <v>0</v>
      </c>
      <c r="EL46" s="46" t="n">
        <f aca="false">$E46*MAX(0,(MIN(In_Decision_Date+In_PB_Days-1,EL$4)-MAX($F46,EL$3)+1)/EL$5)</f>
        <v>0</v>
      </c>
      <c r="EM46" s="46" t="n">
        <f aca="false">$E46*MAX(0,(MIN(In_Decision_Date+In_PB_Days-1,EM$4)-MAX($F46,EM$3)+1)/EM$5)</f>
        <v>0</v>
      </c>
      <c r="EN46" s="46" t="n">
        <f aca="false">$E46*MAX(0,(MIN(In_Decision_Date+In_PB_Days-1,EN$4)-MAX($F46,EN$3)+1)/EN$5)</f>
        <v>0</v>
      </c>
      <c r="EO46" s="46" t="n">
        <f aca="false">$E46*MAX(0,(MIN(In_Decision_Date+In_PB_Days-1,EO$4)-MAX($F46,EO$3)+1)/EO$5)</f>
        <v>0</v>
      </c>
    </row>
    <row r="47" customFormat="false" ht="15" hidden="false" customHeight="false" outlineLevel="0" collapsed="false">
      <c r="C47" s="0" t="s">
        <v>379</v>
      </c>
      <c r="D47" s="11" t="s">
        <v>33</v>
      </c>
      <c r="E47" s="46" t="n">
        <f aca="false">In_PB_Rate*$E33*$E44*Thousand/In_FX</f>
        <v>1668.49315068493</v>
      </c>
      <c r="F47" s="44" t="n">
        <f aca="false">In_Decision_Date+In_PB_Days</f>
        <v>46433</v>
      </c>
      <c r="J47" s="46" t="n">
        <f aca="false">$E47*MAX(0,(MIN(In_PB_Release,J$4)-MAX($F47,J$3)+1)/J$5)</f>
        <v>0</v>
      </c>
      <c r="K47" s="46" t="n">
        <f aca="false">$E47*MAX(0,(MIN(In_PB_Release,K$4)-MAX($F47,K$3)+1)/K$5)</f>
        <v>834.246575342466</v>
      </c>
      <c r="L47" s="46" t="n">
        <f aca="false">$E47*MAX(0,(MIN(In_PB_Release,L$4)-MAX($F47,L$3)+1)/L$5)</f>
        <v>1668.49315068493</v>
      </c>
      <c r="M47" s="46" t="n">
        <f aca="false">$E47*MAX(0,(MIN(In_PB_Release,M$4)-MAX($F47,M$3)+1)/M$5)</f>
        <v>1668.49315068493</v>
      </c>
      <c r="N47" s="46" t="n">
        <f aca="false">$E47*MAX(0,(MIN(In_PB_Release,N$4)-MAX($F47,N$3)+1)/N$5)</f>
        <v>1668.49315068493</v>
      </c>
      <c r="O47" s="46" t="n">
        <f aca="false">$E47*MAX(0,(MIN(In_PB_Release,O$4)-MAX($F47,O$3)+1)/O$5)</f>
        <v>1668.49315068493</v>
      </c>
      <c r="P47" s="46" t="n">
        <f aca="false">$E47*MAX(0,(MIN(In_PB_Release,P$4)-MAX($F47,P$3)+1)/P$5)</f>
        <v>1668.49315068493</v>
      </c>
      <c r="Q47" s="46" t="n">
        <f aca="false">$E47*MAX(0,(MIN(In_PB_Release,Q$4)-MAX($F47,Q$3)+1)/Q$5)</f>
        <v>1668.49315068493</v>
      </c>
      <c r="R47" s="46" t="n">
        <f aca="false">$E47*MAX(0,(MIN(In_PB_Release,R$4)-MAX($F47,R$3)+1)/R$5)</f>
        <v>1668.49315068493</v>
      </c>
      <c r="S47" s="46" t="n">
        <f aca="false">$E47*MAX(0,(MIN(In_PB_Release,S$4)-MAX($F47,S$3)+1)/S$5)</f>
        <v>1668.49315068493</v>
      </c>
      <c r="T47" s="46" t="n">
        <f aca="false">$E47*MAX(0,(MIN(In_PB_Release,T$4)-MAX($F47,T$3)+1)/T$5)</f>
        <v>1668.49315068493</v>
      </c>
      <c r="U47" s="46" t="n">
        <f aca="false">$E47*MAX(0,(MIN(In_PB_Release,U$4)-MAX($F47,U$3)+1)/U$5)</f>
        <v>1668.49315068493</v>
      </c>
      <c r="V47" s="46" t="n">
        <f aca="false">$E47*MAX(0,(MIN(In_PB_Release,V$4)-MAX($F47,V$3)+1)/V$5)</f>
        <v>1668.49315068493</v>
      </c>
      <c r="W47" s="46" t="n">
        <f aca="false">$E47*MAX(0,(MIN(In_PB_Release,W$4)-MAX($F47,W$3)+1)/W$5)</f>
        <v>1668.49315068493</v>
      </c>
      <c r="X47" s="46" t="n">
        <f aca="false">$E47*MAX(0,(MIN(In_PB_Release,X$4)-MAX($F47,X$3)+1)/X$5)</f>
        <v>1668.49315068493</v>
      </c>
      <c r="Y47" s="46" t="n">
        <f aca="false">$E47*MAX(0,(MIN(In_PB_Release,Y$4)-MAX($F47,Y$3)+1)/Y$5)</f>
        <v>1668.49315068493</v>
      </c>
      <c r="Z47" s="46" t="n">
        <f aca="false">$E47*MAX(0,(MIN(In_PB_Release,Z$4)-MAX($F47,Z$3)+1)/Z$5)</f>
        <v>1668.49315068493</v>
      </c>
      <c r="AA47" s="46" t="n">
        <f aca="false">$E47*MAX(0,(MIN(In_PB_Release,AA$4)-MAX($F47,AA$3)+1)/AA$5)</f>
        <v>1668.49315068493</v>
      </c>
      <c r="AB47" s="46" t="n">
        <f aca="false">$E47*MAX(0,(MIN(In_PB_Release,AB$4)-MAX($F47,AB$3)+1)/AB$5)</f>
        <v>1668.49315068493</v>
      </c>
      <c r="AC47" s="46" t="n">
        <f aca="false">$E47*MAX(0,(MIN(In_PB_Release,AC$4)-MAX($F47,AC$3)+1)/AC$5)</f>
        <v>1668.49315068493</v>
      </c>
      <c r="AD47" s="46" t="n">
        <f aca="false">$E47*MAX(0,(MIN(In_PB_Release,AD$4)-MAX($F47,AD$3)+1)/AD$5)</f>
        <v>1668.49315068493</v>
      </c>
      <c r="AE47" s="46" t="n">
        <f aca="false">$E47*MAX(0,(MIN(In_PB_Release,AE$4)-MAX($F47,AE$3)+1)/AE$5)</f>
        <v>1668.49315068493</v>
      </c>
      <c r="AF47" s="46" t="n">
        <f aca="false">$E47*MAX(0,(MIN(In_PB_Release,AF$4)-MAX($F47,AF$3)+1)/AF$5)</f>
        <v>1668.49315068493</v>
      </c>
      <c r="AG47" s="46" t="n">
        <f aca="false">$E47*MAX(0,(MIN(In_PB_Release,AG$4)-MAX($F47,AG$3)+1)/AG$5)</f>
        <v>1668.49315068493</v>
      </c>
      <c r="AH47" s="46" t="n">
        <f aca="false">$E47*MAX(0,(MIN(In_PB_Release,AH$4)-MAX($F47,AH$3)+1)/AH$5)</f>
        <v>1668.49315068493</v>
      </c>
      <c r="AI47" s="46" t="n">
        <f aca="false">$E47*MAX(0,(MIN(In_PB_Release,AI$4)-MAX($F47,AI$3)+1)/AI$5)</f>
        <v>1668.49315068493</v>
      </c>
      <c r="AJ47" s="46" t="n">
        <f aca="false">$E47*MAX(0,(MIN(In_PB_Release,AJ$4)-MAX($F47,AJ$3)+1)/AJ$5)</f>
        <v>0</v>
      </c>
      <c r="AK47" s="46" t="n">
        <f aca="false">$E47*MAX(0,(MIN(In_PB_Release,AK$4)-MAX($F47,AK$3)+1)/AK$5)</f>
        <v>0</v>
      </c>
      <c r="AL47" s="46" t="n">
        <f aca="false">$E47*MAX(0,(MIN(In_PB_Release,AL$4)-MAX($F47,AL$3)+1)/AL$5)</f>
        <v>0</v>
      </c>
      <c r="AM47" s="46" t="n">
        <f aca="false">$E47*MAX(0,(MIN(In_PB_Release,AM$4)-MAX($F47,AM$3)+1)/AM$5)</f>
        <v>0</v>
      </c>
      <c r="AN47" s="46" t="n">
        <f aca="false">$E47*MAX(0,(MIN(In_PB_Release,AN$4)-MAX($F47,AN$3)+1)/AN$5)</f>
        <v>0</v>
      </c>
      <c r="AO47" s="46" t="n">
        <f aca="false">$E47*MAX(0,(MIN(In_PB_Release,AO$4)-MAX($F47,AO$3)+1)/AO$5)</f>
        <v>0</v>
      </c>
      <c r="AP47" s="46" t="n">
        <f aca="false">$E47*MAX(0,(MIN(In_PB_Release,AP$4)-MAX($F47,AP$3)+1)/AP$5)</f>
        <v>0</v>
      </c>
      <c r="AQ47" s="46" t="n">
        <f aca="false">$E47*MAX(0,(MIN(In_PB_Release,AQ$4)-MAX($F47,AQ$3)+1)/AQ$5)</f>
        <v>0</v>
      </c>
      <c r="AR47" s="46" t="n">
        <f aca="false">$E47*MAX(0,(MIN(In_PB_Release,AR$4)-MAX($F47,AR$3)+1)/AR$5)</f>
        <v>0</v>
      </c>
      <c r="AS47" s="46" t="n">
        <f aca="false">$E47*MAX(0,(MIN(In_PB_Release,AS$4)-MAX($F47,AS$3)+1)/AS$5)</f>
        <v>0</v>
      </c>
      <c r="AT47" s="46" t="n">
        <f aca="false">$E47*MAX(0,(MIN(In_PB_Release,AT$4)-MAX($F47,AT$3)+1)/AT$5)</f>
        <v>0</v>
      </c>
      <c r="AU47" s="46" t="n">
        <f aca="false">$E47*MAX(0,(MIN(In_PB_Release,AU$4)-MAX($F47,AU$3)+1)/AU$5)</f>
        <v>0</v>
      </c>
      <c r="AV47" s="46" t="n">
        <f aca="false">$E47*MAX(0,(MIN(In_PB_Release,AV$4)-MAX($F47,AV$3)+1)/AV$5)</f>
        <v>0</v>
      </c>
      <c r="AW47" s="46" t="n">
        <f aca="false">$E47*MAX(0,(MIN(In_PB_Release,AW$4)-MAX($F47,AW$3)+1)/AW$5)</f>
        <v>0</v>
      </c>
      <c r="AX47" s="46" t="n">
        <f aca="false">$E47*MAX(0,(MIN(In_PB_Release,AX$4)-MAX($F47,AX$3)+1)/AX$5)</f>
        <v>0</v>
      </c>
      <c r="AY47" s="46" t="n">
        <f aca="false">$E47*MAX(0,(MIN(In_PB_Release,AY$4)-MAX($F47,AY$3)+1)/AY$5)</f>
        <v>0</v>
      </c>
      <c r="AZ47" s="46" t="n">
        <f aca="false">$E47*MAX(0,(MIN(In_PB_Release,AZ$4)-MAX($F47,AZ$3)+1)/AZ$5)</f>
        <v>0</v>
      </c>
      <c r="BA47" s="46" t="n">
        <f aca="false">$E47*MAX(0,(MIN(In_PB_Release,BA$4)-MAX($F47,BA$3)+1)/BA$5)</f>
        <v>0</v>
      </c>
      <c r="BB47" s="46" t="n">
        <f aca="false">$E47*MAX(0,(MIN(In_PB_Release,BB$4)-MAX($F47,BB$3)+1)/BB$5)</f>
        <v>0</v>
      </c>
      <c r="BC47" s="46" t="n">
        <f aca="false">$E47*MAX(0,(MIN(In_PB_Release,BC$4)-MAX($F47,BC$3)+1)/BC$5)</f>
        <v>0</v>
      </c>
      <c r="BD47" s="46" t="n">
        <f aca="false">$E47*MAX(0,(MIN(In_PB_Release,BD$4)-MAX($F47,BD$3)+1)/BD$5)</f>
        <v>0</v>
      </c>
      <c r="BE47" s="46" t="n">
        <f aca="false">$E47*MAX(0,(MIN(In_PB_Release,BE$4)-MAX($F47,BE$3)+1)/BE$5)</f>
        <v>0</v>
      </c>
      <c r="BF47" s="46" t="n">
        <f aca="false">$E47*MAX(0,(MIN(In_PB_Release,BF$4)-MAX($F47,BF$3)+1)/BF$5)</f>
        <v>0</v>
      </c>
      <c r="BG47" s="46" t="n">
        <f aca="false">$E47*MAX(0,(MIN(In_PB_Release,BG$4)-MAX($F47,BG$3)+1)/BG$5)</f>
        <v>0</v>
      </c>
      <c r="BH47" s="46" t="n">
        <f aca="false">$E47*MAX(0,(MIN(In_PB_Release,BH$4)-MAX($F47,BH$3)+1)/BH$5)</f>
        <v>0</v>
      </c>
      <c r="BI47" s="46" t="n">
        <f aca="false">$E47*MAX(0,(MIN(In_PB_Release,BI$4)-MAX($F47,BI$3)+1)/BI$5)</f>
        <v>0</v>
      </c>
      <c r="BJ47" s="46" t="n">
        <f aca="false">$E47*MAX(0,(MIN(In_PB_Release,BJ$4)-MAX($F47,BJ$3)+1)/BJ$5)</f>
        <v>0</v>
      </c>
      <c r="BK47" s="46" t="n">
        <f aca="false">$E47*MAX(0,(MIN(In_PB_Release,BK$4)-MAX($F47,BK$3)+1)/BK$5)</f>
        <v>0</v>
      </c>
      <c r="BL47" s="46" t="n">
        <f aca="false">$E47*MAX(0,(MIN(In_PB_Release,BL$4)-MAX($F47,BL$3)+1)/BL$5)</f>
        <v>0</v>
      </c>
      <c r="BM47" s="46" t="n">
        <f aca="false">$E47*MAX(0,(MIN(In_PB_Release,BM$4)-MAX($F47,BM$3)+1)/BM$5)</f>
        <v>0</v>
      </c>
      <c r="BN47" s="46" t="n">
        <f aca="false">$E47*MAX(0,(MIN(In_PB_Release,BN$4)-MAX($F47,BN$3)+1)/BN$5)</f>
        <v>0</v>
      </c>
      <c r="BO47" s="46" t="n">
        <f aca="false">$E47*MAX(0,(MIN(In_PB_Release,BO$4)-MAX($F47,BO$3)+1)/BO$5)</f>
        <v>0</v>
      </c>
      <c r="BP47" s="46" t="n">
        <f aca="false">$E47*MAX(0,(MIN(In_PB_Release,BP$4)-MAX($F47,BP$3)+1)/BP$5)</f>
        <v>0</v>
      </c>
      <c r="BQ47" s="46" t="n">
        <f aca="false">$E47*MAX(0,(MIN(In_PB_Release,BQ$4)-MAX($F47,BQ$3)+1)/BQ$5)</f>
        <v>0</v>
      </c>
      <c r="BR47" s="46" t="n">
        <f aca="false">$E47*MAX(0,(MIN(In_PB_Release,BR$4)-MAX($F47,BR$3)+1)/BR$5)</f>
        <v>0</v>
      </c>
      <c r="BS47" s="46" t="n">
        <f aca="false">$E47*MAX(0,(MIN(In_PB_Release,BS$4)-MAX($F47,BS$3)+1)/BS$5)</f>
        <v>0</v>
      </c>
      <c r="BT47" s="46" t="n">
        <f aca="false">$E47*MAX(0,(MIN(In_PB_Release,BT$4)-MAX($F47,BT$3)+1)/BT$5)</f>
        <v>0</v>
      </c>
      <c r="BU47" s="46" t="n">
        <f aca="false">$E47*MAX(0,(MIN(In_PB_Release,BU$4)-MAX($F47,BU$3)+1)/BU$5)</f>
        <v>0</v>
      </c>
      <c r="BV47" s="46" t="n">
        <f aca="false">$E47*MAX(0,(MIN(In_PB_Release,BV$4)-MAX($F47,BV$3)+1)/BV$5)</f>
        <v>0</v>
      </c>
      <c r="BW47" s="46" t="n">
        <f aca="false">$E47*MAX(0,(MIN(In_PB_Release,BW$4)-MAX($F47,BW$3)+1)/BW$5)</f>
        <v>0</v>
      </c>
      <c r="BX47" s="46" t="n">
        <f aca="false">$E47*MAX(0,(MIN(In_PB_Release,BX$4)-MAX($F47,BX$3)+1)/BX$5)</f>
        <v>0</v>
      </c>
      <c r="BY47" s="46" t="n">
        <f aca="false">$E47*MAX(0,(MIN(In_PB_Release,BY$4)-MAX($F47,BY$3)+1)/BY$5)</f>
        <v>0</v>
      </c>
      <c r="BZ47" s="46" t="n">
        <f aca="false">$E47*MAX(0,(MIN(In_PB_Release,BZ$4)-MAX($F47,BZ$3)+1)/BZ$5)</f>
        <v>0</v>
      </c>
      <c r="CA47" s="46" t="n">
        <f aca="false">$E47*MAX(0,(MIN(In_PB_Release,CA$4)-MAX($F47,CA$3)+1)/CA$5)</f>
        <v>0</v>
      </c>
      <c r="CB47" s="46" t="n">
        <f aca="false">$E47*MAX(0,(MIN(In_PB_Release,CB$4)-MAX($F47,CB$3)+1)/CB$5)</f>
        <v>0</v>
      </c>
      <c r="CC47" s="46" t="n">
        <f aca="false">$E47*MAX(0,(MIN(In_PB_Release,CC$4)-MAX($F47,CC$3)+1)/CC$5)</f>
        <v>0</v>
      </c>
      <c r="CD47" s="46" t="n">
        <f aca="false">$E47*MAX(0,(MIN(In_PB_Release,CD$4)-MAX($F47,CD$3)+1)/CD$5)</f>
        <v>0</v>
      </c>
      <c r="CE47" s="46" t="n">
        <f aca="false">$E47*MAX(0,(MIN(In_PB_Release,CE$4)-MAX($F47,CE$3)+1)/CE$5)</f>
        <v>0</v>
      </c>
      <c r="CF47" s="46" t="n">
        <f aca="false">$E47*MAX(0,(MIN(In_PB_Release,CF$4)-MAX($F47,CF$3)+1)/CF$5)</f>
        <v>0</v>
      </c>
      <c r="CG47" s="46" t="n">
        <f aca="false">$E47*MAX(0,(MIN(In_PB_Release,CG$4)-MAX($F47,CG$3)+1)/CG$5)</f>
        <v>0</v>
      </c>
      <c r="CH47" s="46" t="n">
        <f aca="false">$E47*MAX(0,(MIN(In_PB_Release,CH$4)-MAX($F47,CH$3)+1)/CH$5)</f>
        <v>0</v>
      </c>
      <c r="CI47" s="46" t="n">
        <f aca="false">$E47*MAX(0,(MIN(In_PB_Release,CI$4)-MAX($F47,CI$3)+1)/CI$5)</f>
        <v>0</v>
      </c>
      <c r="CJ47" s="46" t="n">
        <f aca="false">$E47*MAX(0,(MIN(In_PB_Release,CJ$4)-MAX($F47,CJ$3)+1)/CJ$5)</f>
        <v>0</v>
      </c>
      <c r="CK47" s="46" t="n">
        <f aca="false">$E47*MAX(0,(MIN(In_PB_Release,CK$4)-MAX($F47,CK$3)+1)/CK$5)</f>
        <v>0</v>
      </c>
      <c r="CL47" s="46" t="n">
        <f aca="false">$E47*MAX(0,(MIN(In_PB_Release,CL$4)-MAX($F47,CL$3)+1)/CL$5)</f>
        <v>0</v>
      </c>
      <c r="CM47" s="46" t="n">
        <f aca="false">$E47*MAX(0,(MIN(In_PB_Release,CM$4)-MAX($F47,CM$3)+1)/CM$5)</f>
        <v>0</v>
      </c>
      <c r="CN47" s="46" t="n">
        <f aca="false">$E47*MAX(0,(MIN(In_PB_Release,CN$4)-MAX($F47,CN$3)+1)/CN$5)</f>
        <v>0</v>
      </c>
      <c r="CO47" s="46" t="n">
        <f aca="false">$E47*MAX(0,(MIN(In_PB_Release,CO$4)-MAX($F47,CO$3)+1)/CO$5)</f>
        <v>0</v>
      </c>
      <c r="CP47" s="46" t="n">
        <f aca="false">$E47*MAX(0,(MIN(In_PB_Release,CP$4)-MAX($F47,CP$3)+1)/CP$5)</f>
        <v>0</v>
      </c>
      <c r="CQ47" s="46" t="n">
        <f aca="false">$E47*MAX(0,(MIN(In_PB_Release,CQ$4)-MAX($F47,CQ$3)+1)/CQ$5)</f>
        <v>0</v>
      </c>
      <c r="CR47" s="46" t="n">
        <f aca="false">$E47*MAX(0,(MIN(In_PB_Release,CR$4)-MAX($F47,CR$3)+1)/CR$5)</f>
        <v>0</v>
      </c>
      <c r="CS47" s="46" t="n">
        <f aca="false">$E47*MAX(0,(MIN(In_PB_Release,CS$4)-MAX($F47,CS$3)+1)/CS$5)</f>
        <v>0</v>
      </c>
      <c r="CT47" s="46" t="n">
        <f aca="false">$E47*MAX(0,(MIN(In_PB_Release,CT$4)-MAX($F47,CT$3)+1)/CT$5)</f>
        <v>0</v>
      </c>
      <c r="CU47" s="46" t="n">
        <f aca="false">$E47*MAX(0,(MIN(In_PB_Release,CU$4)-MAX($F47,CU$3)+1)/CU$5)</f>
        <v>0</v>
      </c>
      <c r="CV47" s="46" t="n">
        <f aca="false">$E47*MAX(0,(MIN(In_PB_Release,CV$4)-MAX($F47,CV$3)+1)/CV$5)</f>
        <v>0</v>
      </c>
      <c r="CW47" s="46" t="n">
        <f aca="false">$E47*MAX(0,(MIN(In_PB_Release,CW$4)-MAX($F47,CW$3)+1)/CW$5)</f>
        <v>0</v>
      </c>
      <c r="CX47" s="46" t="n">
        <f aca="false">$E47*MAX(0,(MIN(In_PB_Release,CX$4)-MAX($F47,CX$3)+1)/CX$5)</f>
        <v>0</v>
      </c>
      <c r="CY47" s="46" t="n">
        <f aca="false">$E47*MAX(0,(MIN(In_PB_Release,CY$4)-MAX($F47,CY$3)+1)/CY$5)</f>
        <v>0</v>
      </c>
      <c r="CZ47" s="46" t="n">
        <f aca="false">$E47*MAX(0,(MIN(In_PB_Release,CZ$4)-MAX($F47,CZ$3)+1)/CZ$5)</f>
        <v>0</v>
      </c>
      <c r="DA47" s="46" t="n">
        <f aca="false">$E47*MAX(0,(MIN(In_PB_Release,DA$4)-MAX($F47,DA$3)+1)/DA$5)</f>
        <v>0</v>
      </c>
      <c r="DB47" s="46" t="n">
        <f aca="false">$E47*MAX(0,(MIN(In_PB_Release,DB$4)-MAX($F47,DB$3)+1)/DB$5)</f>
        <v>0</v>
      </c>
      <c r="DC47" s="46" t="n">
        <f aca="false">$E47*MAX(0,(MIN(In_PB_Release,DC$4)-MAX($F47,DC$3)+1)/DC$5)</f>
        <v>0</v>
      </c>
      <c r="DD47" s="46" t="n">
        <f aca="false">$E47*MAX(0,(MIN(In_PB_Release,DD$4)-MAX($F47,DD$3)+1)/DD$5)</f>
        <v>0</v>
      </c>
      <c r="DE47" s="46" t="n">
        <f aca="false">$E47*MAX(0,(MIN(In_PB_Release,DE$4)-MAX($F47,DE$3)+1)/DE$5)</f>
        <v>0</v>
      </c>
      <c r="DF47" s="46" t="n">
        <f aca="false">$E47*MAX(0,(MIN(In_PB_Release,DF$4)-MAX($F47,DF$3)+1)/DF$5)</f>
        <v>0</v>
      </c>
      <c r="DG47" s="46" t="n">
        <f aca="false">$E47*MAX(0,(MIN(In_PB_Release,DG$4)-MAX($F47,DG$3)+1)/DG$5)</f>
        <v>0</v>
      </c>
      <c r="DH47" s="46" t="n">
        <f aca="false">$E47*MAX(0,(MIN(In_PB_Release,DH$4)-MAX($F47,DH$3)+1)/DH$5)</f>
        <v>0</v>
      </c>
      <c r="DI47" s="46" t="n">
        <f aca="false">$E47*MAX(0,(MIN(In_PB_Release,DI$4)-MAX($F47,DI$3)+1)/DI$5)</f>
        <v>0</v>
      </c>
      <c r="DJ47" s="46" t="n">
        <f aca="false">$E47*MAX(0,(MIN(In_PB_Release,DJ$4)-MAX($F47,DJ$3)+1)/DJ$5)</f>
        <v>0</v>
      </c>
      <c r="DK47" s="46" t="n">
        <f aca="false">$E47*MAX(0,(MIN(In_PB_Release,DK$4)-MAX($F47,DK$3)+1)/DK$5)</f>
        <v>0</v>
      </c>
      <c r="DL47" s="46" t="n">
        <f aca="false">$E47*MAX(0,(MIN(In_PB_Release,DL$4)-MAX($F47,DL$3)+1)/DL$5)</f>
        <v>0</v>
      </c>
      <c r="DM47" s="46" t="n">
        <f aca="false">$E47*MAX(0,(MIN(In_PB_Release,DM$4)-MAX($F47,DM$3)+1)/DM$5)</f>
        <v>0</v>
      </c>
      <c r="DN47" s="46" t="n">
        <f aca="false">$E47*MAX(0,(MIN(In_PB_Release,DN$4)-MAX($F47,DN$3)+1)/DN$5)</f>
        <v>0</v>
      </c>
      <c r="DO47" s="46" t="n">
        <f aca="false">$E47*MAX(0,(MIN(In_PB_Release,DO$4)-MAX($F47,DO$3)+1)/DO$5)</f>
        <v>0</v>
      </c>
      <c r="DP47" s="46" t="n">
        <f aca="false">$E47*MAX(0,(MIN(In_PB_Release,DP$4)-MAX($F47,DP$3)+1)/DP$5)</f>
        <v>0</v>
      </c>
      <c r="DQ47" s="46" t="n">
        <f aca="false">$E47*MAX(0,(MIN(In_PB_Release,DQ$4)-MAX($F47,DQ$3)+1)/DQ$5)</f>
        <v>0</v>
      </c>
      <c r="DR47" s="46" t="n">
        <f aca="false">$E47*MAX(0,(MIN(In_PB_Release,DR$4)-MAX($F47,DR$3)+1)/DR$5)</f>
        <v>0</v>
      </c>
      <c r="DS47" s="46" t="n">
        <f aca="false">$E47*MAX(0,(MIN(In_PB_Release,DS$4)-MAX($F47,DS$3)+1)/DS$5)</f>
        <v>0</v>
      </c>
      <c r="DT47" s="46" t="n">
        <f aca="false">$E47*MAX(0,(MIN(In_PB_Release,DT$4)-MAX($F47,DT$3)+1)/DT$5)</f>
        <v>0</v>
      </c>
      <c r="DU47" s="46" t="n">
        <f aca="false">$E47*MAX(0,(MIN(In_PB_Release,DU$4)-MAX($F47,DU$3)+1)/DU$5)</f>
        <v>0</v>
      </c>
      <c r="DV47" s="46" t="n">
        <f aca="false">$E47*MAX(0,(MIN(In_PB_Release,DV$4)-MAX($F47,DV$3)+1)/DV$5)</f>
        <v>0</v>
      </c>
      <c r="DW47" s="46" t="n">
        <f aca="false">$E47*MAX(0,(MIN(In_PB_Release,DW$4)-MAX($F47,DW$3)+1)/DW$5)</f>
        <v>0</v>
      </c>
      <c r="DX47" s="46" t="n">
        <f aca="false">$E47*MAX(0,(MIN(In_PB_Release,DX$4)-MAX($F47,DX$3)+1)/DX$5)</f>
        <v>0</v>
      </c>
      <c r="DY47" s="46" t="n">
        <f aca="false">$E47*MAX(0,(MIN(In_PB_Release,DY$4)-MAX($F47,DY$3)+1)/DY$5)</f>
        <v>0</v>
      </c>
      <c r="DZ47" s="46" t="n">
        <f aca="false">$E47*MAX(0,(MIN(In_PB_Release,DZ$4)-MAX($F47,DZ$3)+1)/DZ$5)</f>
        <v>0</v>
      </c>
      <c r="EA47" s="46" t="n">
        <f aca="false">$E47*MAX(0,(MIN(In_PB_Release,EA$4)-MAX($F47,EA$3)+1)/EA$5)</f>
        <v>0</v>
      </c>
      <c r="EB47" s="46" t="n">
        <f aca="false">$E47*MAX(0,(MIN(In_PB_Release,EB$4)-MAX($F47,EB$3)+1)/EB$5)</f>
        <v>0</v>
      </c>
      <c r="EC47" s="46" t="n">
        <f aca="false">$E47*MAX(0,(MIN(In_PB_Release,EC$4)-MAX($F47,EC$3)+1)/EC$5)</f>
        <v>0</v>
      </c>
      <c r="ED47" s="46" t="n">
        <f aca="false">$E47*MAX(0,(MIN(In_PB_Release,ED$4)-MAX($F47,ED$3)+1)/ED$5)</f>
        <v>0</v>
      </c>
      <c r="EE47" s="46" t="n">
        <f aca="false">$E47*MAX(0,(MIN(In_PB_Release,EE$4)-MAX($F47,EE$3)+1)/EE$5)</f>
        <v>0</v>
      </c>
      <c r="EF47" s="46" t="n">
        <f aca="false">$E47*MAX(0,(MIN(In_PB_Release,EF$4)-MAX($F47,EF$3)+1)/EF$5)</f>
        <v>0</v>
      </c>
      <c r="EG47" s="46" t="n">
        <f aca="false">$E47*MAX(0,(MIN(In_PB_Release,EG$4)-MAX($F47,EG$3)+1)/EG$5)</f>
        <v>0</v>
      </c>
      <c r="EH47" s="46" t="n">
        <f aca="false">$E47*MAX(0,(MIN(In_PB_Release,EH$4)-MAX($F47,EH$3)+1)/EH$5)</f>
        <v>0</v>
      </c>
      <c r="EI47" s="46" t="n">
        <f aca="false">$E47*MAX(0,(MIN(In_PB_Release,EI$4)-MAX($F47,EI$3)+1)/EI$5)</f>
        <v>0</v>
      </c>
      <c r="EJ47" s="46" t="n">
        <f aca="false">$E47*MAX(0,(MIN(In_PB_Release,EJ$4)-MAX($F47,EJ$3)+1)/EJ$5)</f>
        <v>0</v>
      </c>
      <c r="EK47" s="46" t="n">
        <f aca="false">$E47*MAX(0,(MIN(In_PB_Release,EK$4)-MAX($F47,EK$3)+1)/EK$5)</f>
        <v>0</v>
      </c>
      <c r="EL47" s="46" t="n">
        <f aca="false">$E47*MAX(0,(MIN(In_PB_Release,EL$4)-MAX($F47,EL$3)+1)/EL$5)</f>
        <v>0</v>
      </c>
      <c r="EM47" s="46" t="n">
        <f aca="false">$E47*MAX(0,(MIN(In_PB_Release,EM$4)-MAX($F47,EM$3)+1)/EM$5)</f>
        <v>0</v>
      </c>
      <c r="EN47" s="46" t="n">
        <f aca="false">$E47*MAX(0,(MIN(In_PB_Release,EN$4)-MAX($F47,EN$3)+1)/EN$5)</f>
        <v>0</v>
      </c>
      <c r="EO47" s="46" t="n">
        <f aca="false">$E47*MAX(0,(MIN(In_PB_Release,EO$4)-MAX($F47,EO$3)+1)/EO$5)</f>
        <v>0</v>
      </c>
    </row>
    <row r="48" customFormat="false" ht="15" hidden="false" customHeight="false" outlineLevel="0" collapsed="false">
      <c r="C48" s="0" t="s">
        <v>380</v>
      </c>
      <c r="D48" s="11" t="s">
        <v>33</v>
      </c>
      <c r="E48" s="46" t="n">
        <f aca="false">In_TSO_Security*In_MVA*Thousand/In_FX</f>
        <v>616.438356164384</v>
      </c>
      <c r="F48" s="44" t="n">
        <f aca="false">In_Decision_Date+In_PB_Days</f>
        <v>46433</v>
      </c>
      <c r="I48" s="46" t="n">
        <f aca="false">SUM(J48:EO48)</f>
        <v>-616.438356164384</v>
      </c>
      <c r="J48" s="46" t="n">
        <f aca="false">-$E48*N(AND(J$3&lt;=$F48,J$4&gt;=$F48))</f>
        <v>-0</v>
      </c>
      <c r="K48" s="46" t="n">
        <f aca="false">-$E48*N(AND(K$3&lt;=$F48,K$4&gt;=$F48))</f>
        <v>-616.438356164384</v>
      </c>
      <c r="L48" s="46" t="n">
        <f aca="false">-$E48*N(AND(L$3&lt;=$F48,L$4&gt;=$F48))</f>
        <v>-0</v>
      </c>
      <c r="M48" s="46" t="n">
        <f aca="false">-$E48*N(AND(M$3&lt;=$F48,M$4&gt;=$F48))</f>
        <v>-0</v>
      </c>
      <c r="N48" s="46" t="n">
        <f aca="false">-$E48*N(AND(N$3&lt;=$F48,N$4&gt;=$F48))</f>
        <v>-0</v>
      </c>
      <c r="O48" s="46" t="n">
        <f aca="false">-$E48*N(AND(O$3&lt;=$F48,O$4&gt;=$F48))</f>
        <v>-0</v>
      </c>
      <c r="P48" s="46" t="n">
        <f aca="false">-$E48*N(AND(P$3&lt;=$F48,P$4&gt;=$F48))</f>
        <v>-0</v>
      </c>
      <c r="Q48" s="46" t="n">
        <f aca="false">-$E48*N(AND(Q$3&lt;=$F48,Q$4&gt;=$F48))</f>
        <v>-0</v>
      </c>
      <c r="R48" s="46" t="n">
        <f aca="false">-$E48*N(AND(R$3&lt;=$F48,R$4&gt;=$F48))</f>
        <v>-0</v>
      </c>
      <c r="S48" s="46" t="n">
        <f aca="false">-$E48*N(AND(S$3&lt;=$F48,S$4&gt;=$F48))</f>
        <v>-0</v>
      </c>
      <c r="T48" s="46" t="n">
        <f aca="false">-$E48*N(AND(T$3&lt;=$F48,T$4&gt;=$F48))</f>
        <v>-0</v>
      </c>
      <c r="U48" s="46" t="n">
        <f aca="false">-$E48*N(AND(U$3&lt;=$F48,U$4&gt;=$F48))</f>
        <v>-0</v>
      </c>
      <c r="V48" s="46" t="n">
        <f aca="false">-$E48*N(AND(V$3&lt;=$F48,V$4&gt;=$F48))</f>
        <v>-0</v>
      </c>
      <c r="W48" s="46" t="n">
        <f aca="false">-$E48*N(AND(W$3&lt;=$F48,W$4&gt;=$F48))</f>
        <v>-0</v>
      </c>
      <c r="X48" s="46" t="n">
        <f aca="false">-$E48*N(AND(X$3&lt;=$F48,X$4&gt;=$F48))</f>
        <v>-0</v>
      </c>
      <c r="Y48" s="46" t="n">
        <f aca="false">-$E48*N(AND(Y$3&lt;=$F48,Y$4&gt;=$F48))</f>
        <v>-0</v>
      </c>
      <c r="Z48" s="46" t="n">
        <f aca="false">-$E48*N(AND(Z$3&lt;=$F48,Z$4&gt;=$F48))</f>
        <v>-0</v>
      </c>
      <c r="AA48" s="46" t="n">
        <f aca="false">-$E48*N(AND(AA$3&lt;=$F48,AA$4&gt;=$F48))</f>
        <v>-0</v>
      </c>
      <c r="AB48" s="46" t="n">
        <f aca="false">-$E48*N(AND(AB$3&lt;=$F48,AB$4&gt;=$F48))</f>
        <v>-0</v>
      </c>
      <c r="AC48" s="46" t="n">
        <f aca="false">-$E48*N(AND(AC$3&lt;=$F48,AC$4&gt;=$F48))</f>
        <v>-0</v>
      </c>
      <c r="AD48" s="46" t="n">
        <f aca="false">-$E48*N(AND(AD$3&lt;=$F48,AD$4&gt;=$F48))</f>
        <v>-0</v>
      </c>
      <c r="AE48" s="46" t="n">
        <f aca="false">-$E48*N(AND(AE$3&lt;=$F48,AE$4&gt;=$F48))</f>
        <v>-0</v>
      </c>
      <c r="AF48" s="46" t="n">
        <f aca="false">-$E48*N(AND(AF$3&lt;=$F48,AF$4&gt;=$F48))</f>
        <v>-0</v>
      </c>
      <c r="AG48" s="46" t="n">
        <f aca="false">-$E48*N(AND(AG$3&lt;=$F48,AG$4&gt;=$F48))</f>
        <v>-0</v>
      </c>
      <c r="AH48" s="46" t="n">
        <f aca="false">-$E48*N(AND(AH$3&lt;=$F48,AH$4&gt;=$F48))</f>
        <v>-0</v>
      </c>
      <c r="AI48" s="46" t="n">
        <f aca="false">-$E48*N(AND(AI$3&lt;=$F48,AI$4&gt;=$F48))</f>
        <v>-0</v>
      </c>
      <c r="AJ48" s="46" t="n">
        <f aca="false">-$E48*N(AND(AJ$3&lt;=$F48,AJ$4&gt;=$F48))</f>
        <v>-0</v>
      </c>
      <c r="AK48" s="46" t="n">
        <f aca="false">-$E48*N(AND(AK$3&lt;=$F48,AK$4&gt;=$F48))</f>
        <v>-0</v>
      </c>
      <c r="AL48" s="46" t="n">
        <f aca="false">-$E48*N(AND(AL$3&lt;=$F48,AL$4&gt;=$F48))</f>
        <v>-0</v>
      </c>
      <c r="AM48" s="46" t="n">
        <f aca="false">-$E48*N(AND(AM$3&lt;=$F48,AM$4&gt;=$F48))</f>
        <v>-0</v>
      </c>
      <c r="AN48" s="46" t="n">
        <f aca="false">-$E48*N(AND(AN$3&lt;=$F48,AN$4&gt;=$F48))</f>
        <v>-0</v>
      </c>
      <c r="AO48" s="46" t="n">
        <f aca="false">-$E48*N(AND(AO$3&lt;=$F48,AO$4&gt;=$F48))</f>
        <v>-0</v>
      </c>
      <c r="AP48" s="46" t="n">
        <f aca="false">-$E48*N(AND(AP$3&lt;=$F48,AP$4&gt;=$F48))</f>
        <v>-0</v>
      </c>
      <c r="AQ48" s="46" t="n">
        <f aca="false">-$E48*N(AND(AQ$3&lt;=$F48,AQ$4&gt;=$F48))</f>
        <v>-0</v>
      </c>
      <c r="AR48" s="46" t="n">
        <f aca="false">-$E48*N(AND(AR$3&lt;=$F48,AR$4&gt;=$F48))</f>
        <v>-0</v>
      </c>
      <c r="AS48" s="46" t="n">
        <f aca="false">-$E48*N(AND(AS$3&lt;=$F48,AS$4&gt;=$F48))</f>
        <v>-0</v>
      </c>
      <c r="AT48" s="46" t="n">
        <f aca="false">-$E48*N(AND(AT$3&lt;=$F48,AT$4&gt;=$F48))</f>
        <v>-0</v>
      </c>
      <c r="AU48" s="46" t="n">
        <f aca="false">-$E48*N(AND(AU$3&lt;=$F48,AU$4&gt;=$F48))</f>
        <v>-0</v>
      </c>
      <c r="AV48" s="46" t="n">
        <f aca="false">-$E48*N(AND(AV$3&lt;=$F48,AV$4&gt;=$F48))</f>
        <v>-0</v>
      </c>
      <c r="AW48" s="46" t="n">
        <f aca="false">-$E48*N(AND(AW$3&lt;=$F48,AW$4&gt;=$F48))</f>
        <v>-0</v>
      </c>
      <c r="AX48" s="46" t="n">
        <f aca="false">-$E48*N(AND(AX$3&lt;=$F48,AX$4&gt;=$F48))</f>
        <v>-0</v>
      </c>
      <c r="AY48" s="46" t="n">
        <f aca="false">-$E48*N(AND(AY$3&lt;=$F48,AY$4&gt;=$F48))</f>
        <v>-0</v>
      </c>
      <c r="AZ48" s="46" t="n">
        <f aca="false">-$E48*N(AND(AZ$3&lt;=$F48,AZ$4&gt;=$F48))</f>
        <v>-0</v>
      </c>
      <c r="BA48" s="46" t="n">
        <f aca="false">-$E48*N(AND(BA$3&lt;=$F48,BA$4&gt;=$F48))</f>
        <v>-0</v>
      </c>
      <c r="BB48" s="46" t="n">
        <f aca="false">-$E48*N(AND(BB$3&lt;=$F48,BB$4&gt;=$F48))</f>
        <v>-0</v>
      </c>
      <c r="BC48" s="46" t="n">
        <f aca="false">-$E48*N(AND(BC$3&lt;=$F48,BC$4&gt;=$F48))</f>
        <v>-0</v>
      </c>
      <c r="BD48" s="46" t="n">
        <f aca="false">-$E48*N(AND(BD$3&lt;=$F48,BD$4&gt;=$F48))</f>
        <v>-0</v>
      </c>
      <c r="BE48" s="46" t="n">
        <f aca="false">-$E48*N(AND(BE$3&lt;=$F48,BE$4&gt;=$F48))</f>
        <v>-0</v>
      </c>
      <c r="BF48" s="46" t="n">
        <f aca="false">-$E48*N(AND(BF$3&lt;=$F48,BF$4&gt;=$F48))</f>
        <v>-0</v>
      </c>
      <c r="BG48" s="46" t="n">
        <f aca="false">-$E48*N(AND(BG$3&lt;=$F48,BG$4&gt;=$F48))</f>
        <v>-0</v>
      </c>
      <c r="BH48" s="46" t="n">
        <f aca="false">-$E48*N(AND(BH$3&lt;=$F48,BH$4&gt;=$F48))</f>
        <v>-0</v>
      </c>
      <c r="BI48" s="46" t="n">
        <f aca="false">-$E48*N(AND(BI$3&lt;=$F48,BI$4&gt;=$F48))</f>
        <v>-0</v>
      </c>
      <c r="BJ48" s="46" t="n">
        <f aca="false">-$E48*N(AND(BJ$3&lt;=$F48,BJ$4&gt;=$F48))</f>
        <v>-0</v>
      </c>
      <c r="BK48" s="46" t="n">
        <f aca="false">-$E48*N(AND(BK$3&lt;=$F48,BK$4&gt;=$F48))</f>
        <v>-0</v>
      </c>
      <c r="BL48" s="46" t="n">
        <f aca="false">-$E48*N(AND(BL$3&lt;=$F48,BL$4&gt;=$F48))</f>
        <v>-0</v>
      </c>
      <c r="BM48" s="46" t="n">
        <f aca="false">-$E48*N(AND(BM$3&lt;=$F48,BM$4&gt;=$F48))</f>
        <v>-0</v>
      </c>
      <c r="BN48" s="46" t="n">
        <f aca="false">-$E48*N(AND(BN$3&lt;=$F48,BN$4&gt;=$F48))</f>
        <v>-0</v>
      </c>
      <c r="BO48" s="46" t="n">
        <f aca="false">-$E48*N(AND(BO$3&lt;=$F48,BO$4&gt;=$F48))</f>
        <v>-0</v>
      </c>
      <c r="BP48" s="46" t="n">
        <f aca="false">-$E48*N(AND(BP$3&lt;=$F48,BP$4&gt;=$F48))</f>
        <v>-0</v>
      </c>
      <c r="BQ48" s="46" t="n">
        <f aca="false">-$E48*N(AND(BQ$3&lt;=$F48,BQ$4&gt;=$F48))</f>
        <v>-0</v>
      </c>
      <c r="BR48" s="46" t="n">
        <f aca="false">-$E48*N(AND(BR$3&lt;=$F48,BR$4&gt;=$F48))</f>
        <v>-0</v>
      </c>
      <c r="BS48" s="46" t="n">
        <f aca="false">-$E48*N(AND(BS$3&lt;=$F48,BS$4&gt;=$F48))</f>
        <v>-0</v>
      </c>
      <c r="BT48" s="46" t="n">
        <f aca="false">-$E48*N(AND(BT$3&lt;=$F48,BT$4&gt;=$F48))</f>
        <v>-0</v>
      </c>
      <c r="BU48" s="46" t="n">
        <f aca="false">-$E48*N(AND(BU$3&lt;=$F48,BU$4&gt;=$F48))</f>
        <v>-0</v>
      </c>
      <c r="BV48" s="46" t="n">
        <f aca="false">-$E48*N(AND(BV$3&lt;=$F48,BV$4&gt;=$F48))</f>
        <v>-0</v>
      </c>
      <c r="BW48" s="46" t="n">
        <f aca="false">-$E48*N(AND(BW$3&lt;=$F48,BW$4&gt;=$F48))</f>
        <v>-0</v>
      </c>
      <c r="BX48" s="46" t="n">
        <f aca="false">-$E48*N(AND(BX$3&lt;=$F48,BX$4&gt;=$F48))</f>
        <v>-0</v>
      </c>
      <c r="BY48" s="46" t="n">
        <f aca="false">-$E48*N(AND(BY$3&lt;=$F48,BY$4&gt;=$F48))</f>
        <v>-0</v>
      </c>
      <c r="BZ48" s="46" t="n">
        <f aca="false">-$E48*N(AND(BZ$3&lt;=$F48,BZ$4&gt;=$F48))</f>
        <v>-0</v>
      </c>
      <c r="CA48" s="46" t="n">
        <f aca="false">-$E48*N(AND(CA$3&lt;=$F48,CA$4&gt;=$F48))</f>
        <v>-0</v>
      </c>
      <c r="CB48" s="46" t="n">
        <f aca="false">-$E48*N(AND(CB$3&lt;=$F48,CB$4&gt;=$F48))</f>
        <v>-0</v>
      </c>
      <c r="CC48" s="46" t="n">
        <f aca="false">-$E48*N(AND(CC$3&lt;=$F48,CC$4&gt;=$F48))</f>
        <v>-0</v>
      </c>
      <c r="CD48" s="46" t="n">
        <f aca="false">-$E48*N(AND(CD$3&lt;=$F48,CD$4&gt;=$F48))</f>
        <v>-0</v>
      </c>
      <c r="CE48" s="46" t="n">
        <f aca="false">-$E48*N(AND(CE$3&lt;=$F48,CE$4&gt;=$F48))</f>
        <v>-0</v>
      </c>
      <c r="CF48" s="46" t="n">
        <f aca="false">-$E48*N(AND(CF$3&lt;=$F48,CF$4&gt;=$F48))</f>
        <v>-0</v>
      </c>
      <c r="CG48" s="46" t="n">
        <f aca="false">-$E48*N(AND(CG$3&lt;=$F48,CG$4&gt;=$F48))</f>
        <v>-0</v>
      </c>
      <c r="CH48" s="46" t="n">
        <f aca="false">-$E48*N(AND(CH$3&lt;=$F48,CH$4&gt;=$F48))</f>
        <v>-0</v>
      </c>
      <c r="CI48" s="46" t="n">
        <f aca="false">-$E48*N(AND(CI$3&lt;=$F48,CI$4&gt;=$F48))</f>
        <v>-0</v>
      </c>
      <c r="CJ48" s="46" t="n">
        <f aca="false">-$E48*N(AND(CJ$3&lt;=$F48,CJ$4&gt;=$F48))</f>
        <v>-0</v>
      </c>
      <c r="CK48" s="46" t="n">
        <f aca="false">-$E48*N(AND(CK$3&lt;=$F48,CK$4&gt;=$F48))</f>
        <v>-0</v>
      </c>
      <c r="CL48" s="46" t="n">
        <f aca="false">-$E48*N(AND(CL$3&lt;=$F48,CL$4&gt;=$F48))</f>
        <v>-0</v>
      </c>
      <c r="CM48" s="46" t="n">
        <f aca="false">-$E48*N(AND(CM$3&lt;=$F48,CM$4&gt;=$F48))</f>
        <v>-0</v>
      </c>
      <c r="CN48" s="46" t="n">
        <f aca="false">-$E48*N(AND(CN$3&lt;=$F48,CN$4&gt;=$F48))</f>
        <v>-0</v>
      </c>
      <c r="CO48" s="46" t="n">
        <f aca="false">-$E48*N(AND(CO$3&lt;=$F48,CO$4&gt;=$F48))</f>
        <v>-0</v>
      </c>
      <c r="CP48" s="46" t="n">
        <f aca="false">-$E48*N(AND(CP$3&lt;=$F48,CP$4&gt;=$F48))</f>
        <v>-0</v>
      </c>
      <c r="CQ48" s="46" t="n">
        <f aca="false">-$E48*N(AND(CQ$3&lt;=$F48,CQ$4&gt;=$F48))</f>
        <v>-0</v>
      </c>
      <c r="CR48" s="46" t="n">
        <f aca="false">-$E48*N(AND(CR$3&lt;=$F48,CR$4&gt;=$F48))</f>
        <v>-0</v>
      </c>
      <c r="CS48" s="46" t="n">
        <f aca="false">-$E48*N(AND(CS$3&lt;=$F48,CS$4&gt;=$F48))</f>
        <v>-0</v>
      </c>
      <c r="CT48" s="46" t="n">
        <f aca="false">-$E48*N(AND(CT$3&lt;=$F48,CT$4&gt;=$F48))</f>
        <v>-0</v>
      </c>
      <c r="CU48" s="46" t="n">
        <f aca="false">-$E48*N(AND(CU$3&lt;=$F48,CU$4&gt;=$F48))</f>
        <v>-0</v>
      </c>
      <c r="CV48" s="46" t="n">
        <f aca="false">-$E48*N(AND(CV$3&lt;=$F48,CV$4&gt;=$F48))</f>
        <v>-0</v>
      </c>
      <c r="CW48" s="46" t="n">
        <f aca="false">-$E48*N(AND(CW$3&lt;=$F48,CW$4&gt;=$F48))</f>
        <v>-0</v>
      </c>
      <c r="CX48" s="46" t="n">
        <f aca="false">-$E48*N(AND(CX$3&lt;=$F48,CX$4&gt;=$F48))</f>
        <v>-0</v>
      </c>
      <c r="CY48" s="46" t="n">
        <f aca="false">-$E48*N(AND(CY$3&lt;=$F48,CY$4&gt;=$F48))</f>
        <v>-0</v>
      </c>
      <c r="CZ48" s="46" t="n">
        <f aca="false">-$E48*N(AND(CZ$3&lt;=$F48,CZ$4&gt;=$F48))</f>
        <v>-0</v>
      </c>
      <c r="DA48" s="46" t="n">
        <f aca="false">-$E48*N(AND(DA$3&lt;=$F48,DA$4&gt;=$F48))</f>
        <v>-0</v>
      </c>
      <c r="DB48" s="46" t="n">
        <f aca="false">-$E48*N(AND(DB$3&lt;=$F48,DB$4&gt;=$F48))</f>
        <v>-0</v>
      </c>
      <c r="DC48" s="46" t="n">
        <f aca="false">-$E48*N(AND(DC$3&lt;=$F48,DC$4&gt;=$F48))</f>
        <v>-0</v>
      </c>
      <c r="DD48" s="46" t="n">
        <f aca="false">-$E48*N(AND(DD$3&lt;=$F48,DD$4&gt;=$F48))</f>
        <v>-0</v>
      </c>
      <c r="DE48" s="46" t="n">
        <f aca="false">-$E48*N(AND(DE$3&lt;=$F48,DE$4&gt;=$F48))</f>
        <v>-0</v>
      </c>
      <c r="DF48" s="46" t="n">
        <f aca="false">-$E48*N(AND(DF$3&lt;=$F48,DF$4&gt;=$F48))</f>
        <v>-0</v>
      </c>
      <c r="DG48" s="46" t="n">
        <f aca="false">-$E48*N(AND(DG$3&lt;=$F48,DG$4&gt;=$F48))</f>
        <v>-0</v>
      </c>
      <c r="DH48" s="46" t="n">
        <f aca="false">-$E48*N(AND(DH$3&lt;=$F48,DH$4&gt;=$F48))</f>
        <v>-0</v>
      </c>
      <c r="DI48" s="46" t="n">
        <f aca="false">-$E48*N(AND(DI$3&lt;=$F48,DI$4&gt;=$F48))</f>
        <v>-0</v>
      </c>
      <c r="DJ48" s="46" t="n">
        <f aca="false">-$E48*N(AND(DJ$3&lt;=$F48,DJ$4&gt;=$F48))</f>
        <v>-0</v>
      </c>
      <c r="DK48" s="46" t="n">
        <f aca="false">-$E48*N(AND(DK$3&lt;=$F48,DK$4&gt;=$F48))</f>
        <v>-0</v>
      </c>
      <c r="DL48" s="46" t="n">
        <f aca="false">-$E48*N(AND(DL$3&lt;=$F48,DL$4&gt;=$F48))</f>
        <v>-0</v>
      </c>
      <c r="DM48" s="46" t="n">
        <f aca="false">-$E48*N(AND(DM$3&lt;=$F48,DM$4&gt;=$F48))</f>
        <v>-0</v>
      </c>
      <c r="DN48" s="46" t="n">
        <f aca="false">-$E48*N(AND(DN$3&lt;=$F48,DN$4&gt;=$F48))</f>
        <v>-0</v>
      </c>
      <c r="DO48" s="46" t="n">
        <f aca="false">-$E48*N(AND(DO$3&lt;=$F48,DO$4&gt;=$F48))</f>
        <v>-0</v>
      </c>
      <c r="DP48" s="46" t="n">
        <f aca="false">-$E48*N(AND(DP$3&lt;=$F48,DP$4&gt;=$F48))</f>
        <v>-0</v>
      </c>
      <c r="DQ48" s="46" t="n">
        <f aca="false">-$E48*N(AND(DQ$3&lt;=$F48,DQ$4&gt;=$F48))</f>
        <v>-0</v>
      </c>
      <c r="DR48" s="46" t="n">
        <f aca="false">-$E48*N(AND(DR$3&lt;=$F48,DR$4&gt;=$F48))</f>
        <v>-0</v>
      </c>
      <c r="DS48" s="46" t="n">
        <f aca="false">-$E48*N(AND(DS$3&lt;=$F48,DS$4&gt;=$F48))</f>
        <v>-0</v>
      </c>
      <c r="DT48" s="46" t="n">
        <f aca="false">-$E48*N(AND(DT$3&lt;=$F48,DT$4&gt;=$F48))</f>
        <v>-0</v>
      </c>
      <c r="DU48" s="46" t="n">
        <f aca="false">-$E48*N(AND(DU$3&lt;=$F48,DU$4&gt;=$F48))</f>
        <v>-0</v>
      </c>
      <c r="DV48" s="46" t="n">
        <f aca="false">-$E48*N(AND(DV$3&lt;=$F48,DV$4&gt;=$F48))</f>
        <v>-0</v>
      </c>
      <c r="DW48" s="46" t="n">
        <f aca="false">-$E48*N(AND(DW$3&lt;=$F48,DW$4&gt;=$F48))</f>
        <v>-0</v>
      </c>
      <c r="DX48" s="46" t="n">
        <f aca="false">-$E48*N(AND(DX$3&lt;=$F48,DX$4&gt;=$F48))</f>
        <v>-0</v>
      </c>
      <c r="DY48" s="46" t="n">
        <f aca="false">-$E48*N(AND(DY$3&lt;=$F48,DY$4&gt;=$F48))</f>
        <v>-0</v>
      </c>
      <c r="DZ48" s="46" t="n">
        <f aca="false">-$E48*N(AND(DZ$3&lt;=$F48,DZ$4&gt;=$F48))</f>
        <v>-0</v>
      </c>
      <c r="EA48" s="46" t="n">
        <f aca="false">-$E48*N(AND(EA$3&lt;=$F48,EA$4&gt;=$F48))</f>
        <v>-0</v>
      </c>
      <c r="EB48" s="46" t="n">
        <f aca="false">-$E48*N(AND(EB$3&lt;=$F48,EB$4&gt;=$F48))</f>
        <v>-0</v>
      </c>
      <c r="EC48" s="46" t="n">
        <f aca="false">-$E48*N(AND(EC$3&lt;=$F48,EC$4&gt;=$F48))</f>
        <v>-0</v>
      </c>
      <c r="ED48" s="46" t="n">
        <f aca="false">-$E48*N(AND(ED$3&lt;=$F48,ED$4&gt;=$F48))</f>
        <v>-0</v>
      </c>
      <c r="EE48" s="46" t="n">
        <f aca="false">-$E48*N(AND(EE$3&lt;=$F48,EE$4&gt;=$F48))</f>
        <v>-0</v>
      </c>
      <c r="EF48" s="46" t="n">
        <f aca="false">-$E48*N(AND(EF$3&lt;=$F48,EF$4&gt;=$F48))</f>
        <v>-0</v>
      </c>
      <c r="EG48" s="46" t="n">
        <f aca="false">-$E48*N(AND(EG$3&lt;=$F48,EG$4&gt;=$F48))</f>
        <v>-0</v>
      </c>
      <c r="EH48" s="46" t="n">
        <f aca="false">-$E48*N(AND(EH$3&lt;=$F48,EH$4&gt;=$F48))</f>
        <v>-0</v>
      </c>
      <c r="EI48" s="46" t="n">
        <f aca="false">-$E48*N(AND(EI$3&lt;=$F48,EI$4&gt;=$F48))</f>
        <v>-0</v>
      </c>
      <c r="EJ48" s="46" t="n">
        <f aca="false">-$E48*N(AND(EJ$3&lt;=$F48,EJ$4&gt;=$F48))</f>
        <v>-0</v>
      </c>
      <c r="EK48" s="46" t="n">
        <f aca="false">-$E48*N(AND(EK$3&lt;=$F48,EK$4&gt;=$F48))</f>
        <v>-0</v>
      </c>
      <c r="EL48" s="46" t="n">
        <f aca="false">-$E48*N(AND(EL$3&lt;=$F48,EL$4&gt;=$F48))</f>
        <v>-0</v>
      </c>
      <c r="EM48" s="46" t="n">
        <f aca="false">-$E48*N(AND(EM$3&lt;=$F48,EM$4&gt;=$F48))</f>
        <v>-0</v>
      </c>
      <c r="EN48" s="46" t="n">
        <f aca="false">-$E48*N(AND(EN$3&lt;=$F48,EN$4&gt;=$F48))</f>
        <v>-0</v>
      </c>
      <c r="EO48" s="46" t="n">
        <f aca="false">-$E48*N(AND(EO$3&lt;=$F48,EO$4&gt;=$F48))</f>
        <v>-0</v>
      </c>
    </row>
    <row r="49" customFormat="false" ht="15" hidden="false" customHeight="false" outlineLevel="0" collapsed="false">
      <c r="C49" s="0" t="s">
        <v>381</v>
      </c>
      <c r="D49" s="11" t="s">
        <v>33</v>
      </c>
      <c r="E49" s="46" t="n">
        <f aca="false">In_Direct_Fee*Thousand/In_FX</f>
        <v>1260.27397260274</v>
      </c>
      <c r="F49" s="21" t="n">
        <f aca="false">In_HCSSZ_Date</f>
        <v>47126</v>
      </c>
      <c r="I49" s="46" t="n">
        <f aca="false">SUM(J49:EO49)</f>
        <v>-1260.27397260274</v>
      </c>
      <c r="J49" s="46" t="n">
        <f aca="false">-$E49*N(AND(J$3&lt;=$F49,J$4&gt;=$F49))</f>
        <v>-0</v>
      </c>
      <c r="K49" s="46" t="n">
        <f aca="false">-$E49*N(AND(K$3&lt;=$F49,K$4&gt;=$F49))</f>
        <v>-0</v>
      </c>
      <c r="L49" s="46" t="n">
        <f aca="false">-$E49*N(AND(L$3&lt;=$F49,L$4&gt;=$F49))</f>
        <v>-0</v>
      </c>
      <c r="M49" s="46" t="n">
        <f aca="false">-$E49*N(AND(M$3&lt;=$F49,M$4&gt;=$F49))</f>
        <v>-0</v>
      </c>
      <c r="N49" s="46" t="n">
        <f aca="false">-$E49*N(AND(N$3&lt;=$F49,N$4&gt;=$F49))</f>
        <v>-0</v>
      </c>
      <c r="O49" s="46" t="n">
        <f aca="false">-$E49*N(AND(O$3&lt;=$F49,O$4&gt;=$F49))</f>
        <v>-0</v>
      </c>
      <c r="P49" s="46" t="n">
        <f aca="false">-$E49*N(AND(P$3&lt;=$F49,P$4&gt;=$F49))</f>
        <v>-0</v>
      </c>
      <c r="Q49" s="46" t="n">
        <f aca="false">-$E49*N(AND(Q$3&lt;=$F49,Q$4&gt;=$F49))</f>
        <v>-0</v>
      </c>
      <c r="R49" s="46" t="n">
        <f aca="false">-$E49*N(AND(R$3&lt;=$F49,R$4&gt;=$F49))</f>
        <v>-0</v>
      </c>
      <c r="S49" s="46" t="n">
        <f aca="false">-$E49*N(AND(S$3&lt;=$F49,S$4&gt;=$F49))</f>
        <v>-1260.27397260274</v>
      </c>
      <c r="T49" s="46" t="n">
        <f aca="false">-$E49*N(AND(T$3&lt;=$F49,T$4&gt;=$F49))</f>
        <v>-0</v>
      </c>
      <c r="U49" s="46" t="n">
        <f aca="false">-$E49*N(AND(U$3&lt;=$F49,U$4&gt;=$F49))</f>
        <v>-0</v>
      </c>
      <c r="V49" s="46" t="n">
        <f aca="false">-$E49*N(AND(V$3&lt;=$F49,V$4&gt;=$F49))</f>
        <v>-0</v>
      </c>
      <c r="W49" s="46" t="n">
        <f aca="false">-$E49*N(AND(W$3&lt;=$F49,W$4&gt;=$F49))</f>
        <v>-0</v>
      </c>
      <c r="X49" s="46" t="n">
        <f aca="false">-$E49*N(AND(X$3&lt;=$F49,X$4&gt;=$F49))</f>
        <v>-0</v>
      </c>
      <c r="Y49" s="46" t="n">
        <f aca="false">-$E49*N(AND(Y$3&lt;=$F49,Y$4&gt;=$F49))</f>
        <v>-0</v>
      </c>
      <c r="Z49" s="46" t="n">
        <f aca="false">-$E49*N(AND(Z$3&lt;=$F49,Z$4&gt;=$F49))</f>
        <v>-0</v>
      </c>
      <c r="AA49" s="46" t="n">
        <f aca="false">-$E49*N(AND(AA$3&lt;=$F49,AA$4&gt;=$F49))</f>
        <v>-0</v>
      </c>
      <c r="AB49" s="46" t="n">
        <f aca="false">-$E49*N(AND(AB$3&lt;=$F49,AB$4&gt;=$F49))</f>
        <v>-0</v>
      </c>
      <c r="AC49" s="46" t="n">
        <f aca="false">-$E49*N(AND(AC$3&lt;=$F49,AC$4&gt;=$F49))</f>
        <v>-0</v>
      </c>
      <c r="AD49" s="46" t="n">
        <f aca="false">-$E49*N(AND(AD$3&lt;=$F49,AD$4&gt;=$F49))</f>
        <v>-0</v>
      </c>
      <c r="AE49" s="46" t="n">
        <f aca="false">-$E49*N(AND(AE$3&lt;=$F49,AE$4&gt;=$F49))</f>
        <v>-0</v>
      </c>
      <c r="AF49" s="46" t="n">
        <f aca="false">-$E49*N(AND(AF$3&lt;=$F49,AF$4&gt;=$F49))</f>
        <v>-0</v>
      </c>
      <c r="AG49" s="46" t="n">
        <f aca="false">-$E49*N(AND(AG$3&lt;=$F49,AG$4&gt;=$F49))</f>
        <v>-0</v>
      </c>
      <c r="AH49" s="46" t="n">
        <f aca="false">-$E49*N(AND(AH$3&lt;=$F49,AH$4&gt;=$F49))</f>
        <v>-0</v>
      </c>
      <c r="AI49" s="46" t="n">
        <f aca="false">-$E49*N(AND(AI$3&lt;=$F49,AI$4&gt;=$F49))</f>
        <v>-0</v>
      </c>
      <c r="AJ49" s="46" t="n">
        <f aca="false">-$E49*N(AND(AJ$3&lt;=$F49,AJ$4&gt;=$F49))</f>
        <v>-0</v>
      </c>
      <c r="AK49" s="46" t="n">
        <f aca="false">-$E49*N(AND(AK$3&lt;=$F49,AK$4&gt;=$F49))</f>
        <v>-0</v>
      </c>
      <c r="AL49" s="46" t="n">
        <f aca="false">-$E49*N(AND(AL$3&lt;=$F49,AL$4&gt;=$F49))</f>
        <v>-0</v>
      </c>
      <c r="AM49" s="46" t="n">
        <f aca="false">-$E49*N(AND(AM$3&lt;=$F49,AM$4&gt;=$F49))</f>
        <v>-0</v>
      </c>
      <c r="AN49" s="46" t="n">
        <f aca="false">-$E49*N(AND(AN$3&lt;=$F49,AN$4&gt;=$F49))</f>
        <v>-0</v>
      </c>
      <c r="AO49" s="46" t="n">
        <f aca="false">-$E49*N(AND(AO$3&lt;=$F49,AO$4&gt;=$F49))</f>
        <v>-0</v>
      </c>
      <c r="AP49" s="46" t="n">
        <f aca="false">-$E49*N(AND(AP$3&lt;=$F49,AP$4&gt;=$F49))</f>
        <v>-0</v>
      </c>
      <c r="AQ49" s="46" t="n">
        <f aca="false">-$E49*N(AND(AQ$3&lt;=$F49,AQ$4&gt;=$F49))</f>
        <v>-0</v>
      </c>
      <c r="AR49" s="46" t="n">
        <f aca="false">-$E49*N(AND(AR$3&lt;=$F49,AR$4&gt;=$F49))</f>
        <v>-0</v>
      </c>
      <c r="AS49" s="46" t="n">
        <f aca="false">-$E49*N(AND(AS$3&lt;=$F49,AS$4&gt;=$F49))</f>
        <v>-0</v>
      </c>
      <c r="AT49" s="46" t="n">
        <f aca="false">-$E49*N(AND(AT$3&lt;=$F49,AT$4&gt;=$F49))</f>
        <v>-0</v>
      </c>
      <c r="AU49" s="46" t="n">
        <f aca="false">-$E49*N(AND(AU$3&lt;=$F49,AU$4&gt;=$F49))</f>
        <v>-0</v>
      </c>
      <c r="AV49" s="46" t="n">
        <f aca="false">-$E49*N(AND(AV$3&lt;=$F49,AV$4&gt;=$F49))</f>
        <v>-0</v>
      </c>
      <c r="AW49" s="46" t="n">
        <f aca="false">-$E49*N(AND(AW$3&lt;=$F49,AW$4&gt;=$F49))</f>
        <v>-0</v>
      </c>
      <c r="AX49" s="46" t="n">
        <f aca="false">-$E49*N(AND(AX$3&lt;=$F49,AX$4&gt;=$F49))</f>
        <v>-0</v>
      </c>
      <c r="AY49" s="46" t="n">
        <f aca="false">-$E49*N(AND(AY$3&lt;=$F49,AY$4&gt;=$F49))</f>
        <v>-0</v>
      </c>
      <c r="AZ49" s="46" t="n">
        <f aca="false">-$E49*N(AND(AZ$3&lt;=$F49,AZ$4&gt;=$F49))</f>
        <v>-0</v>
      </c>
      <c r="BA49" s="46" t="n">
        <f aca="false">-$E49*N(AND(BA$3&lt;=$F49,BA$4&gt;=$F49))</f>
        <v>-0</v>
      </c>
      <c r="BB49" s="46" t="n">
        <f aca="false">-$E49*N(AND(BB$3&lt;=$F49,BB$4&gt;=$F49))</f>
        <v>-0</v>
      </c>
      <c r="BC49" s="46" t="n">
        <f aca="false">-$E49*N(AND(BC$3&lt;=$F49,BC$4&gt;=$F49))</f>
        <v>-0</v>
      </c>
      <c r="BD49" s="46" t="n">
        <f aca="false">-$E49*N(AND(BD$3&lt;=$F49,BD$4&gt;=$F49))</f>
        <v>-0</v>
      </c>
      <c r="BE49" s="46" t="n">
        <f aca="false">-$E49*N(AND(BE$3&lt;=$F49,BE$4&gt;=$F49))</f>
        <v>-0</v>
      </c>
      <c r="BF49" s="46" t="n">
        <f aca="false">-$E49*N(AND(BF$3&lt;=$F49,BF$4&gt;=$F49))</f>
        <v>-0</v>
      </c>
      <c r="BG49" s="46" t="n">
        <f aca="false">-$E49*N(AND(BG$3&lt;=$F49,BG$4&gt;=$F49))</f>
        <v>-0</v>
      </c>
      <c r="BH49" s="46" t="n">
        <f aca="false">-$E49*N(AND(BH$3&lt;=$F49,BH$4&gt;=$F49))</f>
        <v>-0</v>
      </c>
      <c r="BI49" s="46" t="n">
        <f aca="false">-$E49*N(AND(BI$3&lt;=$F49,BI$4&gt;=$F49))</f>
        <v>-0</v>
      </c>
      <c r="BJ49" s="46" t="n">
        <f aca="false">-$E49*N(AND(BJ$3&lt;=$F49,BJ$4&gt;=$F49))</f>
        <v>-0</v>
      </c>
      <c r="BK49" s="46" t="n">
        <f aca="false">-$E49*N(AND(BK$3&lt;=$F49,BK$4&gt;=$F49))</f>
        <v>-0</v>
      </c>
      <c r="BL49" s="46" t="n">
        <f aca="false">-$E49*N(AND(BL$3&lt;=$F49,BL$4&gt;=$F49))</f>
        <v>-0</v>
      </c>
      <c r="BM49" s="46" t="n">
        <f aca="false">-$E49*N(AND(BM$3&lt;=$F49,BM$4&gt;=$F49))</f>
        <v>-0</v>
      </c>
      <c r="BN49" s="46" t="n">
        <f aca="false">-$E49*N(AND(BN$3&lt;=$F49,BN$4&gt;=$F49))</f>
        <v>-0</v>
      </c>
      <c r="BO49" s="46" t="n">
        <f aca="false">-$E49*N(AND(BO$3&lt;=$F49,BO$4&gt;=$F49))</f>
        <v>-0</v>
      </c>
      <c r="BP49" s="46" t="n">
        <f aca="false">-$E49*N(AND(BP$3&lt;=$F49,BP$4&gt;=$F49))</f>
        <v>-0</v>
      </c>
      <c r="BQ49" s="46" t="n">
        <f aca="false">-$E49*N(AND(BQ$3&lt;=$F49,BQ$4&gt;=$F49))</f>
        <v>-0</v>
      </c>
      <c r="BR49" s="46" t="n">
        <f aca="false">-$E49*N(AND(BR$3&lt;=$F49,BR$4&gt;=$F49))</f>
        <v>-0</v>
      </c>
      <c r="BS49" s="46" t="n">
        <f aca="false">-$E49*N(AND(BS$3&lt;=$F49,BS$4&gt;=$F49))</f>
        <v>-0</v>
      </c>
      <c r="BT49" s="46" t="n">
        <f aca="false">-$E49*N(AND(BT$3&lt;=$F49,BT$4&gt;=$F49))</f>
        <v>-0</v>
      </c>
      <c r="BU49" s="46" t="n">
        <f aca="false">-$E49*N(AND(BU$3&lt;=$F49,BU$4&gt;=$F49))</f>
        <v>-0</v>
      </c>
      <c r="BV49" s="46" t="n">
        <f aca="false">-$E49*N(AND(BV$3&lt;=$F49,BV$4&gt;=$F49))</f>
        <v>-0</v>
      </c>
      <c r="BW49" s="46" t="n">
        <f aca="false">-$E49*N(AND(BW$3&lt;=$F49,BW$4&gt;=$F49))</f>
        <v>-0</v>
      </c>
      <c r="BX49" s="46" t="n">
        <f aca="false">-$E49*N(AND(BX$3&lt;=$F49,BX$4&gt;=$F49))</f>
        <v>-0</v>
      </c>
      <c r="BY49" s="46" t="n">
        <f aca="false">-$E49*N(AND(BY$3&lt;=$F49,BY$4&gt;=$F49))</f>
        <v>-0</v>
      </c>
      <c r="BZ49" s="46" t="n">
        <f aca="false">-$E49*N(AND(BZ$3&lt;=$F49,BZ$4&gt;=$F49))</f>
        <v>-0</v>
      </c>
      <c r="CA49" s="46" t="n">
        <f aca="false">-$E49*N(AND(CA$3&lt;=$F49,CA$4&gt;=$F49))</f>
        <v>-0</v>
      </c>
      <c r="CB49" s="46" t="n">
        <f aca="false">-$E49*N(AND(CB$3&lt;=$F49,CB$4&gt;=$F49))</f>
        <v>-0</v>
      </c>
      <c r="CC49" s="46" t="n">
        <f aca="false">-$E49*N(AND(CC$3&lt;=$F49,CC$4&gt;=$F49))</f>
        <v>-0</v>
      </c>
      <c r="CD49" s="46" t="n">
        <f aca="false">-$E49*N(AND(CD$3&lt;=$F49,CD$4&gt;=$F49))</f>
        <v>-0</v>
      </c>
      <c r="CE49" s="46" t="n">
        <f aca="false">-$E49*N(AND(CE$3&lt;=$F49,CE$4&gt;=$F49))</f>
        <v>-0</v>
      </c>
      <c r="CF49" s="46" t="n">
        <f aca="false">-$E49*N(AND(CF$3&lt;=$F49,CF$4&gt;=$F49))</f>
        <v>-0</v>
      </c>
      <c r="CG49" s="46" t="n">
        <f aca="false">-$E49*N(AND(CG$3&lt;=$F49,CG$4&gt;=$F49))</f>
        <v>-0</v>
      </c>
      <c r="CH49" s="46" t="n">
        <f aca="false">-$E49*N(AND(CH$3&lt;=$F49,CH$4&gt;=$F49))</f>
        <v>-0</v>
      </c>
      <c r="CI49" s="46" t="n">
        <f aca="false">-$E49*N(AND(CI$3&lt;=$F49,CI$4&gt;=$F49))</f>
        <v>-0</v>
      </c>
      <c r="CJ49" s="46" t="n">
        <f aca="false">-$E49*N(AND(CJ$3&lt;=$F49,CJ$4&gt;=$F49))</f>
        <v>-0</v>
      </c>
      <c r="CK49" s="46" t="n">
        <f aca="false">-$E49*N(AND(CK$3&lt;=$F49,CK$4&gt;=$F49))</f>
        <v>-0</v>
      </c>
      <c r="CL49" s="46" t="n">
        <f aca="false">-$E49*N(AND(CL$3&lt;=$F49,CL$4&gt;=$F49))</f>
        <v>-0</v>
      </c>
      <c r="CM49" s="46" t="n">
        <f aca="false">-$E49*N(AND(CM$3&lt;=$F49,CM$4&gt;=$F49))</f>
        <v>-0</v>
      </c>
      <c r="CN49" s="46" t="n">
        <f aca="false">-$E49*N(AND(CN$3&lt;=$F49,CN$4&gt;=$F49))</f>
        <v>-0</v>
      </c>
      <c r="CO49" s="46" t="n">
        <f aca="false">-$E49*N(AND(CO$3&lt;=$F49,CO$4&gt;=$F49))</f>
        <v>-0</v>
      </c>
      <c r="CP49" s="46" t="n">
        <f aca="false">-$E49*N(AND(CP$3&lt;=$F49,CP$4&gt;=$F49))</f>
        <v>-0</v>
      </c>
      <c r="CQ49" s="46" t="n">
        <f aca="false">-$E49*N(AND(CQ$3&lt;=$F49,CQ$4&gt;=$F49))</f>
        <v>-0</v>
      </c>
      <c r="CR49" s="46" t="n">
        <f aca="false">-$E49*N(AND(CR$3&lt;=$F49,CR$4&gt;=$F49))</f>
        <v>-0</v>
      </c>
      <c r="CS49" s="46" t="n">
        <f aca="false">-$E49*N(AND(CS$3&lt;=$F49,CS$4&gt;=$F49))</f>
        <v>-0</v>
      </c>
      <c r="CT49" s="46" t="n">
        <f aca="false">-$E49*N(AND(CT$3&lt;=$F49,CT$4&gt;=$F49))</f>
        <v>-0</v>
      </c>
      <c r="CU49" s="46" t="n">
        <f aca="false">-$E49*N(AND(CU$3&lt;=$F49,CU$4&gt;=$F49))</f>
        <v>-0</v>
      </c>
      <c r="CV49" s="46" t="n">
        <f aca="false">-$E49*N(AND(CV$3&lt;=$F49,CV$4&gt;=$F49))</f>
        <v>-0</v>
      </c>
      <c r="CW49" s="46" t="n">
        <f aca="false">-$E49*N(AND(CW$3&lt;=$F49,CW$4&gt;=$F49))</f>
        <v>-0</v>
      </c>
      <c r="CX49" s="46" t="n">
        <f aca="false">-$E49*N(AND(CX$3&lt;=$F49,CX$4&gt;=$F49))</f>
        <v>-0</v>
      </c>
      <c r="CY49" s="46" t="n">
        <f aca="false">-$E49*N(AND(CY$3&lt;=$F49,CY$4&gt;=$F49))</f>
        <v>-0</v>
      </c>
      <c r="CZ49" s="46" t="n">
        <f aca="false">-$E49*N(AND(CZ$3&lt;=$F49,CZ$4&gt;=$F49))</f>
        <v>-0</v>
      </c>
      <c r="DA49" s="46" t="n">
        <f aca="false">-$E49*N(AND(DA$3&lt;=$F49,DA$4&gt;=$F49))</f>
        <v>-0</v>
      </c>
      <c r="DB49" s="46" t="n">
        <f aca="false">-$E49*N(AND(DB$3&lt;=$F49,DB$4&gt;=$F49))</f>
        <v>-0</v>
      </c>
      <c r="DC49" s="46" t="n">
        <f aca="false">-$E49*N(AND(DC$3&lt;=$F49,DC$4&gt;=$F49))</f>
        <v>-0</v>
      </c>
      <c r="DD49" s="46" t="n">
        <f aca="false">-$E49*N(AND(DD$3&lt;=$F49,DD$4&gt;=$F49))</f>
        <v>-0</v>
      </c>
      <c r="DE49" s="46" t="n">
        <f aca="false">-$E49*N(AND(DE$3&lt;=$F49,DE$4&gt;=$F49))</f>
        <v>-0</v>
      </c>
      <c r="DF49" s="46" t="n">
        <f aca="false">-$E49*N(AND(DF$3&lt;=$F49,DF$4&gt;=$F49))</f>
        <v>-0</v>
      </c>
      <c r="DG49" s="46" t="n">
        <f aca="false">-$E49*N(AND(DG$3&lt;=$F49,DG$4&gt;=$F49))</f>
        <v>-0</v>
      </c>
      <c r="DH49" s="46" t="n">
        <f aca="false">-$E49*N(AND(DH$3&lt;=$F49,DH$4&gt;=$F49))</f>
        <v>-0</v>
      </c>
      <c r="DI49" s="46" t="n">
        <f aca="false">-$E49*N(AND(DI$3&lt;=$F49,DI$4&gt;=$F49))</f>
        <v>-0</v>
      </c>
      <c r="DJ49" s="46" t="n">
        <f aca="false">-$E49*N(AND(DJ$3&lt;=$F49,DJ$4&gt;=$F49))</f>
        <v>-0</v>
      </c>
      <c r="DK49" s="46" t="n">
        <f aca="false">-$E49*N(AND(DK$3&lt;=$F49,DK$4&gt;=$F49))</f>
        <v>-0</v>
      </c>
      <c r="DL49" s="46" t="n">
        <f aca="false">-$E49*N(AND(DL$3&lt;=$F49,DL$4&gt;=$F49))</f>
        <v>-0</v>
      </c>
      <c r="DM49" s="46" t="n">
        <f aca="false">-$E49*N(AND(DM$3&lt;=$F49,DM$4&gt;=$F49))</f>
        <v>-0</v>
      </c>
      <c r="DN49" s="46" t="n">
        <f aca="false">-$E49*N(AND(DN$3&lt;=$F49,DN$4&gt;=$F49))</f>
        <v>-0</v>
      </c>
      <c r="DO49" s="46" t="n">
        <f aca="false">-$E49*N(AND(DO$3&lt;=$F49,DO$4&gt;=$F49))</f>
        <v>-0</v>
      </c>
      <c r="DP49" s="46" t="n">
        <f aca="false">-$E49*N(AND(DP$3&lt;=$F49,DP$4&gt;=$F49))</f>
        <v>-0</v>
      </c>
      <c r="DQ49" s="46" t="n">
        <f aca="false">-$E49*N(AND(DQ$3&lt;=$F49,DQ$4&gt;=$F49))</f>
        <v>-0</v>
      </c>
      <c r="DR49" s="46" t="n">
        <f aca="false">-$E49*N(AND(DR$3&lt;=$F49,DR$4&gt;=$F49))</f>
        <v>-0</v>
      </c>
      <c r="DS49" s="46" t="n">
        <f aca="false">-$E49*N(AND(DS$3&lt;=$F49,DS$4&gt;=$F49))</f>
        <v>-0</v>
      </c>
      <c r="DT49" s="46" t="n">
        <f aca="false">-$E49*N(AND(DT$3&lt;=$F49,DT$4&gt;=$F49))</f>
        <v>-0</v>
      </c>
      <c r="DU49" s="46" t="n">
        <f aca="false">-$E49*N(AND(DU$3&lt;=$F49,DU$4&gt;=$F49))</f>
        <v>-0</v>
      </c>
      <c r="DV49" s="46" t="n">
        <f aca="false">-$E49*N(AND(DV$3&lt;=$F49,DV$4&gt;=$F49))</f>
        <v>-0</v>
      </c>
      <c r="DW49" s="46" t="n">
        <f aca="false">-$E49*N(AND(DW$3&lt;=$F49,DW$4&gt;=$F49))</f>
        <v>-0</v>
      </c>
      <c r="DX49" s="46" t="n">
        <f aca="false">-$E49*N(AND(DX$3&lt;=$F49,DX$4&gt;=$F49))</f>
        <v>-0</v>
      </c>
      <c r="DY49" s="46" t="n">
        <f aca="false">-$E49*N(AND(DY$3&lt;=$F49,DY$4&gt;=$F49))</f>
        <v>-0</v>
      </c>
      <c r="DZ49" s="46" t="n">
        <f aca="false">-$E49*N(AND(DZ$3&lt;=$F49,DZ$4&gt;=$F49))</f>
        <v>-0</v>
      </c>
      <c r="EA49" s="46" t="n">
        <f aca="false">-$E49*N(AND(EA$3&lt;=$F49,EA$4&gt;=$F49))</f>
        <v>-0</v>
      </c>
      <c r="EB49" s="46" t="n">
        <f aca="false">-$E49*N(AND(EB$3&lt;=$F49,EB$4&gt;=$F49))</f>
        <v>-0</v>
      </c>
      <c r="EC49" s="46" t="n">
        <f aca="false">-$E49*N(AND(EC$3&lt;=$F49,EC$4&gt;=$F49))</f>
        <v>-0</v>
      </c>
      <c r="ED49" s="46" t="n">
        <f aca="false">-$E49*N(AND(ED$3&lt;=$F49,ED$4&gt;=$F49))</f>
        <v>-0</v>
      </c>
      <c r="EE49" s="46" t="n">
        <f aca="false">-$E49*N(AND(EE$3&lt;=$F49,EE$4&gt;=$F49))</f>
        <v>-0</v>
      </c>
      <c r="EF49" s="46" t="n">
        <f aca="false">-$E49*N(AND(EF$3&lt;=$F49,EF$4&gt;=$F49))</f>
        <v>-0</v>
      </c>
      <c r="EG49" s="46" t="n">
        <f aca="false">-$E49*N(AND(EG$3&lt;=$F49,EG$4&gt;=$F49))</f>
        <v>-0</v>
      </c>
      <c r="EH49" s="46" t="n">
        <f aca="false">-$E49*N(AND(EH$3&lt;=$F49,EH$4&gt;=$F49))</f>
        <v>-0</v>
      </c>
      <c r="EI49" s="46" t="n">
        <f aca="false">-$E49*N(AND(EI$3&lt;=$F49,EI$4&gt;=$F49))</f>
        <v>-0</v>
      </c>
      <c r="EJ49" s="46" t="n">
        <f aca="false">-$E49*N(AND(EJ$3&lt;=$F49,EJ$4&gt;=$F49))</f>
        <v>-0</v>
      </c>
      <c r="EK49" s="46" t="n">
        <f aca="false">-$E49*N(AND(EK$3&lt;=$F49,EK$4&gt;=$F49))</f>
        <v>-0</v>
      </c>
      <c r="EL49" s="46" t="n">
        <f aca="false">-$E49*N(AND(EL$3&lt;=$F49,EL$4&gt;=$F49))</f>
        <v>-0</v>
      </c>
      <c r="EM49" s="46" t="n">
        <f aca="false">-$E49*N(AND(EM$3&lt;=$F49,EM$4&gt;=$F49))</f>
        <v>-0</v>
      </c>
      <c r="EN49" s="46" t="n">
        <f aca="false">-$E49*N(AND(EN$3&lt;=$F49,EN$4&gt;=$F49))</f>
        <v>-0</v>
      </c>
      <c r="EO49" s="46" t="n">
        <f aca="false">-$E49*N(AND(EO$3&lt;=$F49,EO$4&gt;=$F49))</f>
        <v>-0</v>
      </c>
    </row>
    <row r="50" customFormat="false" ht="15" hidden="false" customHeight="false" outlineLevel="0" collapsed="false">
      <c r="C50" s="0" t="s">
        <v>382</v>
      </c>
      <c r="D50" s="11" t="s">
        <v>33</v>
      </c>
      <c r="E50" s="46" t="n">
        <f aca="false">(In_Indirect_Fee-In_TSO_Security)*In_MVA*Thousand/In_FX</f>
        <v>6894.54917808219</v>
      </c>
      <c r="F50" s="21" t="n">
        <f aca="false">In_HCSSZ_Date</f>
        <v>47126</v>
      </c>
      <c r="I50" s="46" t="n">
        <f aca="false">SUM(J50:EO50)</f>
        <v>-6894.54917808219</v>
      </c>
      <c r="J50" s="46" t="n">
        <f aca="false">-$E50*N(AND(J$3&lt;=$F50,J$4&gt;=$F50))</f>
        <v>-0</v>
      </c>
      <c r="K50" s="46" t="n">
        <f aca="false">-$E50*N(AND(K$3&lt;=$F50,K$4&gt;=$F50))</f>
        <v>-0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-6894.54917808219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</row>
    <row r="51" customFormat="false" ht="15" hidden="false" customHeight="false" outlineLevel="0" collapsed="false">
      <c r="C51" s="0" t="s">
        <v>383</v>
      </c>
      <c r="D51" s="11" t="s">
        <v>33</v>
      </c>
      <c r="I51" s="46" t="n">
        <f aca="false">SUM(J51:EO51)</f>
        <v>-8154.82315068493</v>
      </c>
      <c r="J51" s="46" t="n">
        <f aca="false">J49+J50</f>
        <v>-0</v>
      </c>
      <c r="K51" s="46" t="n">
        <f aca="false">K49+K50</f>
        <v>-0</v>
      </c>
      <c r="L51" s="46" t="n">
        <f aca="false">L49+L50</f>
        <v>-0</v>
      </c>
      <c r="M51" s="46" t="n">
        <f aca="false">M49+M50</f>
        <v>-0</v>
      </c>
      <c r="N51" s="46" t="n">
        <f aca="false">N49+N50</f>
        <v>-0</v>
      </c>
      <c r="O51" s="46" t="n">
        <f aca="false">O49+O50</f>
        <v>-0</v>
      </c>
      <c r="P51" s="46" t="n">
        <f aca="false">P49+P50</f>
        <v>-0</v>
      </c>
      <c r="Q51" s="46" t="n">
        <f aca="false">Q49+Q50</f>
        <v>-0</v>
      </c>
      <c r="R51" s="46" t="n">
        <f aca="false">R49+R50</f>
        <v>-0</v>
      </c>
      <c r="S51" s="46" t="n">
        <f aca="false">S49+S50</f>
        <v>-8154.82315068493</v>
      </c>
      <c r="T51" s="46" t="n">
        <f aca="false">T49+T50</f>
        <v>-0</v>
      </c>
      <c r="U51" s="46" t="n">
        <f aca="false">U49+U50</f>
        <v>-0</v>
      </c>
      <c r="V51" s="46" t="n">
        <f aca="false">V49+V50</f>
        <v>-0</v>
      </c>
      <c r="W51" s="46" t="n">
        <f aca="false">W49+W50</f>
        <v>-0</v>
      </c>
      <c r="X51" s="46" t="n">
        <f aca="false">X49+X50</f>
        <v>-0</v>
      </c>
      <c r="Y51" s="46" t="n">
        <f aca="false">Y49+Y50</f>
        <v>-0</v>
      </c>
      <c r="Z51" s="46" t="n">
        <f aca="false">Z49+Z50</f>
        <v>-0</v>
      </c>
      <c r="AA51" s="46" t="n">
        <f aca="false">AA49+AA50</f>
        <v>-0</v>
      </c>
      <c r="AB51" s="46" t="n">
        <f aca="false">AB49+AB50</f>
        <v>-0</v>
      </c>
      <c r="AC51" s="46" t="n">
        <f aca="false">AC49+AC50</f>
        <v>-0</v>
      </c>
      <c r="AD51" s="46" t="n">
        <f aca="false">AD49+AD50</f>
        <v>-0</v>
      </c>
      <c r="AE51" s="46" t="n">
        <f aca="false">AE49+AE50</f>
        <v>-0</v>
      </c>
      <c r="AF51" s="46" t="n">
        <f aca="false">AF49+AF50</f>
        <v>-0</v>
      </c>
      <c r="AG51" s="46" t="n">
        <f aca="false">AG49+AG50</f>
        <v>-0</v>
      </c>
      <c r="AH51" s="46" t="n">
        <f aca="false">AH49+AH50</f>
        <v>-0</v>
      </c>
      <c r="AI51" s="46" t="n">
        <f aca="false">AI49+AI50</f>
        <v>-0</v>
      </c>
      <c r="AJ51" s="46" t="n">
        <f aca="false">AJ49+AJ50</f>
        <v>-0</v>
      </c>
      <c r="AK51" s="46" t="n">
        <f aca="false">AK49+AK50</f>
        <v>-0</v>
      </c>
      <c r="AL51" s="46" t="n">
        <f aca="false">AL49+AL50</f>
        <v>-0</v>
      </c>
      <c r="AM51" s="46" t="n">
        <f aca="false">AM49+AM50</f>
        <v>-0</v>
      </c>
      <c r="AN51" s="46" t="n">
        <f aca="false">AN49+AN50</f>
        <v>-0</v>
      </c>
      <c r="AO51" s="46" t="n">
        <f aca="false">AO49+AO50</f>
        <v>-0</v>
      </c>
      <c r="AP51" s="46" t="n">
        <f aca="false">AP49+AP50</f>
        <v>-0</v>
      </c>
      <c r="AQ51" s="46" t="n">
        <f aca="false">AQ49+AQ50</f>
        <v>-0</v>
      </c>
      <c r="AR51" s="46" t="n">
        <f aca="false">AR49+AR50</f>
        <v>-0</v>
      </c>
      <c r="AS51" s="46" t="n">
        <f aca="false">AS49+AS50</f>
        <v>-0</v>
      </c>
      <c r="AT51" s="46" t="n">
        <f aca="false">AT49+AT50</f>
        <v>-0</v>
      </c>
      <c r="AU51" s="46" t="n">
        <f aca="false">AU49+AU50</f>
        <v>-0</v>
      </c>
      <c r="AV51" s="46" t="n">
        <f aca="false">AV49+AV50</f>
        <v>-0</v>
      </c>
      <c r="AW51" s="46" t="n">
        <f aca="false">AW49+AW50</f>
        <v>-0</v>
      </c>
      <c r="AX51" s="46" t="n">
        <f aca="false">AX49+AX50</f>
        <v>-0</v>
      </c>
      <c r="AY51" s="46" t="n">
        <f aca="false">AY49+AY50</f>
        <v>-0</v>
      </c>
      <c r="AZ51" s="46" t="n">
        <f aca="false">AZ49+AZ50</f>
        <v>-0</v>
      </c>
      <c r="BA51" s="46" t="n">
        <f aca="false">BA49+BA50</f>
        <v>-0</v>
      </c>
      <c r="BB51" s="46" t="n">
        <f aca="false">BB49+BB50</f>
        <v>-0</v>
      </c>
      <c r="BC51" s="46" t="n">
        <f aca="false">BC49+BC50</f>
        <v>-0</v>
      </c>
      <c r="BD51" s="46" t="n">
        <f aca="false">BD49+BD50</f>
        <v>-0</v>
      </c>
      <c r="BE51" s="46" t="n">
        <f aca="false">BE49+BE50</f>
        <v>-0</v>
      </c>
      <c r="BF51" s="46" t="n">
        <f aca="false">BF49+BF50</f>
        <v>-0</v>
      </c>
      <c r="BG51" s="46" t="n">
        <f aca="false">BG49+BG50</f>
        <v>-0</v>
      </c>
      <c r="BH51" s="46" t="n">
        <f aca="false">BH49+BH50</f>
        <v>-0</v>
      </c>
      <c r="BI51" s="46" t="n">
        <f aca="false">BI49+BI50</f>
        <v>-0</v>
      </c>
      <c r="BJ51" s="46" t="n">
        <f aca="false">BJ49+BJ50</f>
        <v>-0</v>
      </c>
      <c r="BK51" s="46" t="n">
        <f aca="false">BK49+BK50</f>
        <v>-0</v>
      </c>
      <c r="BL51" s="46" t="n">
        <f aca="false">BL49+BL50</f>
        <v>-0</v>
      </c>
      <c r="BM51" s="46" t="n">
        <f aca="false">BM49+BM50</f>
        <v>-0</v>
      </c>
      <c r="BN51" s="46" t="n">
        <f aca="false">BN49+BN50</f>
        <v>-0</v>
      </c>
      <c r="BO51" s="46" t="n">
        <f aca="false">BO49+BO50</f>
        <v>-0</v>
      </c>
      <c r="BP51" s="46" t="n">
        <f aca="false">BP49+BP50</f>
        <v>-0</v>
      </c>
      <c r="BQ51" s="46" t="n">
        <f aca="false">BQ49+BQ50</f>
        <v>-0</v>
      </c>
      <c r="BR51" s="46" t="n">
        <f aca="false">BR49+BR50</f>
        <v>-0</v>
      </c>
      <c r="BS51" s="46" t="n">
        <f aca="false">BS49+BS50</f>
        <v>-0</v>
      </c>
      <c r="BT51" s="46" t="n">
        <f aca="false">BT49+BT50</f>
        <v>-0</v>
      </c>
      <c r="BU51" s="46" t="n">
        <f aca="false">BU49+BU50</f>
        <v>-0</v>
      </c>
      <c r="BV51" s="46" t="n">
        <f aca="false">BV49+BV50</f>
        <v>-0</v>
      </c>
      <c r="BW51" s="46" t="n">
        <f aca="false">BW49+BW50</f>
        <v>-0</v>
      </c>
      <c r="BX51" s="46" t="n">
        <f aca="false">BX49+BX50</f>
        <v>-0</v>
      </c>
      <c r="BY51" s="46" t="n">
        <f aca="false">BY49+BY50</f>
        <v>-0</v>
      </c>
      <c r="BZ51" s="46" t="n">
        <f aca="false">BZ49+BZ50</f>
        <v>-0</v>
      </c>
      <c r="CA51" s="46" t="n">
        <f aca="false">CA49+CA50</f>
        <v>-0</v>
      </c>
      <c r="CB51" s="46" t="n">
        <f aca="false">CB49+CB50</f>
        <v>-0</v>
      </c>
      <c r="CC51" s="46" t="n">
        <f aca="false">CC49+CC50</f>
        <v>-0</v>
      </c>
      <c r="CD51" s="46" t="n">
        <f aca="false">CD49+CD50</f>
        <v>-0</v>
      </c>
      <c r="CE51" s="46" t="n">
        <f aca="false">CE49+CE50</f>
        <v>-0</v>
      </c>
      <c r="CF51" s="46" t="n">
        <f aca="false">CF49+CF50</f>
        <v>-0</v>
      </c>
      <c r="CG51" s="46" t="n">
        <f aca="false">CG49+CG50</f>
        <v>-0</v>
      </c>
      <c r="CH51" s="46" t="n">
        <f aca="false">CH49+CH50</f>
        <v>-0</v>
      </c>
      <c r="CI51" s="46" t="n">
        <f aca="false">CI49+CI50</f>
        <v>-0</v>
      </c>
      <c r="CJ51" s="46" t="n">
        <f aca="false">CJ49+CJ50</f>
        <v>-0</v>
      </c>
      <c r="CK51" s="46" t="n">
        <f aca="false">CK49+CK50</f>
        <v>-0</v>
      </c>
      <c r="CL51" s="46" t="n">
        <f aca="false">CL49+CL50</f>
        <v>-0</v>
      </c>
      <c r="CM51" s="46" t="n">
        <f aca="false">CM49+CM50</f>
        <v>-0</v>
      </c>
      <c r="CN51" s="46" t="n">
        <f aca="false">CN49+CN50</f>
        <v>-0</v>
      </c>
      <c r="CO51" s="46" t="n">
        <f aca="false">CO49+CO50</f>
        <v>-0</v>
      </c>
      <c r="CP51" s="46" t="n">
        <f aca="false">CP49+CP50</f>
        <v>-0</v>
      </c>
      <c r="CQ51" s="46" t="n">
        <f aca="false">CQ49+CQ50</f>
        <v>-0</v>
      </c>
      <c r="CR51" s="46" t="n">
        <f aca="false">CR49+CR50</f>
        <v>-0</v>
      </c>
      <c r="CS51" s="46" t="n">
        <f aca="false">CS49+CS50</f>
        <v>-0</v>
      </c>
      <c r="CT51" s="46" t="n">
        <f aca="false">CT49+CT50</f>
        <v>-0</v>
      </c>
      <c r="CU51" s="46" t="n">
        <f aca="false">CU49+CU50</f>
        <v>-0</v>
      </c>
      <c r="CV51" s="46" t="n">
        <f aca="false">CV49+CV50</f>
        <v>-0</v>
      </c>
      <c r="CW51" s="46" t="n">
        <f aca="false">CW49+CW50</f>
        <v>-0</v>
      </c>
      <c r="CX51" s="46" t="n">
        <f aca="false">CX49+CX50</f>
        <v>-0</v>
      </c>
      <c r="CY51" s="46" t="n">
        <f aca="false">CY49+CY50</f>
        <v>-0</v>
      </c>
      <c r="CZ51" s="46" t="n">
        <f aca="false">CZ49+CZ50</f>
        <v>-0</v>
      </c>
      <c r="DA51" s="46" t="n">
        <f aca="false">DA49+DA50</f>
        <v>-0</v>
      </c>
      <c r="DB51" s="46" t="n">
        <f aca="false">DB49+DB50</f>
        <v>-0</v>
      </c>
      <c r="DC51" s="46" t="n">
        <f aca="false">DC49+DC50</f>
        <v>-0</v>
      </c>
      <c r="DD51" s="46" t="n">
        <f aca="false">DD49+DD50</f>
        <v>-0</v>
      </c>
      <c r="DE51" s="46" t="n">
        <f aca="false">DE49+DE50</f>
        <v>-0</v>
      </c>
      <c r="DF51" s="46" t="n">
        <f aca="false">DF49+DF50</f>
        <v>-0</v>
      </c>
      <c r="DG51" s="46" t="n">
        <f aca="false">DG49+DG50</f>
        <v>-0</v>
      </c>
      <c r="DH51" s="46" t="n">
        <f aca="false">DH49+DH50</f>
        <v>-0</v>
      </c>
      <c r="DI51" s="46" t="n">
        <f aca="false">DI49+DI50</f>
        <v>-0</v>
      </c>
      <c r="DJ51" s="46" t="n">
        <f aca="false">DJ49+DJ50</f>
        <v>-0</v>
      </c>
      <c r="DK51" s="46" t="n">
        <f aca="false">DK49+DK50</f>
        <v>-0</v>
      </c>
      <c r="DL51" s="46" t="n">
        <f aca="false">DL49+DL50</f>
        <v>-0</v>
      </c>
      <c r="DM51" s="46" t="n">
        <f aca="false">DM49+DM50</f>
        <v>-0</v>
      </c>
      <c r="DN51" s="46" t="n">
        <f aca="false">DN49+DN50</f>
        <v>-0</v>
      </c>
      <c r="DO51" s="46" t="n">
        <f aca="false">DO49+DO50</f>
        <v>-0</v>
      </c>
      <c r="DP51" s="46" t="n">
        <f aca="false">DP49+DP50</f>
        <v>-0</v>
      </c>
      <c r="DQ51" s="46" t="n">
        <f aca="false">DQ49+DQ50</f>
        <v>-0</v>
      </c>
      <c r="DR51" s="46" t="n">
        <f aca="false">DR49+DR50</f>
        <v>-0</v>
      </c>
      <c r="DS51" s="46" t="n">
        <f aca="false">DS49+DS50</f>
        <v>-0</v>
      </c>
      <c r="DT51" s="46" t="n">
        <f aca="false">DT49+DT50</f>
        <v>-0</v>
      </c>
      <c r="DU51" s="46" t="n">
        <f aca="false">DU49+DU50</f>
        <v>-0</v>
      </c>
      <c r="DV51" s="46" t="n">
        <f aca="false">DV49+DV50</f>
        <v>-0</v>
      </c>
      <c r="DW51" s="46" t="n">
        <f aca="false">DW49+DW50</f>
        <v>-0</v>
      </c>
      <c r="DX51" s="46" t="n">
        <f aca="false">DX49+DX50</f>
        <v>-0</v>
      </c>
      <c r="DY51" s="46" t="n">
        <f aca="false">DY49+DY50</f>
        <v>-0</v>
      </c>
      <c r="DZ51" s="46" t="n">
        <f aca="false">DZ49+DZ50</f>
        <v>-0</v>
      </c>
      <c r="EA51" s="46" t="n">
        <f aca="false">EA49+EA50</f>
        <v>-0</v>
      </c>
      <c r="EB51" s="46" t="n">
        <f aca="false">EB49+EB50</f>
        <v>-0</v>
      </c>
      <c r="EC51" s="46" t="n">
        <f aca="false">EC49+EC50</f>
        <v>-0</v>
      </c>
      <c r="ED51" s="46" t="n">
        <f aca="false">ED49+ED50</f>
        <v>-0</v>
      </c>
      <c r="EE51" s="46" t="n">
        <f aca="false">EE49+EE50</f>
        <v>-0</v>
      </c>
      <c r="EF51" s="46" t="n">
        <f aca="false">EF49+EF50</f>
        <v>-0</v>
      </c>
      <c r="EG51" s="46" t="n">
        <f aca="false">EG49+EG50</f>
        <v>-0</v>
      </c>
      <c r="EH51" s="46" t="n">
        <f aca="false">EH49+EH50</f>
        <v>-0</v>
      </c>
      <c r="EI51" s="46" t="n">
        <f aca="false">EI49+EI50</f>
        <v>-0</v>
      </c>
      <c r="EJ51" s="46" t="n">
        <f aca="false">EJ49+EJ50</f>
        <v>-0</v>
      </c>
      <c r="EK51" s="46" t="n">
        <f aca="false">EK49+EK50</f>
        <v>-0</v>
      </c>
      <c r="EL51" s="46" t="n">
        <f aca="false">EL49+EL50</f>
        <v>-0</v>
      </c>
      <c r="EM51" s="46" t="n">
        <f aca="false">EM49+EM50</f>
        <v>-0</v>
      </c>
      <c r="EN51" s="46" t="n">
        <f aca="false">EN49+EN50</f>
        <v>-0</v>
      </c>
      <c r="EO51" s="46" t="n">
        <f aca="false">EO49+EO50</f>
        <v>-0</v>
      </c>
    </row>
    <row r="52" customFormat="false" ht="15" hidden="false" customHeight="false" outlineLevel="0" collapsed="false">
      <c r="C52" s="0" t="s">
        <v>384</v>
      </c>
      <c r="D52" s="11" t="s">
        <v>33</v>
      </c>
      <c r="E52" s="46" t="n">
        <f aca="false">SUMIF($J$4:$EO$4,"&lt;="&amp;In_COD,$J52:$EO52)</f>
        <v>-369.061542503284</v>
      </c>
      <c r="I52" s="46" t="n">
        <f aca="false">SUM(J52:EO52)</f>
        <v>-619.472651529368</v>
      </c>
      <c r="J52" s="46" t="n">
        <f aca="false">-(J46+J47)*In_Guarantee_Fee*J$5/Days_In_Year</f>
        <v>-3.45583786826797</v>
      </c>
      <c r="K52" s="46" t="n">
        <f aca="false">-(K46+K47)*In_Guarantee_Fee*K$5/Days_In_Year</f>
        <v>-14.8107337211484</v>
      </c>
      <c r="L52" s="46" t="n">
        <f aca="false">-(L46+L47)*In_Guarantee_Fee*L$5/Days_In_Year</f>
        <v>-24.958829048602</v>
      </c>
      <c r="M52" s="46" t="n">
        <f aca="false">-(M46+M47)*In_Guarantee_Fee*M$5/Days_In_Year</f>
        <v>-25.2331018952899</v>
      </c>
      <c r="N52" s="46" t="n">
        <f aca="false">-(N46+N47)*In_Guarantee_Fee*N$5/Days_In_Year</f>
        <v>-25.2331018952899</v>
      </c>
      <c r="O52" s="46" t="n">
        <f aca="false">-(O46+O47)*In_Guarantee_Fee*O$5/Days_In_Year</f>
        <v>-24.958829048602</v>
      </c>
      <c r="P52" s="46" t="n">
        <f aca="false">-(P46+P47)*In_Guarantee_Fee*P$5/Days_In_Year</f>
        <v>-24.958829048602</v>
      </c>
      <c r="Q52" s="46" t="n">
        <f aca="false">-(Q46+Q47)*In_Guarantee_Fee*Q$5/Days_In_Year</f>
        <v>-25.2331018952899</v>
      </c>
      <c r="R52" s="46" t="n">
        <f aca="false">-(R46+R47)*In_Guarantee_Fee*R$5/Days_In_Year</f>
        <v>-25.2331018952899</v>
      </c>
      <c r="S52" s="46" t="n">
        <f aca="false">-(S46+S47)*In_Guarantee_Fee*S$5/Days_In_Year</f>
        <v>-24.6845562019141</v>
      </c>
      <c r="T52" s="46" t="n">
        <f aca="false">-(T46+T47)*In_Guarantee_Fee*T$5/Days_In_Year</f>
        <v>-24.958829048602</v>
      </c>
      <c r="U52" s="46" t="n">
        <f aca="false">-(U46+U47)*In_Guarantee_Fee*U$5/Days_In_Year</f>
        <v>-25.2331018952899</v>
      </c>
      <c r="V52" s="46" t="n">
        <f aca="false">-(V46+V47)*In_Guarantee_Fee*V$5/Days_In_Year</f>
        <v>-25.2331018952899</v>
      </c>
      <c r="W52" s="46" t="n">
        <f aca="false">-(W46+W47)*In_Guarantee_Fee*W$5/Days_In_Year</f>
        <v>-24.6845562019141</v>
      </c>
      <c r="X52" s="46" t="n">
        <f aca="false">-(X46+X47)*In_Guarantee_Fee*X$5/Days_In_Year</f>
        <v>-24.958829048602</v>
      </c>
      <c r="Y52" s="46" t="n">
        <f aca="false">-(Y46+Y47)*In_Guarantee_Fee*Y$5/Days_In_Year</f>
        <v>-25.2331018952899</v>
      </c>
      <c r="Z52" s="46" t="n">
        <f aca="false">-(Z46+Z47)*In_Guarantee_Fee*Z$5/Days_In_Year</f>
        <v>-25.2331018952899</v>
      </c>
      <c r="AA52" s="46" t="n">
        <f aca="false">-(AA46+AA47)*In_Guarantee_Fee*AA$5/Days_In_Year</f>
        <v>-24.6845562019141</v>
      </c>
      <c r="AB52" s="46" t="n">
        <f aca="false">-(AB46+AB47)*In_Guarantee_Fee*AB$5/Days_In_Year</f>
        <v>-24.958829048602</v>
      </c>
      <c r="AC52" s="46" t="n">
        <f aca="false">-(AC46+AC47)*In_Guarantee_Fee*AC$5/Days_In_Year</f>
        <v>-25.2331018952899</v>
      </c>
      <c r="AD52" s="46" t="n">
        <f aca="false">-(AD46+AD47)*In_Guarantee_Fee*AD$5/Days_In_Year</f>
        <v>-25.2331018952899</v>
      </c>
      <c r="AE52" s="46" t="n">
        <f aca="false">-(AE46+AE47)*In_Guarantee_Fee*AE$5/Days_In_Year</f>
        <v>-24.958829048602</v>
      </c>
      <c r="AF52" s="46" t="n">
        <f aca="false">-(AF46+AF47)*In_Guarantee_Fee*AF$5/Days_In_Year</f>
        <v>-24.958829048602</v>
      </c>
      <c r="AG52" s="46" t="n">
        <f aca="false">-(AG46+AG47)*In_Guarantee_Fee*AG$5/Days_In_Year</f>
        <v>-25.2331018952899</v>
      </c>
      <c r="AH52" s="46" t="n">
        <f aca="false">-(AH46+AH47)*In_Guarantee_Fee*AH$5/Days_In_Year</f>
        <v>-25.2331018952899</v>
      </c>
      <c r="AI52" s="46" t="n">
        <f aca="false">-(AI46+AI47)*In_Guarantee_Fee*AI$5/Days_In_Year</f>
        <v>-24.6845562019141</v>
      </c>
      <c r="AJ52" s="46" t="n">
        <f aca="false">-(AJ46+AJ47)*In_Guarantee_Fee*AJ$5/Days_In_Year</f>
        <v>-0</v>
      </c>
      <c r="AK52" s="46" t="n">
        <f aca="false">-(AK46+AK47)*In_Guarantee_Fee*AK$5/Days_In_Year</f>
        <v>-0</v>
      </c>
      <c r="AL52" s="46" t="n">
        <f aca="false">-(AL46+AL47)*In_Guarantee_Fee*AL$5/Days_In_Year</f>
        <v>-0</v>
      </c>
      <c r="AM52" s="46" t="n">
        <f aca="false">-(AM46+AM47)*In_Guarantee_Fee*AM$5/Days_In_Year</f>
        <v>-0</v>
      </c>
      <c r="AN52" s="46" t="n">
        <f aca="false">-(AN46+AN47)*In_Guarantee_Fee*AN$5/Days_In_Year</f>
        <v>-0</v>
      </c>
      <c r="AO52" s="46" t="n">
        <f aca="false">-(AO46+AO47)*In_Guarantee_Fee*AO$5/Days_In_Year</f>
        <v>-0</v>
      </c>
      <c r="AP52" s="46" t="n">
        <f aca="false">-(AP46+AP47)*In_Guarantee_Fee*AP$5/Days_In_Year</f>
        <v>-0</v>
      </c>
      <c r="AQ52" s="46" t="n">
        <f aca="false">-(AQ46+AQ47)*In_Guarantee_Fee*AQ$5/Days_In_Year</f>
        <v>-0</v>
      </c>
      <c r="AR52" s="46" t="n">
        <f aca="false">-(AR46+AR47)*In_Guarantee_Fee*AR$5/Days_In_Year</f>
        <v>-0</v>
      </c>
      <c r="AS52" s="46" t="n">
        <f aca="false">-(AS46+AS47)*In_Guarantee_Fee*AS$5/Days_In_Year</f>
        <v>-0</v>
      </c>
      <c r="AT52" s="46" t="n">
        <f aca="false">-(AT46+AT47)*In_Guarantee_Fee*AT$5/Days_In_Year</f>
        <v>-0</v>
      </c>
      <c r="AU52" s="46" t="n">
        <f aca="false">-(AU46+AU47)*In_Guarantee_Fee*AU$5/Days_In_Year</f>
        <v>-0</v>
      </c>
      <c r="AV52" s="46" t="n">
        <f aca="false">-(AV46+AV47)*In_Guarantee_Fee*AV$5/Days_In_Year</f>
        <v>-0</v>
      </c>
      <c r="AW52" s="46" t="n">
        <f aca="false">-(AW46+AW47)*In_Guarantee_Fee*AW$5/Days_In_Year</f>
        <v>-0</v>
      </c>
      <c r="AX52" s="46" t="n">
        <f aca="false">-(AX46+AX47)*In_Guarantee_Fee*AX$5/Days_In_Year</f>
        <v>-0</v>
      </c>
      <c r="AY52" s="46" t="n">
        <f aca="false">-(AY46+AY47)*In_Guarantee_Fee*AY$5/Days_In_Year</f>
        <v>-0</v>
      </c>
      <c r="AZ52" s="46" t="n">
        <f aca="false">-(AZ46+AZ47)*In_Guarantee_Fee*AZ$5/Days_In_Year</f>
        <v>-0</v>
      </c>
      <c r="BA52" s="46" t="n">
        <f aca="false">-(BA46+BA47)*In_Guarantee_Fee*BA$5/Days_In_Year</f>
        <v>-0</v>
      </c>
      <c r="BB52" s="46" t="n">
        <f aca="false">-(BB46+BB47)*In_Guarantee_Fee*BB$5/Days_In_Year</f>
        <v>-0</v>
      </c>
      <c r="BC52" s="46" t="n">
        <f aca="false">-(BC46+BC47)*In_Guarantee_Fee*BC$5/Days_In_Year</f>
        <v>-0</v>
      </c>
      <c r="BD52" s="46" t="n">
        <f aca="false">-(BD46+BD47)*In_Guarantee_Fee*BD$5/Days_In_Year</f>
        <v>-0</v>
      </c>
      <c r="BE52" s="46" t="n">
        <f aca="false">-(BE46+BE47)*In_Guarantee_Fee*BE$5/Days_In_Year</f>
        <v>-0</v>
      </c>
      <c r="BF52" s="46" t="n">
        <f aca="false">-(BF46+BF47)*In_Guarantee_Fee*BF$5/Days_In_Year</f>
        <v>-0</v>
      </c>
      <c r="BG52" s="46" t="n">
        <f aca="false">-(BG46+BG47)*In_Guarantee_Fee*BG$5/Days_In_Year</f>
        <v>-0</v>
      </c>
      <c r="BH52" s="46" t="n">
        <f aca="false">-(BH46+BH47)*In_Guarantee_Fee*BH$5/Days_In_Year</f>
        <v>-0</v>
      </c>
      <c r="BI52" s="46" t="n">
        <f aca="false">-(BI46+BI47)*In_Guarantee_Fee*BI$5/Days_In_Year</f>
        <v>-0</v>
      </c>
      <c r="BJ52" s="46" t="n">
        <f aca="false">-(BJ46+BJ47)*In_Guarantee_Fee*BJ$5/Days_In_Year</f>
        <v>-0</v>
      </c>
      <c r="BK52" s="46" t="n">
        <f aca="false">-(BK46+BK47)*In_Guarantee_Fee*BK$5/Days_In_Year</f>
        <v>-0</v>
      </c>
      <c r="BL52" s="46" t="n">
        <f aca="false">-(BL46+BL47)*In_Guarantee_Fee*BL$5/Days_In_Year</f>
        <v>-0</v>
      </c>
      <c r="BM52" s="46" t="n">
        <f aca="false">-(BM46+BM47)*In_Guarantee_Fee*BM$5/Days_In_Year</f>
        <v>-0</v>
      </c>
      <c r="BN52" s="46" t="n">
        <f aca="false">-(BN46+BN47)*In_Guarantee_Fee*BN$5/Days_In_Year</f>
        <v>-0</v>
      </c>
      <c r="BO52" s="46" t="n">
        <f aca="false">-(BO46+BO47)*In_Guarantee_Fee*BO$5/Days_In_Year</f>
        <v>-0</v>
      </c>
      <c r="BP52" s="46" t="n">
        <f aca="false">-(BP46+BP47)*In_Guarantee_Fee*BP$5/Days_In_Year</f>
        <v>-0</v>
      </c>
      <c r="BQ52" s="46" t="n">
        <f aca="false">-(BQ46+BQ47)*In_Guarantee_Fee*BQ$5/Days_In_Year</f>
        <v>-0</v>
      </c>
      <c r="BR52" s="46" t="n">
        <f aca="false">-(BR46+BR47)*In_Guarantee_Fee*BR$5/Days_In_Year</f>
        <v>-0</v>
      </c>
      <c r="BS52" s="46" t="n">
        <f aca="false">-(BS46+BS47)*In_Guarantee_Fee*BS$5/Days_In_Year</f>
        <v>-0</v>
      </c>
      <c r="BT52" s="46" t="n">
        <f aca="false">-(BT46+BT47)*In_Guarantee_Fee*BT$5/Days_In_Year</f>
        <v>-0</v>
      </c>
      <c r="BU52" s="46" t="n">
        <f aca="false">-(BU46+BU47)*In_Guarantee_Fee*BU$5/Days_In_Year</f>
        <v>-0</v>
      </c>
      <c r="BV52" s="46" t="n">
        <f aca="false">-(BV46+BV47)*In_Guarantee_Fee*BV$5/Days_In_Year</f>
        <v>-0</v>
      </c>
      <c r="BW52" s="46" t="n">
        <f aca="false">-(BW46+BW47)*In_Guarantee_Fee*BW$5/Days_In_Year</f>
        <v>-0</v>
      </c>
      <c r="BX52" s="46" t="n">
        <f aca="false">-(BX46+BX47)*In_Guarantee_Fee*BX$5/Days_In_Year</f>
        <v>-0</v>
      </c>
      <c r="BY52" s="46" t="n">
        <f aca="false">-(BY46+BY47)*In_Guarantee_Fee*BY$5/Days_In_Year</f>
        <v>-0</v>
      </c>
      <c r="BZ52" s="46" t="n">
        <f aca="false">-(BZ46+BZ47)*In_Guarantee_Fee*BZ$5/Days_In_Year</f>
        <v>-0</v>
      </c>
      <c r="CA52" s="46" t="n">
        <f aca="false">-(CA46+CA47)*In_Guarantee_Fee*CA$5/Days_In_Year</f>
        <v>-0</v>
      </c>
      <c r="CB52" s="46" t="n">
        <f aca="false">-(CB46+CB47)*In_Guarantee_Fee*CB$5/Days_In_Year</f>
        <v>-0</v>
      </c>
      <c r="CC52" s="46" t="n">
        <f aca="false">-(CC46+CC47)*In_Guarantee_Fee*CC$5/Days_In_Year</f>
        <v>-0</v>
      </c>
      <c r="CD52" s="46" t="n">
        <f aca="false">-(CD46+CD47)*In_Guarantee_Fee*CD$5/Days_In_Year</f>
        <v>-0</v>
      </c>
      <c r="CE52" s="46" t="n">
        <f aca="false">-(CE46+CE47)*In_Guarantee_Fee*CE$5/Days_In_Year</f>
        <v>-0</v>
      </c>
      <c r="CF52" s="46" t="n">
        <f aca="false">-(CF46+CF47)*In_Guarantee_Fee*CF$5/Days_In_Year</f>
        <v>-0</v>
      </c>
      <c r="CG52" s="46" t="n">
        <f aca="false">-(CG46+CG47)*In_Guarantee_Fee*CG$5/Days_In_Year</f>
        <v>-0</v>
      </c>
      <c r="CH52" s="46" t="n">
        <f aca="false">-(CH46+CH47)*In_Guarantee_Fee*CH$5/Days_In_Year</f>
        <v>-0</v>
      </c>
      <c r="CI52" s="46" t="n">
        <f aca="false">-(CI46+CI47)*In_Guarantee_Fee*CI$5/Days_In_Year</f>
        <v>-0</v>
      </c>
      <c r="CJ52" s="46" t="n">
        <f aca="false">-(CJ46+CJ47)*In_Guarantee_Fee*CJ$5/Days_In_Year</f>
        <v>-0</v>
      </c>
      <c r="CK52" s="46" t="n">
        <f aca="false">-(CK46+CK47)*In_Guarantee_Fee*CK$5/Days_In_Year</f>
        <v>-0</v>
      </c>
      <c r="CL52" s="46" t="n">
        <f aca="false">-(CL46+CL47)*In_Guarantee_Fee*CL$5/Days_In_Year</f>
        <v>-0</v>
      </c>
      <c r="CM52" s="46" t="n">
        <f aca="false">-(CM46+CM47)*In_Guarantee_Fee*CM$5/Days_In_Year</f>
        <v>-0</v>
      </c>
      <c r="CN52" s="46" t="n">
        <f aca="false">-(CN46+CN47)*In_Guarantee_Fee*CN$5/Days_In_Year</f>
        <v>-0</v>
      </c>
      <c r="CO52" s="46" t="n">
        <f aca="false">-(CO46+CO47)*In_Guarantee_Fee*CO$5/Days_In_Year</f>
        <v>-0</v>
      </c>
      <c r="CP52" s="46" t="n">
        <f aca="false">-(CP46+CP47)*In_Guarantee_Fee*CP$5/Days_In_Year</f>
        <v>-0</v>
      </c>
      <c r="CQ52" s="46" t="n">
        <f aca="false">-(CQ46+CQ47)*In_Guarantee_Fee*CQ$5/Days_In_Year</f>
        <v>-0</v>
      </c>
      <c r="CR52" s="46" t="n">
        <f aca="false">-(CR46+CR47)*In_Guarantee_Fee*CR$5/Days_In_Year</f>
        <v>-0</v>
      </c>
      <c r="CS52" s="46" t="n">
        <f aca="false">-(CS46+CS47)*In_Guarantee_Fee*CS$5/Days_In_Year</f>
        <v>-0</v>
      </c>
      <c r="CT52" s="46" t="n">
        <f aca="false">-(CT46+CT47)*In_Guarantee_Fee*CT$5/Days_In_Year</f>
        <v>-0</v>
      </c>
      <c r="CU52" s="46" t="n">
        <f aca="false">-(CU46+CU47)*In_Guarantee_Fee*CU$5/Days_In_Year</f>
        <v>-0</v>
      </c>
      <c r="CV52" s="46" t="n">
        <f aca="false">-(CV46+CV47)*In_Guarantee_Fee*CV$5/Days_In_Year</f>
        <v>-0</v>
      </c>
      <c r="CW52" s="46" t="n">
        <f aca="false">-(CW46+CW47)*In_Guarantee_Fee*CW$5/Days_In_Year</f>
        <v>-0</v>
      </c>
      <c r="CX52" s="46" t="n">
        <f aca="false">-(CX46+CX47)*In_Guarantee_Fee*CX$5/Days_In_Year</f>
        <v>-0</v>
      </c>
      <c r="CY52" s="46" t="n">
        <f aca="false">-(CY46+CY47)*In_Guarantee_Fee*CY$5/Days_In_Year</f>
        <v>-0</v>
      </c>
      <c r="CZ52" s="46" t="n">
        <f aca="false">-(CZ46+CZ47)*In_Guarantee_Fee*CZ$5/Days_In_Year</f>
        <v>-0</v>
      </c>
      <c r="DA52" s="46" t="n">
        <f aca="false">-(DA46+DA47)*In_Guarantee_Fee*DA$5/Days_In_Year</f>
        <v>-0</v>
      </c>
      <c r="DB52" s="46" t="n">
        <f aca="false">-(DB46+DB47)*In_Guarantee_Fee*DB$5/Days_In_Year</f>
        <v>-0</v>
      </c>
      <c r="DC52" s="46" t="n">
        <f aca="false">-(DC46+DC47)*In_Guarantee_Fee*DC$5/Days_In_Year</f>
        <v>-0</v>
      </c>
      <c r="DD52" s="46" t="n">
        <f aca="false">-(DD46+DD47)*In_Guarantee_Fee*DD$5/Days_In_Year</f>
        <v>-0</v>
      </c>
      <c r="DE52" s="46" t="n">
        <f aca="false">-(DE46+DE47)*In_Guarantee_Fee*DE$5/Days_In_Year</f>
        <v>-0</v>
      </c>
      <c r="DF52" s="46" t="n">
        <f aca="false">-(DF46+DF47)*In_Guarantee_Fee*DF$5/Days_In_Year</f>
        <v>-0</v>
      </c>
      <c r="DG52" s="46" t="n">
        <f aca="false">-(DG46+DG47)*In_Guarantee_Fee*DG$5/Days_In_Year</f>
        <v>-0</v>
      </c>
      <c r="DH52" s="46" t="n">
        <f aca="false">-(DH46+DH47)*In_Guarantee_Fee*DH$5/Days_In_Year</f>
        <v>-0</v>
      </c>
      <c r="DI52" s="46" t="n">
        <f aca="false">-(DI46+DI47)*In_Guarantee_Fee*DI$5/Days_In_Year</f>
        <v>-0</v>
      </c>
      <c r="DJ52" s="46" t="n">
        <f aca="false">-(DJ46+DJ47)*In_Guarantee_Fee*DJ$5/Days_In_Year</f>
        <v>-0</v>
      </c>
      <c r="DK52" s="46" t="n">
        <f aca="false">-(DK46+DK47)*In_Guarantee_Fee*DK$5/Days_In_Year</f>
        <v>-0</v>
      </c>
      <c r="DL52" s="46" t="n">
        <f aca="false">-(DL46+DL47)*In_Guarantee_Fee*DL$5/Days_In_Year</f>
        <v>-0</v>
      </c>
      <c r="DM52" s="46" t="n">
        <f aca="false">-(DM46+DM47)*In_Guarantee_Fee*DM$5/Days_In_Year</f>
        <v>-0</v>
      </c>
      <c r="DN52" s="46" t="n">
        <f aca="false">-(DN46+DN47)*In_Guarantee_Fee*DN$5/Days_In_Year</f>
        <v>-0</v>
      </c>
      <c r="DO52" s="46" t="n">
        <f aca="false">-(DO46+DO47)*In_Guarantee_Fee*DO$5/Days_In_Year</f>
        <v>-0</v>
      </c>
      <c r="DP52" s="46" t="n">
        <f aca="false">-(DP46+DP47)*In_Guarantee_Fee*DP$5/Days_In_Year</f>
        <v>-0</v>
      </c>
      <c r="DQ52" s="46" t="n">
        <f aca="false">-(DQ46+DQ47)*In_Guarantee_Fee*DQ$5/Days_In_Year</f>
        <v>-0</v>
      </c>
      <c r="DR52" s="46" t="n">
        <f aca="false">-(DR46+DR47)*In_Guarantee_Fee*DR$5/Days_In_Year</f>
        <v>-0</v>
      </c>
      <c r="DS52" s="46" t="n">
        <f aca="false">-(DS46+DS47)*In_Guarantee_Fee*DS$5/Days_In_Year</f>
        <v>-0</v>
      </c>
      <c r="DT52" s="46" t="n">
        <f aca="false">-(DT46+DT47)*In_Guarantee_Fee*DT$5/Days_In_Year</f>
        <v>-0</v>
      </c>
      <c r="DU52" s="46" t="n">
        <f aca="false">-(DU46+DU47)*In_Guarantee_Fee*DU$5/Days_In_Year</f>
        <v>-0</v>
      </c>
      <c r="DV52" s="46" t="n">
        <f aca="false">-(DV46+DV47)*In_Guarantee_Fee*DV$5/Days_In_Year</f>
        <v>-0</v>
      </c>
      <c r="DW52" s="46" t="n">
        <f aca="false">-(DW46+DW47)*In_Guarantee_Fee*DW$5/Days_In_Year</f>
        <v>-0</v>
      </c>
      <c r="DX52" s="46" t="n">
        <f aca="false">-(DX46+DX47)*In_Guarantee_Fee*DX$5/Days_In_Year</f>
        <v>-0</v>
      </c>
      <c r="DY52" s="46" t="n">
        <f aca="false">-(DY46+DY47)*In_Guarantee_Fee*DY$5/Days_In_Year</f>
        <v>-0</v>
      </c>
      <c r="DZ52" s="46" t="n">
        <f aca="false">-(DZ46+DZ47)*In_Guarantee_Fee*DZ$5/Days_In_Year</f>
        <v>-0</v>
      </c>
      <c r="EA52" s="46" t="n">
        <f aca="false">-(EA46+EA47)*In_Guarantee_Fee*EA$5/Days_In_Year</f>
        <v>-0</v>
      </c>
      <c r="EB52" s="46" t="n">
        <f aca="false">-(EB46+EB47)*In_Guarantee_Fee*EB$5/Days_In_Year</f>
        <v>-0</v>
      </c>
      <c r="EC52" s="46" t="n">
        <f aca="false">-(EC46+EC47)*In_Guarantee_Fee*EC$5/Days_In_Year</f>
        <v>-0</v>
      </c>
      <c r="ED52" s="46" t="n">
        <f aca="false">-(ED46+ED47)*In_Guarantee_Fee*ED$5/Days_In_Year</f>
        <v>-0</v>
      </c>
      <c r="EE52" s="46" t="n">
        <f aca="false">-(EE46+EE47)*In_Guarantee_Fee*EE$5/Days_In_Year</f>
        <v>-0</v>
      </c>
      <c r="EF52" s="46" t="n">
        <f aca="false">-(EF46+EF47)*In_Guarantee_Fee*EF$5/Days_In_Year</f>
        <v>-0</v>
      </c>
      <c r="EG52" s="46" t="n">
        <f aca="false">-(EG46+EG47)*In_Guarantee_Fee*EG$5/Days_In_Year</f>
        <v>-0</v>
      </c>
      <c r="EH52" s="46" t="n">
        <f aca="false">-(EH46+EH47)*In_Guarantee_Fee*EH$5/Days_In_Year</f>
        <v>-0</v>
      </c>
      <c r="EI52" s="46" t="n">
        <f aca="false">-(EI46+EI47)*In_Guarantee_Fee*EI$5/Days_In_Year</f>
        <v>-0</v>
      </c>
      <c r="EJ52" s="46" t="n">
        <f aca="false">-(EJ46+EJ47)*In_Guarantee_Fee*EJ$5/Days_In_Year</f>
        <v>-0</v>
      </c>
      <c r="EK52" s="46" t="n">
        <f aca="false">-(EK46+EK47)*In_Guarantee_Fee*EK$5/Days_In_Year</f>
        <v>-0</v>
      </c>
      <c r="EL52" s="46" t="n">
        <f aca="false">-(EL46+EL47)*In_Guarantee_Fee*EL$5/Days_In_Year</f>
        <v>-0</v>
      </c>
      <c r="EM52" s="46" t="n">
        <f aca="false">-(EM46+EM47)*In_Guarantee_Fee*EM$5/Days_In_Year</f>
        <v>-0</v>
      </c>
      <c r="EN52" s="46" t="n">
        <f aca="false">-(EN46+EN47)*In_Guarantee_Fee*EN$5/Days_In_Year</f>
        <v>-0</v>
      </c>
      <c r="EO52" s="46" t="n">
        <f aca="false">-(EO46+EO47)*In_Guarantee_Fee*EO$5/Days_In_Year</f>
        <v>-0</v>
      </c>
    </row>
    <row r="53" customFormat="false" ht="15" hidden="false" customHeight="false" outlineLevel="0" collapsed="false">
      <c r="C53" s="0" t="s">
        <v>385</v>
      </c>
      <c r="D53" s="11" t="s">
        <v>33</v>
      </c>
      <c r="E53" s="46" t="n">
        <f aca="false">($E26&gt;In_Tolerance_Cap)*$E26*$E47</f>
        <v>0</v>
      </c>
      <c r="F53" s="46" t="n">
        <f aca="false">($E26&gt;0)*$E47</f>
        <v>1668.49315068493</v>
      </c>
    </row>
    <row r="54" customFormat="false" ht="15" hidden="false" customHeight="false" outlineLevel="0" collapsed="false">
      <c r="C54" s="0" t="s">
        <v>386</v>
      </c>
      <c r="D54" s="11" t="s">
        <v>33</v>
      </c>
      <c r="E54" s="44" t="n">
        <f aca="false">EDATE(In_COD,In_Sanction_Lag)</f>
        <v>47937</v>
      </c>
      <c r="I54" s="46" t="n">
        <f aca="false">SUM(J54:EO54)</f>
        <v>0</v>
      </c>
      <c r="J54" s="46" t="n">
        <f aca="false">-CHOOSE(In_Sanction_Regime,$E53,$F53)*N(AND(J$3&lt;=$E54,J$4&gt;=$E54))</f>
        <v>-0</v>
      </c>
      <c r="K54" s="46" t="n">
        <f aca="false">-CHOOSE(In_Sanction_Regime,$E53,$F53)*N(AND(K$3&lt;=$E54,K$4&gt;=$E54))</f>
        <v>-0</v>
      </c>
      <c r="L54" s="46" t="n">
        <f aca="false">-CHOOSE(In_Sanction_Regime,$E53,$F53)*N(AND(L$3&lt;=$E54,L$4&gt;=$E54))</f>
        <v>-0</v>
      </c>
      <c r="M54" s="46" t="n">
        <f aca="false">-CHOOSE(In_Sanction_Regime,$E53,$F53)*N(AND(M$3&lt;=$E54,M$4&gt;=$E54))</f>
        <v>-0</v>
      </c>
      <c r="N54" s="46" t="n">
        <f aca="false">-CHOOSE(In_Sanction_Regime,$E53,$F53)*N(AND(N$3&lt;=$E54,N$4&gt;=$E54))</f>
        <v>-0</v>
      </c>
      <c r="O54" s="46" t="n">
        <f aca="false">-CHOOSE(In_Sanction_Regime,$E53,$F53)*N(AND(O$3&lt;=$E54,O$4&gt;=$E54))</f>
        <v>-0</v>
      </c>
      <c r="P54" s="46" t="n">
        <f aca="false">-CHOOSE(In_Sanction_Regime,$E53,$F53)*N(AND(P$3&lt;=$E54,P$4&gt;=$E54))</f>
        <v>-0</v>
      </c>
      <c r="Q54" s="46" t="n">
        <f aca="false">-CHOOSE(In_Sanction_Regime,$E53,$F53)*N(AND(Q$3&lt;=$E54,Q$4&gt;=$E54))</f>
        <v>-0</v>
      </c>
      <c r="R54" s="46" t="n">
        <f aca="false">-CHOOSE(In_Sanction_Regime,$E53,$F53)*N(AND(R$3&lt;=$E54,R$4&gt;=$E54))</f>
        <v>-0</v>
      </c>
      <c r="S54" s="46" t="n">
        <f aca="false">-CHOOSE(In_Sanction_Regime,$E53,$F53)*N(AND(S$3&lt;=$E54,S$4&gt;=$E54))</f>
        <v>-0</v>
      </c>
      <c r="T54" s="46" t="n">
        <f aca="false">-CHOOSE(In_Sanction_Regime,$E53,$F53)*N(AND(T$3&lt;=$E54,T$4&gt;=$E54))</f>
        <v>-0</v>
      </c>
      <c r="U54" s="46" t="n">
        <f aca="false">-CHOOSE(In_Sanction_Regime,$E53,$F53)*N(AND(U$3&lt;=$E54,U$4&gt;=$E54))</f>
        <v>-0</v>
      </c>
      <c r="V54" s="46" t="n">
        <f aca="false">-CHOOSE(In_Sanction_Regime,$E53,$F53)*N(AND(V$3&lt;=$E54,V$4&gt;=$E54))</f>
        <v>-0</v>
      </c>
      <c r="W54" s="46" t="n">
        <f aca="false">-CHOOSE(In_Sanction_Regime,$E53,$F53)*N(AND(W$3&lt;=$E54,W$4&gt;=$E54))</f>
        <v>-0</v>
      </c>
      <c r="X54" s="46" t="n">
        <f aca="false">-CHOOSE(In_Sanction_Regime,$E53,$F53)*N(AND(X$3&lt;=$E54,X$4&gt;=$E54))</f>
        <v>-0</v>
      </c>
      <c r="Y54" s="46" t="n">
        <f aca="false">-CHOOSE(In_Sanction_Regime,$E53,$F53)*N(AND(Y$3&lt;=$E54,Y$4&gt;=$E54))</f>
        <v>-0</v>
      </c>
      <c r="Z54" s="46" t="n">
        <f aca="false">-CHOOSE(In_Sanction_Regime,$E53,$F53)*N(AND(Z$3&lt;=$E54,Z$4&gt;=$E54))</f>
        <v>-0</v>
      </c>
      <c r="AA54" s="46" t="n">
        <f aca="false">-CHOOSE(In_Sanction_Regime,$E53,$F53)*N(AND(AA$3&lt;=$E54,AA$4&gt;=$E54))</f>
        <v>-0</v>
      </c>
      <c r="AB54" s="46" t="n">
        <f aca="false">-CHOOSE(In_Sanction_Regime,$E53,$F53)*N(AND(AB$3&lt;=$E54,AB$4&gt;=$E54))</f>
        <v>-0</v>
      </c>
      <c r="AC54" s="46" t="n">
        <f aca="false">-CHOOSE(In_Sanction_Regime,$E53,$F53)*N(AND(AC$3&lt;=$E54,AC$4&gt;=$E54))</f>
        <v>-0</v>
      </c>
      <c r="AD54" s="46" t="n">
        <f aca="false">-CHOOSE(In_Sanction_Regime,$E53,$F53)*N(AND(AD$3&lt;=$E54,AD$4&gt;=$E54))</f>
        <v>-0</v>
      </c>
      <c r="AE54" s="46" t="n">
        <f aca="false">-CHOOSE(In_Sanction_Regime,$E53,$F53)*N(AND(AE$3&lt;=$E54,AE$4&gt;=$E54))</f>
        <v>-0</v>
      </c>
      <c r="AF54" s="46" t="n">
        <f aca="false">-CHOOSE(In_Sanction_Regime,$E53,$F53)*N(AND(AF$3&lt;=$E54,AF$4&gt;=$E54))</f>
        <v>-0</v>
      </c>
      <c r="AG54" s="46" t="n">
        <f aca="false">-CHOOSE(In_Sanction_Regime,$E53,$F53)*N(AND(AG$3&lt;=$E54,AG$4&gt;=$E54))</f>
        <v>-0</v>
      </c>
      <c r="AH54" s="46" t="n">
        <f aca="false">-CHOOSE(In_Sanction_Regime,$E53,$F53)*N(AND(AH$3&lt;=$E54,AH$4&gt;=$E54))</f>
        <v>-0</v>
      </c>
      <c r="AI54" s="46" t="n">
        <f aca="false">-CHOOSE(In_Sanction_Regime,$E53,$F53)*N(AND(AI$3&lt;=$E54,AI$4&gt;=$E54))</f>
        <v>-0</v>
      </c>
      <c r="AJ54" s="46" t="n">
        <f aca="false">-CHOOSE(In_Sanction_Regime,$E53,$F53)*N(AND(AJ$3&lt;=$E54,AJ$4&gt;=$E54))</f>
        <v>-0</v>
      </c>
      <c r="AK54" s="46" t="n">
        <f aca="false">-CHOOSE(In_Sanction_Regime,$E53,$F53)*N(AND(AK$3&lt;=$E54,AK$4&gt;=$E54))</f>
        <v>-0</v>
      </c>
      <c r="AL54" s="46" t="n">
        <f aca="false">-CHOOSE(In_Sanction_Regime,$E53,$F53)*N(AND(AL$3&lt;=$E54,AL$4&gt;=$E54))</f>
        <v>-0</v>
      </c>
      <c r="AM54" s="46" t="n">
        <f aca="false">-CHOOSE(In_Sanction_Regime,$E53,$F53)*N(AND(AM$3&lt;=$E54,AM$4&gt;=$E54))</f>
        <v>-0</v>
      </c>
      <c r="AN54" s="46" t="n">
        <f aca="false">-CHOOSE(In_Sanction_Regime,$E53,$F53)*N(AND(AN$3&lt;=$E54,AN$4&gt;=$E54))</f>
        <v>-0</v>
      </c>
      <c r="AO54" s="46" t="n">
        <f aca="false">-CHOOSE(In_Sanction_Regime,$E53,$F53)*N(AND(AO$3&lt;=$E54,AO$4&gt;=$E54))</f>
        <v>-0</v>
      </c>
      <c r="AP54" s="46" t="n">
        <f aca="false">-CHOOSE(In_Sanction_Regime,$E53,$F53)*N(AND(AP$3&lt;=$E54,AP$4&gt;=$E54))</f>
        <v>-0</v>
      </c>
      <c r="AQ54" s="46" t="n">
        <f aca="false">-CHOOSE(In_Sanction_Regime,$E53,$F53)*N(AND(AQ$3&lt;=$E54,AQ$4&gt;=$E54))</f>
        <v>-0</v>
      </c>
      <c r="AR54" s="46" t="n">
        <f aca="false">-CHOOSE(In_Sanction_Regime,$E53,$F53)*N(AND(AR$3&lt;=$E54,AR$4&gt;=$E54))</f>
        <v>-0</v>
      </c>
      <c r="AS54" s="46" t="n">
        <f aca="false">-CHOOSE(In_Sanction_Regime,$E53,$F53)*N(AND(AS$3&lt;=$E54,AS$4&gt;=$E54))</f>
        <v>-0</v>
      </c>
      <c r="AT54" s="46" t="n">
        <f aca="false">-CHOOSE(In_Sanction_Regime,$E53,$F53)*N(AND(AT$3&lt;=$E54,AT$4&gt;=$E54))</f>
        <v>-0</v>
      </c>
      <c r="AU54" s="46" t="n">
        <f aca="false">-CHOOSE(In_Sanction_Regime,$E53,$F53)*N(AND(AU$3&lt;=$E54,AU$4&gt;=$E54))</f>
        <v>-0</v>
      </c>
      <c r="AV54" s="46" t="n">
        <f aca="false">-CHOOSE(In_Sanction_Regime,$E53,$F53)*N(AND(AV$3&lt;=$E54,AV$4&gt;=$E54))</f>
        <v>-0</v>
      </c>
      <c r="AW54" s="46" t="n">
        <f aca="false">-CHOOSE(In_Sanction_Regime,$E53,$F53)*N(AND(AW$3&lt;=$E54,AW$4&gt;=$E54))</f>
        <v>-0</v>
      </c>
      <c r="AX54" s="46" t="n">
        <f aca="false">-CHOOSE(In_Sanction_Regime,$E53,$F53)*N(AND(AX$3&lt;=$E54,AX$4&gt;=$E54))</f>
        <v>-0</v>
      </c>
      <c r="AY54" s="46" t="n">
        <f aca="false">-CHOOSE(In_Sanction_Regime,$E53,$F53)*N(AND(AY$3&lt;=$E54,AY$4&gt;=$E54))</f>
        <v>-0</v>
      </c>
      <c r="AZ54" s="46" t="n">
        <f aca="false">-CHOOSE(In_Sanction_Regime,$E53,$F53)*N(AND(AZ$3&lt;=$E54,AZ$4&gt;=$E54))</f>
        <v>-0</v>
      </c>
      <c r="BA54" s="46" t="n">
        <f aca="false">-CHOOSE(In_Sanction_Regime,$E53,$F53)*N(AND(BA$3&lt;=$E54,BA$4&gt;=$E54))</f>
        <v>-0</v>
      </c>
      <c r="BB54" s="46" t="n">
        <f aca="false">-CHOOSE(In_Sanction_Regime,$E53,$F53)*N(AND(BB$3&lt;=$E54,BB$4&gt;=$E54))</f>
        <v>-0</v>
      </c>
      <c r="BC54" s="46" t="n">
        <f aca="false">-CHOOSE(In_Sanction_Regime,$E53,$F53)*N(AND(BC$3&lt;=$E54,BC$4&gt;=$E54))</f>
        <v>-0</v>
      </c>
      <c r="BD54" s="46" t="n">
        <f aca="false">-CHOOSE(In_Sanction_Regime,$E53,$F53)*N(AND(BD$3&lt;=$E54,BD$4&gt;=$E54))</f>
        <v>-0</v>
      </c>
      <c r="BE54" s="46" t="n">
        <f aca="false">-CHOOSE(In_Sanction_Regime,$E53,$F53)*N(AND(BE$3&lt;=$E54,BE$4&gt;=$E54))</f>
        <v>-0</v>
      </c>
      <c r="BF54" s="46" t="n">
        <f aca="false">-CHOOSE(In_Sanction_Regime,$E53,$F53)*N(AND(BF$3&lt;=$E54,BF$4&gt;=$E54))</f>
        <v>-0</v>
      </c>
      <c r="BG54" s="46" t="n">
        <f aca="false">-CHOOSE(In_Sanction_Regime,$E53,$F53)*N(AND(BG$3&lt;=$E54,BG$4&gt;=$E54))</f>
        <v>-0</v>
      </c>
      <c r="BH54" s="46" t="n">
        <f aca="false">-CHOOSE(In_Sanction_Regime,$E53,$F53)*N(AND(BH$3&lt;=$E54,BH$4&gt;=$E54))</f>
        <v>-0</v>
      </c>
      <c r="BI54" s="46" t="n">
        <f aca="false">-CHOOSE(In_Sanction_Regime,$E53,$F53)*N(AND(BI$3&lt;=$E54,BI$4&gt;=$E54))</f>
        <v>-0</v>
      </c>
      <c r="BJ54" s="46" t="n">
        <f aca="false">-CHOOSE(In_Sanction_Regime,$E53,$F53)*N(AND(BJ$3&lt;=$E54,BJ$4&gt;=$E54))</f>
        <v>-0</v>
      </c>
      <c r="BK54" s="46" t="n">
        <f aca="false">-CHOOSE(In_Sanction_Regime,$E53,$F53)*N(AND(BK$3&lt;=$E54,BK$4&gt;=$E54))</f>
        <v>-0</v>
      </c>
      <c r="BL54" s="46" t="n">
        <f aca="false">-CHOOSE(In_Sanction_Regime,$E53,$F53)*N(AND(BL$3&lt;=$E54,BL$4&gt;=$E54))</f>
        <v>-0</v>
      </c>
      <c r="BM54" s="46" t="n">
        <f aca="false">-CHOOSE(In_Sanction_Regime,$E53,$F53)*N(AND(BM$3&lt;=$E54,BM$4&gt;=$E54))</f>
        <v>-0</v>
      </c>
      <c r="BN54" s="46" t="n">
        <f aca="false">-CHOOSE(In_Sanction_Regime,$E53,$F53)*N(AND(BN$3&lt;=$E54,BN$4&gt;=$E54))</f>
        <v>-0</v>
      </c>
      <c r="BO54" s="46" t="n">
        <f aca="false">-CHOOSE(In_Sanction_Regime,$E53,$F53)*N(AND(BO$3&lt;=$E54,BO$4&gt;=$E54))</f>
        <v>-0</v>
      </c>
      <c r="BP54" s="46" t="n">
        <f aca="false">-CHOOSE(In_Sanction_Regime,$E53,$F53)*N(AND(BP$3&lt;=$E54,BP$4&gt;=$E54))</f>
        <v>-0</v>
      </c>
      <c r="BQ54" s="46" t="n">
        <f aca="false">-CHOOSE(In_Sanction_Regime,$E53,$F53)*N(AND(BQ$3&lt;=$E54,BQ$4&gt;=$E54))</f>
        <v>-0</v>
      </c>
      <c r="BR54" s="46" t="n">
        <f aca="false">-CHOOSE(In_Sanction_Regime,$E53,$F53)*N(AND(BR$3&lt;=$E54,BR$4&gt;=$E54))</f>
        <v>-0</v>
      </c>
      <c r="BS54" s="46" t="n">
        <f aca="false">-CHOOSE(In_Sanction_Regime,$E53,$F53)*N(AND(BS$3&lt;=$E54,BS$4&gt;=$E54))</f>
        <v>-0</v>
      </c>
      <c r="BT54" s="46" t="n">
        <f aca="false">-CHOOSE(In_Sanction_Regime,$E53,$F53)*N(AND(BT$3&lt;=$E54,BT$4&gt;=$E54))</f>
        <v>-0</v>
      </c>
      <c r="BU54" s="46" t="n">
        <f aca="false">-CHOOSE(In_Sanction_Regime,$E53,$F53)*N(AND(BU$3&lt;=$E54,BU$4&gt;=$E54))</f>
        <v>-0</v>
      </c>
      <c r="BV54" s="46" t="n">
        <f aca="false">-CHOOSE(In_Sanction_Regime,$E53,$F53)*N(AND(BV$3&lt;=$E54,BV$4&gt;=$E54))</f>
        <v>-0</v>
      </c>
      <c r="BW54" s="46" t="n">
        <f aca="false">-CHOOSE(In_Sanction_Regime,$E53,$F53)*N(AND(BW$3&lt;=$E54,BW$4&gt;=$E54))</f>
        <v>-0</v>
      </c>
      <c r="BX54" s="46" t="n">
        <f aca="false">-CHOOSE(In_Sanction_Regime,$E53,$F53)*N(AND(BX$3&lt;=$E54,BX$4&gt;=$E54))</f>
        <v>-0</v>
      </c>
      <c r="BY54" s="46" t="n">
        <f aca="false">-CHOOSE(In_Sanction_Regime,$E53,$F53)*N(AND(BY$3&lt;=$E54,BY$4&gt;=$E54))</f>
        <v>-0</v>
      </c>
      <c r="BZ54" s="46" t="n">
        <f aca="false">-CHOOSE(In_Sanction_Regime,$E53,$F53)*N(AND(BZ$3&lt;=$E54,BZ$4&gt;=$E54))</f>
        <v>-0</v>
      </c>
      <c r="CA54" s="46" t="n">
        <f aca="false">-CHOOSE(In_Sanction_Regime,$E53,$F53)*N(AND(CA$3&lt;=$E54,CA$4&gt;=$E54))</f>
        <v>-0</v>
      </c>
      <c r="CB54" s="46" t="n">
        <f aca="false">-CHOOSE(In_Sanction_Regime,$E53,$F53)*N(AND(CB$3&lt;=$E54,CB$4&gt;=$E54))</f>
        <v>-0</v>
      </c>
      <c r="CC54" s="46" t="n">
        <f aca="false">-CHOOSE(In_Sanction_Regime,$E53,$F53)*N(AND(CC$3&lt;=$E54,CC$4&gt;=$E54))</f>
        <v>-0</v>
      </c>
      <c r="CD54" s="46" t="n">
        <f aca="false">-CHOOSE(In_Sanction_Regime,$E53,$F53)*N(AND(CD$3&lt;=$E54,CD$4&gt;=$E54))</f>
        <v>-0</v>
      </c>
      <c r="CE54" s="46" t="n">
        <f aca="false">-CHOOSE(In_Sanction_Regime,$E53,$F53)*N(AND(CE$3&lt;=$E54,CE$4&gt;=$E54))</f>
        <v>-0</v>
      </c>
      <c r="CF54" s="46" t="n">
        <f aca="false">-CHOOSE(In_Sanction_Regime,$E53,$F53)*N(AND(CF$3&lt;=$E54,CF$4&gt;=$E54))</f>
        <v>-0</v>
      </c>
      <c r="CG54" s="46" t="n">
        <f aca="false">-CHOOSE(In_Sanction_Regime,$E53,$F53)*N(AND(CG$3&lt;=$E54,CG$4&gt;=$E54))</f>
        <v>-0</v>
      </c>
      <c r="CH54" s="46" t="n">
        <f aca="false">-CHOOSE(In_Sanction_Regime,$E53,$F53)*N(AND(CH$3&lt;=$E54,CH$4&gt;=$E54))</f>
        <v>-0</v>
      </c>
      <c r="CI54" s="46" t="n">
        <f aca="false">-CHOOSE(In_Sanction_Regime,$E53,$F53)*N(AND(CI$3&lt;=$E54,CI$4&gt;=$E54))</f>
        <v>-0</v>
      </c>
      <c r="CJ54" s="46" t="n">
        <f aca="false">-CHOOSE(In_Sanction_Regime,$E53,$F53)*N(AND(CJ$3&lt;=$E54,CJ$4&gt;=$E54))</f>
        <v>-0</v>
      </c>
      <c r="CK54" s="46" t="n">
        <f aca="false">-CHOOSE(In_Sanction_Regime,$E53,$F53)*N(AND(CK$3&lt;=$E54,CK$4&gt;=$E54))</f>
        <v>-0</v>
      </c>
      <c r="CL54" s="46" t="n">
        <f aca="false">-CHOOSE(In_Sanction_Regime,$E53,$F53)*N(AND(CL$3&lt;=$E54,CL$4&gt;=$E54))</f>
        <v>-0</v>
      </c>
      <c r="CM54" s="46" t="n">
        <f aca="false">-CHOOSE(In_Sanction_Regime,$E53,$F53)*N(AND(CM$3&lt;=$E54,CM$4&gt;=$E54))</f>
        <v>-0</v>
      </c>
      <c r="CN54" s="46" t="n">
        <f aca="false">-CHOOSE(In_Sanction_Regime,$E53,$F53)*N(AND(CN$3&lt;=$E54,CN$4&gt;=$E54))</f>
        <v>-0</v>
      </c>
      <c r="CO54" s="46" t="n">
        <f aca="false">-CHOOSE(In_Sanction_Regime,$E53,$F53)*N(AND(CO$3&lt;=$E54,CO$4&gt;=$E54))</f>
        <v>-0</v>
      </c>
      <c r="CP54" s="46" t="n">
        <f aca="false">-CHOOSE(In_Sanction_Regime,$E53,$F53)*N(AND(CP$3&lt;=$E54,CP$4&gt;=$E54))</f>
        <v>-0</v>
      </c>
      <c r="CQ54" s="46" t="n">
        <f aca="false">-CHOOSE(In_Sanction_Regime,$E53,$F53)*N(AND(CQ$3&lt;=$E54,CQ$4&gt;=$E54))</f>
        <v>-0</v>
      </c>
      <c r="CR54" s="46" t="n">
        <f aca="false">-CHOOSE(In_Sanction_Regime,$E53,$F53)*N(AND(CR$3&lt;=$E54,CR$4&gt;=$E54))</f>
        <v>-0</v>
      </c>
      <c r="CS54" s="46" t="n">
        <f aca="false">-CHOOSE(In_Sanction_Regime,$E53,$F53)*N(AND(CS$3&lt;=$E54,CS$4&gt;=$E54))</f>
        <v>-0</v>
      </c>
      <c r="CT54" s="46" t="n">
        <f aca="false">-CHOOSE(In_Sanction_Regime,$E53,$F53)*N(AND(CT$3&lt;=$E54,CT$4&gt;=$E54))</f>
        <v>-0</v>
      </c>
      <c r="CU54" s="46" t="n">
        <f aca="false">-CHOOSE(In_Sanction_Regime,$E53,$F53)*N(AND(CU$3&lt;=$E54,CU$4&gt;=$E54))</f>
        <v>-0</v>
      </c>
      <c r="CV54" s="46" t="n">
        <f aca="false">-CHOOSE(In_Sanction_Regime,$E53,$F53)*N(AND(CV$3&lt;=$E54,CV$4&gt;=$E54))</f>
        <v>-0</v>
      </c>
      <c r="CW54" s="46" t="n">
        <f aca="false">-CHOOSE(In_Sanction_Regime,$E53,$F53)*N(AND(CW$3&lt;=$E54,CW$4&gt;=$E54))</f>
        <v>-0</v>
      </c>
      <c r="CX54" s="46" t="n">
        <f aca="false">-CHOOSE(In_Sanction_Regime,$E53,$F53)*N(AND(CX$3&lt;=$E54,CX$4&gt;=$E54))</f>
        <v>-0</v>
      </c>
      <c r="CY54" s="46" t="n">
        <f aca="false">-CHOOSE(In_Sanction_Regime,$E53,$F53)*N(AND(CY$3&lt;=$E54,CY$4&gt;=$E54))</f>
        <v>-0</v>
      </c>
      <c r="CZ54" s="46" t="n">
        <f aca="false">-CHOOSE(In_Sanction_Regime,$E53,$F53)*N(AND(CZ$3&lt;=$E54,CZ$4&gt;=$E54))</f>
        <v>-0</v>
      </c>
      <c r="DA54" s="46" t="n">
        <f aca="false">-CHOOSE(In_Sanction_Regime,$E53,$F53)*N(AND(DA$3&lt;=$E54,DA$4&gt;=$E54))</f>
        <v>-0</v>
      </c>
      <c r="DB54" s="46" t="n">
        <f aca="false">-CHOOSE(In_Sanction_Regime,$E53,$F53)*N(AND(DB$3&lt;=$E54,DB$4&gt;=$E54))</f>
        <v>-0</v>
      </c>
      <c r="DC54" s="46" t="n">
        <f aca="false">-CHOOSE(In_Sanction_Regime,$E53,$F53)*N(AND(DC$3&lt;=$E54,DC$4&gt;=$E54))</f>
        <v>-0</v>
      </c>
      <c r="DD54" s="46" t="n">
        <f aca="false">-CHOOSE(In_Sanction_Regime,$E53,$F53)*N(AND(DD$3&lt;=$E54,DD$4&gt;=$E54))</f>
        <v>-0</v>
      </c>
      <c r="DE54" s="46" t="n">
        <f aca="false">-CHOOSE(In_Sanction_Regime,$E53,$F53)*N(AND(DE$3&lt;=$E54,DE$4&gt;=$E54))</f>
        <v>-0</v>
      </c>
      <c r="DF54" s="46" t="n">
        <f aca="false">-CHOOSE(In_Sanction_Regime,$E53,$F53)*N(AND(DF$3&lt;=$E54,DF$4&gt;=$E54))</f>
        <v>-0</v>
      </c>
      <c r="DG54" s="46" t="n">
        <f aca="false">-CHOOSE(In_Sanction_Regime,$E53,$F53)*N(AND(DG$3&lt;=$E54,DG$4&gt;=$E54))</f>
        <v>-0</v>
      </c>
      <c r="DH54" s="46" t="n">
        <f aca="false">-CHOOSE(In_Sanction_Regime,$E53,$F53)*N(AND(DH$3&lt;=$E54,DH$4&gt;=$E54))</f>
        <v>-0</v>
      </c>
      <c r="DI54" s="46" t="n">
        <f aca="false">-CHOOSE(In_Sanction_Regime,$E53,$F53)*N(AND(DI$3&lt;=$E54,DI$4&gt;=$E54))</f>
        <v>-0</v>
      </c>
      <c r="DJ54" s="46" t="n">
        <f aca="false">-CHOOSE(In_Sanction_Regime,$E53,$F53)*N(AND(DJ$3&lt;=$E54,DJ$4&gt;=$E54))</f>
        <v>-0</v>
      </c>
      <c r="DK54" s="46" t="n">
        <f aca="false">-CHOOSE(In_Sanction_Regime,$E53,$F53)*N(AND(DK$3&lt;=$E54,DK$4&gt;=$E54))</f>
        <v>-0</v>
      </c>
      <c r="DL54" s="46" t="n">
        <f aca="false">-CHOOSE(In_Sanction_Regime,$E53,$F53)*N(AND(DL$3&lt;=$E54,DL$4&gt;=$E54))</f>
        <v>-0</v>
      </c>
      <c r="DM54" s="46" t="n">
        <f aca="false">-CHOOSE(In_Sanction_Regime,$E53,$F53)*N(AND(DM$3&lt;=$E54,DM$4&gt;=$E54))</f>
        <v>-0</v>
      </c>
      <c r="DN54" s="46" t="n">
        <f aca="false">-CHOOSE(In_Sanction_Regime,$E53,$F53)*N(AND(DN$3&lt;=$E54,DN$4&gt;=$E54))</f>
        <v>-0</v>
      </c>
      <c r="DO54" s="46" t="n">
        <f aca="false">-CHOOSE(In_Sanction_Regime,$E53,$F53)*N(AND(DO$3&lt;=$E54,DO$4&gt;=$E54))</f>
        <v>-0</v>
      </c>
      <c r="DP54" s="46" t="n">
        <f aca="false">-CHOOSE(In_Sanction_Regime,$E53,$F53)*N(AND(DP$3&lt;=$E54,DP$4&gt;=$E54))</f>
        <v>-0</v>
      </c>
      <c r="DQ54" s="46" t="n">
        <f aca="false">-CHOOSE(In_Sanction_Regime,$E53,$F53)*N(AND(DQ$3&lt;=$E54,DQ$4&gt;=$E54))</f>
        <v>-0</v>
      </c>
      <c r="DR54" s="46" t="n">
        <f aca="false">-CHOOSE(In_Sanction_Regime,$E53,$F53)*N(AND(DR$3&lt;=$E54,DR$4&gt;=$E54))</f>
        <v>-0</v>
      </c>
      <c r="DS54" s="46" t="n">
        <f aca="false">-CHOOSE(In_Sanction_Regime,$E53,$F53)*N(AND(DS$3&lt;=$E54,DS$4&gt;=$E54))</f>
        <v>-0</v>
      </c>
      <c r="DT54" s="46" t="n">
        <f aca="false">-CHOOSE(In_Sanction_Regime,$E53,$F53)*N(AND(DT$3&lt;=$E54,DT$4&gt;=$E54))</f>
        <v>-0</v>
      </c>
      <c r="DU54" s="46" t="n">
        <f aca="false">-CHOOSE(In_Sanction_Regime,$E53,$F53)*N(AND(DU$3&lt;=$E54,DU$4&gt;=$E54))</f>
        <v>-0</v>
      </c>
      <c r="DV54" s="46" t="n">
        <f aca="false">-CHOOSE(In_Sanction_Regime,$E53,$F53)*N(AND(DV$3&lt;=$E54,DV$4&gt;=$E54))</f>
        <v>-0</v>
      </c>
      <c r="DW54" s="46" t="n">
        <f aca="false">-CHOOSE(In_Sanction_Regime,$E53,$F53)*N(AND(DW$3&lt;=$E54,DW$4&gt;=$E54))</f>
        <v>-0</v>
      </c>
      <c r="DX54" s="46" t="n">
        <f aca="false">-CHOOSE(In_Sanction_Regime,$E53,$F53)*N(AND(DX$3&lt;=$E54,DX$4&gt;=$E54))</f>
        <v>-0</v>
      </c>
      <c r="DY54" s="46" t="n">
        <f aca="false">-CHOOSE(In_Sanction_Regime,$E53,$F53)*N(AND(DY$3&lt;=$E54,DY$4&gt;=$E54))</f>
        <v>-0</v>
      </c>
      <c r="DZ54" s="46" t="n">
        <f aca="false">-CHOOSE(In_Sanction_Regime,$E53,$F53)*N(AND(DZ$3&lt;=$E54,DZ$4&gt;=$E54))</f>
        <v>-0</v>
      </c>
      <c r="EA54" s="46" t="n">
        <f aca="false">-CHOOSE(In_Sanction_Regime,$E53,$F53)*N(AND(EA$3&lt;=$E54,EA$4&gt;=$E54))</f>
        <v>-0</v>
      </c>
      <c r="EB54" s="46" t="n">
        <f aca="false">-CHOOSE(In_Sanction_Regime,$E53,$F53)*N(AND(EB$3&lt;=$E54,EB$4&gt;=$E54))</f>
        <v>-0</v>
      </c>
      <c r="EC54" s="46" t="n">
        <f aca="false">-CHOOSE(In_Sanction_Regime,$E53,$F53)*N(AND(EC$3&lt;=$E54,EC$4&gt;=$E54))</f>
        <v>-0</v>
      </c>
      <c r="ED54" s="46" t="n">
        <f aca="false">-CHOOSE(In_Sanction_Regime,$E53,$F53)*N(AND(ED$3&lt;=$E54,ED$4&gt;=$E54))</f>
        <v>-0</v>
      </c>
      <c r="EE54" s="46" t="n">
        <f aca="false">-CHOOSE(In_Sanction_Regime,$E53,$F53)*N(AND(EE$3&lt;=$E54,EE$4&gt;=$E54))</f>
        <v>-0</v>
      </c>
      <c r="EF54" s="46" t="n">
        <f aca="false">-CHOOSE(In_Sanction_Regime,$E53,$F53)*N(AND(EF$3&lt;=$E54,EF$4&gt;=$E54))</f>
        <v>-0</v>
      </c>
      <c r="EG54" s="46" t="n">
        <f aca="false">-CHOOSE(In_Sanction_Regime,$E53,$F53)*N(AND(EG$3&lt;=$E54,EG$4&gt;=$E54))</f>
        <v>-0</v>
      </c>
      <c r="EH54" s="46" t="n">
        <f aca="false">-CHOOSE(In_Sanction_Regime,$E53,$F53)*N(AND(EH$3&lt;=$E54,EH$4&gt;=$E54))</f>
        <v>-0</v>
      </c>
      <c r="EI54" s="46" t="n">
        <f aca="false">-CHOOSE(In_Sanction_Regime,$E53,$F53)*N(AND(EI$3&lt;=$E54,EI$4&gt;=$E54))</f>
        <v>-0</v>
      </c>
      <c r="EJ54" s="46" t="n">
        <f aca="false">-CHOOSE(In_Sanction_Regime,$E53,$F53)*N(AND(EJ$3&lt;=$E54,EJ$4&gt;=$E54))</f>
        <v>-0</v>
      </c>
      <c r="EK54" s="46" t="n">
        <f aca="false">-CHOOSE(In_Sanction_Regime,$E53,$F53)*N(AND(EK$3&lt;=$E54,EK$4&gt;=$E54))</f>
        <v>-0</v>
      </c>
      <c r="EL54" s="46" t="n">
        <f aca="false">-CHOOSE(In_Sanction_Regime,$E53,$F53)*N(AND(EL$3&lt;=$E54,EL$4&gt;=$E54))</f>
        <v>-0</v>
      </c>
      <c r="EM54" s="46" t="n">
        <f aca="false">-CHOOSE(In_Sanction_Regime,$E53,$F53)*N(AND(EM$3&lt;=$E54,EM$4&gt;=$E54))</f>
        <v>-0</v>
      </c>
      <c r="EN54" s="46" t="n">
        <f aca="false">-CHOOSE(In_Sanction_Regime,$E53,$F53)*N(AND(EN$3&lt;=$E54,EN$4&gt;=$E54))</f>
        <v>-0</v>
      </c>
      <c r="EO54" s="46" t="n">
        <f aca="false">-CHOOSE(In_Sanction_Regime,$E53,$F53)*N(AND(EO$3&lt;=$E54,EO$4&gt;=$E54))</f>
        <v>-0</v>
      </c>
    </row>
    <row r="55" customFormat="false" ht="15" hidden="false" customHeight="false" outlineLevel="0" collapsed="false">
      <c r="C55" s="24" t="s">
        <v>387</v>
      </c>
      <c r="D55" s="11" t="s">
        <v>33</v>
      </c>
      <c r="I55" s="56" t="n">
        <f aca="false">SUM(J55:EO55)</f>
        <v>-6394.13018577594</v>
      </c>
      <c r="J55" s="56" t="n">
        <f aca="false">J41+J42+J43+J45+J48+J52</f>
        <v>-4661.67501595046</v>
      </c>
      <c r="K55" s="56" t="n">
        <f aca="false">K41+K42+K43+K45+K48+K52</f>
        <v>-701.6716250968</v>
      </c>
      <c r="L55" s="56" t="n">
        <f aca="false">L41+L42+L43+L45+L48+L52</f>
        <v>-96.1638368733281</v>
      </c>
      <c r="M55" s="56" t="n">
        <f aca="false">M41+M42+M43+M45+M48+M52</f>
        <v>-97.2205823334746</v>
      </c>
      <c r="N55" s="56" t="n">
        <f aca="false">N41+N42+N43+N45+N48+N52</f>
        <v>-97.2205823334746</v>
      </c>
      <c r="O55" s="56" t="n">
        <f aca="false">O41+O42+O43+O45+O48+O52</f>
        <v>-96.1638368733281</v>
      </c>
      <c r="P55" s="56" t="n">
        <f aca="false">P41+P42+P43+P45+P48+P52</f>
        <v>-96.1638368733281</v>
      </c>
      <c r="Q55" s="56" t="n">
        <f aca="false">Q41+Q42+Q43+Q45+Q48+Q52</f>
        <v>-97.2205823334746</v>
      </c>
      <c r="R55" s="56" t="n">
        <f aca="false">R41+R42+R43+R45+R48+R52</f>
        <v>-25.2331018952899</v>
      </c>
      <c r="S55" s="56" t="n">
        <f aca="false">S41+S42+S43+S45+S48+S52</f>
        <v>-24.6845562019141</v>
      </c>
      <c r="T55" s="56" t="n">
        <f aca="false">T41+T42+T43+T45+T48+T52</f>
        <v>-24.958829048602</v>
      </c>
      <c r="U55" s="56" t="n">
        <f aca="false">U41+U42+U43+U45+U48+U52</f>
        <v>-25.2331018952899</v>
      </c>
      <c r="V55" s="56" t="n">
        <f aca="false">V41+V42+V43+V45+V48+V52</f>
        <v>-25.2331018952899</v>
      </c>
      <c r="W55" s="56" t="n">
        <f aca="false">W41+W42+W43+W45+W48+W52</f>
        <v>-24.6845562019141</v>
      </c>
      <c r="X55" s="56" t="n">
        <f aca="false">X41+X42+X43+X45+X48+X52</f>
        <v>-24.958829048602</v>
      </c>
      <c r="Y55" s="56" t="n">
        <f aca="false">Y41+Y42+Y43+Y45+Y48+Y52</f>
        <v>-25.2331018952899</v>
      </c>
      <c r="Z55" s="56" t="n">
        <f aca="false">Z41+Z42+Z43+Z45+Z48+Z52</f>
        <v>-25.2331018952899</v>
      </c>
      <c r="AA55" s="56" t="n">
        <f aca="false">AA41+AA42+AA43+AA45+AA48+AA52</f>
        <v>-24.6845562019141</v>
      </c>
      <c r="AB55" s="56" t="n">
        <f aca="false">AB41+AB42+AB43+AB45+AB48+AB52</f>
        <v>-24.958829048602</v>
      </c>
      <c r="AC55" s="56" t="n">
        <f aca="false">AC41+AC42+AC43+AC45+AC48+AC52</f>
        <v>-25.2331018952899</v>
      </c>
      <c r="AD55" s="56" t="n">
        <f aca="false">AD41+AD42+AD43+AD45+AD48+AD52</f>
        <v>-25.2331018952899</v>
      </c>
      <c r="AE55" s="56" t="n">
        <f aca="false">AE41+AE42+AE43+AE45+AE48+AE52</f>
        <v>-24.958829048602</v>
      </c>
      <c r="AF55" s="56" t="n">
        <f aca="false">AF41+AF42+AF43+AF45+AF48+AF52</f>
        <v>-24.958829048602</v>
      </c>
      <c r="AG55" s="56" t="n">
        <f aca="false">AG41+AG42+AG43+AG45+AG48+AG52</f>
        <v>-25.2331018952899</v>
      </c>
      <c r="AH55" s="56" t="n">
        <f aca="false">AH41+AH42+AH43+AH45+AH48+AH52</f>
        <v>-25.2331018952899</v>
      </c>
      <c r="AI55" s="56" t="n">
        <f aca="false">AI41+AI42+AI43+AI45+AI48+AI52</f>
        <v>-24.6845562019141</v>
      </c>
      <c r="AJ55" s="56" t="n">
        <f aca="false">AJ41+AJ42+AJ43+AJ45+AJ48+AJ52</f>
        <v>-0</v>
      </c>
      <c r="AK55" s="56" t="n">
        <f aca="false">AK41+AK42+AK43+AK45+AK48+AK52</f>
        <v>-0</v>
      </c>
      <c r="AL55" s="56" t="n">
        <f aca="false">AL41+AL42+AL43+AL45+AL48+AL52</f>
        <v>-0</v>
      </c>
      <c r="AM55" s="56" t="n">
        <f aca="false">AM41+AM42+AM43+AM45+AM48+AM52</f>
        <v>-0</v>
      </c>
      <c r="AN55" s="56" t="n">
        <f aca="false">AN41+AN42+AN43+AN45+AN48+AN52</f>
        <v>-0</v>
      </c>
      <c r="AO55" s="56" t="n">
        <f aca="false">AO41+AO42+AO43+AO45+AO48+AO52</f>
        <v>-0</v>
      </c>
      <c r="AP55" s="56" t="n">
        <f aca="false">AP41+AP42+AP43+AP45+AP48+AP52</f>
        <v>-0</v>
      </c>
      <c r="AQ55" s="56" t="n">
        <f aca="false">AQ41+AQ42+AQ43+AQ45+AQ48+AQ52</f>
        <v>-0</v>
      </c>
      <c r="AR55" s="56" t="n">
        <f aca="false">AR41+AR42+AR43+AR45+AR48+AR52</f>
        <v>-0</v>
      </c>
      <c r="AS55" s="56" t="n">
        <f aca="false">AS41+AS42+AS43+AS45+AS48+AS52</f>
        <v>-0</v>
      </c>
      <c r="AT55" s="56" t="n">
        <f aca="false">AT41+AT42+AT43+AT45+AT48+AT52</f>
        <v>-0</v>
      </c>
      <c r="AU55" s="56" t="n">
        <f aca="false">AU41+AU42+AU43+AU45+AU48+AU52</f>
        <v>-0</v>
      </c>
      <c r="AV55" s="56" t="n">
        <f aca="false">AV41+AV42+AV43+AV45+AV48+AV52</f>
        <v>-0</v>
      </c>
      <c r="AW55" s="56" t="n">
        <f aca="false">AW41+AW42+AW43+AW45+AW48+AW52</f>
        <v>-0</v>
      </c>
      <c r="AX55" s="56" t="n">
        <f aca="false">AX41+AX42+AX43+AX45+AX48+AX52</f>
        <v>-0</v>
      </c>
      <c r="AY55" s="56" t="n">
        <f aca="false">AY41+AY42+AY43+AY45+AY48+AY52</f>
        <v>-0</v>
      </c>
      <c r="AZ55" s="56" t="n">
        <f aca="false">AZ41+AZ42+AZ43+AZ45+AZ48+AZ52</f>
        <v>-0</v>
      </c>
      <c r="BA55" s="56" t="n">
        <f aca="false">BA41+BA42+BA43+BA45+BA48+BA52</f>
        <v>-0</v>
      </c>
      <c r="BB55" s="56" t="n">
        <f aca="false">BB41+BB42+BB43+BB45+BB48+BB52</f>
        <v>-0</v>
      </c>
      <c r="BC55" s="56" t="n">
        <f aca="false">BC41+BC42+BC43+BC45+BC48+BC52</f>
        <v>-0</v>
      </c>
      <c r="BD55" s="56" t="n">
        <f aca="false">BD41+BD42+BD43+BD45+BD48+BD52</f>
        <v>-0</v>
      </c>
      <c r="BE55" s="56" t="n">
        <f aca="false">BE41+BE42+BE43+BE45+BE48+BE52</f>
        <v>-0</v>
      </c>
      <c r="BF55" s="56" t="n">
        <f aca="false">BF41+BF42+BF43+BF45+BF48+BF52</f>
        <v>-0</v>
      </c>
      <c r="BG55" s="56" t="n">
        <f aca="false">BG41+BG42+BG43+BG45+BG48+BG52</f>
        <v>-0</v>
      </c>
      <c r="BH55" s="56" t="n">
        <f aca="false">BH41+BH42+BH43+BH45+BH48+BH52</f>
        <v>-0</v>
      </c>
      <c r="BI55" s="56" t="n">
        <f aca="false">BI41+BI42+BI43+BI45+BI48+BI52</f>
        <v>-0</v>
      </c>
      <c r="BJ55" s="56" t="n">
        <f aca="false">BJ41+BJ42+BJ43+BJ45+BJ48+BJ52</f>
        <v>-0</v>
      </c>
      <c r="BK55" s="56" t="n">
        <f aca="false">BK41+BK42+BK43+BK45+BK48+BK52</f>
        <v>-0</v>
      </c>
      <c r="BL55" s="56" t="n">
        <f aca="false">BL41+BL42+BL43+BL45+BL48+BL52</f>
        <v>-0</v>
      </c>
      <c r="BM55" s="56" t="n">
        <f aca="false">BM41+BM42+BM43+BM45+BM48+BM52</f>
        <v>-0</v>
      </c>
      <c r="BN55" s="56" t="n">
        <f aca="false">BN41+BN42+BN43+BN45+BN48+BN52</f>
        <v>-0</v>
      </c>
      <c r="BO55" s="56" t="n">
        <f aca="false">BO41+BO42+BO43+BO45+BO48+BO52</f>
        <v>-0</v>
      </c>
      <c r="BP55" s="56" t="n">
        <f aca="false">BP41+BP42+BP43+BP45+BP48+BP52</f>
        <v>-0</v>
      </c>
      <c r="BQ55" s="56" t="n">
        <f aca="false">BQ41+BQ42+BQ43+BQ45+BQ48+BQ52</f>
        <v>-0</v>
      </c>
      <c r="BR55" s="56" t="n">
        <f aca="false">BR41+BR42+BR43+BR45+BR48+BR52</f>
        <v>-0</v>
      </c>
      <c r="BS55" s="56" t="n">
        <f aca="false">BS41+BS42+BS43+BS45+BS48+BS52</f>
        <v>-0</v>
      </c>
      <c r="BT55" s="56" t="n">
        <f aca="false">BT41+BT42+BT43+BT45+BT48+BT52</f>
        <v>-0</v>
      </c>
      <c r="BU55" s="56" t="n">
        <f aca="false">BU41+BU42+BU43+BU45+BU48+BU52</f>
        <v>-0</v>
      </c>
      <c r="BV55" s="56" t="n">
        <f aca="false">BV41+BV42+BV43+BV45+BV48+BV52</f>
        <v>-0</v>
      </c>
      <c r="BW55" s="56" t="n">
        <f aca="false">BW41+BW42+BW43+BW45+BW48+BW52</f>
        <v>-0</v>
      </c>
      <c r="BX55" s="56" t="n">
        <f aca="false">BX41+BX42+BX43+BX45+BX48+BX52</f>
        <v>-0</v>
      </c>
      <c r="BY55" s="56" t="n">
        <f aca="false">BY41+BY42+BY43+BY45+BY48+BY52</f>
        <v>-0</v>
      </c>
      <c r="BZ55" s="56" t="n">
        <f aca="false">BZ41+BZ42+BZ43+BZ45+BZ48+BZ52</f>
        <v>-0</v>
      </c>
      <c r="CA55" s="56" t="n">
        <f aca="false">CA41+CA42+CA43+CA45+CA48+CA52</f>
        <v>-0</v>
      </c>
      <c r="CB55" s="56" t="n">
        <f aca="false">CB41+CB42+CB43+CB45+CB48+CB52</f>
        <v>-0</v>
      </c>
      <c r="CC55" s="56" t="n">
        <f aca="false">CC41+CC42+CC43+CC45+CC48+CC52</f>
        <v>-0</v>
      </c>
      <c r="CD55" s="56" t="n">
        <f aca="false">CD41+CD42+CD43+CD45+CD48+CD52</f>
        <v>-0</v>
      </c>
      <c r="CE55" s="56" t="n">
        <f aca="false">CE41+CE42+CE43+CE45+CE48+CE52</f>
        <v>-0</v>
      </c>
      <c r="CF55" s="56" t="n">
        <f aca="false">CF41+CF42+CF43+CF45+CF48+CF52</f>
        <v>-0</v>
      </c>
      <c r="CG55" s="56" t="n">
        <f aca="false">CG41+CG42+CG43+CG45+CG48+CG52</f>
        <v>-0</v>
      </c>
      <c r="CH55" s="56" t="n">
        <f aca="false">CH41+CH42+CH43+CH45+CH48+CH52</f>
        <v>-0</v>
      </c>
      <c r="CI55" s="56" t="n">
        <f aca="false">CI41+CI42+CI43+CI45+CI48+CI52</f>
        <v>-0</v>
      </c>
      <c r="CJ55" s="56" t="n">
        <f aca="false">CJ41+CJ42+CJ43+CJ45+CJ48+CJ52</f>
        <v>-0</v>
      </c>
      <c r="CK55" s="56" t="n">
        <f aca="false">CK41+CK42+CK43+CK45+CK48+CK52</f>
        <v>-0</v>
      </c>
      <c r="CL55" s="56" t="n">
        <f aca="false">CL41+CL42+CL43+CL45+CL48+CL52</f>
        <v>-0</v>
      </c>
      <c r="CM55" s="56" t="n">
        <f aca="false">CM41+CM42+CM43+CM45+CM48+CM52</f>
        <v>-0</v>
      </c>
      <c r="CN55" s="56" t="n">
        <f aca="false">CN41+CN42+CN43+CN45+CN48+CN52</f>
        <v>-0</v>
      </c>
      <c r="CO55" s="56" t="n">
        <f aca="false">CO41+CO42+CO43+CO45+CO48+CO52</f>
        <v>-0</v>
      </c>
      <c r="CP55" s="56" t="n">
        <f aca="false">CP41+CP42+CP43+CP45+CP48+CP52</f>
        <v>-0</v>
      </c>
      <c r="CQ55" s="56" t="n">
        <f aca="false">CQ41+CQ42+CQ43+CQ45+CQ48+CQ52</f>
        <v>-0</v>
      </c>
      <c r="CR55" s="56" t="n">
        <f aca="false">CR41+CR42+CR43+CR45+CR48+CR52</f>
        <v>-0</v>
      </c>
      <c r="CS55" s="56" t="n">
        <f aca="false">CS41+CS42+CS43+CS45+CS48+CS52</f>
        <v>-0</v>
      </c>
      <c r="CT55" s="56" t="n">
        <f aca="false">CT41+CT42+CT43+CT45+CT48+CT52</f>
        <v>-0</v>
      </c>
      <c r="CU55" s="56" t="n">
        <f aca="false">CU41+CU42+CU43+CU45+CU48+CU52</f>
        <v>-0</v>
      </c>
      <c r="CV55" s="56" t="n">
        <f aca="false">CV41+CV42+CV43+CV45+CV48+CV52</f>
        <v>-0</v>
      </c>
      <c r="CW55" s="56" t="n">
        <f aca="false">CW41+CW42+CW43+CW45+CW48+CW52</f>
        <v>-0</v>
      </c>
      <c r="CX55" s="56" t="n">
        <f aca="false">CX41+CX42+CX43+CX45+CX48+CX52</f>
        <v>-0</v>
      </c>
      <c r="CY55" s="56" t="n">
        <f aca="false">CY41+CY42+CY43+CY45+CY48+CY52</f>
        <v>-0</v>
      </c>
      <c r="CZ55" s="56" t="n">
        <f aca="false">CZ41+CZ42+CZ43+CZ45+CZ48+CZ52</f>
        <v>-0</v>
      </c>
      <c r="DA55" s="56" t="n">
        <f aca="false">DA41+DA42+DA43+DA45+DA48+DA52</f>
        <v>-0</v>
      </c>
      <c r="DB55" s="56" t="n">
        <f aca="false">DB41+DB42+DB43+DB45+DB48+DB52</f>
        <v>-0</v>
      </c>
      <c r="DC55" s="56" t="n">
        <f aca="false">DC41+DC42+DC43+DC45+DC48+DC52</f>
        <v>-0</v>
      </c>
      <c r="DD55" s="56" t="n">
        <f aca="false">DD41+DD42+DD43+DD45+DD48+DD52</f>
        <v>-0</v>
      </c>
      <c r="DE55" s="56" t="n">
        <f aca="false">DE41+DE42+DE43+DE45+DE48+DE52</f>
        <v>-0</v>
      </c>
      <c r="DF55" s="56" t="n">
        <f aca="false">DF41+DF42+DF43+DF45+DF48+DF52</f>
        <v>-0</v>
      </c>
      <c r="DG55" s="56" t="n">
        <f aca="false">DG41+DG42+DG43+DG45+DG48+DG52</f>
        <v>-0</v>
      </c>
      <c r="DH55" s="56" t="n">
        <f aca="false">DH41+DH42+DH43+DH45+DH48+DH52</f>
        <v>-0</v>
      </c>
      <c r="DI55" s="56" t="n">
        <f aca="false">DI41+DI42+DI43+DI45+DI48+DI52</f>
        <v>-0</v>
      </c>
      <c r="DJ55" s="56" t="n">
        <f aca="false">DJ41+DJ42+DJ43+DJ45+DJ48+DJ52</f>
        <v>-0</v>
      </c>
      <c r="DK55" s="56" t="n">
        <f aca="false">DK41+DK42+DK43+DK45+DK48+DK52</f>
        <v>-0</v>
      </c>
      <c r="DL55" s="56" t="n">
        <f aca="false">DL41+DL42+DL43+DL45+DL48+DL52</f>
        <v>-0</v>
      </c>
      <c r="DM55" s="56" t="n">
        <f aca="false">DM41+DM42+DM43+DM45+DM48+DM52</f>
        <v>-0</v>
      </c>
      <c r="DN55" s="56" t="n">
        <f aca="false">DN41+DN42+DN43+DN45+DN48+DN52</f>
        <v>-0</v>
      </c>
      <c r="DO55" s="56" t="n">
        <f aca="false">DO41+DO42+DO43+DO45+DO48+DO52</f>
        <v>-0</v>
      </c>
      <c r="DP55" s="56" t="n">
        <f aca="false">DP41+DP42+DP43+DP45+DP48+DP52</f>
        <v>-0</v>
      </c>
      <c r="DQ55" s="56" t="n">
        <f aca="false">DQ41+DQ42+DQ43+DQ45+DQ48+DQ52</f>
        <v>-0</v>
      </c>
      <c r="DR55" s="56" t="n">
        <f aca="false">DR41+DR42+DR43+DR45+DR48+DR52</f>
        <v>-0</v>
      </c>
      <c r="DS55" s="56" t="n">
        <f aca="false">DS41+DS42+DS43+DS45+DS48+DS52</f>
        <v>-0</v>
      </c>
      <c r="DT55" s="56" t="n">
        <f aca="false">DT41+DT42+DT43+DT45+DT48+DT52</f>
        <v>-0</v>
      </c>
      <c r="DU55" s="56" t="n">
        <f aca="false">DU41+DU42+DU43+DU45+DU48+DU52</f>
        <v>-0</v>
      </c>
      <c r="DV55" s="56" t="n">
        <f aca="false">DV41+DV42+DV43+DV45+DV48+DV52</f>
        <v>-0</v>
      </c>
      <c r="DW55" s="56" t="n">
        <f aca="false">DW41+DW42+DW43+DW45+DW48+DW52</f>
        <v>-0</v>
      </c>
      <c r="DX55" s="56" t="n">
        <f aca="false">DX41+DX42+DX43+DX45+DX48+DX52</f>
        <v>-0</v>
      </c>
      <c r="DY55" s="56" t="n">
        <f aca="false">DY41+DY42+DY43+DY45+DY48+DY52</f>
        <v>-0</v>
      </c>
      <c r="DZ55" s="56" t="n">
        <f aca="false">DZ41+DZ42+DZ43+DZ45+DZ48+DZ52</f>
        <v>-0</v>
      </c>
      <c r="EA55" s="56" t="n">
        <f aca="false">EA41+EA42+EA43+EA45+EA48+EA52</f>
        <v>-0</v>
      </c>
      <c r="EB55" s="56" t="n">
        <f aca="false">EB41+EB42+EB43+EB45+EB48+EB52</f>
        <v>-0</v>
      </c>
      <c r="EC55" s="56" t="n">
        <f aca="false">EC41+EC42+EC43+EC45+EC48+EC52</f>
        <v>-0</v>
      </c>
      <c r="ED55" s="56" t="n">
        <f aca="false">ED41+ED42+ED43+ED45+ED48+ED52</f>
        <v>-0</v>
      </c>
      <c r="EE55" s="56" t="n">
        <f aca="false">EE41+EE42+EE43+EE45+EE48+EE52</f>
        <v>-0</v>
      </c>
      <c r="EF55" s="56" t="n">
        <f aca="false">EF41+EF42+EF43+EF45+EF48+EF52</f>
        <v>-0</v>
      </c>
      <c r="EG55" s="56" t="n">
        <f aca="false">EG41+EG42+EG43+EG45+EG48+EG52</f>
        <v>-0</v>
      </c>
      <c r="EH55" s="56" t="n">
        <f aca="false">EH41+EH42+EH43+EH45+EH48+EH52</f>
        <v>-0</v>
      </c>
      <c r="EI55" s="56" t="n">
        <f aca="false">EI41+EI42+EI43+EI45+EI48+EI52</f>
        <v>-0</v>
      </c>
      <c r="EJ55" s="56" t="n">
        <f aca="false">EJ41+EJ42+EJ43+EJ45+EJ48+EJ52</f>
        <v>-0</v>
      </c>
      <c r="EK55" s="56" t="n">
        <f aca="false">EK41+EK42+EK43+EK45+EK48+EK52</f>
        <v>-0</v>
      </c>
      <c r="EL55" s="56" t="n">
        <f aca="false">EL41+EL42+EL43+EL45+EL48+EL52</f>
        <v>-0</v>
      </c>
      <c r="EM55" s="56" t="n">
        <f aca="false">EM41+EM42+EM43+EM45+EM48+EM52</f>
        <v>-0</v>
      </c>
      <c r="EN55" s="56" t="n">
        <f aca="false">EN41+EN42+EN43+EN45+EN48+EN52</f>
        <v>-0</v>
      </c>
      <c r="EO55" s="56" t="n">
        <f aca="false">EO41+EO42+EO43+EO45+EO48+EO52</f>
        <v>-0</v>
      </c>
    </row>
    <row r="57" customFormat="false" ht="15" hidden="false" customHeight="false" outlineLevel="0" collapsed="false">
      <c r="A57" s="9" t="s">
        <v>13</v>
      </c>
      <c r="B57" s="9"/>
      <c r="C57" s="9" t="s">
        <v>388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</row>
    <row r="58" customFormat="false" ht="15" hidden="false" customHeight="false" outlineLevel="0" collapsed="false">
      <c r="C58" s="0" t="s">
        <v>389</v>
      </c>
      <c r="D58" s="11" t="s">
        <v>19</v>
      </c>
      <c r="E58" s="46" t="n">
        <f aca="false">IF($E35=1,In_Turbine,In_Turbine_CN)</f>
        <v>500</v>
      </c>
    </row>
    <row r="59" customFormat="false" ht="15" hidden="false" customHeight="false" outlineLevel="0" collapsed="false">
      <c r="C59" s="0" t="s">
        <v>390</v>
      </c>
      <c r="D59" s="11" t="s">
        <v>33</v>
      </c>
      <c r="E59" s="46" t="n">
        <f aca="false">IF($E35=1,In_Substation,In_Substation_CN)</f>
        <v>10800</v>
      </c>
    </row>
    <row r="60" customFormat="false" ht="15" hidden="false" customHeight="false" outlineLevel="0" collapsed="false">
      <c r="C60" s="0" t="s">
        <v>391</v>
      </c>
      <c r="D60" s="11" t="s">
        <v>33</v>
      </c>
      <c r="E60" s="46" t="n">
        <f aca="false">(($E58+In_Other_Wind)*$F24+$E59)*(1+In_Capex_Contingency)</f>
        <v>60716.25</v>
      </c>
      <c r="I60" s="46" t="n">
        <f aca="false">SUM(J60:EO60)</f>
        <v>-60716.25</v>
      </c>
      <c r="J60" s="46" t="n">
        <f aca="false">-$E60*J12</f>
        <v>-0</v>
      </c>
      <c r="K60" s="46" t="n">
        <f aca="false">-$E60*K12</f>
        <v>-0</v>
      </c>
      <c r="L60" s="46" t="n">
        <f aca="false">-$E60*L12</f>
        <v>-0</v>
      </c>
      <c r="M60" s="46" t="n">
        <f aca="false">-$E60*M12</f>
        <v>-0</v>
      </c>
      <c r="N60" s="46" t="n">
        <f aca="false">-$E60*N12</f>
        <v>-0</v>
      </c>
      <c r="O60" s="46" t="n">
        <f aca="false">-$E60*O12</f>
        <v>-0</v>
      </c>
      <c r="P60" s="46" t="n">
        <f aca="false">-$E60*P12</f>
        <v>-0</v>
      </c>
      <c r="Q60" s="46" t="n">
        <f aca="false">-$E60*Q12</f>
        <v>-0</v>
      </c>
      <c r="R60" s="46" t="n">
        <f aca="false">-$E60*R12</f>
        <v>-7651.91095890411</v>
      </c>
      <c r="S60" s="46" t="n">
        <f aca="false">-$E60*S12</f>
        <v>-7485.56506849315</v>
      </c>
      <c r="T60" s="46" t="n">
        <f aca="false">-$E60*T12</f>
        <v>-7568.73801369863</v>
      </c>
      <c r="U60" s="46" t="n">
        <f aca="false">-$E60*U12</f>
        <v>-7651.91095890411</v>
      </c>
      <c r="V60" s="46" t="n">
        <f aca="false">-$E60*V12</f>
        <v>-7651.91095890411</v>
      </c>
      <c r="W60" s="46" t="n">
        <f aca="false">-$E60*W12</f>
        <v>-7485.56506849315</v>
      </c>
      <c r="X60" s="46" t="n">
        <f aca="false">-$E60*X12</f>
        <v>-7568.73801369863</v>
      </c>
      <c r="Y60" s="46" t="n">
        <f aca="false">-$E60*Y12</f>
        <v>-7651.91095890411</v>
      </c>
      <c r="Z60" s="46" t="n">
        <f aca="false">-$E60*Z12</f>
        <v>-0</v>
      </c>
      <c r="AA60" s="46" t="n">
        <f aca="false">-$E60*AA12</f>
        <v>-0</v>
      </c>
      <c r="AB60" s="46" t="n">
        <f aca="false">-$E60*AB12</f>
        <v>-0</v>
      </c>
      <c r="AC60" s="46" t="n">
        <f aca="false">-$E60*AC12</f>
        <v>-0</v>
      </c>
      <c r="AD60" s="46" t="n">
        <f aca="false">-$E60*AD12</f>
        <v>-0</v>
      </c>
      <c r="AE60" s="46" t="n">
        <f aca="false">-$E60*AE12</f>
        <v>-0</v>
      </c>
      <c r="AF60" s="46" t="n">
        <f aca="false">-$E60*AF12</f>
        <v>-0</v>
      </c>
      <c r="AG60" s="46" t="n">
        <f aca="false">-$E60*AG12</f>
        <v>-0</v>
      </c>
      <c r="AH60" s="46" t="n">
        <f aca="false">-$E60*AH12</f>
        <v>-0</v>
      </c>
      <c r="AI60" s="46" t="n">
        <f aca="false">-$E60*AI12</f>
        <v>-0</v>
      </c>
      <c r="AJ60" s="46" t="n">
        <f aca="false">-$E60*AJ12</f>
        <v>-0</v>
      </c>
      <c r="AK60" s="46" t="n">
        <f aca="false">-$E60*AK12</f>
        <v>-0</v>
      </c>
      <c r="AL60" s="46" t="n">
        <f aca="false">-$E60*AL12</f>
        <v>-0</v>
      </c>
      <c r="AM60" s="46" t="n">
        <f aca="false">-$E60*AM12</f>
        <v>-0</v>
      </c>
      <c r="AN60" s="46" t="n">
        <f aca="false">-$E60*AN12</f>
        <v>-0</v>
      </c>
      <c r="AO60" s="46" t="n">
        <f aca="false">-$E60*AO12</f>
        <v>-0</v>
      </c>
      <c r="AP60" s="46" t="n">
        <f aca="false">-$E60*AP12</f>
        <v>-0</v>
      </c>
      <c r="AQ60" s="46" t="n">
        <f aca="false">-$E60*AQ12</f>
        <v>-0</v>
      </c>
      <c r="AR60" s="46" t="n">
        <f aca="false">-$E60*AR12</f>
        <v>-0</v>
      </c>
      <c r="AS60" s="46" t="n">
        <f aca="false">-$E60*AS12</f>
        <v>-0</v>
      </c>
      <c r="AT60" s="46" t="n">
        <f aca="false">-$E60*AT12</f>
        <v>-0</v>
      </c>
      <c r="AU60" s="46" t="n">
        <f aca="false">-$E60*AU12</f>
        <v>-0</v>
      </c>
      <c r="AV60" s="46" t="n">
        <f aca="false">-$E60*AV12</f>
        <v>-0</v>
      </c>
      <c r="AW60" s="46" t="n">
        <f aca="false">-$E60*AW12</f>
        <v>-0</v>
      </c>
      <c r="AX60" s="46" t="n">
        <f aca="false">-$E60*AX12</f>
        <v>-0</v>
      </c>
      <c r="AY60" s="46" t="n">
        <f aca="false">-$E60*AY12</f>
        <v>-0</v>
      </c>
      <c r="AZ60" s="46" t="n">
        <f aca="false">-$E60*AZ12</f>
        <v>-0</v>
      </c>
      <c r="BA60" s="46" t="n">
        <f aca="false">-$E60*BA12</f>
        <v>-0</v>
      </c>
      <c r="BB60" s="46" t="n">
        <f aca="false">-$E60*BB12</f>
        <v>-0</v>
      </c>
      <c r="BC60" s="46" t="n">
        <f aca="false">-$E60*BC12</f>
        <v>-0</v>
      </c>
      <c r="BD60" s="46" t="n">
        <f aca="false">-$E60*BD12</f>
        <v>-0</v>
      </c>
      <c r="BE60" s="46" t="n">
        <f aca="false">-$E60*BE12</f>
        <v>-0</v>
      </c>
      <c r="BF60" s="46" t="n">
        <f aca="false">-$E60*BF12</f>
        <v>-0</v>
      </c>
      <c r="BG60" s="46" t="n">
        <f aca="false">-$E60*BG12</f>
        <v>-0</v>
      </c>
      <c r="BH60" s="46" t="n">
        <f aca="false">-$E60*BH12</f>
        <v>-0</v>
      </c>
      <c r="BI60" s="46" t="n">
        <f aca="false">-$E60*BI12</f>
        <v>-0</v>
      </c>
      <c r="BJ60" s="46" t="n">
        <f aca="false">-$E60*BJ12</f>
        <v>-0</v>
      </c>
      <c r="BK60" s="46" t="n">
        <f aca="false">-$E60*BK12</f>
        <v>-0</v>
      </c>
      <c r="BL60" s="46" t="n">
        <f aca="false">-$E60*BL12</f>
        <v>-0</v>
      </c>
      <c r="BM60" s="46" t="n">
        <f aca="false">-$E60*BM12</f>
        <v>-0</v>
      </c>
      <c r="BN60" s="46" t="n">
        <f aca="false">-$E60*BN12</f>
        <v>-0</v>
      </c>
      <c r="BO60" s="46" t="n">
        <f aca="false">-$E60*BO12</f>
        <v>-0</v>
      </c>
      <c r="BP60" s="46" t="n">
        <f aca="false">-$E60*BP12</f>
        <v>-0</v>
      </c>
      <c r="BQ60" s="46" t="n">
        <f aca="false">-$E60*BQ12</f>
        <v>-0</v>
      </c>
      <c r="BR60" s="46" t="n">
        <f aca="false">-$E60*BR12</f>
        <v>-0</v>
      </c>
      <c r="BS60" s="46" t="n">
        <f aca="false">-$E60*BS12</f>
        <v>-0</v>
      </c>
      <c r="BT60" s="46" t="n">
        <f aca="false">-$E60*BT12</f>
        <v>-0</v>
      </c>
      <c r="BU60" s="46" t="n">
        <f aca="false">-$E60*BU12</f>
        <v>-0</v>
      </c>
      <c r="BV60" s="46" t="n">
        <f aca="false">-$E60*BV12</f>
        <v>-0</v>
      </c>
      <c r="BW60" s="46" t="n">
        <f aca="false">-$E60*BW12</f>
        <v>-0</v>
      </c>
      <c r="BX60" s="46" t="n">
        <f aca="false">-$E60*BX12</f>
        <v>-0</v>
      </c>
      <c r="BY60" s="46" t="n">
        <f aca="false">-$E60*BY12</f>
        <v>-0</v>
      </c>
      <c r="BZ60" s="46" t="n">
        <f aca="false">-$E60*BZ12</f>
        <v>-0</v>
      </c>
      <c r="CA60" s="46" t="n">
        <f aca="false">-$E60*CA12</f>
        <v>-0</v>
      </c>
      <c r="CB60" s="46" t="n">
        <f aca="false">-$E60*CB12</f>
        <v>-0</v>
      </c>
      <c r="CC60" s="46" t="n">
        <f aca="false">-$E60*CC12</f>
        <v>-0</v>
      </c>
      <c r="CD60" s="46" t="n">
        <f aca="false">-$E60*CD12</f>
        <v>-0</v>
      </c>
      <c r="CE60" s="46" t="n">
        <f aca="false">-$E60*CE12</f>
        <v>-0</v>
      </c>
      <c r="CF60" s="46" t="n">
        <f aca="false">-$E60*CF12</f>
        <v>-0</v>
      </c>
      <c r="CG60" s="46" t="n">
        <f aca="false">-$E60*CG12</f>
        <v>-0</v>
      </c>
      <c r="CH60" s="46" t="n">
        <f aca="false">-$E60*CH12</f>
        <v>-0</v>
      </c>
      <c r="CI60" s="46" t="n">
        <f aca="false">-$E60*CI12</f>
        <v>-0</v>
      </c>
      <c r="CJ60" s="46" t="n">
        <f aca="false">-$E60*CJ12</f>
        <v>-0</v>
      </c>
      <c r="CK60" s="46" t="n">
        <f aca="false">-$E60*CK12</f>
        <v>-0</v>
      </c>
      <c r="CL60" s="46" t="n">
        <f aca="false">-$E60*CL12</f>
        <v>-0</v>
      </c>
      <c r="CM60" s="46" t="n">
        <f aca="false">-$E60*CM12</f>
        <v>-0</v>
      </c>
      <c r="CN60" s="46" t="n">
        <f aca="false">-$E60*CN12</f>
        <v>-0</v>
      </c>
      <c r="CO60" s="46" t="n">
        <f aca="false">-$E60*CO12</f>
        <v>-0</v>
      </c>
      <c r="CP60" s="46" t="n">
        <f aca="false">-$E60*CP12</f>
        <v>-0</v>
      </c>
      <c r="CQ60" s="46" t="n">
        <f aca="false">-$E60*CQ12</f>
        <v>-0</v>
      </c>
      <c r="CR60" s="46" t="n">
        <f aca="false">-$E60*CR12</f>
        <v>-0</v>
      </c>
      <c r="CS60" s="46" t="n">
        <f aca="false">-$E60*CS12</f>
        <v>-0</v>
      </c>
      <c r="CT60" s="46" t="n">
        <f aca="false">-$E60*CT12</f>
        <v>-0</v>
      </c>
      <c r="CU60" s="46" t="n">
        <f aca="false">-$E60*CU12</f>
        <v>-0</v>
      </c>
      <c r="CV60" s="46" t="n">
        <f aca="false">-$E60*CV12</f>
        <v>-0</v>
      </c>
      <c r="CW60" s="46" t="n">
        <f aca="false">-$E60*CW12</f>
        <v>-0</v>
      </c>
      <c r="CX60" s="46" t="n">
        <f aca="false">-$E60*CX12</f>
        <v>-0</v>
      </c>
      <c r="CY60" s="46" t="n">
        <f aca="false">-$E60*CY12</f>
        <v>-0</v>
      </c>
      <c r="CZ60" s="46" t="n">
        <f aca="false">-$E60*CZ12</f>
        <v>-0</v>
      </c>
      <c r="DA60" s="46" t="n">
        <f aca="false">-$E60*DA12</f>
        <v>-0</v>
      </c>
      <c r="DB60" s="46" t="n">
        <f aca="false">-$E60*DB12</f>
        <v>-0</v>
      </c>
      <c r="DC60" s="46" t="n">
        <f aca="false">-$E60*DC12</f>
        <v>-0</v>
      </c>
      <c r="DD60" s="46" t="n">
        <f aca="false">-$E60*DD12</f>
        <v>-0</v>
      </c>
      <c r="DE60" s="46" t="n">
        <f aca="false">-$E60*DE12</f>
        <v>-0</v>
      </c>
      <c r="DF60" s="46" t="n">
        <f aca="false">-$E60*DF12</f>
        <v>-0</v>
      </c>
      <c r="DG60" s="46" t="n">
        <f aca="false">-$E60*DG12</f>
        <v>-0</v>
      </c>
      <c r="DH60" s="46" t="n">
        <f aca="false">-$E60*DH12</f>
        <v>-0</v>
      </c>
      <c r="DI60" s="46" t="n">
        <f aca="false">-$E60*DI12</f>
        <v>-0</v>
      </c>
      <c r="DJ60" s="46" t="n">
        <f aca="false">-$E60*DJ12</f>
        <v>-0</v>
      </c>
      <c r="DK60" s="46" t="n">
        <f aca="false">-$E60*DK12</f>
        <v>-0</v>
      </c>
      <c r="DL60" s="46" t="n">
        <f aca="false">-$E60*DL12</f>
        <v>-0</v>
      </c>
      <c r="DM60" s="46" t="n">
        <f aca="false">-$E60*DM12</f>
        <v>-0</v>
      </c>
      <c r="DN60" s="46" t="n">
        <f aca="false">-$E60*DN12</f>
        <v>-0</v>
      </c>
      <c r="DO60" s="46" t="n">
        <f aca="false">-$E60*DO12</f>
        <v>-0</v>
      </c>
      <c r="DP60" s="46" t="n">
        <f aca="false">-$E60*DP12</f>
        <v>-0</v>
      </c>
      <c r="DQ60" s="46" t="n">
        <f aca="false">-$E60*DQ12</f>
        <v>-0</v>
      </c>
      <c r="DR60" s="46" t="n">
        <f aca="false">-$E60*DR12</f>
        <v>-0</v>
      </c>
      <c r="DS60" s="46" t="n">
        <f aca="false">-$E60*DS12</f>
        <v>-0</v>
      </c>
      <c r="DT60" s="46" t="n">
        <f aca="false">-$E60*DT12</f>
        <v>-0</v>
      </c>
      <c r="DU60" s="46" t="n">
        <f aca="false">-$E60*DU12</f>
        <v>-0</v>
      </c>
      <c r="DV60" s="46" t="n">
        <f aca="false">-$E60*DV12</f>
        <v>-0</v>
      </c>
      <c r="DW60" s="46" t="n">
        <f aca="false">-$E60*DW12</f>
        <v>-0</v>
      </c>
      <c r="DX60" s="46" t="n">
        <f aca="false">-$E60*DX12</f>
        <v>-0</v>
      </c>
      <c r="DY60" s="46" t="n">
        <f aca="false">-$E60*DY12</f>
        <v>-0</v>
      </c>
      <c r="DZ60" s="46" t="n">
        <f aca="false">-$E60*DZ12</f>
        <v>-0</v>
      </c>
      <c r="EA60" s="46" t="n">
        <f aca="false">-$E60*EA12</f>
        <v>-0</v>
      </c>
      <c r="EB60" s="46" t="n">
        <f aca="false">-$E60*EB12</f>
        <v>-0</v>
      </c>
      <c r="EC60" s="46" t="n">
        <f aca="false">-$E60*EC12</f>
        <v>-0</v>
      </c>
      <c r="ED60" s="46" t="n">
        <f aca="false">-$E60*ED12</f>
        <v>-0</v>
      </c>
      <c r="EE60" s="46" t="n">
        <f aca="false">-$E60*EE12</f>
        <v>-0</v>
      </c>
      <c r="EF60" s="46" t="n">
        <f aca="false">-$E60*EF12</f>
        <v>-0</v>
      </c>
      <c r="EG60" s="46" t="n">
        <f aca="false">-$E60*EG12</f>
        <v>-0</v>
      </c>
      <c r="EH60" s="46" t="n">
        <f aca="false">-$E60*EH12</f>
        <v>-0</v>
      </c>
      <c r="EI60" s="46" t="n">
        <f aca="false">-$E60*EI12</f>
        <v>-0</v>
      </c>
      <c r="EJ60" s="46" t="n">
        <f aca="false">-$E60*EJ12</f>
        <v>-0</v>
      </c>
      <c r="EK60" s="46" t="n">
        <f aca="false">-$E60*EK12</f>
        <v>-0</v>
      </c>
      <c r="EL60" s="46" t="n">
        <f aca="false">-$E60*EL12</f>
        <v>-0</v>
      </c>
      <c r="EM60" s="46" t="n">
        <f aca="false">-$E60*EM12</f>
        <v>-0</v>
      </c>
      <c r="EN60" s="46" t="n">
        <f aca="false">-$E60*EN12</f>
        <v>-0</v>
      </c>
      <c r="EO60" s="46" t="n">
        <f aca="false">-$E60*EO12</f>
        <v>-0</v>
      </c>
    </row>
    <row r="61" customFormat="false" ht="15" hidden="false" customHeight="false" outlineLevel="0" collapsed="false">
      <c r="C61" s="0" t="s">
        <v>392</v>
      </c>
      <c r="D61" s="11" t="s">
        <v>33</v>
      </c>
      <c r="E61" s="46" t="n">
        <f aca="false">$E29*In_MVA</f>
        <v>1750</v>
      </c>
      <c r="I61" s="46" t="n">
        <f aca="false">SUM(J61:EO61)</f>
        <v>-1750</v>
      </c>
      <c r="J61" s="46" t="n">
        <f aca="false">-$E61*J14</f>
        <v>-0</v>
      </c>
      <c r="K61" s="46" t="n">
        <f aca="false">-$E61*K14</f>
        <v>-0</v>
      </c>
      <c r="L61" s="46" t="n">
        <f aca="false">-$E61*L14</f>
        <v>-0</v>
      </c>
      <c r="M61" s="46" t="n">
        <f aca="false">-$E61*M14</f>
        <v>-0</v>
      </c>
      <c r="N61" s="46" t="n">
        <f aca="false">-$E61*N14</f>
        <v>-0</v>
      </c>
      <c r="O61" s="46" t="n">
        <f aca="false">-$E61*O14</f>
        <v>-0</v>
      </c>
      <c r="P61" s="46" t="n">
        <f aca="false">-$E61*P14</f>
        <v>-0</v>
      </c>
      <c r="Q61" s="46" t="n">
        <f aca="false">-$E61*Q14</f>
        <v>-0</v>
      </c>
      <c r="R61" s="46" t="n">
        <f aca="false">-$E61*R14</f>
        <v>-0</v>
      </c>
      <c r="S61" s="46" t="n">
        <f aca="false">-$E61*S14</f>
        <v>-0</v>
      </c>
      <c r="T61" s="46" t="n">
        <f aca="false">-$E61*T14</f>
        <v>-0</v>
      </c>
      <c r="U61" s="46" t="n">
        <f aca="false">-$E61*U14</f>
        <v>-0</v>
      </c>
      <c r="V61" s="46" t="n">
        <f aca="false">-$E61*V14</f>
        <v>-0</v>
      </c>
      <c r="W61" s="46" t="n">
        <f aca="false">-$E61*W14</f>
        <v>-0</v>
      </c>
      <c r="X61" s="46" t="n">
        <f aca="false">-$E61*X14</f>
        <v>-0</v>
      </c>
      <c r="Y61" s="46" t="n">
        <f aca="false">-$E61*Y14</f>
        <v>-1750</v>
      </c>
      <c r="Z61" s="46" t="n">
        <f aca="false">-$E61*Z14</f>
        <v>-0</v>
      </c>
      <c r="AA61" s="46" t="n">
        <f aca="false">-$E61*AA14</f>
        <v>-0</v>
      </c>
      <c r="AB61" s="46" t="n">
        <f aca="false">-$E61*AB14</f>
        <v>-0</v>
      </c>
      <c r="AC61" s="46" t="n">
        <f aca="false">-$E61*AC14</f>
        <v>-0</v>
      </c>
      <c r="AD61" s="46" t="n">
        <f aca="false">-$E61*AD14</f>
        <v>-0</v>
      </c>
      <c r="AE61" s="46" t="n">
        <f aca="false">-$E61*AE14</f>
        <v>-0</v>
      </c>
      <c r="AF61" s="46" t="n">
        <f aca="false">-$E61*AF14</f>
        <v>-0</v>
      </c>
      <c r="AG61" s="46" t="n">
        <f aca="false">-$E61*AG14</f>
        <v>-0</v>
      </c>
      <c r="AH61" s="46" t="n">
        <f aca="false">-$E61*AH14</f>
        <v>-0</v>
      </c>
      <c r="AI61" s="46" t="n">
        <f aca="false">-$E61*AI14</f>
        <v>-0</v>
      </c>
      <c r="AJ61" s="46" t="n">
        <f aca="false">-$E61*AJ14</f>
        <v>-0</v>
      </c>
      <c r="AK61" s="46" t="n">
        <f aca="false">-$E61*AK14</f>
        <v>-0</v>
      </c>
      <c r="AL61" s="46" t="n">
        <f aca="false">-$E61*AL14</f>
        <v>-0</v>
      </c>
      <c r="AM61" s="46" t="n">
        <f aca="false">-$E61*AM14</f>
        <v>-0</v>
      </c>
      <c r="AN61" s="46" t="n">
        <f aca="false">-$E61*AN14</f>
        <v>-0</v>
      </c>
      <c r="AO61" s="46" t="n">
        <f aca="false">-$E61*AO14</f>
        <v>-0</v>
      </c>
      <c r="AP61" s="46" t="n">
        <f aca="false">-$E61*AP14</f>
        <v>-0</v>
      </c>
      <c r="AQ61" s="46" t="n">
        <f aca="false">-$E61*AQ14</f>
        <v>-0</v>
      </c>
      <c r="AR61" s="46" t="n">
        <f aca="false">-$E61*AR14</f>
        <v>-0</v>
      </c>
      <c r="AS61" s="46" t="n">
        <f aca="false">-$E61*AS14</f>
        <v>-0</v>
      </c>
      <c r="AT61" s="46" t="n">
        <f aca="false">-$E61*AT14</f>
        <v>-0</v>
      </c>
      <c r="AU61" s="46" t="n">
        <f aca="false">-$E61*AU14</f>
        <v>-0</v>
      </c>
      <c r="AV61" s="46" t="n">
        <f aca="false">-$E61*AV14</f>
        <v>-0</v>
      </c>
      <c r="AW61" s="46" t="n">
        <f aca="false">-$E61*AW14</f>
        <v>-0</v>
      </c>
      <c r="AX61" s="46" t="n">
        <f aca="false">-$E61*AX14</f>
        <v>-0</v>
      </c>
      <c r="AY61" s="46" t="n">
        <f aca="false">-$E61*AY14</f>
        <v>-0</v>
      </c>
      <c r="AZ61" s="46" t="n">
        <f aca="false">-$E61*AZ14</f>
        <v>-0</v>
      </c>
      <c r="BA61" s="46" t="n">
        <f aca="false">-$E61*BA14</f>
        <v>-0</v>
      </c>
      <c r="BB61" s="46" t="n">
        <f aca="false">-$E61*BB14</f>
        <v>-0</v>
      </c>
      <c r="BC61" s="46" t="n">
        <f aca="false">-$E61*BC14</f>
        <v>-0</v>
      </c>
      <c r="BD61" s="46" t="n">
        <f aca="false">-$E61*BD14</f>
        <v>-0</v>
      </c>
      <c r="BE61" s="46" t="n">
        <f aca="false">-$E61*BE14</f>
        <v>-0</v>
      </c>
      <c r="BF61" s="46" t="n">
        <f aca="false">-$E61*BF14</f>
        <v>-0</v>
      </c>
      <c r="BG61" s="46" t="n">
        <f aca="false">-$E61*BG14</f>
        <v>-0</v>
      </c>
      <c r="BH61" s="46" t="n">
        <f aca="false">-$E61*BH14</f>
        <v>-0</v>
      </c>
      <c r="BI61" s="46" t="n">
        <f aca="false">-$E61*BI14</f>
        <v>-0</v>
      </c>
      <c r="BJ61" s="46" t="n">
        <f aca="false">-$E61*BJ14</f>
        <v>-0</v>
      </c>
      <c r="BK61" s="46" t="n">
        <f aca="false">-$E61*BK14</f>
        <v>-0</v>
      </c>
      <c r="BL61" s="46" t="n">
        <f aca="false">-$E61*BL14</f>
        <v>-0</v>
      </c>
      <c r="BM61" s="46" t="n">
        <f aca="false">-$E61*BM14</f>
        <v>-0</v>
      </c>
      <c r="BN61" s="46" t="n">
        <f aca="false">-$E61*BN14</f>
        <v>-0</v>
      </c>
      <c r="BO61" s="46" t="n">
        <f aca="false">-$E61*BO14</f>
        <v>-0</v>
      </c>
      <c r="BP61" s="46" t="n">
        <f aca="false">-$E61*BP14</f>
        <v>-0</v>
      </c>
      <c r="BQ61" s="46" t="n">
        <f aca="false">-$E61*BQ14</f>
        <v>-0</v>
      </c>
      <c r="BR61" s="46" t="n">
        <f aca="false">-$E61*BR14</f>
        <v>-0</v>
      </c>
      <c r="BS61" s="46" t="n">
        <f aca="false">-$E61*BS14</f>
        <v>-0</v>
      </c>
      <c r="BT61" s="46" t="n">
        <f aca="false">-$E61*BT14</f>
        <v>-0</v>
      </c>
      <c r="BU61" s="46" t="n">
        <f aca="false">-$E61*BU14</f>
        <v>-0</v>
      </c>
      <c r="BV61" s="46" t="n">
        <f aca="false">-$E61*BV14</f>
        <v>-0</v>
      </c>
      <c r="BW61" s="46" t="n">
        <f aca="false">-$E61*BW14</f>
        <v>-0</v>
      </c>
      <c r="BX61" s="46" t="n">
        <f aca="false">-$E61*BX14</f>
        <v>-0</v>
      </c>
      <c r="BY61" s="46" t="n">
        <f aca="false">-$E61*BY14</f>
        <v>-0</v>
      </c>
      <c r="BZ61" s="46" t="n">
        <f aca="false">-$E61*BZ14</f>
        <v>-0</v>
      </c>
      <c r="CA61" s="46" t="n">
        <f aca="false">-$E61*CA14</f>
        <v>-0</v>
      </c>
      <c r="CB61" s="46" t="n">
        <f aca="false">-$E61*CB14</f>
        <v>-0</v>
      </c>
      <c r="CC61" s="46" t="n">
        <f aca="false">-$E61*CC14</f>
        <v>-0</v>
      </c>
      <c r="CD61" s="46" t="n">
        <f aca="false">-$E61*CD14</f>
        <v>-0</v>
      </c>
      <c r="CE61" s="46" t="n">
        <f aca="false">-$E61*CE14</f>
        <v>-0</v>
      </c>
      <c r="CF61" s="46" t="n">
        <f aca="false">-$E61*CF14</f>
        <v>-0</v>
      </c>
      <c r="CG61" s="46" t="n">
        <f aca="false">-$E61*CG14</f>
        <v>-0</v>
      </c>
      <c r="CH61" s="46" t="n">
        <f aca="false">-$E61*CH14</f>
        <v>-0</v>
      </c>
      <c r="CI61" s="46" t="n">
        <f aca="false">-$E61*CI14</f>
        <v>-0</v>
      </c>
      <c r="CJ61" s="46" t="n">
        <f aca="false">-$E61*CJ14</f>
        <v>-0</v>
      </c>
      <c r="CK61" s="46" t="n">
        <f aca="false">-$E61*CK14</f>
        <v>-0</v>
      </c>
      <c r="CL61" s="46" t="n">
        <f aca="false">-$E61*CL14</f>
        <v>-0</v>
      </c>
      <c r="CM61" s="46" t="n">
        <f aca="false">-$E61*CM14</f>
        <v>-0</v>
      </c>
      <c r="CN61" s="46" t="n">
        <f aca="false">-$E61*CN14</f>
        <v>-0</v>
      </c>
      <c r="CO61" s="46" t="n">
        <f aca="false">-$E61*CO14</f>
        <v>-0</v>
      </c>
      <c r="CP61" s="46" t="n">
        <f aca="false">-$E61*CP14</f>
        <v>-0</v>
      </c>
      <c r="CQ61" s="46" t="n">
        <f aca="false">-$E61*CQ14</f>
        <v>-0</v>
      </c>
      <c r="CR61" s="46" t="n">
        <f aca="false">-$E61*CR14</f>
        <v>-0</v>
      </c>
      <c r="CS61" s="46" t="n">
        <f aca="false">-$E61*CS14</f>
        <v>-0</v>
      </c>
      <c r="CT61" s="46" t="n">
        <f aca="false">-$E61*CT14</f>
        <v>-0</v>
      </c>
      <c r="CU61" s="46" t="n">
        <f aca="false">-$E61*CU14</f>
        <v>-0</v>
      </c>
      <c r="CV61" s="46" t="n">
        <f aca="false">-$E61*CV14</f>
        <v>-0</v>
      </c>
      <c r="CW61" s="46" t="n">
        <f aca="false">-$E61*CW14</f>
        <v>-0</v>
      </c>
      <c r="CX61" s="46" t="n">
        <f aca="false">-$E61*CX14</f>
        <v>-0</v>
      </c>
      <c r="CY61" s="46" t="n">
        <f aca="false">-$E61*CY14</f>
        <v>-0</v>
      </c>
      <c r="CZ61" s="46" t="n">
        <f aca="false">-$E61*CZ14</f>
        <v>-0</v>
      </c>
      <c r="DA61" s="46" t="n">
        <f aca="false">-$E61*DA14</f>
        <v>-0</v>
      </c>
      <c r="DB61" s="46" t="n">
        <f aca="false">-$E61*DB14</f>
        <v>-0</v>
      </c>
      <c r="DC61" s="46" t="n">
        <f aca="false">-$E61*DC14</f>
        <v>-0</v>
      </c>
      <c r="DD61" s="46" t="n">
        <f aca="false">-$E61*DD14</f>
        <v>-0</v>
      </c>
      <c r="DE61" s="46" t="n">
        <f aca="false">-$E61*DE14</f>
        <v>-0</v>
      </c>
      <c r="DF61" s="46" t="n">
        <f aca="false">-$E61*DF14</f>
        <v>-0</v>
      </c>
      <c r="DG61" s="46" t="n">
        <f aca="false">-$E61*DG14</f>
        <v>-0</v>
      </c>
      <c r="DH61" s="46" t="n">
        <f aca="false">-$E61*DH14</f>
        <v>-0</v>
      </c>
      <c r="DI61" s="46" t="n">
        <f aca="false">-$E61*DI14</f>
        <v>-0</v>
      </c>
      <c r="DJ61" s="46" t="n">
        <f aca="false">-$E61*DJ14</f>
        <v>-0</v>
      </c>
      <c r="DK61" s="46" t="n">
        <f aca="false">-$E61*DK14</f>
        <v>-0</v>
      </c>
      <c r="DL61" s="46" t="n">
        <f aca="false">-$E61*DL14</f>
        <v>-0</v>
      </c>
      <c r="DM61" s="46" t="n">
        <f aca="false">-$E61*DM14</f>
        <v>-0</v>
      </c>
      <c r="DN61" s="46" t="n">
        <f aca="false">-$E61*DN14</f>
        <v>-0</v>
      </c>
      <c r="DO61" s="46" t="n">
        <f aca="false">-$E61*DO14</f>
        <v>-0</v>
      </c>
      <c r="DP61" s="46" t="n">
        <f aca="false">-$E61*DP14</f>
        <v>-0</v>
      </c>
      <c r="DQ61" s="46" t="n">
        <f aca="false">-$E61*DQ14</f>
        <v>-0</v>
      </c>
      <c r="DR61" s="46" t="n">
        <f aca="false">-$E61*DR14</f>
        <v>-0</v>
      </c>
      <c r="DS61" s="46" t="n">
        <f aca="false">-$E61*DS14</f>
        <v>-0</v>
      </c>
      <c r="DT61" s="46" t="n">
        <f aca="false">-$E61*DT14</f>
        <v>-0</v>
      </c>
      <c r="DU61" s="46" t="n">
        <f aca="false">-$E61*DU14</f>
        <v>-0</v>
      </c>
      <c r="DV61" s="46" t="n">
        <f aca="false">-$E61*DV14</f>
        <v>-0</v>
      </c>
      <c r="DW61" s="46" t="n">
        <f aca="false">-$E61*DW14</f>
        <v>-0</v>
      </c>
      <c r="DX61" s="46" t="n">
        <f aca="false">-$E61*DX14</f>
        <v>-0</v>
      </c>
      <c r="DY61" s="46" t="n">
        <f aca="false">-$E61*DY14</f>
        <v>-0</v>
      </c>
      <c r="DZ61" s="46" t="n">
        <f aca="false">-$E61*DZ14</f>
        <v>-0</v>
      </c>
      <c r="EA61" s="46" t="n">
        <f aca="false">-$E61*EA14</f>
        <v>-0</v>
      </c>
      <c r="EB61" s="46" t="n">
        <f aca="false">-$E61*EB14</f>
        <v>-0</v>
      </c>
      <c r="EC61" s="46" t="n">
        <f aca="false">-$E61*EC14</f>
        <v>-0</v>
      </c>
      <c r="ED61" s="46" t="n">
        <f aca="false">-$E61*ED14</f>
        <v>-0</v>
      </c>
      <c r="EE61" s="46" t="n">
        <f aca="false">-$E61*EE14</f>
        <v>-0</v>
      </c>
      <c r="EF61" s="46" t="n">
        <f aca="false">-$E61*EF14</f>
        <v>-0</v>
      </c>
      <c r="EG61" s="46" t="n">
        <f aca="false">-$E61*EG14</f>
        <v>-0</v>
      </c>
      <c r="EH61" s="46" t="n">
        <f aca="false">-$E61*EH14</f>
        <v>-0</v>
      </c>
      <c r="EI61" s="46" t="n">
        <f aca="false">-$E61*EI14</f>
        <v>-0</v>
      </c>
      <c r="EJ61" s="46" t="n">
        <f aca="false">-$E61*EJ14</f>
        <v>-0</v>
      </c>
      <c r="EK61" s="46" t="n">
        <f aca="false">-$E61*EK14</f>
        <v>-0</v>
      </c>
      <c r="EL61" s="46" t="n">
        <f aca="false">-$E61*EL14</f>
        <v>-0</v>
      </c>
      <c r="EM61" s="46" t="n">
        <f aca="false">-$E61*EM14</f>
        <v>-0</v>
      </c>
      <c r="EN61" s="46" t="n">
        <f aca="false">-$E61*EN14</f>
        <v>-0</v>
      </c>
      <c r="EO61" s="46" t="n">
        <f aca="false">-$E61*EO14</f>
        <v>-0</v>
      </c>
    </row>
    <row r="62" customFormat="false" ht="15" hidden="false" customHeight="false" outlineLevel="0" collapsed="false">
      <c r="C62" s="24" t="s">
        <v>393</v>
      </c>
      <c r="D62" s="11" t="s">
        <v>33</v>
      </c>
      <c r="E62" s="56" t="n">
        <f aca="false">SUMPRODUCT($J62:$EO62/$J21:$EO21)*$E21</f>
        <v>-73974.8724701541</v>
      </c>
      <c r="I62" s="56" t="n">
        <f aca="false">SUM(J62:EO62)</f>
        <v>-70621.0731506849</v>
      </c>
      <c r="J62" s="56" t="n">
        <f aca="false">J60+J51+J61</f>
        <v>-0</v>
      </c>
      <c r="K62" s="56" t="n">
        <f aca="false">K60+K51+K61</f>
        <v>-0</v>
      </c>
      <c r="L62" s="56" t="n">
        <f aca="false">L60+L51+L61</f>
        <v>-0</v>
      </c>
      <c r="M62" s="56" t="n">
        <f aca="false">M60+M51+M61</f>
        <v>-0</v>
      </c>
      <c r="N62" s="56" t="n">
        <f aca="false">N60+N51+N61</f>
        <v>-0</v>
      </c>
      <c r="O62" s="56" t="n">
        <f aca="false">O60+O51+O61</f>
        <v>-0</v>
      </c>
      <c r="P62" s="56" t="n">
        <f aca="false">P60+P51+P61</f>
        <v>-0</v>
      </c>
      <c r="Q62" s="56" t="n">
        <f aca="false">Q60+Q51+Q61</f>
        <v>-0</v>
      </c>
      <c r="R62" s="56" t="n">
        <f aca="false">R60+R51+R61</f>
        <v>-7651.91095890411</v>
      </c>
      <c r="S62" s="56" t="n">
        <f aca="false">S60+S51+S61</f>
        <v>-15640.3882191781</v>
      </c>
      <c r="T62" s="56" t="n">
        <f aca="false">T60+T51+T61</f>
        <v>-7568.73801369863</v>
      </c>
      <c r="U62" s="56" t="n">
        <f aca="false">U60+U51+U61</f>
        <v>-7651.91095890411</v>
      </c>
      <c r="V62" s="56" t="n">
        <f aca="false">V60+V51+V61</f>
        <v>-7651.91095890411</v>
      </c>
      <c r="W62" s="56" t="n">
        <f aca="false">W60+W51+W61</f>
        <v>-7485.56506849315</v>
      </c>
      <c r="X62" s="56" t="n">
        <f aca="false">X60+X51+X61</f>
        <v>-7568.73801369863</v>
      </c>
      <c r="Y62" s="56" t="n">
        <f aca="false">Y60+Y51+Y61</f>
        <v>-9401.91095890411</v>
      </c>
      <c r="Z62" s="56" t="n">
        <f aca="false">Z60+Z51+Z61</f>
        <v>-0</v>
      </c>
      <c r="AA62" s="56" t="n">
        <f aca="false">AA60+AA51+AA61</f>
        <v>-0</v>
      </c>
      <c r="AB62" s="56" t="n">
        <f aca="false">AB60+AB51+AB61</f>
        <v>-0</v>
      </c>
      <c r="AC62" s="56" t="n">
        <f aca="false">AC60+AC51+AC61</f>
        <v>-0</v>
      </c>
      <c r="AD62" s="56" t="n">
        <f aca="false">AD60+AD51+AD61</f>
        <v>-0</v>
      </c>
      <c r="AE62" s="56" t="n">
        <f aca="false">AE60+AE51+AE61</f>
        <v>-0</v>
      </c>
      <c r="AF62" s="56" t="n">
        <f aca="false">AF60+AF51+AF61</f>
        <v>-0</v>
      </c>
      <c r="AG62" s="56" t="n">
        <f aca="false">AG60+AG51+AG61</f>
        <v>-0</v>
      </c>
      <c r="AH62" s="56" t="n">
        <f aca="false">AH60+AH51+AH61</f>
        <v>-0</v>
      </c>
      <c r="AI62" s="56" t="n">
        <f aca="false">AI60+AI51+AI61</f>
        <v>-0</v>
      </c>
      <c r="AJ62" s="56" t="n">
        <f aca="false">AJ60+AJ51+AJ61</f>
        <v>-0</v>
      </c>
      <c r="AK62" s="56" t="n">
        <f aca="false">AK60+AK51+AK61</f>
        <v>-0</v>
      </c>
      <c r="AL62" s="56" t="n">
        <f aca="false">AL60+AL51+AL61</f>
        <v>-0</v>
      </c>
      <c r="AM62" s="56" t="n">
        <f aca="false">AM60+AM51+AM61</f>
        <v>-0</v>
      </c>
      <c r="AN62" s="56" t="n">
        <f aca="false">AN60+AN51+AN61</f>
        <v>-0</v>
      </c>
      <c r="AO62" s="56" t="n">
        <f aca="false">AO60+AO51+AO61</f>
        <v>-0</v>
      </c>
      <c r="AP62" s="56" t="n">
        <f aca="false">AP60+AP51+AP61</f>
        <v>-0</v>
      </c>
      <c r="AQ62" s="56" t="n">
        <f aca="false">AQ60+AQ51+AQ61</f>
        <v>-0</v>
      </c>
      <c r="AR62" s="56" t="n">
        <f aca="false">AR60+AR51+AR61</f>
        <v>-0</v>
      </c>
      <c r="AS62" s="56" t="n">
        <f aca="false">AS60+AS51+AS61</f>
        <v>-0</v>
      </c>
      <c r="AT62" s="56" t="n">
        <f aca="false">AT60+AT51+AT61</f>
        <v>-0</v>
      </c>
      <c r="AU62" s="56" t="n">
        <f aca="false">AU60+AU51+AU61</f>
        <v>-0</v>
      </c>
      <c r="AV62" s="56" t="n">
        <f aca="false">AV60+AV51+AV61</f>
        <v>-0</v>
      </c>
      <c r="AW62" s="56" t="n">
        <f aca="false">AW60+AW51+AW61</f>
        <v>-0</v>
      </c>
      <c r="AX62" s="56" t="n">
        <f aca="false">AX60+AX51+AX61</f>
        <v>-0</v>
      </c>
      <c r="AY62" s="56" t="n">
        <f aca="false">AY60+AY51+AY61</f>
        <v>-0</v>
      </c>
      <c r="AZ62" s="56" t="n">
        <f aca="false">AZ60+AZ51+AZ61</f>
        <v>-0</v>
      </c>
      <c r="BA62" s="56" t="n">
        <f aca="false">BA60+BA51+BA61</f>
        <v>-0</v>
      </c>
      <c r="BB62" s="56" t="n">
        <f aca="false">BB60+BB51+BB61</f>
        <v>-0</v>
      </c>
      <c r="BC62" s="56" t="n">
        <f aca="false">BC60+BC51+BC61</f>
        <v>-0</v>
      </c>
      <c r="BD62" s="56" t="n">
        <f aca="false">BD60+BD51+BD61</f>
        <v>-0</v>
      </c>
      <c r="BE62" s="56" t="n">
        <f aca="false">BE60+BE51+BE61</f>
        <v>-0</v>
      </c>
      <c r="BF62" s="56" t="n">
        <f aca="false">BF60+BF51+BF61</f>
        <v>-0</v>
      </c>
      <c r="BG62" s="56" t="n">
        <f aca="false">BG60+BG51+BG61</f>
        <v>-0</v>
      </c>
      <c r="BH62" s="56" t="n">
        <f aca="false">BH60+BH51+BH61</f>
        <v>-0</v>
      </c>
      <c r="BI62" s="56" t="n">
        <f aca="false">BI60+BI51+BI61</f>
        <v>-0</v>
      </c>
      <c r="BJ62" s="56" t="n">
        <f aca="false">BJ60+BJ51+BJ61</f>
        <v>-0</v>
      </c>
      <c r="BK62" s="56" t="n">
        <f aca="false">BK60+BK51+BK61</f>
        <v>-0</v>
      </c>
      <c r="BL62" s="56" t="n">
        <f aca="false">BL60+BL51+BL61</f>
        <v>-0</v>
      </c>
      <c r="BM62" s="56" t="n">
        <f aca="false">BM60+BM51+BM61</f>
        <v>-0</v>
      </c>
      <c r="BN62" s="56" t="n">
        <f aca="false">BN60+BN51+BN61</f>
        <v>-0</v>
      </c>
      <c r="BO62" s="56" t="n">
        <f aca="false">BO60+BO51+BO61</f>
        <v>-0</v>
      </c>
      <c r="BP62" s="56" t="n">
        <f aca="false">BP60+BP51+BP61</f>
        <v>-0</v>
      </c>
      <c r="BQ62" s="56" t="n">
        <f aca="false">BQ60+BQ51+BQ61</f>
        <v>-0</v>
      </c>
      <c r="BR62" s="56" t="n">
        <f aca="false">BR60+BR51+BR61</f>
        <v>-0</v>
      </c>
      <c r="BS62" s="56" t="n">
        <f aca="false">BS60+BS51+BS61</f>
        <v>-0</v>
      </c>
      <c r="BT62" s="56" t="n">
        <f aca="false">BT60+BT51+BT61</f>
        <v>-0</v>
      </c>
      <c r="BU62" s="56" t="n">
        <f aca="false">BU60+BU51+BU61</f>
        <v>-0</v>
      </c>
      <c r="BV62" s="56" t="n">
        <f aca="false">BV60+BV51+BV61</f>
        <v>-0</v>
      </c>
      <c r="BW62" s="56" t="n">
        <f aca="false">BW60+BW51+BW61</f>
        <v>-0</v>
      </c>
      <c r="BX62" s="56" t="n">
        <f aca="false">BX60+BX51+BX61</f>
        <v>-0</v>
      </c>
      <c r="BY62" s="56" t="n">
        <f aca="false">BY60+BY51+BY61</f>
        <v>-0</v>
      </c>
      <c r="BZ62" s="56" t="n">
        <f aca="false">BZ60+BZ51+BZ61</f>
        <v>-0</v>
      </c>
      <c r="CA62" s="56" t="n">
        <f aca="false">CA60+CA51+CA61</f>
        <v>-0</v>
      </c>
      <c r="CB62" s="56" t="n">
        <f aca="false">CB60+CB51+CB61</f>
        <v>-0</v>
      </c>
      <c r="CC62" s="56" t="n">
        <f aca="false">CC60+CC51+CC61</f>
        <v>-0</v>
      </c>
      <c r="CD62" s="56" t="n">
        <f aca="false">CD60+CD51+CD61</f>
        <v>-0</v>
      </c>
      <c r="CE62" s="56" t="n">
        <f aca="false">CE60+CE51+CE61</f>
        <v>-0</v>
      </c>
      <c r="CF62" s="56" t="n">
        <f aca="false">CF60+CF51+CF61</f>
        <v>-0</v>
      </c>
      <c r="CG62" s="56" t="n">
        <f aca="false">CG60+CG51+CG61</f>
        <v>-0</v>
      </c>
      <c r="CH62" s="56" t="n">
        <f aca="false">CH60+CH51+CH61</f>
        <v>-0</v>
      </c>
      <c r="CI62" s="56" t="n">
        <f aca="false">CI60+CI51+CI61</f>
        <v>-0</v>
      </c>
      <c r="CJ62" s="56" t="n">
        <f aca="false">CJ60+CJ51+CJ61</f>
        <v>-0</v>
      </c>
      <c r="CK62" s="56" t="n">
        <f aca="false">CK60+CK51+CK61</f>
        <v>-0</v>
      </c>
      <c r="CL62" s="56" t="n">
        <f aca="false">CL60+CL51+CL61</f>
        <v>-0</v>
      </c>
      <c r="CM62" s="56" t="n">
        <f aca="false">CM60+CM51+CM61</f>
        <v>-0</v>
      </c>
      <c r="CN62" s="56" t="n">
        <f aca="false">CN60+CN51+CN61</f>
        <v>-0</v>
      </c>
      <c r="CO62" s="56" t="n">
        <f aca="false">CO60+CO51+CO61</f>
        <v>-0</v>
      </c>
      <c r="CP62" s="56" t="n">
        <f aca="false">CP60+CP51+CP61</f>
        <v>-0</v>
      </c>
      <c r="CQ62" s="56" t="n">
        <f aca="false">CQ60+CQ51+CQ61</f>
        <v>-0</v>
      </c>
      <c r="CR62" s="56" t="n">
        <f aca="false">CR60+CR51+CR61</f>
        <v>-0</v>
      </c>
      <c r="CS62" s="56" t="n">
        <f aca="false">CS60+CS51+CS61</f>
        <v>-0</v>
      </c>
      <c r="CT62" s="56" t="n">
        <f aca="false">CT60+CT51+CT61</f>
        <v>-0</v>
      </c>
      <c r="CU62" s="56" t="n">
        <f aca="false">CU60+CU51+CU61</f>
        <v>-0</v>
      </c>
      <c r="CV62" s="56" t="n">
        <f aca="false">CV60+CV51+CV61</f>
        <v>-0</v>
      </c>
      <c r="CW62" s="56" t="n">
        <f aca="false">CW60+CW51+CW61</f>
        <v>-0</v>
      </c>
      <c r="CX62" s="56" t="n">
        <f aca="false">CX60+CX51+CX61</f>
        <v>-0</v>
      </c>
      <c r="CY62" s="56" t="n">
        <f aca="false">CY60+CY51+CY61</f>
        <v>-0</v>
      </c>
      <c r="CZ62" s="56" t="n">
        <f aca="false">CZ60+CZ51+CZ61</f>
        <v>-0</v>
      </c>
      <c r="DA62" s="56" t="n">
        <f aca="false">DA60+DA51+DA61</f>
        <v>-0</v>
      </c>
      <c r="DB62" s="56" t="n">
        <f aca="false">DB60+DB51+DB61</f>
        <v>-0</v>
      </c>
      <c r="DC62" s="56" t="n">
        <f aca="false">DC60+DC51+DC61</f>
        <v>-0</v>
      </c>
      <c r="DD62" s="56" t="n">
        <f aca="false">DD60+DD51+DD61</f>
        <v>-0</v>
      </c>
      <c r="DE62" s="56" t="n">
        <f aca="false">DE60+DE51+DE61</f>
        <v>-0</v>
      </c>
      <c r="DF62" s="56" t="n">
        <f aca="false">DF60+DF51+DF61</f>
        <v>-0</v>
      </c>
      <c r="DG62" s="56" t="n">
        <f aca="false">DG60+DG51+DG61</f>
        <v>-0</v>
      </c>
      <c r="DH62" s="56" t="n">
        <f aca="false">DH60+DH51+DH61</f>
        <v>-0</v>
      </c>
      <c r="DI62" s="56" t="n">
        <f aca="false">DI60+DI51+DI61</f>
        <v>-0</v>
      </c>
      <c r="DJ62" s="56" t="n">
        <f aca="false">DJ60+DJ51+DJ61</f>
        <v>-0</v>
      </c>
      <c r="DK62" s="56" t="n">
        <f aca="false">DK60+DK51+DK61</f>
        <v>-0</v>
      </c>
      <c r="DL62" s="56" t="n">
        <f aca="false">DL60+DL51+DL61</f>
        <v>-0</v>
      </c>
      <c r="DM62" s="56" t="n">
        <f aca="false">DM60+DM51+DM61</f>
        <v>-0</v>
      </c>
      <c r="DN62" s="56" t="n">
        <f aca="false">DN60+DN51+DN61</f>
        <v>-0</v>
      </c>
      <c r="DO62" s="56" t="n">
        <f aca="false">DO60+DO51+DO61</f>
        <v>-0</v>
      </c>
      <c r="DP62" s="56" t="n">
        <f aca="false">DP60+DP51+DP61</f>
        <v>-0</v>
      </c>
      <c r="DQ62" s="56" t="n">
        <f aca="false">DQ60+DQ51+DQ61</f>
        <v>-0</v>
      </c>
      <c r="DR62" s="56" t="n">
        <f aca="false">DR60+DR51+DR61</f>
        <v>-0</v>
      </c>
      <c r="DS62" s="56" t="n">
        <f aca="false">DS60+DS51+DS61</f>
        <v>-0</v>
      </c>
      <c r="DT62" s="56" t="n">
        <f aca="false">DT60+DT51+DT61</f>
        <v>-0</v>
      </c>
      <c r="DU62" s="56" t="n">
        <f aca="false">DU60+DU51+DU61</f>
        <v>-0</v>
      </c>
      <c r="DV62" s="56" t="n">
        <f aca="false">DV60+DV51+DV61</f>
        <v>-0</v>
      </c>
      <c r="DW62" s="56" t="n">
        <f aca="false">DW60+DW51+DW61</f>
        <v>-0</v>
      </c>
      <c r="DX62" s="56" t="n">
        <f aca="false">DX60+DX51+DX61</f>
        <v>-0</v>
      </c>
      <c r="DY62" s="56" t="n">
        <f aca="false">DY60+DY51+DY61</f>
        <v>-0</v>
      </c>
      <c r="DZ62" s="56" t="n">
        <f aca="false">DZ60+DZ51+DZ61</f>
        <v>-0</v>
      </c>
      <c r="EA62" s="56" t="n">
        <f aca="false">EA60+EA51+EA61</f>
        <v>-0</v>
      </c>
      <c r="EB62" s="56" t="n">
        <f aca="false">EB60+EB51+EB61</f>
        <v>-0</v>
      </c>
      <c r="EC62" s="56" t="n">
        <f aca="false">EC60+EC51+EC61</f>
        <v>-0</v>
      </c>
      <c r="ED62" s="56" t="n">
        <f aca="false">ED60+ED51+ED61</f>
        <v>-0</v>
      </c>
      <c r="EE62" s="56" t="n">
        <f aca="false">EE60+EE51+EE61</f>
        <v>-0</v>
      </c>
      <c r="EF62" s="56" t="n">
        <f aca="false">EF60+EF51+EF61</f>
        <v>-0</v>
      </c>
      <c r="EG62" s="56" t="n">
        <f aca="false">EG60+EG51+EG61</f>
        <v>-0</v>
      </c>
      <c r="EH62" s="56" t="n">
        <f aca="false">EH60+EH51+EH61</f>
        <v>-0</v>
      </c>
      <c r="EI62" s="56" t="n">
        <f aca="false">EI60+EI51+EI61</f>
        <v>-0</v>
      </c>
      <c r="EJ62" s="56" t="n">
        <f aca="false">EJ60+EJ51+EJ61</f>
        <v>-0</v>
      </c>
      <c r="EK62" s="56" t="n">
        <f aca="false">EK60+EK51+EK61</f>
        <v>-0</v>
      </c>
      <c r="EL62" s="56" t="n">
        <f aca="false">EL60+EL51+EL61</f>
        <v>-0</v>
      </c>
      <c r="EM62" s="56" t="n">
        <f aca="false">EM60+EM51+EM61</f>
        <v>-0</v>
      </c>
      <c r="EN62" s="56" t="n">
        <f aca="false">EN60+EN51+EN61</f>
        <v>-0</v>
      </c>
      <c r="EO62" s="56" t="n">
        <f aca="false">EO60+EO51+EO61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273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394</v>
      </c>
      <c r="D65" s="11" t="s">
        <v>348</v>
      </c>
      <c r="J65" s="54" t="n">
        <f aca="false">(1+In_Opex_Esc)^(J$7-YEAR(In_COD))</f>
        <v>0.905950644799755</v>
      </c>
      <c r="K65" s="54" t="n">
        <f aca="false">(1+In_Opex_Esc)^(K$7-YEAR(In_COD))</f>
        <v>0.928599410919749</v>
      </c>
      <c r="L65" s="54" t="n">
        <f aca="false">(1+In_Opex_Esc)^(L$7-YEAR(In_COD))</f>
        <v>0.928599410919749</v>
      </c>
      <c r="M65" s="54" t="n">
        <f aca="false">(1+In_Opex_Esc)^(M$7-YEAR(In_COD))</f>
        <v>0.928599410919749</v>
      </c>
      <c r="N65" s="54" t="n">
        <f aca="false">(1+In_Opex_Esc)^(N$7-YEAR(In_COD))</f>
        <v>0.928599410919749</v>
      </c>
      <c r="O65" s="54" t="n">
        <f aca="false">(1+In_Opex_Esc)^(O$7-YEAR(In_COD))</f>
        <v>0.951814396192743</v>
      </c>
      <c r="P65" s="54" t="n">
        <f aca="false">(1+In_Opex_Esc)^(P$7-YEAR(In_COD))</f>
        <v>0.951814396192743</v>
      </c>
      <c r="Q65" s="54" t="n">
        <f aca="false">(1+In_Opex_Esc)^(Q$7-YEAR(In_COD))</f>
        <v>0.951814396192743</v>
      </c>
      <c r="R65" s="54" t="n">
        <f aca="false">(1+In_Opex_Esc)^(R$7-YEAR(In_COD))</f>
        <v>0.951814396192743</v>
      </c>
      <c r="S65" s="54" t="n">
        <f aca="false">(1+In_Opex_Esc)^(S$7-YEAR(In_COD))</f>
        <v>0.975609756097561</v>
      </c>
      <c r="T65" s="54" t="n">
        <f aca="false">(1+In_Opex_Esc)^(T$7-YEAR(In_COD))</f>
        <v>0.975609756097561</v>
      </c>
      <c r="U65" s="54" t="n">
        <f aca="false">(1+In_Opex_Esc)^(U$7-YEAR(In_COD))</f>
        <v>0.975609756097561</v>
      </c>
      <c r="V65" s="54" t="n">
        <f aca="false">(1+In_Opex_Esc)^(V$7-YEAR(In_COD))</f>
        <v>0.975609756097561</v>
      </c>
      <c r="W65" s="54" t="n">
        <f aca="false">(1+In_Opex_Esc)^(W$7-YEAR(In_COD))</f>
        <v>1</v>
      </c>
      <c r="X65" s="54" t="n">
        <f aca="false">(1+In_Opex_Esc)^(X$7-YEAR(In_COD))</f>
        <v>1</v>
      </c>
      <c r="Y65" s="54" t="n">
        <f aca="false">(1+In_Opex_Esc)^(Y$7-YEAR(In_COD))</f>
        <v>1</v>
      </c>
      <c r="Z65" s="54" t="n">
        <f aca="false">(1+In_Opex_Esc)^(Z$7-YEAR(In_COD))</f>
        <v>1</v>
      </c>
      <c r="AA65" s="54" t="n">
        <f aca="false">(1+In_Opex_Esc)^(AA$7-YEAR(In_COD))</f>
        <v>1.025</v>
      </c>
      <c r="AB65" s="54" t="n">
        <f aca="false">(1+In_Opex_Esc)^(AB$7-YEAR(In_COD))</f>
        <v>1.025</v>
      </c>
      <c r="AC65" s="54" t="n">
        <f aca="false">(1+In_Opex_Esc)^(AC$7-YEAR(In_COD))</f>
        <v>1.025</v>
      </c>
      <c r="AD65" s="54" t="n">
        <f aca="false">(1+In_Opex_Esc)^(AD$7-YEAR(In_COD))</f>
        <v>1.025</v>
      </c>
      <c r="AE65" s="54" t="n">
        <f aca="false">(1+In_Opex_Esc)^(AE$7-YEAR(In_COD))</f>
        <v>1.050625</v>
      </c>
      <c r="AF65" s="54" t="n">
        <f aca="false">(1+In_Opex_Esc)^(AF$7-YEAR(In_COD))</f>
        <v>1.050625</v>
      </c>
      <c r="AG65" s="54" t="n">
        <f aca="false">(1+In_Opex_Esc)^(AG$7-YEAR(In_COD))</f>
        <v>1.050625</v>
      </c>
      <c r="AH65" s="54" t="n">
        <f aca="false">(1+In_Opex_Esc)^(AH$7-YEAR(In_COD))</f>
        <v>1.050625</v>
      </c>
      <c r="AI65" s="54" t="n">
        <f aca="false">(1+In_Opex_Esc)^(AI$7-YEAR(In_COD))</f>
        <v>1.076890625</v>
      </c>
      <c r="AJ65" s="54" t="n">
        <f aca="false">(1+In_Opex_Esc)^(AJ$7-YEAR(In_COD))</f>
        <v>1.076890625</v>
      </c>
      <c r="AK65" s="54" t="n">
        <f aca="false">(1+In_Opex_Esc)^(AK$7-YEAR(In_COD))</f>
        <v>1.076890625</v>
      </c>
      <c r="AL65" s="54" t="n">
        <f aca="false">(1+In_Opex_Esc)^(AL$7-YEAR(In_COD))</f>
        <v>1.076890625</v>
      </c>
      <c r="AM65" s="54" t="n">
        <f aca="false">(1+In_Opex_Esc)^(AM$7-YEAR(In_COD))</f>
        <v>1.103812890625</v>
      </c>
      <c r="AN65" s="54" t="n">
        <f aca="false">(1+In_Opex_Esc)^(AN$7-YEAR(In_COD))</f>
        <v>1.103812890625</v>
      </c>
      <c r="AO65" s="54" t="n">
        <f aca="false">(1+In_Opex_Esc)^(AO$7-YEAR(In_COD))</f>
        <v>1.103812890625</v>
      </c>
      <c r="AP65" s="54" t="n">
        <f aca="false">(1+In_Opex_Esc)^(AP$7-YEAR(In_COD))</f>
        <v>1.103812890625</v>
      </c>
      <c r="AQ65" s="54" t="n">
        <f aca="false">(1+In_Opex_Esc)^(AQ$7-YEAR(In_COD))</f>
        <v>1.13140821289062</v>
      </c>
      <c r="AR65" s="54" t="n">
        <f aca="false">(1+In_Opex_Esc)^(AR$7-YEAR(In_COD))</f>
        <v>1.13140821289062</v>
      </c>
      <c r="AS65" s="54" t="n">
        <f aca="false">(1+In_Opex_Esc)^(AS$7-YEAR(In_COD))</f>
        <v>1.13140821289062</v>
      </c>
      <c r="AT65" s="54" t="n">
        <f aca="false">(1+In_Opex_Esc)^(AT$7-YEAR(In_COD))</f>
        <v>1.13140821289062</v>
      </c>
      <c r="AU65" s="54" t="n">
        <f aca="false">(1+In_Opex_Esc)^(AU$7-YEAR(In_COD))</f>
        <v>1.15969341821289</v>
      </c>
      <c r="AV65" s="54" t="n">
        <f aca="false">(1+In_Opex_Esc)^(AV$7-YEAR(In_COD))</f>
        <v>1.15969341821289</v>
      </c>
      <c r="AW65" s="54" t="n">
        <f aca="false">(1+In_Opex_Esc)^(AW$7-YEAR(In_COD))</f>
        <v>1.15969341821289</v>
      </c>
      <c r="AX65" s="54" t="n">
        <f aca="false">(1+In_Opex_Esc)^(AX$7-YEAR(In_COD))</f>
        <v>1.15969341821289</v>
      </c>
      <c r="AY65" s="54" t="n">
        <f aca="false">(1+In_Opex_Esc)^(AY$7-YEAR(In_COD))</f>
        <v>1.18868575366821</v>
      </c>
      <c r="AZ65" s="54" t="n">
        <f aca="false">(1+In_Opex_Esc)^(AZ$7-YEAR(In_COD))</f>
        <v>1.18868575366821</v>
      </c>
      <c r="BA65" s="54" t="n">
        <f aca="false">(1+In_Opex_Esc)^(BA$7-YEAR(In_COD))</f>
        <v>1.18868575366821</v>
      </c>
      <c r="BB65" s="54" t="n">
        <f aca="false">(1+In_Opex_Esc)^(BB$7-YEAR(In_COD))</f>
        <v>1.18868575366821</v>
      </c>
      <c r="BC65" s="54" t="n">
        <f aca="false">(1+In_Opex_Esc)^(BC$7-YEAR(In_COD))</f>
        <v>1.21840289750992</v>
      </c>
      <c r="BD65" s="54" t="n">
        <f aca="false">(1+In_Opex_Esc)^(BD$7-YEAR(In_COD))</f>
        <v>1.21840289750992</v>
      </c>
      <c r="BE65" s="54" t="n">
        <f aca="false">(1+In_Opex_Esc)^(BE$7-YEAR(In_COD))</f>
        <v>1.21840289750992</v>
      </c>
      <c r="BF65" s="54" t="n">
        <f aca="false">(1+In_Opex_Esc)^(BF$7-YEAR(In_COD))</f>
        <v>1.21840289750992</v>
      </c>
      <c r="BG65" s="54" t="n">
        <f aca="false">(1+In_Opex_Esc)^(BG$7-YEAR(In_COD))</f>
        <v>1.24886296994767</v>
      </c>
      <c r="BH65" s="54" t="n">
        <f aca="false">(1+In_Opex_Esc)^(BH$7-YEAR(In_COD))</f>
        <v>1.24886296994767</v>
      </c>
      <c r="BI65" s="54" t="n">
        <f aca="false">(1+In_Opex_Esc)^(BI$7-YEAR(In_COD))</f>
        <v>1.24886296994767</v>
      </c>
      <c r="BJ65" s="54" t="n">
        <f aca="false">(1+In_Opex_Esc)^(BJ$7-YEAR(In_COD))</f>
        <v>1.24886296994767</v>
      </c>
      <c r="BK65" s="54" t="n">
        <f aca="false">(1+In_Opex_Esc)^(BK$7-YEAR(In_COD))</f>
        <v>1.28008454419636</v>
      </c>
      <c r="BL65" s="54" t="n">
        <f aca="false">(1+In_Opex_Esc)^(BL$7-YEAR(In_COD))</f>
        <v>1.28008454419636</v>
      </c>
      <c r="BM65" s="54" t="n">
        <f aca="false">(1+In_Opex_Esc)^(BM$7-YEAR(In_COD))</f>
        <v>1.28008454419636</v>
      </c>
      <c r="BN65" s="54" t="n">
        <f aca="false">(1+In_Opex_Esc)^(BN$7-YEAR(In_COD))</f>
        <v>1.28008454419636</v>
      </c>
      <c r="BO65" s="54" t="n">
        <f aca="false">(1+In_Opex_Esc)^(BO$7-YEAR(In_COD))</f>
        <v>1.31208665780127</v>
      </c>
      <c r="BP65" s="54" t="n">
        <f aca="false">(1+In_Opex_Esc)^(BP$7-YEAR(In_COD))</f>
        <v>1.31208665780127</v>
      </c>
      <c r="BQ65" s="54" t="n">
        <f aca="false">(1+In_Opex_Esc)^(BQ$7-YEAR(In_COD))</f>
        <v>1.31208665780127</v>
      </c>
      <c r="BR65" s="54" t="n">
        <f aca="false">(1+In_Opex_Esc)^(BR$7-YEAR(In_COD))</f>
        <v>1.31208665780127</v>
      </c>
      <c r="BS65" s="54" t="n">
        <f aca="false">(1+In_Opex_Esc)^(BS$7-YEAR(In_COD))</f>
        <v>1.3448888242463</v>
      </c>
      <c r="BT65" s="54" t="n">
        <f aca="false">(1+In_Opex_Esc)^(BT$7-YEAR(In_COD))</f>
        <v>1.3448888242463</v>
      </c>
      <c r="BU65" s="54" t="n">
        <f aca="false">(1+In_Opex_Esc)^(BU$7-YEAR(In_COD))</f>
        <v>1.3448888242463</v>
      </c>
      <c r="BV65" s="54" t="n">
        <f aca="false">(1+In_Opex_Esc)^(BV$7-YEAR(In_COD))</f>
        <v>1.3448888242463</v>
      </c>
      <c r="BW65" s="54" t="n">
        <f aca="false">(1+In_Opex_Esc)^(BW$7-YEAR(In_COD))</f>
        <v>1.37851104485245</v>
      </c>
      <c r="BX65" s="54" t="n">
        <f aca="false">(1+In_Opex_Esc)^(BX$7-YEAR(In_COD))</f>
        <v>1.37851104485245</v>
      </c>
      <c r="BY65" s="54" t="n">
        <f aca="false">(1+In_Opex_Esc)^(BY$7-YEAR(In_COD))</f>
        <v>1.37851104485245</v>
      </c>
      <c r="BZ65" s="54" t="n">
        <f aca="false">(1+In_Opex_Esc)^(BZ$7-YEAR(In_COD))</f>
        <v>1.37851104485245</v>
      </c>
      <c r="CA65" s="54" t="n">
        <f aca="false">(1+In_Opex_Esc)^(CA$7-YEAR(In_COD))</f>
        <v>1.41297382097377</v>
      </c>
      <c r="CB65" s="54" t="n">
        <f aca="false">(1+In_Opex_Esc)^(CB$7-YEAR(In_COD))</f>
        <v>1.41297382097377</v>
      </c>
      <c r="CC65" s="54" t="n">
        <f aca="false">(1+In_Opex_Esc)^(CC$7-YEAR(In_COD))</f>
        <v>1.41297382097377</v>
      </c>
      <c r="CD65" s="54" t="n">
        <f aca="false">(1+In_Opex_Esc)^(CD$7-YEAR(In_COD))</f>
        <v>1.41297382097377</v>
      </c>
      <c r="CE65" s="54" t="n">
        <f aca="false">(1+In_Opex_Esc)^(CE$7-YEAR(In_COD))</f>
        <v>1.44829816649811</v>
      </c>
      <c r="CF65" s="54" t="n">
        <f aca="false">(1+In_Opex_Esc)^(CF$7-YEAR(In_COD))</f>
        <v>1.44829816649811</v>
      </c>
      <c r="CG65" s="54" t="n">
        <f aca="false">(1+In_Opex_Esc)^(CG$7-YEAR(In_COD))</f>
        <v>1.44829816649811</v>
      </c>
      <c r="CH65" s="54" t="n">
        <f aca="false">(1+In_Opex_Esc)^(CH$7-YEAR(In_COD))</f>
        <v>1.44829816649811</v>
      </c>
      <c r="CI65" s="54" t="n">
        <f aca="false">(1+In_Opex_Esc)^(CI$7-YEAR(In_COD))</f>
        <v>1.48450562066056</v>
      </c>
      <c r="CJ65" s="54" t="n">
        <f aca="false">(1+In_Opex_Esc)^(CJ$7-YEAR(In_COD))</f>
        <v>1.48450562066056</v>
      </c>
      <c r="CK65" s="54" t="n">
        <f aca="false">(1+In_Opex_Esc)^(CK$7-YEAR(In_COD))</f>
        <v>1.48450562066056</v>
      </c>
      <c r="CL65" s="54" t="n">
        <f aca="false">(1+In_Opex_Esc)^(CL$7-YEAR(In_COD))</f>
        <v>1.48450562066056</v>
      </c>
      <c r="CM65" s="54" t="n">
        <f aca="false">(1+In_Opex_Esc)^(CM$7-YEAR(In_COD))</f>
        <v>1.52161826117708</v>
      </c>
      <c r="CN65" s="54" t="n">
        <f aca="false">(1+In_Opex_Esc)^(CN$7-YEAR(In_COD))</f>
        <v>1.52161826117708</v>
      </c>
      <c r="CO65" s="54" t="n">
        <f aca="false">(1+In_Opex_Esc)^(CO$7-YEAR(In_COD))</f>
        <v>1.52161826117708</v>
      </c>
      <c r="CP65" s="54" t="n">
        <f aca="false">(1+In_Opex_Esc)^(CP$7-YEAR(In_COD))</f>
        <v>1.52161826117708</v>
      </c>
      <c r="CQ65" s="54" t="n">
        <f aca="false">(1+In_Opex_Esc)^(CQ$7-YEAR(In_COD))</f>
        <v>1.5596587177065</v>
      </c>
      <c r="CR65" s="54" t="n">
        <f aca="false">(1+In_Opex_Esc)^(CR$7-YEAR(In_COD))</f>
        <v>1.5596587177065</v>
      </c>
      <c r="CS65" s="54" t="n">
        <f aca="false">(1+In_Opex_Esc)^(CS$7-YEAR(In_COD))</f>
        <v>1.5596587177065</v>
      </c>
      <c r="CT65" s="54" t="n">
        <f aca="false">(1+In_Opex_Esc)^(CT$7-YEAR(In_COD))</f>
        <v>1.5596587177065</v>
      </c>
      <c r="CU65" s="54" t="n">
        <f aca="false">(1+In_Opex_Esc)^(CU$7-YEAR(In_COD))</f>
        <v>1.59865018564917</v>
      </c>
      <c r="CV65" s="54" t="n">
        <f aca="false">(1+In_Opex_Esc)^(CV$7-YEAR(In_COD))</f>
        <v>1.59865018564917</v>
      </c>
      <c r="CW65" s="54" t="n">
        <f aca="false">(1+In_Opex_Esc)^(CW$7-YEAR(In_COD))</f>
        <v>1.59865018564917</v>
      </c>
      <c r="CX65" s="54" t="n">
        <f aca="false">(1+In_Opex_Esc)^(CX$7-YEAR(In_COD))</f>
        <v>1.59865018564917</v>
      </c>
      <c r="CY65" s="54" t="n">
        <f aca="false">(1+In_Opex_Esc)^(CY$7-YEAR(In_COD))</f>
        <v>1.63861644029039</v>
      </c>
      <c r="CZ65" s="54" t="n">
        <f aca="false">(1+In_Opex_Esc)^(CZ$7-YEAR(In_COD))</f>
        <v>1.63861644029039</v>
      </c>
      <c r="DA65" s="54" t="n">
        <f aca="false">(1+In_Opex_Esc)^(DA$7-YEAR(In_COD))</f>
        <v>1.63861644029039</v>
      </c>
      <c r="DB65" s="54" t="n">
        <f aca="false">(1+In_Opex_Esc)^(DB$7-YEAR(In_COD))</f>
        <v>1.63861644029039</v>
      </c>
      <c r="DC65" s="54" t="n">
        <f aca="false">(1+In_Opex_Esc)^(DC$7-YEAR(In_COD))</f>
        <v>1.67958185129765</v>
      </c>
      <c r="DD65" s="54" t="n">
        <f aca="false">(1+In_Opex_Esc)^(DD$7-YEAR(In_COD))</f>
        <v>1.67958185129765</v>
      </c>
      <c r="DE65" s="54" t="n">
        <f aca="false">(1+In_Opex_Esc)^(DE$7-YEAR(In_COD))</f>
        <v>1.67958185129765</v>
      </c>
      <c r="DF65" s="54" t="n">
        <f aca="false">(1+In_Opex_Esc)^(DF$7-YEAR(In_COD))</f>
        <v>1.67958185129765</v>
      </c>
      <c r="DG65" s="54" t="n">
        <f aca="false">(1+In_Opex_Esc)^(DG$7-YEAR(In_COD))</f>
        <v>1.7215713975801</v>
      </c>
      <c r="DH65" s="54" t="n">
        <f aca="false">(1+In_Opex_Esc)^(DH$7-YEAR(In_COD))</f>
        <v>1.7215713975801</v>
      </c>
      <c r="DI65" s="54" t="n">
        <f aca="false">(1+In_Opex_Esc)^(DI$7-YEAR(In_COD))</f>
        <v>1.7215713975801</v>
      </c>
      <c r="DJ65" s="54" t="n">
        <f aca="false">(1+In_Opex_Esc)^(DJ$7-YEAR(In_COD))</f>
        <v>1.7215713975801</v>
      </c>
      <c r="DK65" s="54" t="n">
        <f aca="false">(1+In_Opex_Esc)^(DK$7-YEAR(In_COD))</f>
        <v>1.7646106825196</v>
      </c>
      <c r="DL65" s="54" t="n">
        <f aca="false">(1+In_Opex_Esc)^(DL$7-YEAR(In_COD))</f>
        <v>1.7646106825196</v>
      </c>
      <c r="DM65" s="54" t="n">
        <f aca="false">(1+In_Opex_Esc)^(DM$7-YEAR(In_COD))</f>
        <v>1.7646106825196</v>
      </c>
      <c r="DN65" s="54" t="n">
        <f aca="false">(1+In_Opex_Esc)^(DN$7-YEAR(In_COD))</f>
        <v>1.7646106825196</v>
      </c>
      <c r="DO65" s="54" t="n">
        <f aca="false">(1+In_Opex_Esc)^(DO$7-YEAR(In_COD))</f>
        <v>1.80872594958259</v>
      </c>
      <c r="DP65" s="54" t="n">
        <f aca="false">(1+In_Opex_Esc)^(DP$7-YEAR(In_COD))</f>
        <v>1.80872594958259</v>
      </c>
      <c r="DQ65" s="54" t="n">
        <f aca="false">(1+In_Opex_Esc)^(DQ$7-YEAR(In_COD))</f>
        <v>1.80872594958259</v>
      </c>
      <c r="DR65" s="54" t="n">
        <f aca="false">(1+In_Opex_Esc)^(DR$7-YEAR(In_COD))</f>
        <v>1.80872594958259</v>
      </c>
      <c r="DS65" s="54" t="n">
        <f aca="false">(1+In_Opex_Esc)^(DS$7-YEAR(In_COD))</f>
        <v>1.85394409832215</v>
      </c>
      <c r="DT65" s="54" t="n">
        <f aca="false">(1+In_Opex_Esc)^(DT$7-YEAR(In_COD))</f>
        <v>1.85394409832215</v>
      </c>
      <c r="DU65" s="54" t="n">
        <f aca="false">(1+In_Opex_Esc)^(DU$7-YEAR(In_COD))</f>
        <v>1.85394409832215</v>
      </c>
      <c r="DV65" s="54" t="n">
        <f aca="false">(1+In_Opex_Esc)^(DV$7-YEAR(In_COD))</f>
        <v>1.85394409832215</v>
      </c>
      <c r="DW65" s="54" t="n">
        <f aca="false">(1+In_Opex_Esc)^(DW$7-YEAR(In_COD))</f>
        <v>1.90029270078021</v>
      </c>
      <c r="DX65" s="54" t="n">
        <f aca="false">(1+In_Opex_Esc)^(DX$7-YEAR(In_COD))</f>
        <v>1.90029270078021</v>
      </c>
      <c r="DY65" s="54" t="n">
        <f aca="false">(1+In_Opex_Esc)^(DY$7-YEAR(In_COD))</f>
        <v>1.90029270078021</v>
      </c>
      <c r="DZ65" s="54" t="n">
        <f aca="false">(1+In_Opex_Esc)^(DZ$7-YEAR(In_COD))</f>
        <v>1.90029270078021</v>
      </c>
      <c r="EA65" s="54" t="n">
        <f aca="false">(1+In_Opex_Esc)^(EA$7-YEAR(In_COD))</f>
        <v>1.94780001829971</v>
      </c>
      <c r="EB65" s="54" t="n">
        <f aca="false">(1+In_Opex_Esc)^(EB$7-YEAR(In_COD))</f>
        <v>1.94780001829971</v>
      </c>
      <c r="EC65" s="54" t="n">
        <f aca="false">(1+In_Opex_Esc)^(EC$7-YEAR(In_COD))</f>
        <v>1.94780001829971</v>
      </c>
      <c r="ED65" s="54" t="n">
        <f aca="false">(1+In_Opex_Esc)^(ED$7-YEAR(In_COD))</f>
        <v>1.94780001829971</v>
      </c>
      <c r="EE65" s="54" t="n">
        <f aca="false">(1+In_Opex_Esc)^(EE$7-YEAR(In_COD))</f>
        <v>1.9964950187572</v>
      </c>
      <c r="EF65" s="54" t="n">
        <f aca="false">(1+In_Opex_Esc)^(EF$7-YEAR(In_COD))</f>
        <v>1.9964950187572</v>
      </c>
      <c r="EG65" s="54" t="n">
        <f aca="false">(1+In_Opex_Esc)^(EG$7-YEAR(In_COD))</f>
        <v>1.9964950187572</v>
      </c>
      <c r="EH65" s="54" t="n">
        <f aca="false">(1+In_Opex_Esc)^(EH$7-YEAR(In_COD))</f>
        <v>1.9964950187572</v>
      </c>
      <c r="EI65" s="54" t="n">
        <f aca="false">(1+In_Opex_Esc)^(EI$7-YEAR(In_COD))</f>
        <v>2.04640739422613</v>
      </c>
      <c r="EJ65" s="54" t="n">
        <f aca="false">(1+In_Opex_Esc)^(EJ$7-YEAR(In_COD))</f>
        <v>2.04640739422613</v>
      </c>
      <c r="EK65" s="54" t="n">
        <f aca="false">(1+In_Opex_Esc)^(EK$7-YEAR(In_COD))</f>
        <v>2.04640739422613</v>
      </c>
      <c r="EL65" s="54" t="n">
        <f aca="false">(1+In_Opex_Esc)^(EL$7-YEAR(In_COD))</f>
        <v>2.04640739422613</v>
      </c>
      <c r="EM65" s="54" t="n">
        <f aca="false">(1+In_Opex_Esc)^(EM$7-YEAR(In_COD))</f>
        <v>2.09756757908179</v>
      </c>
      <c r="EN65" s="54" t="n">
        <f aca="false">(1+In_Opex_Esc)^(EN$7-YEAR(In_COD))</f>
        <v>2.09756757908179</v>
      </c>
      <c r="EO65" s="54" t="n">
        <f aca="false">(1+In_Opex_Esc)^(EO$7-YEAR(In_COD))</f>
        <v>2.09756757908179</v>
      </c>
    </row>
    <row r="66" customFormat="false" ht="15" hidden="false" customHeight="false" outlineLevel="0" collapsed="false">
      <c r="C66" s="0" t="s">
        <v>395</v>
      </c>
      <c r="D66" s="11" t="s">
        <v>24</v>
      </c>
      <c r="J66" s="31" t="n">
        <f aca="false">In_PPA_Price*(1+In_PPA_Esc)^(J$7-YEAR(In_COD))</f>
        <v>86.4882310034535</v>
      </c>
      <c r="K66" s="31" t="n">
        <f aca="false">In_PPA_Price*(1+In_PPA_Esc)^(K$7-YEAR(In_COD))</f>
        <v>87.353113313488</v>
      </c>
      <c r="L66" s="31" t="n">
        <f aca="false">In_PPA_Price*(1+In_PPA_Esc)^(L$7-YEAR(In_COD))</f>
        <v>87.353113313488</v>
      </c>
      <c r="M66" s="31" t="n">
        <f aca="false">In_PPA_Price*(1+In_PPA_Esc)^(M$7-YEAR(In_COD))</f>
        <v>87.353113313488</v>
      </c>
      <c r="N66" s="31" t="n">
        <f aca="false">In_PPA_Price*(1+In_PPA_Esc)^(N$7-YEAR(In_COD))</f>
        <v>87.353113313488</v>
      </c>
      <c r="O66" s="31" t="n">
        <f aca="false">In_PPA_Price*(1+In_PPA_Esc)^(O$7-YEAR(In_COD))</f>
        <v>88.2266444466229</v>
      </c>
      <c r="P66" s="31" t="n">
        <f aca="false">In_PPA_Price*(1+In_PPA_Esc)^(P$7-YEAR(In_COD))</f>
        <v>88.2266444466229</v>
      </c>
      <c r="Q66" s="31" t="n">
        <f aca="false">In_PPA_Price*(1+In_PPA_Esc)^(Q$7-YEAR(In_COD))</f>
        <v>88.2266444466229</v>
      </c>
      <c r="R66" s="31" t="n">
        <f aca="false">In_PPA_Price*(1+In_PPA_Esc)^(R$7-YEAR(In_COD))</f>
        <v>88.2266444466229</v>
      </c>
      <c r="S66" s="31" t="n">
        <f aca="false">In_PPA_Price*(1+In_PPA_Esc)^(S$7-YEAR(In_COD))</f>
        <v>89.1089108910891</v>
      </c>
      <c r="T66" s="31" t="n">
        <f aca="false">In_PPA_Price*(1+In_PPA_Esc)^(T$7-YEAR(In_COD))</f>
        <v>89.1089108910891</v>
      </c>
      <c r="U66" s="31" t="n">
        <f aca="false">In_PPA_Price*(1+In_PPA_Esc)^(U$7-YEAR(In_COD))</f>
        <v>89.1089108910891</v>
      </c>
      <c r="V66" s="31" t="n">
        <f aca="false">In_PPA_Price*(1+In_PPA_Esc)^(V$7-YEAR(In_COD))</f>
        <v>89.1089108910891</v>
      </c>
      <c r="W66" s="31" t="n">
        <f aca="false">In_PPA_Price*(1+In_PPA_Esc)^(W$7-YEAR(In_COD))</f>
        <v>90</v>
      </c>
      <c r="X66" s="31" t="n">
        <f aca="false">In_PPA_Price*(1+In_PPA_Esc)^(X$7-YEAR(In_COD))</f>
        <v>90</v>
      </c>
      <c r="Y66" s="31" t="n">
        <f aca="false">In_PPA_Price*(1+In_PPA_Esc)^(Y$7-YEAR(In_COD))</f>
        <v>90</v>
      </c>
      <c r="Z66" s="31" t="n">
        <f aca="false">In_PPA_Price*(1+In_PPA_Esc)^(Z$7-YEAR(In_COD))</f>
        <v>90</v>
      </c>
      <c r="AA66" s="31" t="n">
        <f aca="false">In_PPA_Price*(1+In_PPA_Esc)^(AA$7-YEAR(In_COD))</f>
        <v>90.9</v>
      </c>
      <c r="AB66" s="31" t="n">
        <f aca="false">In_PPA_Price*(1+In_PPA_Esc)^(AB$7-YEAR(In_COD))</f>
        <v>90.9</v>
      </c>
      <c r="AC66" s="31" t="n">
        <f aca="false">In_PPA_Price*(1+In_PPA_Esc)^(AC$7-YEAR(In_COD))</f>
        <v>90.9</v>
      </c>
      <c r="AD66" s="31" t="n">
        <f aca="false">In_PPA_Price*(1+In_PPA_Esc)^(AD$7-YEAR(In_COD))</f>
        <v>90.9</v>
      </c>
      <c r="AE66" s="31" t="n">
        <f aca="false">In_PPA_Price*(1+In_PPA_Esc)^(AE$7-YEAR(In_COD))</f>
        <v>91.809</v>
      </c>
      <c r="AF66" s="31" t="n">
        <f aca="false">In_PPA_Price*(1+In_PPA_Esc)^(AF$7-YEAR(In_COD))</f>
        <v>91.809</v>
      </c>
      <c r="AG66" s="31" t="n">
        <f aca="false">In_PPA_Price*(1+In_PPA_Esc)^(AG$7-YEAR(In_COD))</f>
        <v>91.809</v>
      </c>
      <c r="AH66" s="31" t="n">
        <f aca="false">In_PPA_Price*(1+In_PPA_Esc)^(AH$7-YEAR(In_COD))</f>
        <v>91.809</v>
      </c>
      <c r="AI66" s="31" t="n">
        <f aca="false">In_PPA_Price*(1+In_PPA_Esc)^(AI$7-YEAR(In_COD))</f>
        <v>92.72709</v>
      </c>
      <c r="AJ66" s="31" t="n">
        <f aca="false">In_PPA_Price*(1+In_PPA_Esc)^(AJ$7-YEAR(In_COD))</f>
        <v>92.72709</v>
      </c>
      <c r="AK66" s="31" t="n">
        <f aca="false">In_PPA_Price*(1+In_PPA_Esc)^(AK$7-YEAR(In_COD))</f>
        <v>92.72709</v>
      </c>
      <c r="AL66" s="31" t="n">
        <f aca="false">In_PPA_Price*(1+In_PPA_Esc)^(AL$7-YEAR(In_COD))</f>
        <v>92.72709</v>
      </c>
      <c r="AM66" s="31" t="n">
        <f aca="false">In_PPA_Price*(1+In_PPA_Esc)^(AM$7-YEAR(In_COD))</f>
        <v>93.6543609</v>
      </c>
      <c r="AN66" s="31" t="n">
        <f aca="false">In_PPA_Price*(1+In_PPA_Esc)^(AN$7-YEAR(In_COD))</f>
        <v>93.6543609</v>
      </c>
      <c r="AO66" s="31" t="n">
        <f aca="false">In_PPA_Price*(1+In_PPA_Esc)^(AO$7-YEAR(In_COD))</f>
        <v>93.6543609</v>
      </c>
      <c r="AP66" s="31" t="n">
        <f aca="false">In_PPA_Price*(1+In_PPA_Esc)^(AP$7-YEAR(In_COD))</f>
        <v>93.6543609</v>
      </c>
      <c r="AQ66" s="31" t="n">
        <f aca="false">In_PPA_Price*(1+In_PPA_Esc)^(AQ$7-YEAR(In_COD))</f>
        <v>94.590904509</v>
      </c>
      <c r="AR66" s="31" t="n">
        <f aca="false">In_PPA_Price*(1+In_PPA_Esc)^(AR$7-YEAR(In_COD))</f>
        <v>94.590904509</v>
      </c>
      <c r="AS66" s="31" t="n">
        <f aca="false">In_PPA_Price*(1+In_PPA_Esc)^(AS$7-YEAR(In_COD))</f>
        <v>94.590904509</v>
      </c>
      <c r="AT66" s="31" t="n">
        <f aca="false">In_PPA_Price*(1+In_PPA_Esc)^(AT$7-YEAR(In_COD))</f>
        <v>94.590904509</v>
      </c>
      <c r="AU66" s="31" t="n">
        <f aca="false">In_PPA_Price*(1+In_PPA_Esc)^(AU$7-YEAR(In_COD))</f>
        <v>95.53681355409</v>
      </c>
      <c r="AV66" s="31" t="n">
        <f aca="false">In_PPA_Price*(1+In_PPA_Esc)^(AV$7-YEAR(In_COD))</f>
        <v>95.53681355409</v>
      </c>
      <c r="AW66" s="31" t="n">
        <f aca="false">In_PPA_Price*(1+In_PPA_Esc)^(AW$7-YEAR(In_COD))</f>
        <v>95.53681355409</v>
      </c>
      <c r="AX66" s="31" t="n">
        <f aca="false">In_PPA_Price*(1+In_PPA_Esc)^(AX$7-YEAR(In_COD))</f>
        <v>95.53681355409</v>
      </c>
      <c r="AY66" s="31" t="n">
        <f aca="false">In_PPA_Price*(1+In_PPA_Esc)^(AY$7-YEAR(In_COD))</f>
        <v>96.4921816896309</v>
      </c>
      <c r="AZ66" s="31" t="n">
        <f aca="false">In_PPA_Price*(1+In_PPA_Esc)^(AZ$7-YEAR(In_COD))</f>
        <v>96.4921816896309</v>
      </c>
      <c r="BA66" s="31" t="n">
        <f aca="false">In_PPA_Price*(1+In_PPA_Esc)^(BA$7-YEAR(In_COD))</f>
        <v>96.4921816896309</v>
      </c>
      <c r="BB66" s="31" t="n">
        <f aca="false">In_PPA_Price*(1+In_PPA_Esc)^(BB$7-YEAR(In_COD))</f>
        <v>96.4921816896309</v>
      </c>
      <c r="BC66" s="31" t="n">
        <f aca="false">In_PPA_Price*(1+In_PPA_Esc)^(BC$7-YEAR(In_COD))</f>
        <v>97.4571035065272</v>
      </c>
      <c r="BD66" s="31" t="n">
        <f aca="false">In_PPA_Price*(1+In_PPA_Esc)^(BD$7-YEAR(In_COD))</f>
        <v>97.4571035065272</v>
      </c>
      <c r="BE66" s="31" t="n">
        <f aca="false">In_PPA_Price*(1+In_PPA_Esc)^(BE$7-YEAR(In_COD))</f>
        <v>97.4571035065272</v>
      </c>
      <c r="BF66" s="31" t="n">
        <f aca="false">In_PPA_Price*(1+In_PPA_Esc)^(BF$7-YEAR(In_COD))</f>
        <v>97.4571035065272</v>
      </c>
      <c r="BG66" s="31" t="n">
        <f aca="false">In_PPA_Price*(1+In_PPA_Esc)^(BG$7-YEAR(In_COD))</f>
        <v>98.4316745415925</v>
      </c>
      <c r="BH66" s="31" t="n">
        <f aca="false">In_PPA_Price*(1+In_PPA_Esc)^(BH$7-YEAR(In_COD))</f>
        <v>98.4316745415925</v>
      </c>
      <c r="BI66" s="31" t="n">
        <f aca="false">In_PPA_Price*(1+In_PPA_Esc)^(BI$7-YEAR(In_COD))</f>
        <v>98.4316745415925</v>
      </c>
      <c r="BJ66" s="31" t="n">
        <f aca="false">In_PPA_Price*(1+In_PPA_Esc)^(BJ$7-YEAR(In_COD))</f>
        <v>98.4316745415925</v>
      </c>
      <c r="BK66" s="31" t="n">
        <f aca="false">In_PPA_Price*(1+In_PPA_Esc)^(BK$7-YEAR(In_COD))</f>
        <v>99.4159912870084</v>
      </c>
      <c r="BL66" s="31" t="n">
        <f aca="false">In_PPA_Price*(1+In_PPA_Esc)^(BL$7-YEAR(In_COD))</f>
        <v>99.4159912870084</v>
      </c>
      <c r="BM66" s="31" t="n">
        <f aca="false">In_PPA_Price*(1+In_PPA_Esc)^(BM$7-YEAR(In_COD))</f>
        <v>99.4159912870084</v>
      </c>
      <c r="BN66" s="31" t="n">
        <f aca="false">In_PPA_Price*(1+In_PPA_Esc)^(BN$7-YEAR(In_COD))</f>
        <v>99.4159912870084</v>
      </c>
      <c r="BO66" s="31" t="n">
        <f aca="false">In_PPA_Price*(1+In_PPA_Esc)^(BO$7-YEAR(In_COD))</f>
        <v>100.410151199878</v>
      </c>
      <c r="BP66" s="31" t="n">
        <f aca="false">In_PPA_Price*(1+In_PPA_Esc)^(BP$7-YEAR(In_COD))</f>
        <v>100.410151199878</v>
      </c>
      <c r="BQ66" s="31" t="n">
        <f aca="false">In_PPA_Price*(1+In_PPA_Esc)^(BQ$7-YEAR(In_COD))</f>
        <v>100.410151199878</v>
      </c>
      <c r="BR66" s="31" t="n">
        <f aca="false">In_PPA_Price*(1+In_PPA_Esc)^(BR$7-YEAR(In_COD))</f>
        <v>100.410151199878</v>
      </c>
      <c r="BS66" s="31" t="n">
        <f aca="false">In_PPA_Price*(1+In_PPA_Esc)^(BS$7-YEAR(In_COD))</f>
        <v>101.414252711877</v>
      </c>
      <c r="BT66" s="31" t="n">
        <f aca="false">In_PPA_Price*(1+In_PPA_Esc)^(BT$7-YEAR(In_COD))</f>
        <v>101.414252711877</v>
      </c>
      <c r="BU66" s="31" t="n">
        <f aca="false">In_PPA_Price*(1+In_PPA_Esc)^(BU$7-YEAR(In_COD))</f>
        <v>101.414252711877</v>
      </c>
      <c r="BV66" s="31" t="n">
        <f aca="false">In_PPA_Price*(1+In_PPA_Esc)^(BV$7-YEAR(In_COD))</f>
        <v>101.414252711877</v>
      </c>
      <c r="BW66" s="31" t="n">
        <f aca="false">In_PPA_Price*(1+In_PPA_Esc)^(BW$7-YEAR(In_COD))</f>
        <v>102.428395238996</v>
      </c>
      <c r="BX66" s="31" t="n">
        <f aca="false">In_PPA_Price*(1+In_PPA_Esc)^(BX$7-YEAR(In_COD))</f>
        <v>102.428395238996</v>
      </c>
      <c r="BY66" s="31" t="n">
        <f aca="false">In_PPA_Price*(1+In_PPA_Esc)^(BY$7-YEAR(In_COD))</f>
        <v>102.428395238996</v>
      </c>
      <c r="BZ66" s="31" t="n">
        <f aca="false">In_PPA_Price*(1+In_PPA_Esc)^(BZ$7-YEAR(In_COD))</f>
        <v>102.428395238996</v>
      </c>
      <c r="CA66" s="31" t="n">
        <f aca="false">In_PPA_Price*(1+In_PPA_Esc)^(CA$7-YEAR(In_COD))</f>
        <v>103.452679191386</v>
      </c>
      <c r="CB66" s="31" t="n">
        <f aca="false">In_PPA_Price*(1+In_PPA_Esc)^(CB$7-YEAR(In_COD))</f>
        <v>103.452679191386</v>
      </c>
      <c r="CC66" s="31" t="n">
        <f aca="false">In_PPA_Price*(1+In_PPA_Esc)^(CC$7-YEAR(In_COD))</f>
        <v>103.452679191386</v>
      </c>
      <c r="CD66" s="31" t="n">
        <f aca="false">In_PPA_Price*(1+In_PPA_Esc)^(CD$7-YEAR(In_COD))</f>
        <v>103.452679191386</v>
      </c>
      <c r="CE66" s="31" t="n">
        <f aca="false">In_PPA_Price*(1+In_PPA_Esc)^(CE$7-YEAR(In_COD))</f>
        <v>104.4872059833</v>
      </c>
      <c r="CF66" s="31" t="n">
        <f aca="false">In_PPA_Price*(1+In_PPA_Esc)^(CF$7-YEAR(In_COD))</f>
        <v>104.4872059833</v>
      </c>
      <c r="CG66" s="31" t="n">
        <f aca="false">In_PPA_Price*(1+In_PPA_Esc)^(CG$7-YEAR(In_COD))</f>
        <v>104.4872059833</v>
      </c>
      <c r="CH66" s="31" t="n">
        <f aca="false">In_PPA_Price*(1+In_PPA_Esc)^(CH$7-YEAR(In_COD))</f>
        <v>104.4872059833</v>
      </c>
      <c r="CI66" s="31" t="n">
        <f aca="false">In_PPA_Price*(1+In_PPA_Esc)^(CI$7-YEAR(In_COD))</f>
        <v>105.532078043133</v>
      </c>
      <c r="CJ66" s="31" t="n">
        <f aca="false">In_PPA_Price*(1+In_PPA_Esc)^(CJ$7-YEAR(In_COD))</f>
        <v>105.532078043133</v>
      </c>
      <c r="CK66" s="31" t="n">
        <f aca="false">In_PPA_Price*(1+In_PPA_Esc)^(CK$7-YEAR(In_COD))</f>
        <v>105.532078043133</v>
      </c>
      <c r="CL66" s="31" t="n">
        <f aca="false">In_PPA_Price*(1+In_PPA_Esc)^(CL$7-YEAR(In_COD))</f>
        <v>105.532078043133</v>
      </c>
      <c r="CM66" s="31" t="n">
        <f aca="false">In_PPA_Price*(1+In_PPA_Esc)^(CM$7-YEAR(In_COD))</f>
        <v>106.587398823564</v>
      </c>
      <c r="CN66" s="31" t="n">
        <f aca="false">In_PPA_Price*(1+In_PPA_Esc)^(CN$7-YEAR(In_COD))</f>
        <v>106.587398823564</v>
      </c>
      <c r="CO66" s="31" t="n">
        <f aca="false">In_PPA_Price*(1+In_PPA_Esc)^(CO$7-YEAR(In_COD))</f>
        <v>106.587398823564</v>
      </c>
      <c r="CP66" s="31" t="n">
        <f aca="false">In_PPA_Price*(1+In_PPA_Esc)^(CP$7-YEAR(In_COD))</f>
        <v>106.587398823564</v>
      </c>
      <c r="CQ66" s="31" t="n">
        <f aca="false">In_PPA_Price*(1+In_PPA_Esc)^(CQ$7-YEAR(In_COD))</f>
        <v>107.6532728118</v>
      </c>
      <c r="CR66" s="31" t="n">
        <f aca="false">In_PPA_Price*(1+In_PPA_Esc)^(CR$7-YEAR(In_COD))</f>
        <v>107.6532728118</v>
      </c>
      <c r="CS66" s="31" t="n">
        <f aca="false">In_PPA_Price*(1+In_PPA_Esc)^(CS$7-YEAR(In_COD))</f>
        <v>107.6532728118</v>
      </c>
      <c r="CT66" s="31" t="n">
        <f aca="false">In_PPA_Price*(1+In_PPA_Esc)^(CT$7-YEAR(In_COD))</f>
        <v>107.6532728118</v>
      </c>
      <c r="CU66" s="31" t="n">
        <f aca="false">In_PPA_Price*(1+In_PPA_Esc)^(CU$7-YEAR(In_COD))</f>
        <v>108.729805539918</v>
      </c>
      <c r="CV66" s="31" t="n">
        <f aca="false">In_PPA_Price*(1+In_PPA_Esc)^(CV$7-YEAR(In_COD))</f>
        <v>108.729805539918</v>
      </c>
      <c r="CW66" s="31" t="n">
        <f aca="false">In_PPA_Price*(1+In_PPA_Esc)^(CW$7-YEAR(In_COD))</f>
        <v>108.729805539918</v>
      </c>
      <c r="CX66" s="31" t="n">
        <f aca="false">In_PPA_Price*(1+In_PPA_Esc)^(CX$7-YEAR(In_COD))</f>
        <v>108.729805539918</v>
      </c>
      <c r="CY66" s="31" t="n">
        <f aca="false">In_PPA_Price*(1+In_PPA_Esc)^(CY$7-YEAR(In_COD))</f>
        <v>109.817103595317</v>
      </c>
      <c r="CZ66" s="31" t="n">
        <f aca="false">In_PPA_Price*(1+In_PPA_Esc)^(CZ$7-YEAR(In_COD))</f>
        <v>109.817103595317</v>
      </c>
      <c r="DA66" s="31" t="n">
        <f aca="false">In_PPA_Price*(1+In_PPA_Esc)^(DA$7-YEAR(In_COD))</f>
        <v>109.817103595317</v>
      </c>
      <c r="DB66" s="31" t="n">
        <f aca="false">In_PPA_Price*(1+In_PPA_Esc)^(DB$7-YEAR(In_COD))</f>
        <v>109.817103595317</v>
      </c>
      <c r="DC66" s="31" t="n">
        <f aca="false">In_PPA_Price*(1+In_PPA_Esc)^(DC$7-YEAR(In_COD))</f>
        <v>110.91527463127</v>
      </c>
      <c r="DD66" s="31" t="n">
        <f aca="false">In_PPA_Price*(1+In_PPA_Esc)^(DD$7-YEAR(In_COD))</f>
        <v>110.91527463127</v>
      </c>
      <c r="DE66" s="31" t="n">
        <f aca="false">In_PPA_Price*(1+In_PPA_Esc)^(DE$7-YEAR(In_COD))</f>
        <v>110.91527463127</v>
      </c>
      <c r="DF66" s="31" t="n">
        <f aca="false">In_PPA_Price*(1+In_PPA_Esc)^(DF$7-YEAR(In_COD))</f>
        <v>110.91527463127</v>
      </c>
      <c r="DG66" s="31" t="n">
        <f aca="false">In_PPA_Price*(1+In_PPA_Esc)^(DG$7-YEAR(In_COD))</f>
        <v>112.024427377583</v>
      </c>
      <c r="DH66" s="31" t="n">
        <f aca="false">In_PPA_Price*(1+In_PPA_Esc)^(DH$7-YEAR(In_COD))</f>
        <v>112.024427377583</v>
      </c>
      <c r="DI66" s="31" t="n">
        <f aca="false">In_PPA_Price*(1+In_PPA_Esc)^(DI$7-YEAR(In_COD))</f>
        <v>112.024427377583</v>
      </c>
      <c r="DJ66" s="31" t="n">
        <f aca="false">In_PPA_Price*(1+In_PPA_Esc)^(DJ$7-YEAR(In_COD))</f>
        <v>112.024427377583</v>
      </c>
      <c r="DK66" s="31" t="n">
        <f aca="false">In_PPA_Price*(1+In_PPA_Esc)^(DK$7-YEAR(In_COD))</f>
        <v>113.144671651359</v>
      </c>
      <c r="DL66" s="31" t="n">
        <f aca="false">In_PPA_Price*(1+In_PPA_Esc)^(DL$7-YEAR(In_COD))</f>
        <v>113.144671651359</v>
      </c>
      <c r="DM66" s="31" t="n">
        <f aca="false">In_PPA_Price*(1+In_PPA_Esc)^(DM$7-YEAR(In_COD))</f>
        <v>113.144671651359</v>
      </c>
      <c r="DN66" s="31" t="n">
        <f aca="false">In_PPA_Price*(1+In_PPA_Esc)^(DN$7-YEAR(In_COD))</f>
        <v>113.144671651359</v>
      </c>
      <c r="DO66" s="31" t="n">
        <f aca="false">In_PPA_Price*(1+In_PPA_Esc)^(DO$7-YEAR(In_COD))</f>
        <v>114.276118367872</v>
      </c>
      <c r="DP66" s="31" t="n">
        <f aca="false">In_PPA_Price*(1+In_PPA_Esc)^(DP$7-YEAR(In_COD))</f>
        <v>114.276118367872</v>
      </c>
      <c r="DQ66" s="31" t="n">
        <f aca="false">In_PPA_Price*(1+In_PPA_Esc)^(DQ$7-YEAR(In_COD))</f>
        <v>114.276118367872</v>
      </c>
      <c r="DR66" s="31" t="n">
        <f aca="false">In_PPA_Price*(1+In_PPA_Esc)^(DR$7-YEAR(In_COD))</f>
        <v>114.276118367872</v>
      </c>
      <c r="DS66" s="31" t="n">
        <f aca="false">In_PPA_Price*(1+In_PPA_Esc)^(DS$7-YEAR(In_COD))</f>
        <v>115.418879551551</v>
      </c>
      <c r="DT66" s="31" t="n">
        <f aca="false">In_PPA_Price*(1+In_PPA_Esc)^(DT$7-YEAR(In_COD))</f>
        <v>115.418879551551</v>
      </c>
      <c r="DU66" s="31" t="n">
        <f aca="false">In_PPA_Price*(1+In_PPA_Esc)^(DU$7-YEAR(In_COD))</f>
        <v>115.418879551551</v>
      </c>
      <c r="DV66" s="31" t="n">
        <f aca="false">In_PPA_Price*(1+In_PPA_Esc)^(DV$7-YEAR(In_COD))</f>
        <v>115.418879551551</v>
      </c>
      <c r="DW66" s="31" t="n">
        <f aca="false">In_PPA_Price*(1+In_PPA_Esc)^(DW$7-YEAR(In_COD))</f>
        <v>116.573068347067</v>
      </c>
      <c r="DX66" s="31" t="n">
        <f aca="false">In_PPA_Price*(1+In_PPA_Esc)^(DX$7-YEAR(In_COD))</f>
        <v>116.573068347067</v>
      </c>
      <c r="DY66" s="31" t="n">
        <f aca="false">In_PPA_Price*(1+In_PPA_Esc)^(DY$7-YEAR(In_COD))</f>
        <v>116.573068347067</v>
      </c>
      <c r="DZ66" s="31" t="n">
        <f aca="false">In_PPA_Price*(1+In_PPA_Esc)^(DZ$7-YEAR(In_COD))</f>
        <v>116.573068347067</v>
      </c>
      <c r="EA66" s="31" t="n">
        <f aca="false">In_PPA_Price*(1+In_PPA_Esc)^(EA$7-YEAR(In_COD))</f>
        <v>117.738799030537</v>
      </c>
      <c r="EB66" s="31" t="n">
        <f aca="false">In_PPA_Price*(1+In_PPA_Esc)^(EB$7-YEAR(In_COD))</f>
        <v>117.738799030537</v>
      </c>
      <c r="EC66" s="31" t="n">
        <f aca="false">In_PPA_Price*(1+In_PPA_Esc)^(EC$7-YEAR(In_COD))</f>
        <v>117.738799030537</v>
      </c>
      <c r="ED66" s="31" t="n">
        <f aca="false">In_PPA_Price*(1+In_PPA_Esc)^(ED$7-YEAR(In_COD))</f>
        <v>117.738799030537</v>
      </c>
      <c r="EE66" s="31" t="n">
        <f aca="false">In_PPA_Price*(1+In_PPA_Esc)^(EE$7-YEAR(In_COD))</f>
        <v>118.916187020843</v>
      </c>
      <c r="EF66" s="31" t="n">
        <f aca="false">In_PPA_Price*(1+In_PPA_Esc)^(EF$7-YEAR(In_COD))</f>
        <v>118.916187020843</v>
      </c>
      <c r="EG66" s="31" t="n">
        <f aca="false">In_PPA_Price*(1+In_PPA_Esc)^(EG$7-YEAR(In_COD))</f>
        <v>118.916187020843</v>
      </c>
      <c r="EH66" s="31" t="n">
        <f aca="false">In_PPA_Price*(1+In_PPA_Esc)^(EH$7-YEAR(In_COD))</f>
        <v>118.916187020843</v>
      </c>
      <c r="EI66" s="31" t="n">
        <f aca="false">In_PPA_Price*(1+In_PPA_Esc)^(EI$7-YEAR(In_COD))</f>
        <v>120.105348891051</v>
      </c>
      <c r="EJ66" s="31" t="n">
        <f aca="false">In_PPA_Price*(1+In_PPA_Esc)^(EJ$7-YEAR(In_COD))</f>
        <v>120.105348891051</v>
      </c>
      <c r="EK66" s="31" t="n">
        <f aca="false">In_PPA_Price*(1+In_PPA_Esc)^(EK$7-YEAR(In_COD))</f>
        <v>120.105348891051</v>
      </c>
      <c r="EL66" s="31" t="n">
        <f aca="false">In_PPA_Price*(1+In_PPA_Esc)^(EL$7-YEAR(In_COD))</f>
        <v>120.105348891051</v>
      </c>
      <c r="EM66" s="31" t="n">
        <f aca="false">In_PPA_Price*(1+In_PPA_Esc)^(EM$7-YEAR(In_COD))</f>
        <v>121.306402379962</v>
      </c>
      <c r="EN66" s="31" t="n">
        <f aca="false">In_PPA_Price*(1+In_PPA_Esc)^(EN$7-YEAR(In_COD))</f>
        <v>121.306402379962</v>
      </c>
      <c r="EO66" s="31" t="n">
        <f aca="false">In_PPA_Price*(1+In_PPA_Esc)^(EO$7-YEAR(In_COD))</f>
        <v>121.306402379962</v>
      </c>
    </row>
    <row r="67" customFormat="false" ht="15" hidden="false" customHeight="false" outlineLevel="0" collapsed="false">
      <c r="C67" s="0" t="s">
        <v>396</v>
      </c>
      <c r="D67" s="11" t="s">
        <v>397</v>
      </c>
      <c r="E67" s="46" t="n">
        <f aca="false">SUMIF($J$7:$EO$7,YEAR(In_COD)+1,$J67:$EO67)</f>
        <v>131891.49288</v>
      </c>
      <c r="I67" s="46" t="n">
        <f aca="false">SUM(J67:EO67)</f>
        <v>3794983.6793788</v>
      </c>
      <c r="J67" s="46" t="n">
        <f aca="false">$F24*In_P50_Hours*(1-In_Curtailment)*(1-$E25)*(1-In_Degradation)^(J20-1)*J15*J$6</f>
        <v>0</v>
      </c>
      <c r="K67" s="46" t="n">
        <f aca="false">$F24*In_P50_Hours*(1-In_Curtailment)*(1-$E25)*(1-In_Degradation)^(K20-1)*K15*K$6</f>
        <v>0</v>
      </c>
      <c r="L67" s="46" t="n">
        <f aca="false">$F24*In_P50_Hours*(1-In_Curtailment)*(1-$E25)*(1-In_Degradation)^(L20-1)*L15*L$6</f>
        <v>0</v>
      </c>
      <c r="M67" s="46" t="n">
        <f aca="false">$F24*In_P50_Hours*(1-In_Curtailment)*(1-$E25)*(1-In_Degradation)^(M20-1)*M15*M$6</f>
        <v>0</v>
      </c>
      <c r="N67" s="46" t="n">
        <f aca="false">$F24*In_P50_Hours*(1-In_Curtailment)*(1-$E25)*(1-In_Degradation)^(N20-1)*N15*N$6</f>
        <v>0</v>
      </c>
      <c r="O67" s="46" t="n">
        <f aca="false">$F24*In_P50_Hours*(1-In_Curtailment)*(1-$E25)*(1-In_Degradation)^(O20-1)*O15*O$6</f>
        <v>0</v>
      </c>
      <c r="P67" s="46" t="n">
        <f aca="false">$F24*In_P50_Hours*(1-In_Curtailment)*(1-$E25)*(1-In_Degradation)^(P20-1)*P15*P$6</f>
        <v>0</v>
      </c>
      <c r="Q67" s="46" t="n">
        <f aca="false">$F24*In_P50_Hours*(1-In_Curtailment)*(1-$E25)*(1-In_Degradation)^(Q20-1)*Q15*Q$6</f>
        <v>0</v>
      </c>
      <c r="R67" s="46" t="n">
        <f aca="false">$F24*In_P50_Hours*(1-In_Curtailment)*(1-$E25)*(1-In_Degradation)^(R20-1)*R15*R$6</f>
        <v>0</v>
      </c>
      <c r="S67" s="46" t="n">
        <f aca="false">$F24*In_P50_Hours*(1-In_Curtailment)*(1-$E25)*(1-In_Degradation)^(S20-1)*S15*S$6</f>
        <v>0</v>
      </c>
      <c r="T67" s="46" t="n">
        <f aca="false">$F24*In_P50_Hours*(1-In_Curtailment)*(1-$E25)*(1-In_Degradation)^(T20-1)*T15*T$6</f>
        <v>0</v>
      </c>
      <c r="U67" s="46" t="n">
        <f aca="false">$F24*In_P50_Hours*(1-In_Curtailment)*(1-$E25)*(1-In_Degradation)^(U20-1)*U15*U$6</f>
        <v>0</v>
      </c>
      <c r="V67" s="46" t="n">
        <f aca="false">$F24*In_P50_Hours*(1-In_Curtailment)*(1-$E25)*(1-In_Degradation)^(V20-1)*V15*V$6</f>
        <v>0</v>
      </c>
      <c r="W67" s="46" t="n">
        <f aca="false">$F24*In_P50_Hours*(1-In_Curtailment)*(1-$E25)*(1-In_Degradation)^(W20-1)*W15*W$6</f>
        <v>0</v>
      </c>
      <c r="X67" s="46" t="n">
        <f aca="false">$F24*In_P50_Hours*(1-In_Curtailment)*(1-$E25)*(1-In_Degradation)^(X20-1)*X15*X$6</f>
        <v>0</v>
      </c>
      <c r="Y67" s="46" t="n">
        <f aca="false">$F24*In_P50_Hours*(1-In_Curtailment)*(1-$E25)*(1-In_Degradation)^(Y20-1)*Y15*Y$6</f>
        <v>0</v>
      </c>
      <c r="Z67" s="46" t="n">
        <f aca="false">$F24*In_P50_Hours*(1-In_Curtailment)*(1-$E25)*(1-In_Degradation)^(Z20-1)*Z15*Z$6</f>
        <v>33269.04</v>
      </c>
      <c r="AA67" s="46" t="n">
        <f aca="false">$F24*In_P50_Hours*(1-In_Curtailment)*(1-$E25)*(1-In_Degradation)^(AA20-1)*AA15*AA$6</f>
        <v>32545.8</v>
      </c>
      <c r="AB67" s="46" t="n">
        <f aca="false">$F24*In_P50_Hours*(1-In_Curtailment)*(1-$E25)*(1-In_Degradation)^(AB20-1)*AB15*AB$6</f>
        <v>32907.42</v>
      </c>
      <c r="AC67" s="46" t="n">
        <f aca="false">$F24*In_P50_Hours*(1-In_Curtailment)*(1-$E25)*(1-In_Degradation)^(AC20-1)*AC15*AC$6</f>
        <v>33269.04</v>
      </c>
      <c r="AD67" s="46" t="n">
        <f aca="false">$F24*In_P50_Hours*(1-In_Curtailment)*(1-$E25)*(1-In_Degradation)^(AD20-1)*AD15*AD$6</f>
        <v>33169.23288</v>
      </c>
      <c r="AE67" s="46" t="n">
        <f aca="false">$F24*In_P50_Hours*(1-In_Curtailment)*(1-$E25)*(1-In_Degradation)^(AE20-1)*AE15*AE$6</f>
        <v>32808.69774</v>
      </c>
      <c r="AF67" s="46" t="n">
        <f aca="false">$F24*In_P50_Hours*(1-In_Curtailment)*(1-$E25)*(1-In_Degradation)^(AF20-1)*AF15*AF$6</f>
        <v>32808.69774</v>
      </c>
      <c r="AG67" s="46" t="n">
        <f aca="false">$F24*In_P50_Hours*(1-In_Curtailment)*(1-$E25)*(1-In_Degradation)^(AG20-1)*AG15*AG$6</f>
        <v>33169.23288</v>
      </c>
      <c r="AH67" s="46" t="n">
        <f aca="false">$F24*In_P50_Hours*(1-In_Curtailment)*(1-$E25)*(1-In_Degradation)^(AH20-1)*AH15*AH$6</f>
        <v>33069.72518136</v>
      </c>
      <c r="AI67" s="46" t="n">
        <f aca="false">$F24*In_P50_Hours*(1-In_Curtailment)*(1-$E25)*(1-In_Degradation)^(AI20-1)*AI15*AI$6</f>
        <v>32350.8181122</v>
      </c>
      <c r="AJ67" s="46" t="n">
        <f aca="false">$F24*In_P50_Hours*(1-In_Curtailment)*(1-$E25)*(1-In_Degradation)^(AJ20-1)*AJ15*AJ$6</f>
        <v>32710.27164678</v>
      </c>
      <c r="AK67" s="46" t="n">
        <f aca="false">$F24*In_P50_Hours*(1-In_Curtailment)*(1-$E25)*(1-In_Degradation)^(AK20-1)*AK15*AK$6</f>
        <v>33069.72518136</v>
      </c>
      <c r="AL67" s="46" t="n">
        <f aca="false">$F24*In_P50_Hours*(1-In_Curtailment)*(1-$E25)*(1-In_Degradation)^(AL20-1)*AL15*AL$6</f>
        <v>32970.5160058159</v>
      </c>
      <c r="AM67" s="46" t="n">
        <f aca="false">$F24*In_P50_Hours*(1-In_Curtailment)*(1-$E25)*(1-In_Degradation)^(AM20-1)*AM15*AM$6</f>
        <v>32253.7656578634</v>
      </c>
      <c r="AN67" s="46" t="n">
        <f aca="false">$F24*In_P50_Hours*(1-In_Curtailment)*(1-$E25)*(1-In_Degradation)^(AN20-1)*AN15*AN$6</f>
        <v>32612.1408318397</v>
      </c>
      <c r="AO67" s="46" t="n">
        <f aca="false">$F24*In_P50_Hours*(1-In_Curtailment)*(1-$E25)*(1-In_Degradation)^(AO20-1)*AO15*AO$6</f>
        <v>32970.5160058159</v>
      </c>
      <c r="AP67" s="46" t="n">
        <f aca="false">$F24*In_P50_Hours*(1-In_Curtailment)*(1-$E25)*(1-In_Degradation)^(AP20-1)*AP15*AP$6</f>
        <v>32871.6044577985</v>
      </c>
      <c r="AQ67" s="46" t="n">
        <f aca="false">$F24*In_P50_Hours*(1-In_Curtailment)*(1-$E25)*(1-In_Degradation)^(AQ20-1)*AQ15*AQ$6</f>
        <v>32157.0043608898</v>
      </c>
      <c r="AR67" s="46" t="n">
        <f aca="false">$F24*In_P50_Hours*(1-In_Curtailment)*(1-$E25)*(1-In_Degradation)^(AR20-1)*AR15*AR$6</f>
        <v>32514.3044093442</v>
      </c>
      <c r="AS67" s="46" t="n">
        <f aca="false">$F24*In_P50_Hours*(1-In_Curtailment)*(1-$E25)*(1-In_Degradation)^(AS20-1)*AS15*AS$6</f>
        <v>32871.6044577985</v>
      </c>
      <c r="AT67" s="46" t="n">
        <f aca="false">$F24*In_P50_Hours*(1-In_Curtailment)*(1-$E25)*(1-In_Degradation)^(AT20-1)*AT15*AT$6</f>
        <v>32772.9896444251</v>
      </c>
      <c r="AU67" s="46" t="n">
        <f aca="false">$F24*In_P50_Hours*(1-In_Curtailment)*(1-$E25)*(1-In_Degradation)^(AU20-1)*AU15*AU$6</f>
        <v>32416.7614961161</v>
      </c>
      <c r="AV67" s="46" t="n">
        <f aca="false">$F24*In_P50_Hours*(1-In_Curtailment)*(1-$E25)*(1-In_Degradation)^(AV20-1)*AV15*AV$6</f>
        <v>32416.7614961161</v>
      </c>
      <c r="AW67" s="46" t="n">
        <f aca="false">$F24*In_P50_Hours*(1-In_Curtailment)*(1-$E25)*(1-In_Degradation)^(AW20-1)*AW15*AW$6</f>
        <v>32772.9896444251</v>
      </c>
      <c r="AX67" s="46" t="n">
        <f aca="false">$F24*In_P50_Hours*(1-In_Curtailment)*(1-$E25)*(1-In_Degradation)^(AX20-1)*AX15*AX$6</f>
        <v>32674.6706754918</v>
      </c>
      <c r="AY67" s="46" t="n">
        <f aca="false">$F24*In_P50_Hours*(1-In_Curtailment)*(1-$E25)*(1-In_Degradation)^(AY20-1)*AY15*AY$6</f>
        <v>31964.3517477637</v>
      </c>
      <c r="AZ67" s="46" t="n">
        <f aca="false">$F24*In_P50_Hours*(1-In_Curtailment)*(1-$E25)*(1-In_Degradation)^(AZ20-1)*AZ15*AZ$6</f>
        <v>32319.5112116278</v>
      </c>
      <c r="BA67" s="46" t="n">
        <f aca="false">$F24*In_P50_Hours*(1-In_Curtailment)*(1-$E25)*(1-In_Degradation)^(BA20-1)*BA15*BA$6</f>
        <v>32674.6706754918</v>
      </c>
      <c r="BB67" s="46" t="n">
        <f aca="false">$F24*In_P50_Hours*(1-In_Curtailment)*(1-$E25)*(1-In_Degradation)^(BB20-1)*BB15*BB$6</f>
        <v>32576.6466634653</v>
      </c>
      <c r="BC67" s="46" t="n">
        <f aca="false">$F24*In_P50_Hours*(1-In_Curtailment)*(1-$E25)*(1-In_Degradation)^(BC20-1)*BC15*BC$6</f>
        <v>31868.4586925204</v>
      </c>
      <c r="BD67" s="46" t="n">
        <f aca="false">$F24*In_P50_Hours*(1-In_Curtailment)*(1-$E25)*(1-In_Degradation)^(BD20-1)*BD15*BD$6</f>
        <v>32222.5526779929</v>
      </c>
      <c r="BE67" s="46" t="n">
        <f aca="false">$F24*In_P50_Hours*(1-In_Curtailment)*(1-$E25)*(1-In_Degradation)^(BE20-1)*BE15*BE$6</f>
        <v>32576.6466634653</v>
      </c>
      <c r="BF67" s="46" t="n">
        <f aca="false">$F24*In_P50_Hours*(1-In_Curtailment)*(1-$E25)*(1-In_Degradation)^(BF20-1)*BF15*BF$6</f>
        <v>32478.9167234749</v>
      </c>
      <c r="BG67" s="46" t="n">
        <f aca="false">$F24*In_P50_Hours*(1-In_Curtailment)*(1-$E25)*(1-In_Degradation)^(BG20-1)*BG15*BG$6</f>
        <v>31772.8533164429</v>
      </c>
      <c r="BH67" s="46" t="n">
        <f aca="false">$F24*In_P50_Hours*(1-In_Curtailment)*(1-$E25)*(1-In_Degradation)^(BH20-1)*BH15*BH$6</f>
        <v>32125.8850199589</v>
      </c>
      <c r="BI67" s="46" t="n">
        <f aca="false">$F24*In_P50_Hours*(1-In_Curtailment)*(1-$E25)*(1-In_Degradation)^(BI20-1)*BI15*BI$6</f>
        <v>32478.9167234749</v>
      </c>
      <c r="BJ67" s="46" t="n">
        <f aca="false">$F24*In_P50_Hours*(1-In_Curtailment)*(1-$E25)*(1-In_Degradation)^(BJ20-1)*BJ15*BJ$6</f>
        <v>32381.4799733045</v>
      </c>
      <c r="BK67" s="46" t="n">
        <f aca="false">$F24*In_P50_Hours*(1-In_Curtailment)*(1-$E25)*(1-In_Degradation)^(BK20-1)*BK15*BK$6</f>
        <v>32029.507364899</v>
      </c>
      <c r="BL67" s="46" t="n">
        <f aca="false">$F24*In_P50_Hours*(1-In_Curtailment)*(1-$E25)*(1-In_Degradation)^(BL20-1)*BL15*BL$6</f>
        <v>32029.507364899</v>
      </c>
      <c r="BM67" s="46" t="n">
        <f aca="false">$F24*In_P50_Hours*(1-In_Curtailment)*(1-$E25)*(1-In_Degradation)^(BM20-1)*BM15*BM$6</f>
        <v>32381.4799733045</v>
      </c>
      <c r="BN67" s="46" t="n">
        <f aca="false">$F24*In_P50_Hours*(1-In_Curtailment)*(1-$E25)*(1-In_Degradation)^(BN20-1)*BN15*BN$6</f>
        <v>32284.3355333846</v>
      </c>
      <c r="BO67" s="46" t="n">
        <f aca="false">$F24*In_P50_Hours*(1-In_Curtailment)*(1-$E25)*(1-In_Degradation)^(BO20-1)*BO15*BO$6</f>
        <v>31582.5021522241</v>
      </c>
      <c r="BP67" s="46" t="n">
        <f aca="false">$F24*In_P50_Hours*(1-In_Curtailment)*(1-$E25)*(1-In_Degradation)^(BP20-1)*BP15*BP$6</f>
        <v>31933.4188428043</v>
      </c>
      <c r="BQ67" s="46" t="n">
        <f aca="false">$F24*In_P50_Hours*(1-In_Curtailment)*(1-$E25)*(1-In_Degradation)^(BQ20-1)*BQ15*BQ$6</f>
        <v>32284.3355333846</v>
      </c>
      <c r="BR67" s="46" t="n">
        <f aca="false">$F24*In_P50_Hours*(1-In_Curtailment)*(1-$E25)*(1-In_Degradation)^(BR20-1)*BR15*BR$6</f>
        <v>32187.4825267845</v>
      </c>
      <c r="BS67" s="46" t="n">
        <f aca="false">$F24*In_P50_Hours*(1-In_Curtailment)*(1-$E25)*(1-In_Degradation)^(BS20-1)*BS15*BS$6</f>
        <v>31487.7546457674</v>
      </c>
      <c r="BT67" s="46" t="n">
        <f aca="false">$F24*In_P50_Hours*(1-In_Curtailment)*(1-$E25)*(1-In_Degradation)^(BT20-1)*BT15*BT$6</f>
        <v>31837.6185862759</v>
      </c>
      <c r="BU67" s="46" t="n">
        <f aca="false">$F24*In_P50_Hours*(1-In_Curtailment)*(1-$E25)*(1-In_Degradation)^(BU20-1)*BU15*BU$6</f>
        <v>32187.4825267845</v>
      </c>
      <c r="BV67" s="46" t="n">
        <f aca="false">$F24*In_P50_Hours*(1-In_Curtailment)*(1-$E25)*(1-In_Degradation)^(BV20-1)*BV15*BV$6</f>
        <v>32090.9200792041</v>
      </c>
      <c r="BW67" s="46" t="n">
        <f aca="false">$F24*In_P50_Hours*(1-In_Curtailment)*(1-$E25)*(1-In_Degradation)^(BW20-1)*BW15*BW$6</f>
        <v>31393.2913818301</v>
      </c>
      <c r="BX67" s="46" t="n">
        <f aca="false">$F24*In_P50_Hours*(1-In_Curtailment)*(1-$E25)*(1-In_Degradation)^(BX20-1)*BX15*BX$6</f>
        <v>31742.1057305171</v>
      </c>
      <c r="BY67" s="46" t="n">
        <f aca="false">$F24*In_P50_Hours*(1-In_Curtailment)*(1-$E25)*(1-In_Degradation)^(BY20-1)*BY15*BY$6</f>
        <v>32090.9200792041</v>
      </c>
      <c r="BZ67" s="46" t="n">
        <f aca="false">$F24*In_P50_Hours*(1-In_Curtailment)*(1-$E25)*(1-In_Degradation)^(BZ20-1)*BZ15*BZ$6</f>
        <v>31994.6473189665</v>
      </c>
      <c r="CA67" s="46" t="n">
        <f aca="false">$F24*In_P50_Hours*(1-In_Curtailment)*(1-$E25)*(1-In_Degradation)^(CA20-1)*CA15*CA$6</f>
        <v>31646.8794133255</v>
      </c>
      <c r="CB67" s="46" t="n">
        <f aca="false">$F24*In_P50_Hours*(1-In_Curtailment)*(1-$E25)*(1-In_Degradation)^(CB20-1)*CB15*CB$6</f>
        <v>31646.8794133255</v>
      </c>
      <c r="CC67" s="46" t="n">
        <f aca="false">$F24*In_P50_Hours*(1-In_Curtailment)*(1-$E25)*(1-In_Degradation)^(CC20-1)*CC15*CC$6</f>
        <v>31994.6473189665</v>
      </c>
      <c r="CD67" s="46" t="n">
        <f aca="false">$F24*In_P50_Hours*(1-In_Curtailment)*(1-$E25)*(1-In_Degradation)^(CD20-1)*CD15*CD$6</f>
        <v>31898.6633770096</v>
      </c>
      <c r="CE67" s="46" t="n">
        <f aca="false">$F24*In_P50_Hours*(1-In_Curtailment)*(1-$E25)*(1-In_Degradation)^(CE20-1)*CE15*CE$6</f>
        <v>31205.2141731616</v>
      </c>
      <c r="CF67" s="46" t="n">
        <f aca="false">$F24*In_P50_Hours*(1-In_Curtailment)*(1-$E25)*(1-In_Degradation)^(CF20-1)*CF15*CF$6</f>
        <v>31551.9387750856</v>
      </c>
      <c r="CG67" s="46" t="n">
        <f aca="false">$F24*In_P50_Hours*(1-In_Curtailment)*(1-$E25)*(1-In_Degradation)^(CG20-1)*CG15*CG$6</f>
        <v>31898.6633770096</v>
      </c>
      <c r="CH67" s="46" t="n">
        <f aca="false">$F24*In_P50_Hours*(1-In_Curtailment)*(1-$E25)*(1-In_Degradation)^(CH20-1)*CH15*CH$6</f>
        <v>31802.9673868786</v>
      </c>
      <c r="CI67" s="46" t="n">
        <f aca="false">$F24*In_P50_Hours*(1-In_Curtailment)*(1-$E25)*(1-In_Degradation)^(CI20-1)*CI15*CI$6</f>
        <v>31111.5985306421</v>
      </c>
      <c r="CJ67" s="46" t="n">
        <f aca="false">$F24*In_P50_Hours*(1-In_Curtailment)*(1-$E25)*(1-In_Degradation)^(CJ20-1)*CJ15*CJ$6</f>
        <v>31457.2829587603</v>
      </c>
      <c r="CK67" s="46" t="n">
        <f aca="false">$F24*In_P50_Hours*(1-In_Curtailment)*(1-$E25)*(1-In_Degradation)^(CK20-1)*CK15*CK$6</f>
        <v>31802.9673868786</v>
      </c>
      <c r="CL67" s="46" t="n">
        <f aca="false">$F24*In_P50_Hours*(1-In_Curtailment)*(1-$E25)*(1-In_Degradation)^(CL20-1)*CL15*CL$6</f>
        <v>31707.5584847179</v>
      </c>
      <c r="CM67" s="46" t="n">
        <f aca="false">$F24*In_P50_Hours*(1-In_Curtailment)*(1-$E25)*(1-In_Degradation)^(CM20-1)*CM15*CM$6</f>
        <v>31018.2637350501</v>
      </c>
      <c r="CN67" s="46" t="n">
        <f aca="false">$F24*In_P50_Hours*(1-In_Curtailment)*(1-$E25)*(1-In_Degradation)^(CN20-1)*CN15*CN$6</f>
        <v>31362.911109884</v>
      </c>
      <c r="CO67" s="46" t="n">
        <f aca="false">$F24*In_P50_Hours*(1-In_Curtailment)*(1-$E25)*(1-In_Degradation)^(CO20-1)*CO15*CO$6</f>
        <v>31707.5584847179</v>
      </c>
      <c r="CP67" s="46" t="n">
        <f aca="false">$F24*In_P50_Hours*(1-In_Curtailment)*(1-$E25)*(1-In_Degradation)^(CP20-1)*CP15*CP$6</f>
        <v>31612.4358092638</v>
      </c>
      <c r="CQ67" s="46" t="n">
        <f aca="false">$F24*In_P50_Hours*(1-In_Curtailment)*(1-$E25)*(1-In_Degradation)^(CQ20-1)*CQ15*CQ$6</f>
        <v>31268.8223765544</v>
      </c>
      <c r="CR67" s="46" t="n">
        <f aca="false">$F24*In_P50_Hours*(1-In_Curtailment)*(1-$E25)*(1-In_Degradation)^(CR20-1)*CR15*CR$6</f>
        <v>31268.8223765544</v>
      </c>
      <c r="CS67" s="46" t="n">
        <f aca="false">$F24*In_P50_Hours*(1-In_Curtailment)*(1-$E25)*(1-In_Degradation)^(CS20-1)*CS15*CS$6</f>
        <v>31612.4358092638</v>
      </c>
      <c r="CT67" s="46" t="n">
        <f aca="false">$F24*In_P50_Hours*(1-In_Curtailment)*(1-$E25)*(1-In_Degradation)^(CT20-1)*CT15*CT$6</f>
        <v>31517.598501836</v>
      </c>
      <c r="CU67" s="46" t="n">
        <f aca="false">$F24*In_P50_Hours*(1-In_Curtailment)*(1-$E25)*(1-In_Degradation)^(CU20-1)*CU15*CU$6</f>
        <v>30832.4333170135</v>
      </c>
      <c r="CV67" s="46" t="n">
        <f aca="false">$F24*In_P50_Hours*(1-In_Curtailment)*(1-$E25)*(1-In_Degradation)^(CV20-1)*CV15*CV$6</f>
        <v>31175.0159094247</v>
      </c>
      <c r="CW67" s="46" t="n">
        <f aca="false">$F24*In_P50_Hours*(1-In_Curtailment)*(1-$E25)*(1-In_Degradation)^(CW20-1)*CW15*CW$6</f>
        <v>31517.598501836</v>
      </c>
      <c r="CX67" s="46" t="n">
        <f aca="false">$F24*In_P50_Hours*(1-In_Curtailment)*(1-$E25)*(1-In_Degradation)^(CX20-1)*CX15*CX$6</f>
        <v>31423.0457063305</v>
      </c>
      <c r="CY67" s="46" t="n">
        <f aca="false">$F24*In_P50_Hours*(1-In_Curtailment)*(1-$E25)*(1-In_Degradation)^(CY20-1)*CY15*CY$6</f>
        <v>30739.9360170624</v>
      </c>
      <c r="CZ67" s="46" t="n">
        <f aca="false">$F24*In_P50_Hours*(1-In_Curtailment)*(1-$E25)*(1-In_Degradation)^(CZ20-1)*CZ15*CZ$6</f>
        <v>31081.4908616964</v>
      </c>
      <c r="DA67" s="46" t="n">
        <f aca="false">$F24*In_P50_Hours*(1-In_Curtailment)*(1-$E25)*(1-In_Degradation)^(DA20-1)*DA15*DA$6</f>
        <v>31423.0457063305</v>
      </c>
      <c r="DB67" s="46" t="n">
        <f aca="false">$F24*In_P50_Hours*(1-In_Curtailment)*(1-$E25)*(1-In_Degradation)^(DB20-1)*DB15*DB$6</f>
        <v>31328.7765692115</v>
      </c>
      <c r="DC67" s="46" t="n">
        <f aca="false">$F24*In_P50_Hours*(1-In_Curtailment)*(1-$E25)*(1-In_Degradation)^(DC20-1)*DC15*DC$6</f>
        <v>30647.7162090112</v>
      </c>
      <c r="DD67" s="46" t="n">
        <f aca="false">$F24*In_P50_Hours*(1-In_Curtailment)*(1-$E25)*(1-In_Degradation)^(DD20-1)*DD15*DD$6</f>
        <v>30988.2463891114</v>
      </c>
      <c r="DE67" s="46" t="n">
        <f aca="false">$F24*In_P50_Hours*(1-In_Curtailment)*(1-$E25)*(1-In_Degradation)^(DE20-1)*DE15*DE$6</f>
        <v>31328.7765692115</v>
      </c>
      <c r="DF67" s="46" t="n">
        <f aca="false">$F24*In_P50_Hours*(1-In_Curtailment)*(1-$E25)*(1-In_Degradation)^(DF20-1)*DF15*DF$6</f>
        <v>31234.7902395038</v>
      </c>
      <c r="DG67" s="46" t="n">
        <f aca="false">$F24*In_P50_Hours*(1-In_Curtailment)*(1-$E25)*(1-In_Degradation)^(DG20-1)*DG15*DG$6</f>
        <v>30895.281649944</v>
      </c>
      <c r="DH67" s="46" t="n">
        <f aca="false">$F24*In_P50_Hours*(1-In_Curtailment)*(1-$E25)*(1-In_Degradation)^(DH20-1)*DH15*DH$6</f>
        <v>30895.281649944</v>
      </c>
      <c r="DI67" s="46" t="n">
        <f aca="false">$F24*In_P50_Hours*(1-In_Curtailment)*(1-$E25)*(1-In_Degradation)^(DI20-1)*DI15*DI$6</f>
        <v>31234.7902395038</v>
      </c>
      <c r="DJ67" s="46" t="n">
        <f aca="false">$F24*In_P50_Hours*(1-In_Curtailment)*(1-$E25)*(1-In_Degradation)^(DJ20-1)*DJ15*DJ$6</f>
        <v>31141.0858687853</v>
      </c>
      <c r="DK67" s="46" t="n">
        <f aca="false">$F24*In_P50_Hours*(1-In_Curtailment)*(1-$E25)*(1-In_Degradation)^(DK20-1)*DK15*DK$6</f>
        <v>30464.105741203</v>
      </c>
      <c r="DL67" s="46" t="n">
        <f aca="false">$F24*In_P50_Hours*(1-In_Curtailment)*(1-$E25)*(1-In_Degradation)^(DL20-1)*DL15*DL$6</f>
        <v>30802.5958049942</v>
      </c>
      <c r="DM67" s="46" t="n">
        <f aca="false">$F24*In_P50_Hours*(1-In_Curtailment)*(1-$E25)*(1-In_Degradation)^(DM20-1)*DM15*DM$6</f>
        <v>31141.0858687853</v>
      </c>
      <c r="DN67" s="46" t="n">
        <f aca="false">$F24*In_P50_Hours*(1-In_Curtailment)*(1-$E25)*(1-In_Degradation)^(DN20-1)*DN15*DN$6</f>
        <v>31047.662611179</v>
      </c>
      <c r="DO67" s="46" t="n">
        <f aca="false">$F24*In_P50_Hours*(1-In_Curtailment)*(1-$E25)*(1-In_Degradation)^(DO20-1)*DO15*DO$6</f>
        <v>30372.7134239794</v>
      </c>
      <c r="DP67" s="46" t="n">
        <f aca="false">$F24*In_P50_Hours*(1-In_Curtailment)*(1-$E25)*(1-In_Degradation)^(DP20-1)*DP15*DP$6</f>
        <v>30710.1880175792</v>
      </c>
      <c r="DQ67" s="46" t="n">
        <f aca="false">$F24*In_P50_Hours*(1-In_Curtailment)*(1-$E25)*(1-In_Degradation)^(DQ20-1)*DQ15*DQ$6</f>
        <v>31047.662611179</v>
      </c>
      <c r="DR67" s="46" t="n">
        <f aca="false">$F24*In_P50_Hours*(1-In_Curtailment)*(1-$E25)*(1-In_Degradation)^(DR20-1)*DR15*DR$6</f>
        <v>30954.5196233454</v>
      </c>
      <c r="DS67" s="46" t="n">
        <f aca="false">$F24*In_P50_Hours*(1-In_Curtailment)*(1-$E25)*(1-In_Degradation)^(DS20-1)*DS15*DS$6</f>
        <v>30281.5952837075</v>
      </c>
      <c r="DT67" s="46" t="n">
        <f aca="false">$F24*In_P50_Hours*(1-In_Curtailment)*(1-$E25)*(1-In_Degradation)^(DT20-1)*DT15*DT$6</f>
        <v>30618.0574535265</v>
      </c>
      <c r="DU67" s="46" t="n">
        <f aca="false">$F24*In_P50_Hours*(1-In_Curtailment)*(1-$E25)*(1-In_Degradation)^(DU20-1)*DU15*DU$6</f>
        <v>30954.5196233454</v>
      </c>
      <c r="DV67" s="46" t="n">
        <f aca="false">$F24*In_P50_Hours*(1-In_Curtailment)*(1-$E25)*(1-In_Degradation)^(DV20-1)*DV15*DV$6</f>
        <v>30861.6560644754</v>
      </c>
      <c r="DW67" s="46" t="n">
        <f aca="false">$F24*In_P50_Hours*(1-In_Curtailment)*(1-$E25)*(1-In_Degradation)^(DW20-1)*DW15*DW$6</f>
        <v>30526.2032811659</v>
      </c>
      <c r="DX67" s="46" t="n">
        <f aca="false">$F24*In_P50_Hours*(1-In_Curtailment)*(1-$E25)*(1-In_Degradation)^(DX20-1)*DX15*DX$6</f>
        <v>30526.2032811659</v>
      </c>
      <c r="DY67" s="46" t="n">
        <f aca="false">$F24*In_P50_Hours*(1-In_Curtailment)*(1-$E25)*(1-In_Degradation)^(DY20-1)*DY15*DY$6</f>
        <v>30861.6560644754</v>
      </c>
      <c r="DZ67" s="46" t="n">
        <f aca="false">$F24*In_P50_Hours*(1-In_Curtailment)*(1-$E25)*(1-In_Degradation)^(DZ20-1)*DZ15*DZ$6</f>
        <v>30769.071096282</v>
      </c>
      <c r="EA67" s="46" t="n">
        <f aca="false">$F24*In_P50_Hours*(1-In_Curtailment)*(1-$E25)*(1-In_Degradation)^(EA20-1)*EA15*EA$6</f>
        <v>30100.1782463628</v>
      </c>
      <c r="EB67" s="46" t="n">
        <f aca="false">$F24*In_P50_Hours*(1-In_Curtailment)*(1-$E25)*(1-In_Degradation)^(EB20-1)*EB15*EB$6</f>
        <v>30434.6246713224</v>
      </c>
      <c r="EC67" s="46" t="n">
        <f aca="false">$F24*In_P50_Hours*(1-In_Curtailment)*(1-$E25)*(1-In_Degradation)^(EC20-1)*EC15*EC$6</f>
        <v>30769.071096282</v>
      </c>
      <c r="ED67" s="46" t="n">
        <f aca="false">$F24*In_P50_Hours*(1-In_Curtailment)*(1-$E25)*(1-In_Degradation)^(ED20-1)*ED15*ED$6</f>
        <v>30676.7638829931</v>
      </c>
      <c r="EE67" s="46" t="n">
        <f aca="false">$F24*In_P50_Hours*(1-In_Curtailment)*(1-$E25)*(1-In_Degradation)^(EE20-1)*EE15*EE$6</f>
        <v>30009.8777116237</v>
      </c>
      <c r="EF67" s="46" t="n">
        <f aca="false">$F24*In_P50_Hours*(1-In_Curtailment)*(1-$E25)*(1-In_Degradation)^(EF20-1)*EF15*EF$6</f>
        <v>30343.3207973084</v>
      </c>
      <c r="EG67" s="46" t="n">
        <f aca="false">$F24*In_P50_Hours*(1-In_Curtailment)*(1-$E25)*(1-In_Degradation)^(EG20-1)*EG15*EG$6</f>
        <v>30676.7638829931</v>
      </c>
      <c r="EH67" s="46" t="n">
        <f aca="false">$F24*In_P50_Hours*(1-In_Curtailment)*(1-$E25)*(1-In_Degradation)^(EH20-1)*EH15*EH$6</f>
        <v>30584.7335913441</v>
      </c>
      <c r="EI67" s="46" t="n">
        <f aca="false">$F24*In_P50_Hours*(1-In_Curtailment)*(1-$E25)*(1-In_Degradation)^(EI20-1)*EI15*EI$6</f>
        <v>29919.8480784888</v>
      </c>
      <c r="EJ67" s="46" t="n">
        <f aca="false">$F24*In_P50_Hours*(1-In_Curtailment)*(1-$E25)*(1-In_Degradation)^(EJ20-1)*EJ15*EJ$6</f>
        <v>30252.2908349165</v>
      </c>
      <c r="EK67" s="46" t="n">
        <f aca="false">$F24*In_P50_Hours*(1-In_Curtailment)*(1-$E25)*(1-In_Degradation)^(EK20-1)*EK15*EK$6</f>
        <v>30584.7335913441</v>
      </c>
      <c r="EL67" s="46" t="n">
        <f aca="false">$F24*In_P50_Hours*(1-In_Curtailment)*(1-$E25)*(1-In_Degradation)^(EL20-1)*EL15*EL$6</f>
        <v>30492.9793905701</v>
      </c>
      <c r="EM67" s="46" t="n">
        <f aca="false">$F24*In_P50_Hours*(1-In_Curtailment)*(1-$E25)*(1-In_Degradation)^(EM20-1)*EM15*EM$6</f>
        <v>30161.5339624117</v>
      </c>
      <c r="EN67" s="46" t="n">
        <f aca="false">$F24*In_P50_Hours*(1-In_Curtailment)*(1-$E25)*(1-In_Degradation)^(EN20-1)*EN15*EN$6</f>
        <v>30161.5339624117</v>
      </c>
      <c r="EO67" s="46" t="n">
        <f aca="false">$F24*In_P50_Hours*(1-In_Curtailment)*(1-$E25)*(1-In_Degradation)^(EO20-1)*EO15*EO$6</f>
        <v>30492.9793905701</v>
      </c>
    </row>
    <row r="68" customFormat="false" ht="15" hidden="false" customHeight="false" outlineLevel="0" collapsed="false">
      <c r="C68" s="0" t="s">
        <v>398</v>
      </c>
      <c r="D68" s="11" t="s">
        <v>33</v>
      </c>
      <c r="E68" s="46" t="n">
        <f aca="false">SUMIF($J$7:$EO$7,YEAR(In_COD)+1,$J68:$EO68)</f>
        <v>11988.936702792</v>
      </c>
      <c r="I68" s="46" t="n">
        <f aca="false">SUM(J68:EO68)</f>
        <v>398096.796528086</v>
      </c>
      <c r="J68" s="46" t="n">
        <f aca="false">J67*J66/Thousand</f>
        <v>0</v>
      </c>
      <c r="K68" s="46" t="n">
        <f aca="false">K67*K66/Thousand</f>
        <v>0</v>
      </c>
      <c r="L68" s="46" t="n">
        <f aca="false">L67*L66/Thousand</f>
        <v>0</v>
      </c>
      <c r="M68" s="46" t="n">
        <f aca="false">M67*M66/Thousand</f>
        <v>0</v>
      </c>
      <c r="N68" s="46" t="n">
        <f aca="false">N67*N66/Thousand</f>
        <v>0</v>
      </c>
      <c r="O68" s="46" t="n">
        <f aca="false">O67*O66/Thousand</f>
        <v>0</v>
      </c>
      <c r="P68" s="46" t="n">
        <f aca="false">P67*P66/Thousand</f>
        <v>0</v>
      </c>
      <c r="Q68" s="46" t="n">
        <f aca="false">Q67*Q66/Thousand</f>
        <v>0</v>
      </c>
      <c r="R68" s="46" t="n">
        <f aca="false">R67*R66/Thousand</f>
        <v>0</v>
      </c>
      <c r="S68" s="46" t="n">
        <f aca="false">S67*S66/Thousand</f>
        <v>0</v>
      </c>
      <c r="T68" s="46" t="n">
        <f aca="false">T67*T66/Thousand</f>
        <v>0</v>
      </c>
      <c r="U68" s="46" t="n">
        <f aca="false">U67*U66/Thousand</f>
        <v>0</v>
      </c>
      <c r="V68" s="46" t="n">
        <f aca="false">V67*V66/Thousand</f>
        <v>0</v>
      </c>
      <c r="W68" s="46" t="n">
        <f aca="false">W67*W66/Thousand</f>
        <v>0</v>
      </c>
      <c r="X68" s="46" t="n">
        <f aca="false">X67*X66/Thousand</f>
        <v>0</v>
      </c>
      <c r="Y68" s="46" t="n">
        <f aca="false">Y67*Y66/Thousand</f>
        <v>0</v>
      </c>
      <c r="Z68" s="46" t="n">
        <f aca="false">Z67*Z66/Thousand</f>
        <v>2994.2136</v>
      </c>
      <c r="AA68" s="46" t="n">
        <f aca="false">AA67*AA66/Thousand</f>
        <v>2958.41322</v>
      </c>
      <c r="AB68" s="46" t="n">
        <f aca="false">AB67*AB66/Thousand</f>
        <v>2991.284478</v>
      </c>
      <c r="AC68" s="46" t="n">
        <f aca="false">AC67*AC66/Thousand</f>
        <v>3024.155736</v>
      </c>
      <c r="AD68" s="46" t="n">
        <f aca="false">AD67*AD66/Thousand</f>
        <v>3015.083268792</v>
      </c>
      <c r="AE68" s="46" t="n">
        <f aca="false">AE67*AE66/Thousand</f>
        <v>3012.13373081166</v>
      </c>
      <c r="AF68" s="46" t="n">
        <f aca="false">AF67*AF66/Thousand</f>
        <v>3012.13373081166</v>
      </c>
      <c r="AG68" s="46" t="n">
        <f aca="false">AG67*AG66/Thousand</f>
        <v>3045.23410147992</v>
      </c>
      <c r="AH68" s="46" t="n">
        <f aca="false">AH67*AH66/Thousand</f>
        <v>3036.09839917548</v>
      </c>
      <c r="AI68" s="46" t="n">
        <f aca="false">AI67*AI66/Thousand</f>
        <v>2999.7972226636</v>
      </c>
      <c r="AJ68" s="46" t="n">
        <f aca="false">AJ67*AJ66/Thousand</f>
        <v>3033.12830291542</v>
      </c>
      <c r="AK68" s="46" t="n">
        <f aca="false">AK67*AK66/Thousand</f>
        <v>3066.45938316724</v>
      </c>
      <c r="AL68" s="46" t="n">
        <f aca="false">AL67*AL66/Thousand</f>
        <v>3057.26000501774</v>
      </c>
      <c r="AM68" s="46" t="n">
        <f aca="false">AM67*AM66/Thousand</f>
        <v>3020.70580930557</v>
      </c>
      <c r="AN68" s="46" t="n">
        <f aca="false">AN67*AN66/Thousand</f>
        <v>3054.26920718674</v>
      </c>
      <c r="AO68" s="46" t="n">
        <f aca="false">AO67*AO66/Thousand</f>
        <v>3087.83260506791</v>
      </c>
      <c r="AP68" s="46" t="n">
        <f aca="false">AP67*AP66/Thousand</f>
        <v>3078.56910725271</v>
      </c>
      <c r="AQ68" s="46" t="n">
        <f aca="false">AQ67*AQ66/Thousand</f>
        <v>3041.76012879643</v>
      </c>
      <c r="AR68" s="46" t="n">
        <f aca="false">AR67*AR66/Thousand</f>
        <v>3075.55746356083</v>
      </c>
      <c r="AS68" s="46" t="n">
        <f aca="false">AS67*AS66/Thousand</f>
        <v>3109.35479832524</v>
      </c>
      <c r="AT68" s="46" t="n">
        <f aca="false">AT67*AT66/Thousand</f>
        <v>3100.02673393026</v>
      </c>
      <c r="AU68" s="46" t="n">
        <f aca="false">AU67*AU66/Thousand</f>
        <v>3096.99409908185</v>
      </c>
      <c r="AV68" s="46" t="n">
        <f aca="false">AV67*AV66/Thousand</f>
        <v>3096.99409908185</v>
      </c>
      <c r="AW68" s="46" t="n">
        <f aca="false">AW67*AW66/Thousand</f>
        <v>3131.02700126956</v>
      </c>
      <c r="AX68" s="46" t="n">
        <f aca="false">AX67*AX66/Thousand</f>
        <v>3121.63392026575</v>
      </c>
      <c r="AY68" s="46" t="n">
        <f aca="false">AY67*AY66/Thousand</f>
        <v>3084.31003643649</v>
      </c>
      <c r="AZ68" s="46" t="n">
        <f aca="false">AZ67*AZ66/Thousand</f>
        <v>3118.58014795245</v>
      </c>
      <c r="BA68" s="46" t="n">
        <f aca="false">BA67*BA66/Thousand</f>
        <v>3152.85025946841</v>
      </c>
      <c r="BB68" s="46" t="n">
        <f aca="false">BB67*BB66/Thousand</f>
        <v>3143.39170869001</v>
      </c>
      <c r="BC68" s="46" t="n">
        <f aca="false">BC67*BC66/Thousand</f>
        <v>3105.80767739045</v>
      </c>
      <c r="BD68" s="46" t="n">
        <f aca="false">BD67*BD66/Thousand</f>
        <v>3140.31665158368</v>
      </c>
      <c r="BE68" s="46" t="n">
        <f aca="false">BE67*BE66/Thousand</f>
        <v>3174.82562577691</v>
      </c>
      <c r="BF68" s="46" t="n">
        <f aca="false">BF67*BF66/Thousand</f>
        <v>3165.30114889958</v>
      </c>
      <c r="BG68" s="46" t="n">
        <f aca="false">BG67*BG66/Thousand</f>
        <v>3127.45515690186</v>
      </c>
      <c r="BH68" s="46" t="n">
        <f aca="false">BH67*BH66/Thousand</f>
        <v>3162.20465864522</v>
      </c>
      <c r="BI68" s="46" t="n">
        <f aca="false">BI67*BI66/Thousand</f>
        <v>3196.95416038857</v>
      </c>
      <c r="BJ68" s="46" t="n">
        <f aca="false">BJ67*BJ66/Thousand</f>
        <v>3187.36329790741</v>
      </c>
      <c r="BK68" s="46" t="n">
        <f aca="false">BK67*BK66/Thousand</f>
        <v>3184.24522511597</v>
      </c>
      <c r="BL68" s="46" t="n">
        <f aca="false">BL67*BL66/Thousand</f>
        <v>3184.24522511597</v>
      </c>
      <c r="BM68" s="46" t="n">
        <f aca="false">BM67*BM66/Thousand</f>
        <v>3219.23693088648</v>
      </c>
      <c r="BN68" s="46" t="n">
        <f aca="false">BN67*BN66/Thousand</f>
        <v>3209.57922009382</v>
      </c>
      <c r="BO68" s="46" t="n">
        <f aca="false">BO67*BO66/Thousand</f>
        <v>3171.20381637531</v>
      </c>
      <c r="BP68" s="46" t="n">
        <f aca="false">BP67*BP66/Thousand</f>
        <v>3206.43941433503</v>
      </c>
      <c r="BQ68" s="46" t="n">
        <f aca="false">BQ67*BQ66/Thousand</f>
        <v>3241.67501229476</v>
      </c>
      <c r="BR68" s="46" t="n">
        <f aca="false">BR67*BR66/Thousand</f>
        <v>3231.94998725787</v>
      </c>
      <c r="BS68" s="46" t="n">
        <f aca="false">BS67*BS66/Thousand</f>
        <v>3193.30710697544</v>
      </c>
      <c r="BT68" s="46" t="n">
        <f aca="false">BT67*BT66/Thousand</f>
        <v>3228.78829705295</v>
      </c>
      <c r="BU68" s="46" t="n">
        <f aca="false">BU67*BU66/Thousand</f>
        <v>3264.26948713045</v>
      </c>
      <c r="BV68" s="46" t="n">
        <f aca="false">BV67*BV66/Thousand</f>
        <v>3254.47667866906</v>
      </c>
      <c r="BW68" s="46" t="n">
        <f aca="false">BW67*BW66/Thousand</f>
        <v>3215.56445751106</v>
      </c>
      <c r="BX68" s="46" t="n">
        <f aca="false">BX67*BX66/Thousand</f>
        <v>3251.29295148341</v>
      </c>
      <c r="BY68" s="46" t="n">
        <f aca="false">BY67*BY66/Thousand</f>
        <v>3287.02144545575</v>
      </c>
      <c r="BZ68" s="46" t="n">
        <f aca="false">BZ67*BZ66/Thousand</f>
        <v>3277.16038111938</v>
      </c>
      <c r="CA68" s="46" t="n">
        <f aca="false">CA67*CA66/Thousand</f>
        <v>3273.95446335525</v>
      </c>
      <c r="CB68" s="46" t="n">
        <f aca="false">CB67*CB66/Thousand</f>
        <v>3273.95446335525</v>
      </c>
      <c r="CC68" s="46" t="n">
        <f aca="false">CC67*CC66/Thousand</f>
        <v>3309.93198493058</v>
      </c>
      <c r="CD68" s="46" t="n">
        <f aca="false">CD67*CD66/Thousand</f>
        <v>3300.00218897579</v>
      </c>
      <c r="CE68" s="46" t="n">
        <f aca="false">CE67*CE66/Thousand</f>
        <v>3260.54564106412</v>
      </c>
      <c r="CF68" s="46" t="n">
        <f aca="false">CF67*CF66/Thousand</f>
        <v>3296.77392596483</v>
      </c>
      <c r="CG68" s="46" t="n">
        <f aca="false">CG67*CG66/Thousand</f>
        <v>3333.00221086555</v>
      </c>
      <c r="CH68" s="46" t="n">
        <f aca="false">CH67*CH66/Thousand</f>
        <v>3323.00320423295</v>
      </c>
      <c r="CI68" s="46" t="n">
        <f aca="false">CI67*CI66/Thousand</f>
        <v>3283.27164418234</v>
      </c>
      <c r="CJ68" s="46" t="n">
        <f aca="false">CJ67*CJ66/Thousand</f>
        <v>3319.75244022881</v>
      </c>
      <c r="CK68" s="46" t="n">
        <f aca="false">CK67*CK66/Thousand</f>
        <v>3356.23323627528</v>
      </c>
      <c r="CL68" s="46" t="n">
        <f aca="false">CL67*CL66/Thousand</f>
        <v>3346.16453656645</v>
      </c>
      <c r="CM68" s="46" t="n">
        <f aca="false">CM67*CM66/Thousand</f>
        <v>3306.15604754229</v>
      </c>
      <c r="CN68" s="46" t="n">
        <f aca="false">CN67*CN66/Thousand</f>
        <v>3342.8911147372</v>
      </c>
      <c r="CO68" s="46" t="n">
        <f aca="false">CO67*CO66/Thousand</f>
        <v>3379.62618193212</v>
      </c>
      <c r="CP68" s="46" t="n">
        <f aca="false">CP67*CP66/Thousand</f>
        <v>3369.48730338632</v>
      </c>
      <c r="CQ68" s="46" t="n">
        <f aca="false">CQ67*CQ66/Thousand</f>
        <v>3366.19106580692</v>
      </c>
      <c r="CR68" s="46" t="n">
        <f aca="false">CR67*CR66/Thousand</f>
        <v>3366.19106580692</v>
      </c>
      <c r="CS68" s="46" t="n">
        <f aca="false">CS67*CS66/Thousand</f>
        <v>3403.18217642018</v>
      </c>
      <c r="CT68" s="46" t="n">
        <f aca="false">CT67*CT66/Thousand</f>
        <v>3392.97262989092</v>
      </c>
      <c r="CU68" s="46" t="n">
        <f aca="false">CU67*CU66/Thousand</f>
        <v>3352.40447888136</v>
      </c>
      <c r="CV68" s="46" t="n">
        <f aca="false">CV67*CV66/Thousand</f>
        <v>3389.65341753559</v>
      </c>
      <c r="CW68" s="46" t="n">
        <f aca="false">CW67*CW66/Thousand</f>
        <v>3426.90235618983</v>
      </c>
      <c r="CX68" s="46" t="n">
        <f aca="false">CX67*CX66/Thousand</f>
        <v>3416.62164912126</v>
      </c>
      <c r="CY68" s="46" t="n">
        <f aca="false">CY67*CY66/Thousand</f>
        <v>3375.77073809916</v>
      </c>
      <c r="CZ68" s="46" t="n">
        <f aca="false">CZ67*CZ66/Thousand</f>
        <v>3413.27930185582</v>
      </c>
      <c r="DA68" s="46" t="n">
        <f aca="false">DA67*DA66/Thousand</f>
        <v>3450.78786561248</v>
      </c>
      <c r="DB68" s="46" t="n">
        <f aca="false">DB67*DB66/Thousand</f>
        <v>3440.43550201564</v>
      </c>
      <c r="DC68" s="46" t="n">
        <f aca="false">DC67*DC66/Thousand</f>
        <v>3399.29986014371</v>
      </c>
      <c r="DD68" s="46" t="n">
        <f aca="false">DD67*DD66/Thousand</f>
        <v>3437.06985858975</v>
      </c>
      <c r="DE68" s="46" t="n">
        <f aca="false">DE67*DE66/Thousand</f>
        <v>3474.83985703579</v>
      </c>
      <c r="DF68" s="46" t="n">
        <f aca="false">DF67*DF66/Thousand</f>
        <v>3464.41533746469</v>
      </c>
      <c r="DG68" s="46" t="n">
        <f aca="false">DG67*DG66/Thousand</f>
        <v>3461.02623550412</v>
      </c>
      <c r="DH68" s="46" t="n">
        <f aca="false">DH67*DH66/Thousand</f>
        <v>3461.02623550412</v>
      </c>
      <c r="DI68" s="46" t="n">
        <f aca="false">DI67*DI66/Thousand</f>
        <v>3499.05949083933</v>
      </c>
      <c r="DJ68" s="46" t="n">
        <f aca="false">DJ67*DJ66/Thousand</f>
        <v>3488.56231236681</v>
      </c>
      <c r="DK68" s="46" t="n">
        <f aca="false">DK67*DK66/Thousand</f>
        <v>3446.85124124069</v>
      </c>
      <c r="DL68" s="46" t="n">
        <f aca="false">DL67*DL66/Thousand</f>
        <v>3485.14958836559</v>
      </c>
      <c r="DM68" s="46" t="n">
        <f aca="false">DM67*DM66/Thousand</f>
        <v>3523.44793549048</v>
      </c>
      <c r="DN68" s="46" t="n">
        <f aca="false">DN67*DN66/Thousand</f>
        <v>3512.87759168401</v>
      </c>
      <c r="DO68" s="46" t="n">
        <f aca="false">DO67*DO66/Thousand</f>
        <v>3470.87579439214</v>
      </c>
      <c r="DP68" s="46" t="n">
        <f aca="false">DP67*DP66/Thousand</f>
        <v>3509.4410809965</v>
      </c>
      <c r="DQ68" s="46" t="n">
        <f aca="false">DQ67*DQ66/Thousand</f>
        <v>3548.00636760085</v>
      </c>
      <c r="DR68" s="46" t="n">
        <f aca="false">DR67*DR66/Thousand</f>
        <v>3537.36234849805</v>
      </c>
      <c r="DS68" s="46" t="n">
        <f aca="false">DS67*DS66/Thousand</f>
        <v>3495.06779867905</v>
      </c>
      <c r="DT68" s="46" t="n">
        <f aca="false">DT67*DT66/Thousand</f>
        <v>3533.90188533104</v>
      </c>
      <c r="DU68" s="46" t="n">
        <f aca="false">DU67*DU66/Thousand</f>
        <v>3572.73597198303</v>
      </c>
      <c r="DV68" s="46" t="n">
        <f aca="false">DV67*DV66/Thousand</f>
        <v>3562.01776406708</v>
      </c>
      <c r="DW68" s="46" t="n">
        <f aca="false">DW67*DW66/Thousand</f>
        <v>3558.5331814718</v>
      </c>
      <c r="DX68" s="46" t="n">
        <f aca="false">DX67*DX66/Thousand</f>
        <v>3558.5331814718</v>
      </c>
      <c r="DY68" s="46" t="n">
        <f aca="false">DY67*DY66/Thousand</f>
        <v>3597.63794170775</v>
      </c>
      <c r="DZ68" s="46" t="n">
        <f aca="false">DZ67*DZ66/Thousand</f>
        <v>3586.84502788263</v>
      </c>
      <c r="EA68" s="46" t="n">
        <f aca="false">EA67*EA66/Thousand</f>
        <v>3543.95883733186</v>
      </c>
      <c r="EB68" s="46" t="n">
        <f aca="false">EB67*EB66/Thousand</f>
        <v>3583.33615774666</v>
      </c>
      <c r="EC68" s="46" t="n">
        <f aca="false">EC67*EC66/Thousand</f>
        <v>3622.71347816146</v>
      </c>
      <c r="ED68" s="46" t="n">
        <f aca="false">ED67*ED66/Thousand</f>
        <v>3611.84533772697</v>
      </c>
      <c r="EE68" s="46" t="n">
        <f aca="false">EE67*EE66/Thousand</f>
        <v>3568.66023042806</v>
      </c>
      <c r="EF68" s="46" t="n">
        <f aca="false">EF67*EF66/Thousand</f>
        <v>3608.31201076615</v>
      </c>
      <c r="EG68" s="46" t="n">
        <f aca="false">EG67*EG66/Thousand</f>
        <v>3647.96379110424</v>
      </c>
      <c r="EH68" s="46" t="n">
        <f aca="false">EH67*EH66/Thousand</f>
        <v>3637.01989973093</v>
      </c>
      <c r="EI68" s="46" t="n">
        <f aca="false">EI67*EI66/Thousand</f>
        <v>3593.53379223414</v>
      </c>
      <c r="EJ68" s="46" t="n">
        <f aca="false">EJ67*EJ66/Thousand</f>
        <v>3633.46194548119</v>
      </c>
      <c r="EK68" s="46" t="n">
        <f aca="false">EK67*EK66/Thousand</f>
        <v>3673.39009872824</v>
      </c>
      <c r="EL68" s="46" t="n">
        <f aca="false">EL67*EL66/Thousand</f>
        <v>3662.36992843205</v>
      </c>
      <c r="EM68" s="46" t="n">
        <f aca="false">EM67*EM66/Thousand</f>
        <v>3658.78717524119</v>
      </c>
      <c r="EN68" s="46" t="n">
        <f aca="false">EN67*EN66/Thousand</f>
        <v>3658.78717524119</v>
      </c>
      <c r="EO68" s="46" t="n">
        <f aca="false">EO67*EO66/Thousand</f>
        <v>3698.99362771637</v>
      </c>
    </row>
    <row r="69" customFormat="false" ht="15" hidden="false" customHeight="false" outlineLevel="0" collapsed="false">
      <c r="C69" s="0" t="s">
        <v>399</v>
      </c>
      <c r="D69" s="11" t="s">
        <v>33</v>
      </c>
      <c r="I69" s="46" t="n">
        <f aca="false">SUM(J69:EO69)</f>
        <v>-28132.3883354309</v>
      </c>
      <c r="J69" s="46" t="n">
        <f aca="false">-In_Var_Opex*J67*J65/Thousand</f>
        <v>-0</v>
      </c>
      <c r="K69" s="46" t="n">
        <f aca="false">-In_Var_Opex*K67*K65/Thousand</f>
        <v>-0</v>
      </c>
      <c r="L69" s="46" t="n">
        <f aca="false">-In_Var_Opex*L67*L65/Thousand</f>
        <v>-0</v>
      </c>
      <c r="M69" s="46" t="n">
        <f aca="false">-In_Var_Opex*M67*M65/Thousand</f>
        <v>-0</v>
      </c>
      <c r="N69" s="46" t="n">
        <f aca="false">-In_Var_Opex*N67*N65/Thousand</f>
        <v>-0</v>
      </c>
      <c r="O69" s="46" t="n">
        <f aca="false">-In_Var_Opex*O67*O65/Thousand</f>
        <v>-0</v>
      </c>
      <c r="P69" s="46" t="n">
        <f aca="false">-In_Var_Opex*P67*P65/Thousand</f>
        <v>-0</v>
      </c>
      <c r="Q69" s="46" t="n">
        <f aca="false">-In_Var_Opex*Q67*Q65/Thousand</f>
        <v>-0</v>
      </c>
      <c r="R69" s="46" t="n">
        <f aca="false">-In_Var_Opex*R67*R65/Thousand</f>
        <v>-0</v>
      </c>
      <c r="S69" s="46" t="n">
        <f aca="false">-In_Var_Opex*S67*S65/Thousand</f>
        <v>-0</v>
      </c>
      <c r="T69" s="46" t="n">
        <f aca="false">-In_Var_Opex*T67*T65/Thousand</f>
        <v>-0</v>
      </c>
      <c r="U69" s="46" t="n">
        <f aca="false">-In_Var_Opex*U67*U65/Thousand</f>
        <v>-0</v>
      </c>
      <c r="V69" s="46" t="n">
        <f aca="false">-In_Var_Opex*V67*V65/Thousand</f>
        <v>-0</v>
      </c>
      <c r="W69" s="46" t="n">
        <f aca="false">-In_Var_Opex*W67*W65/Thousand</f>
        <v>-0</v>
      </c>
      <c r="X69" s="46" t="n">
        <f aca="false">-In_Var_Opex*X67*X65/Thousand</f>
        <v>-0</v>
      </c>
      <c r="Y69" s="46" t="n">
        <f aca="false">-In_Var_Opex*Y67*Y65/Thousand</f>
        <v>-0</v>
      </c>
      <c r="Z69" s="46" t="n">
        <f aca="false">-In_Var_Opex*Z67*Z65/Thousand</f>
        <v>-166.3452</v>
      </c>
      <c r="AA69" s="46" t="n">
        <f aca="false">-In_Var_Opex*AA67*AA65/Thousand</f>
        <v>-166.797225</v>
      </c>
      <c r="AB69" s="46" t="n">
        <f aca="false">-In_Var_Opex*AB67*AB65/Thousand</f>
        <v>-168.6505275</v>
      </c>
      <c r="AC69" s="46" t="n">
        <f aca="false">-In_Var_Opex*AC67*AC65/Thousand</f>
        <v>-170.50383</v>
      </c>
      <c r="AD69" s="46" t="n">
        <f aca="false">-In_Var_Opex*AD67*AD65/Thousand</f>
        <v>-169.99231851</v>
      </c>
      <c r="AE69" s="46" t="n">
        <f aca="false">-In_Var_Opex*AE67*AE65/Thousand</f>
        <v>-172.348190315438</v>
      </c>
      <c r="AF69" s="46" t="n">
        <f aca="false">-In_Var_Opex*AF67*AF65/Thousand</f>
        <v>-172.348190315438</v>
      </c>
      <c r="AG69" s="46" t="n">
        <f aca="false">-In_Var_Opex*AG67*AG65/Thousand</f>
        <v>-174.24212647275</v>
      </c>
      <c r="AH69" s="46" t="n">
        <f aca="false">-In_Var_Opex*AH67*AH65/Thousand</f>
        <v>-173.719400093332</v>
      </c>
      <c r="AI69" s="46" t="n">
        <f aca="false">-In_Var_Opex*AI67*AI65/Thousand</f>
        <v>-174.191463680542</v>
      </c>
      <c r="AJ69" s="46" t="n">
        <f aca="false">-In_Var_Opex*AJ67*AJ65/Thousand</f>
        <v>-176.126924388103</v>
      </c>
      <c r="AK69" s="46" t="n">
        <f aca="false">-In_Var_Opex*AK67*AK65/Thousand</f>
        <v>-178.062385095665</v>
      </c>
      <c r="AL69" s="46" t="n">
        <f aca="false">-In_Var_Opex*AL67*AL65/Thousand</f>
        <v>-177.528197940378</v>
      </c>
      <c r="AM69" s="46" t="n">
        <f aca="false">-In_Var_Opex*AM67*AM65/Thousand</f>
        <v>-178.010611521738</v>
      </c>
      <c r="AN69" s="46" t="n">
        <f aca="false">-In_Var_Opex*AN67*AN65/Thousand</f>
        <v>-179.988507205313</v>
      </c>
      <c r="AO69" s="46" t="n">
        <f aca="false">-In_Var_Opex*AO67*AO65/Thousand</f>
        <v>-181.966402888888</v>
      </c>
      <c r="AP69" s="46" t="n">
        <f aca="false">-In_Var_Opex*AP67*AP65/Thousand</f>
        <v>-181.420503680221</v>
      </c>
      <c r="AQ69" s="46" t="n">
        <f aca="false">-In_Var_Opex*AQ67*AQ65/Thousand</f>
        <v>-181.913494179352</v>
      </c>
      <c r="AR69" s="46" t="n">
        <f aca="false">-In_Var_Opex*AR67*AR65/Thousand</f>
        <v>-183.934755225789</v>
      </c>
      <c r="AS69" s="46" t="n">
        <f aca="false">-In_Var_Opex*AS67*AS65/Thousand</f>
        <v>-185.956016272226</v>
      </c>
      <c r="AT69" s="46" t="n">
        <f aca="false">-In_Var_Opex*AT67*AT65/Thousand</f>
        <v>-185.39814822341</v>
      </c>
      <c r="AU69" s="46" t="n">
        <f aca="false">-In_Var_Opex*AU67*AU65/Thousand</f>
        <v>-187.967524734115</v>
      </c>
      <c r="AV69" s="46" t="n">
        <f aca="false">-In_Var_Opex*AV67*AV65/Thousand</f>
        <v>-187.967524734115</v>
      </c>
      <c r="AW69" s="46" t="n">
        <f aca="false">-In_Var_Opex*AW67*AW65/Thousand</f>
        <v>-190.033101928995</v>
      </c>
      <c r="AX69" s="46" t="n">
        <f aca="false">-In_Var_Opex*AX67*AX65/Thousand</f>
        <v>-189.463002623208</v>
      </c>
      <c r="AY69" s="46" t="n">
        <f aca="false">-In_Var_Opex*AY67*AY65/Thousand</f>
        <v>-189.977847739032</v>
      </c>
      <c r="AZ69" s="46" t="n">
        <f aca="false">-In_Var_Opex*AZ67*AZ65/Thousand</f>
        <v>-192.08871271391</v>
      </c>
      <c r="BA69" s="46" t="n">
        <f aca="false">-In_Var_Opex*BA67*BA65/Thousand</f>
        <v>-194.199577688788</v>
      </c>
      <c r="BB69" s="46" t="n">
        <f aca="false">-In_Var_Opex*BB67*BB65/Thousand</f>
        <v>-193.616978955722</v>
      </c>
      <c r="BC69" s="46" t="n">
        <f aca="false">-In_Var_Opex*BC67*BC65/Thousand</f>
        <v>-194.14311205071</v>
      </c>
      <c r="BD69" s="46" t="n">
        <f aca="false">-In_Var_Opex*BD67*BD65/Thousand</f>
        <v>-196.300257740162</v>
      </c>
      <c r="BE69" s="46" t="n">
        <f aca="false">-In_Var_Opex*BE67*BE65/Thousand</f>
        <v>-198.457403429615</v>
      </c>
      <c r="BF69" s="46" t="n">
        <f aca="false">-In_Var_Opex*BF67*BF65/Thousand</f>
        <v>-197.862031219326</v>
      </c>
      <c r="BG69" s="46" t="n">
        <f aca="false">-In_Var_Opex*BG67*BG65/Thousand</f>
        <v>-198.399699782422</v>
      </c>
      <c r="BH69" s="46" t="n">
        <f aca="false">-In_Var_Opex*BH67*BH65/Thousand</f>
        <v>-200.604140891115</v>
      </c>
      <c r="BI69" s="46" t="n">
        <f aca="false">-In_Var_Opex*BI67*BI65/Thousand</f>
        <v>-202.808581999809</v>
      </c>
      <c r="BJ69" s="46" t="n">
        <f aca="false">-In_Var_Opex*BJ67*BJ65/Thousand</f>
        <v>-202.20015625381</v>
      </c>
      <c r="BK69" s="46" t="n">
        <f aca="false">-In_Var_Opex*BK67*BK65/Thousand</f>
        <v>-205.002386680153</v>
      </c>
      <c r="BL69" s="46" t="n">
        <f aca="false">-In_Var_Opex*BL67*BL65/Thousand</f>
        <v>-205.002386680153</v>
      </c>
      <c r="BM69" s="46" t="n">
        <f aca="false">-In_Var_Opex*BM67*BM65/Thousand</f>
        <v>-207.255160160155</v>
      </c>
      <c r="BN69" s="46" t="n">
        <f aca="false">-In_Var_Opex*BN67*BN65/Thousand</f>
        <v>-206.633394679674</v>
      </c>
      <c r="BO69" s="46" t="n">
        <f aca="false">-In_Var_Opex*BO67*BO65/Thousand</f>
        <v>-207.194898469565</v>
      </c>
      <c r="BP69" s="46" t="n">
        <f aca="false">-In_Var_Opex*BP67*BP65/Thousand</f>
        <v>-209.497064008115</v>
      </c>
      <c r="BQ69" s="46" t="n">
        <f aca="false">-In_Var_Opex*BQ67*BQ65/Thousand</f>
        <v>-211.799229546666</v>
      </c>
      <c r="BR69" s="46" t="n">
        <f aca="false">-In_Var_Opex*BR67*BR65/Thousand</f>
        <v>-211.163831858026</v>
      </c>
      <c r="BS69" s="46" t="n">
        <f aca="false">-In_Var_Opex*BS67*BS65/Thousand</f>
        <v>-211.73764661851</v>
      </c>
      <c r="BT69" s="46" t="n">
        <f aca="false">-In_Var_Opex*BT67*BT65/Thousand</f>
        <v>-214.090287136493</v>
      </c>
      <c r="BU69" s="46" t="n">
        <f aca="false">-In_Var_Opex*BU67*BU65/Thousand</f>
        <v>-216.442927654477</v>
      </c>
      <c r="BV69" s="46" t="n">
        <f aca="false">-In_Var_Opex*BV67*BV65/Thousand</f>
        <v>-215.793598871513</v>
      </c>
      <c r="BW69" s="46" t="n">
        <f aca="false">-In_Var_Opex*BW67*BW65/Thousand</f>
        <v>-216.379994520621</v>
      </c>
      <c r="BX69" s="46" t="n">
        <f aca="false">-In_Var_Opex*BX67*BX65/Thousand</f>
        <v>-218.784216681961</v>
      </c>
      <c r="BY69" s="46" t="n">
        <f aca="false">-In_Var_Opex*BY67*BY65/Thousand</f>
        <v>-221.188438843301</v>
      </c>
      <c r="BZ69" s="46" t="n">
        <f aca="false">-In_Var_Opex*BZ67*BZ65/Thousand</f>
        <v>-220.524873526771</v>
      </c>
      <c r="CA69" s="46" t="n">
        <f aca="false">-In_Var_Opex*CA67*CA65/Thousand</f>
        <v>-223.581060632713</v>
      </c>
      <c r="CB69" s="46" t="n">
        <f aca="false">-In_Var_Opex*CB67*CB65/Thousand</f>
        <v>-223.581060632713</v>
      </c>
      <c r="CC69" s="46" t="n">
        <f aca="false">-In_Var_Opex*CC67*CC65/Thousand</f>
        <v>-226.037995364941</v>
      </c>
      <c r="CD69" s="46" t="n">
        <f aca="false">-In_Var_Opex*CD67*CD65/Thousand</f>
        <v>-225.359881378846</v>
      </c>
      <c r="CE69" s="46" t="n">
        <f aca="false">-In_Var_Opex*CE67*CE65/Thousand</f>
        <v>-225.972272360853</v>
      </c>
      <c r="CF69" s="46" t="n">
        <f aca="false">-In_Var_Opex*CF67*CF65/Thousand</f>
        <v>-228.483075387085</v>
      </c>
      <c r="CG69" s="46" t="n">
        <f aca="false">-In_Var_Opex*CG67*CG65/Thousand</f>
        <v>-230.993878413317</v>
      </c>
      <c r="CH69" s="46" t="n">
        <f aca="false">-In_Var_Opex*CH67*CH65/Thousand</f>
        <v>-230.300896778077</v>
      </c>
      <c r="CI69" s="46" t="n">
        <f aca="false">-In_Var_Opex*CI67*CI65/Thousand</f>
        <v>-230.926714432365</v>
      </c>
      <c r="CJ69" s="46" t="n">
        <f aca="false">-In_Var_Opex*CJ67*CJ65/Thousand</f>
        <v>-233.492566814947</v>
      </c>
      <c r="CK69" s="46" t="n">
        <f aca="false">-In_Var_Opex*CK67*CK65/Thousand</f>
        <v>-236.058419197529</v>
      </c>
      <c r="CL69" s="46" t="n">
        <f aca="false">-In_Var_Opex*CL67*CL65/Thousand</f>
        <v>-235.350243939936</v>
      </c>
      <c r="CM69" s="46" t="n">
        <f aca="false">-In_Var_Opex*CM67*CM65/Thousand</f>
        <v>-235.989782646295</v>
      </c>
      <c r="CN69" s="46" t="n">
        <f aca="false">-In_Var_Opex*CN67*CN65/Thousand</f>
        <v>-238.611891342365</v>
      </c>
      <c r="CO69" s="46" t="n">
        <f aca="false">-In_Var_Opex*CO67*CO65/Thousand</f>
        <v>-241.234000038435</v>
      </c>
      <c r="CP69" s="46" t="n">
        <f aca="false">-In_Var_Opex*CP67*CP65/Thousand</f>
        <v>-240.510298038319</v>
      </c>
      <c r="CQ69" s="46" t="n">
        <f aca="false">-In_Var_Opex*CQ67*CQ65/Thousand</f>
        <v>-243.843457060046</v>
      </c>
      <c r="CR69" s="46" t="n">
        <f aca="false">-In_Var_Opex*CR67*CR65/Thousand</f>
        <v>-243.843457060046</v>
      </c>
      <c r="CS69" s="46" t="n">
        <f aca="false">-In_Var_Opex*CS67*CS65/Thousand</f>
        <v>-246.523055489277</v>
      </c>
      <c r="CT69" s="46" t="n">
        <f aca="false">-In_Var_Opex*CT67*CT65/Thousand</f>
        <v>-245.783486322809</v>
      </c>
      <c r="CU69" s="46" t="n">
        <f aca="false">-In_Var_Opex*CU67*CU65/Thousand</f>
        <v>-246.451376231295</v>
      </c>
      <c r="CV69" s="46" t="n">
        <f aca="false">-In_Var_Opex*CV67*CV65/Thousand</f>
        <v>-249.189724856088</v>
      </c>
      <c r="CW69" s="46" t="n">
        <f aca="false">-In_Var_Opex*CW67*CW65/Thousand</f>
        <v>-251.92807348088</v>
      </c>
      <c r="CX69" s="46" t="n">
        <f aca="false">-In_Var_Opex*CX67*CX65/Thousand</f>
        <v>-251.172289260437</v>
      </c>
      <c r="CY69" s="46" t="n">
        <f aca="false">-In_Var_Opex*CY67*CY65/Thousand</f>
        <v>-251.854822655166</v>
      </c>
      <c r="CZ69" s="46" t="n">
        <f aca="false">-In_Var_Opex*CZ67*CZ65/Thousand</f>
        <v>-254.653209573557</v>
      </c>
      <c r="DA69" s="46" t="n">
        <f aca="false">-In_Var_Opex*DA67*DA65/Thousand</f>
        <v>-257.451596491948</v>
      </c>
      <c r="DB69" s="46" t="n">
        <f aca="false">-In_Var_Opex*DB67*DB65/Thousand</f>
        <v>-256.679241702472</v>
      </c>
      <c r="DC69" s="46" t="n">
        <f aca="false">-In_Var_Opex*DC67*DC65/Thousand</f>
        <v>-257.376739641881</v>
      </c>
      <c r="DD69" s="46" t="n">
        <f aca="false">-In_Var_Opex*DD67*DD65/Thousand</f>
        <v>-260.236481193457</v>
      </c>
      <c r="DE69" s="46" t="n">
        <f aca="false">-In_Var_Opex*DE67*DE65/Thousand</f>
        <v>-263.096222745034</v>
      </c>
      <c r="DF69" s="46" t="n">
        <f aca="false">-In_Var_Opex*DF67*DF65/Thousand</f>
        <v>-262.306934076799</v>
      </c>
      <c r="DG69" s="46" t="n">
        <f aca="false">-In_Var_Opex*DG67*DG65/Thousand</f>
        <v>-265.942166043624</v>
      </c>
      <c r="DH69" s="46" t="n">
        <f aca="false">-In_Var_Opex*DH67*DH65/Thousand</f>
        <v>-265.942166043624</v>
      </c>
      <c r="DI69" s="46" t="n">
        <f aca="false">-In_Var_Opex*DI67*DI65/Thousand</f>
        <v>-268.864607428719</v>
      </c>
      <c r="DJ69" s="46" t="n">
        <f aca="false">-In_Var_Opex*DJ67*DJ65/Thousand</f>
        <v>-268.058013606433</v>
      </c>
      <c r="DK69" s="46" t="n">
        <f aca="false">-In_Var_Opex*DK67*DK65/Thousand</f>
        <v>-268.786432121667</v>
      </c>
      <c r="DL69" s="46" t="n">
        <f aca="false">-In_Var_Opex*DL67*DL65/Thousand</f>
        <v>-271.77294803413</v>
      </c>
      <c r="DM69" s="46" t="n">
        <f aca="false">-In_Var_Opex*DM67*DM65/Thousand</f>
        <v>-274.759463946593</v>
      </c>
      <c r="DN69" s="46" t="n">
        <f aca="false">-In_Var_Opex*DN67*DN65/Thousand</f>
        <v>-273.935185554754</v>
      </c>
      <c r="DO69" s="46" t="n">
        <f aca="false">-In_Var_Opex*DO67*DO65/Thousand</f>
        <v>-274.679574645935</v>
      </c>
      <c r="DP69" s="46" t="n">
        <f aca="false">-In_Var_Opex*DP67*DP65/Thousand</f>
        <v>-277.731569919779</v>
      </c>
      <c r="DQ69" s="46" t="n">
        <f aca="false">-In_Var_Opex*DQ67*DQ65/Thousand</f>
        <v>-280.783565193622</v>
      </c>
      <c r="DR69" s="46" t="n">
        <f aca="false">-In_Var_Opex*DR67*DR65/Thousand</f>
        <v>-279.941214498041</v>
      </c>
      <c r="DS69" s="46" t="n">
        <f aca="false">-In_Var_Opex*DS67*DS65/Thousand</f>
        <v>-280.701924320047</v>
      </c>
      <c r="DT69" s="46" t="n">
        <f aca="false">-In_Var_Opex*DT67*DT65/Thousand</f>
        <v>-283.82083459027</v>
      </c>
      <c r="DU69" s="46" t="n">
        <f aca="false">-In_Var_Opex*DU67*DU65/Thousand</f>
        <v>-286.939744860493</v>
      </c>
      <c r="DV69" s="46" t="n">
        <f aca="false">-In_Var_Opex*DV67*DV65/Thousand</f>
        <v>-286.078925625911</v>
      </c>
      <c r="DW69" s="46" t="n">
        <f aca="false">-In_Var_Opex*DW67*DW65/Thousand</f>
        <v>-290.043606388661</v>
      </c>
      <c r="DX69" s="46" t="n">
        <f aca="false">-In_Var_Opex*DX67*DX65/Thousand</f>
        <v>-290.043606388661</v>
      </c>
      <c r="DY69" s="46" t="n">
        <f aca="false">-In_Var_Opex*DY67*DY65/Thousand</f>
        <v>-293.230898766559</v>
      </c>
      <c r="DZ69" s="46" t="n">
        <f aca="false">-In_Var_Opex*DZ67*DZ65/Thousand</f>
        <v>-292.351206070259</v>
      </c>
      <c r="EA69" s="46" t="n">
        <f aca="false">-In_Var_Opex*EA67*EA65/Thousand</f>
        <v>-293.14563869545</v>
      </c>
      <c r="EB69" s="46" t="n">
        <f aca="false">-In_Var_Opex*EB67*EB65/Thousand</f>
        <v>-296.402812458733</v>
      </c>
      <c r="EC69" s="46" t="n">
        <f aca="false">-In_Var_Opex*EC67*EC65/Thousand</f>
        <v>-299.659986222016</v>
      </c>
      <c r="ED69" s="46" t="n">
        <f aca="false">-In_Var_Opex*ED67*ED65/Thousand</f>
        <v>-298.76100626335</v>
      </c>
      <c r="EE69" s="46" t="n">
        <f aca="false">-In_Var_Opex*EE67*EE65/Thousand</f>
        <v>-299.572856823848</v>
      </c>
      <c r="EF69" s="46" t="n">
        <f aca="false">-In_Var_Opex*EF67*EF65/Thousand</f>
        <v>-302.90144412189</v>
      </c>
      <c r="EG69" s="46" t="n">
        <f aca="false">-In_Var_Opex*EG67*EG65/Thousand</f>
        <v>-306.230031419933</v>
      </c>
      <c r="EH69" s="46" t="n">
        <f aca="false">-In_Var_Opex*EH67*EH65/Thousand</f>
        <v>-305.311341325673</v>
      </c>
      <c r="EI69" s="46" t="n">
        <f aca="false">-In_Var_Opex*EI67*EI65/Thousand</f>
        <v>-306.140991709711</v>
      </c>
      <c r="EJ69" s="46" t="n">
        <f aca="false">-In_Var_Opex*EJ67*EJ65/Thousand</f>
        <v>-309.542558284263</v>
      </c>
      <c r="EK69" s="46" t="n">
        <f aca="false">-In_Var_Opex*EK67*EK65/Thousand</f>
        <v>-312.944124858815</v>
      </c>
      <c r="EL69" s="46" t="n">
        <f aca="false">-In_Var_Opex*EL67*EL65/Thousand</f>
        <v>-312.005292484239</v>
      </c>
      <c r="EM69" s="46" t="n">
        <f aca="false">-In_Var_Opex*EM67*EM65/Thousand</f>
        <v>-316.329278874645</v>
      </c>
      <c r="EN69" s="46" t="n">
        <f aca="false">-In_Var_Opex*EN67*EN65/Thousand</f>
        <v>-316.329278874645</v>
      </c>
      <c r="EO69" s="46" t="n">
        <f aca="false">-In_Var_Opex*EO67*EO65/Thousand</f>
        <v>-319.805424796345</v>
      </c>
    </row>
    <row r="70" customFormat="false" ht="15" hidden="false" customHeight="false" outlineLevel="0" collapsed="false">
      <c r="C70" s="0" t="s">
        <v>400</v>
      </c>
      <c r="D70" s="11" t="s">
        <v>33</v>
      </c>
      <c r="I70" s="46" t="n">
        <f aca="false">SUM(J70:EO70)</f>
        <v>-60869.5202640337</v>
      </c>
      <c r="J70" s="46" t="n">
        <f aca="false">-(In_Fixed_Opex*$F24+In_Admin)*J65*J15*J$6</f>
        <v>-0</v>
      </c>
      <c r="K70" s="46" t="n">
        <f aca="false">-(In_Fixed_Opex*$F24+In_Admin)*K65*K15*K$6</f>
        <v>-0</v>
      </c>
      <c r="L70" s="46" t="n">
        <f aca="false">-(In_Fixed_Opex*$F24+In_Admin)*L65*L15*L$6</f>
        <v>-0</v>
      </c>
      <c r="M70" s="46" t="n">
        <f aca="false">-(In_Fixed_Opex*$F24+In_Admin)*M65*M15*M$6</f>
        <v>-0</v>
      </c>
      <c r="N70" s="46" t="n">
        <f aca="false">-(In_Fixed_Opex*$F24+In_Admin)*N65*N15*N$6</f>
        <v>-0</v>
      </c>
      <c r="O70" s="46" t="n">
        <f aca="false">-(In_Fixed_Opex*$F24+In_Admin)*O65*O15*O$6</f>
        <v>-0</v>
      </c>
      <c r="P70" s="46" t="n">
        <f aca="false">-(In_Fixed_Opex*$F24+In_Admin)*P65*P15*P$6</f>
        <v>-0</v>
      </c>
      <c r="Q70" s="46" t="n">
        <f aca="false">-(In_Fixed_Opex*$F24+In_Admin)*Q65*Q15*Q$6</f>
        <v>-0</v>
      </c>
      <c r="R70" s="46" t="n">
        <f aca="false">-(In_Fixed_Opex*$F24+In_Admin)*R65*R15*R$6</f>
        <v>-0</v>
      </c>
      <c r="S70" s="46" t="n">
        <f aca="false">-(In_Fixed_Opex*$F24+In_Admin)*S65*S15*S$6</f>
        <v>-0</v>
      </c>
      <c r="T70" s="46" t="n">
        <f aca="false">-(In_Fixed_Opex*$F24+In_Admin)*T65*T15*T$6</f>
        <v>-0</v>
      </c>
      <c r="U70" s="46" t="n">
        <f aca="false">-(In_Fixed_Opex*$F24+In_Admin)*U65*U15*U$6</f>
        <v>-0</v>
      </c>
      <c r="V70" s="46" t="n">
        <f aca="false">-(In_Fixed_Opex*$F24+In_Admin)*V65*V15*V$6</f>
        <v>-0</v>
      </c>
      <c r="W70" s="46" t="n">
        <f aca="false">-(In_Fixed_Opex*$F24+In_Admin)*W65*W15*W$6</f>
        <v>-0</v>
      </c>
      <c r="X70" s="46" t="n">
        <f aca="false">-(In_Fixed_Opex*$F24+In_Admin)*X65*X15*X$6</f>
        <v>-0</v>
      </c>
      <c r="Y70" s="46" t="n">
        <f aca="false">-(In_Fixed_Opex*$F24+In_Admin)*Y65*Y15*Y$6</f>
        <v>-0</v>
      </c>
      <c r="Z70" s="46" t="n">
        <f aca="false">-(In_Fixed_Opex*$F24+In_Admin)*Z65*Z15*Z$6</f>
        <v>-342.794520547945</v>
      </c>
      <c r="AA70" s="46" t="n">
        <f aca="false">-(In_Fixed_Opex*$F24+In_Admin)*AA65*AA15*AA$6</f>
        <v>-343.72602739726</v>
      </c>
      <c r="AB70" s="46" t="n">
        <f aca="false">-(In_Fixed_Opex*$F24+In_Admin)*AB65*AB15*AB$6</f>
        <v>-347.545205479452</v>
      </c>
      <c r="AC70" s="46" t="n">
        <f aca="false">-(In_Fixed_Opex*$F24+In_Admin)*AC65*AC15*AC$6</f>
        <v>-351.364383561644</v>
      </c>
      <c r="AD70" s="46" t="n">
        <f aca="false">-(In_Fixed_Opex*$F24+In_Admin)*AD65*AD15*AD$6</f>
        <v>-351.364383561644</v>
      </c>
      <c r="AE70" s="46" t="n">
        <f aca="false">-(In_Fixed_Opex*$F24+In_Admin)*AE65*AE15*AE$6</f>
        <v>-356.233835616438</v>
      </c>
      <c r="AF70" s="46" t="n">
        <f aca="false">-(In_Fixed_Opex*$F24+In_Admin)*AF65*AF15*AF$6</f>
        <v>-356.233835616438</v>
      </c>
      <c r="AG70" s="46" t="n">
        <f aca="false">-(In_Fixed_Opex*$F24+In_Admin)*AG65*AG15*AG$6</f>
        <v>-360.148493150685</v>
      </c>
      <c r="AH70" s="46" t="n">
        <f aca="false">-(In_Fixed_Opex*$F24+In_Admin)*AH65*AH15*AH$6</f>
        <v>-360.148493150685</v>
      </c>
      <c r="AI70" s="46" t="n">
        <f aca="false">-(In_Fixed_Opex*$F24+In_Admin)*AI65*AI15*AI$6</f>
        <v>-361.127157534246</v>
      </c>
      <c r="AJ70" s="46" t="n">
        <f aca="false">-(In_Fixed_Opex*$F24+In_Admin)*AJ65*AJ15*AJ$6</f>
        <v>-365.139681506849</v>
      </c>
      <c r="AK70" s="46" t="n">
        <f aca="false">-(In_Fixed_Opex*$F24+In_Admin)*AK65*AK15*AK$6</f>
        <v>-369.152205479452</v>
      </c>
      <c r="AL70" s="46" t="n">
        <f aca="false">-(In_Fixed_Opex*$F24+In_Admin)*AL65*AL15*AL$6</f>
        <v>-369.152205479452</v>
      </c>
      <c r="AM70" s="46" t="n">
        <f aca="false">-(In_Fixed_Opex*$F24+In_Admin)*AM65*AM15*AM$6</f>
        <v>-370.155336472603</v>
      </c>
      <c r="AN70" s="46" t="n">
        <f aca="false">-(In_Fixed_Opex*$F24+In_Admin)*AN65*AN15*AN$6</f>
        <v>-374.268173544521</v>
      </c>
      <c r="AO70" s="46" t="n">
        <f aca="false">-(In_Fixed_Opex*$F24+In_Admin)*AO65*AO15*AO$6</f>
        <v>-378.381010616438</v>
      </c>
      <c r="AP70" s="46" t="n">
        <f aca="false">-(In_Fixed_Opex*$F24+In_Admin)*AP65*AP15*AP$6</f>
        <v>-378.381010616438</v>
      </c>
      <c r="AQ70" s="46" t="n">
        <f aca="false">-(In_Fixed_Opex*$F24+In_Admin)*AQ65*AQ15*AQ$6</f>
        <v>-379.409219884418</v>
      </c>
      <c r="AR70" s="46" t="n">
        <f aca="false">-(In_Fixed_Opex*$F24+In_Admin)*AR65*AR15*AR$6</f>
        <v>-383.624877883134</v>
      </c>
      <c r="AS70" s="46" t="n">
        <f aca="false">-(In_Fixed_Opex*$F24+In_Admin)*AS65*AS15*AS$6</f>
        <v>-387.840535881849</v>
      </c>
      <c r="AT70" s="46" t="n">
        <f aca="false">-(In_Fixed_Opex*$F24+In_Admin)*AT65*AT15*AT$6</f>
        <v>-387.840535881849</v>
      </c>
      <c r="AU70" s="46" t="n">
        <f aca="false">-(In_Fixed_Opex*$F24+In_Admin)*AU65*AU15*AU$6</f>
        <v>-393.215499830212</v>
      </c>
      <c r="AV70" s="46" t="n">
        <f aca="false">-(In_Fixed_Opex*$F24+In_Admin)*AV65*AV15*AV$6</f>
        <v>-393.215499830212</v>
      </c>
      <c r="AW70" s="46" t="n">
        <f aca="false">-(In_Fixed_Opex*$F24+In_Admin)*AW65*AW15*AW$6</f>
        <v>-397.536549278895</v>
      </c>
      <c r="AX70" s="46" t="n">
        <f aca="false">-(In_Fixed_Opex*$F24+In_Admin)*AX65*AX15*AX$6</f>
        <v>-397.536549278895</v>
      </c>
      <c r="AY70" s="46" t="n">
        <f aca="false">-(In_Fixed_Opex*$F24+In_Admin)*AY65*AY15*AY$6</f>
        <v>-398.616811641066</v>
      </c>
      <c r="AZ70" s="46" t="n">
        <f aca="false">-(In_Fixed_Opex*$F24+In_Admin)*AZ65*AZ15*AZ$6</f>
        <v>-403.045887325967</v>
      </c>
      <c r="BA70" s="46" t="n">
        <f aca="false">-(In_Fixed_Opex*$F24+In_Admin)*BA65*BA15*BA$6</f>
        <v>-407.474963010868</v>
      </c>
      <c r="BB70" s="46" t="n">
        <f aca="false">-(In_Fixed_Opex*$F24+In_Admin)*BB65*BB15*BB$6</f>
        <v>-407.474963010868</v>
      </c>
      <c r="BC70" s="46" t="n">
        <f aca="false">-(In_Fixed_Opex*$F24+In_Admin)*BC65*BC15*BC$6</f>
        <v>-408.582231932093</v>
      </c>
      <c r="BD70" s="46" t="n">
        <f aca="false">-(In_Fixed_Opex*$F24+In_Admin)*BD65*BD15*BD$6</f>
        <v>-413.122034509116</v>
      </c>
      <c r="BE70" s="46" t="n">
        <f aca="false">-(In_Fixed_Opex*$F24+In_Admin)*BE65*BE15*BE$6</f>
        <v>-417.661837086139</v>
      </c>
      <c r="BF70" s="46" t="n">
        <f aca="false">-(In_Fixed_Opex*$F24+In_Admin)*BF65*BF15*BF$6</f>
        <v>-417.661837086139</v>
      </c>
      <c r="BG70" s="46" t="n">
        <f aca="false">-(In_Fixed_Opex*$F24+In_Admin)*BG65*BG15*BG$6</f>
        <v>-418.796787730395</v>
      </c>
      <c r="BH70" s="46" t="n">
        <f aca="false">-(In_Fixed_Opex*$F24+In_Admin)*BH65*BH15*BH$6</f>
        <v>-423.450085371844</v>
      </c>
      <c r="BI70" s="46" t="n">
        <f aca="false">-(In_Fixed_Opex*$F24+In_Admin)*BI65*BI15*BI$6</f>
        <v>-428.103383013293</v>
      </c>
      <c r="BJ70" s="46" t="n">
        <f aca="false">-(In_Fixed_Opex*$F24+In_Admin)*BJ65*BJ15*BJ$6</f>
        <v>-428.103383013293</v>
      </c>
      <c r="BK70" s="46" t="n">
        <f aca="false">-(In_Fixed_Opex*$F24+In_Admin)*BK65*BK15*BK$6</f>
        <v>-434.03633750614</v>
      </c>
      <c r="BL70" s="46" t="n">
        <f aca="false">-(In_Fixed_Opex*$F24+In_Admin)*BL65*BL15*BL$6</f>
        <v>-434.03633750614</v>
      </c>
      <c r="BM70" s="46" t="n">
        <f aca="false">-(In_Fixed_Opex*$F24+In_Admin)*BM65*BM15*BM$6</f>
        <v>-438.805967588625</v>
      </c>
      <c r="BN70" s="46" t="n">
        <f aca="false">-(In_Fixed_Opex*$F24+In_Admin)*BN65*BN15*BN$6</f>
        <v>-438.805967588625</v>
      </c>
      <c r="BO70" s="46" t="n">
        <f aca="false">-(In_Fixed_Opex*$F24+In_Admin)*BO65*BO15*BO$6</f>
        <v>-439.998375109246</v>
      </c>
      <c r="BP70" s="46" t="n">
        <f aca="false">-(In_Fixed_Opex*$F24+In_Admin)*BP65*BP15*BP$6</f>
        <v>-444.887245943794</v>
      </c>
      <c r="BQ70" s="46" t="n">
        <f aca="false">-(In_Fixed_Opex*$F24+In_Admin)*BQ65*BQ15*BQ$6</f>
        <v>-449.776116778341</v>
      </c>
      <c r="BR70" s="46" t="n">
        <f aca="false">-(In_Fixed_Opex*$F24+In_Admin)*BR65*BR15*BR$6</f>
        <v>-449.776116778341</v>
      </c>
      <c r="BS70" s="46" t="n">
        <f aca="false">-(In_Fixed_Opex*$F24+In_Admin)*BS65*BS15*BS$6</f>
        <v>-450.998334486977</v>
      </c>
      <c r="BT70" s="46" t="n">
        <f aca="false">-(In_Fixed_Opex*$F24+In_Admin)*BT65*BT15*BT$6</f>
        <v>-456.009427092388</v>
      </c>
      <c r="BU70" s="46" t="n">
        <f aca="false">-(In_Fixed_Opex*$F24+In_Admin)*BU65*BU15*BU$6</f>
        <v>-461.020519697799</v>
      </c>
      <c r="BV70" s="46" t="n">
        <f aca="false">-(In_Fixed_Opex*$F24+In_Admin)*BV65*BV15*BV$6</f>
        <v>-461.020519697799</v>
      </c>
      <c r="BW70" s="46" t="n">
        <f aca="false">-(In_Fixed_Opex*$F24+In_Admin)*BW65*BW15*BW$6</f>
        <v>-462.273292849152</v>
      </c>
      <c r="BX70" s="46" t="n">
        <f aca="false">-(In_Fixed_Opex*$F24+In_Admin)*BX65*BX15*BX$6</f>
        <v>-467.409662769698</v>
      </c>
      <c r="BY70" s="46" t="n">
        <f aca="false">-(In_Fixed_Opex*$F24+In_Admin)*BY65*BY15*BY$6</f>
        <v>-472.546032690244</v>
      </c>
      <c r="BZ70" s="46" t="n">
        <f aca="false">-(In_Fixed_Opex*$F24+In_Admin)*BZ65*BZ15*BZ$6</f>
        <v>-472.546032690244</v>
      </c>
      <c r="CA70" s="46" t="n">
        <f aca="false">-(In_Fixed_Opex*$F24+In_Admin)*CA65*CA15*CA$6</f>
        <v>-479.09490433894</v>
      </c>
      <c r="CB70" s="46" t="n">
        <f aca="false">-(In_Fixed_Opex*$F24+In_Admin)*CB65*CB15*CB$6</f>
        <v>-479.09490433894</v>
      </c>
      <c r="CC70" s="46" t="n">
        <f aca="false">-(In_Fixed_Opex*$F24+In_Admin)*CC65*CC15*CC$6</f>
        <v>-484.3596835075</v>
      </c>
      <c r="CD70" s="46" t="n">
        <f aca="false">-(In_Fixed_Opex*$F24+In_Admin)*CD65*CD15*CD$6</f>
        <v>-484.3596835075</v>
      </c>
      <c r="CE70" s="46" t="n">
        <f aca="false">-(In_Fixed_Opex*$F24+In_Admin)*CE65*CE15*CE$6</f>
        <v>-485.67587829964</v>
      </c>
      <c r="CF70" s="46" t="n">
        <f aca="false">-(In_Fixed_Opex*$F24+In_Admin)*CF65*CF15*CF$6</f>
        <v>-491.072276947414</v>
      </c>
      <c r="CG70" s="46" t="n">
        <f aca="false">-(In_Fixed_Opex*$F24+In_Admin)*CG65*CG15*CG$6</f>
        <v>-496.468675595188</v>
      </c>
      <c r="CH70" s="46" t="n">
        <f aca="false">-(In_Fixed_Opex*$F24+In_Admin)*CH65*CH15*CH$6</f>
        <v>-496.468675595188</v>
      </c>
      <c r="CI70" s="46" t="n">
        <f aca="false">-(In_Fixed_Opex*$F24+In_Admin)*CI65*CI15*CI$6</f>
        <v>-497.817775257131</v>
      </c>
      <c r="CJ70" s="46" t="n">
        <f aca="false">-(In_Fixed_Opex*$F24+In_Admin)*CJ65*CJ15*CJ$6</f>
        <v>-503.349083871099</v>
      </c>
      <c r="CK70" s="46" t="n">
        <f aca="false">-(In_Fixed_Opex*$F24+In_Admin)*CK65*CK15*CK$6</f>
        <v>-508.880392485067</v>
      </c>
      <c r="CL70" s="46" t="n">
        <f aca="false">-(In_Fixed_Opex*$F24+In_Admin)*CL65*CL15*CL$6</f>
        <v>-508.880392485067</v>
      </c>
      <c r="CM70" s="46" t="n">
        <f aca="false">-(In_Fixed_Opex*$F24+In_Admin)*CM65*CM15*CM$6</f>
        <v>-510.263219638559</v>
      </c>
      <c r="CN70" s="46" t="n">
        <f aca="false">-(In_Fixed_Opex*$F24+In_Admin)*CN65*CN15*CN$6</f>
        <v>-515.932810967877</v>
      </c>
      <c r="CO70" s="46" t="n">
        <f aca="false">-(In_Fixed_Opex*$F24+In_Admin)*CO65*CO15*CO$6</f>
        <v>-521.602402297194</v>
      </c>
      <c r="CP70" s="46" t="n">
        <f aca="false">-(In_Fixed_Opex*$F24+In_Admin)*CP65*CP15*CP$6</f>
        <v>-521.602402297194</v>
      </c>
      <c r="CQ70" s="46" t="n">
        <f aca="false">-(In_Fixed_Opex*$F24+In_Admin)*CQ65*CQ15*CQ$6</f>
        <v>-528.831131242074</v>
      </c>
      <c r="CR70" s="46" t="n">
        <f aca="false">-(In_Fixed_Opex*$F24+In_Admin)*CR65*CR15*CR$6</f>
        <v>-528.831131242074</v>
      </c>
      <c r="CS70" s="46" t="n">
        <f aca="false">-(In_Fixed_Opex*$F24+In_Admin)*CS65*CS15*CS$6</f>
        <v>-534.642462354624</v>
      </c>
      <c r="CT70" s="46" t="n">
        <f aca="false">-(In_Fixed_Opex*$F24+In_Admin)*CT65*CT15*CT$6</f>
        <v>-534.642462354624</v>
      </c>
      <c r="CU70" s="46" t="n">
        <f aca="false">-(In_Fixed_Opex*$F24+In_Admin)*CU65*CU15*CU$6</f>
        <v>-536.095295132761</v>
      </c>
      <c r="CV70" s="46" t="n">
        <f aca="false">-(In_Fixed_Opex*$F24+In_Admin)*CV65*CV15*CV$6</f>
        <v>-542.051909523125</v>
      </c>
      <c r="CW70" s="46" t="n">
        <f aca="false">-(In_Fixed_Opex*$F24+In_Admin)*CW65*CW15*CW$6</f>
        <v>-548.008523913489</v>
      </c>
      <c r="CX70" s="46" t="n">
        <f aca="false">-(In_Fixed_Opex*$F24+In_Admin)*CX65*CX15*CX$6</f>
        <v>-548.008523913489</v>
      </c>
      <c r="CY70" s="46" t="n">
        <f aca="false">-(In_Fixed_Opex*$F24+In_Admin)*CY65*CY15*CY$6</f>
        <v>-549.49767751108</v>
      </c>
      <c r="CZ70" s="46" t="n">
        <f aca="false">-(In_Fixed_Opex*$F24+In_Admin)*CZ65*CZ15*CZ$6</f>
        <v>-555.603207261203</v>
      </c>
      <c r="DA70" s="46" t="n">
        <f aca="false">-(In_Fixed_Opex*$F24+In_Admin)*DA65*DA15*DA$6</f>
        <v>-561.708737011326</v>
      </c>
      <c r="DB70" s="46" t="n">
        <f aca="false">-(In_Fixed_Opex*$F24+In_Admin)*DB65*DB15*DB$6</f>
        <v>-561.708737011326</v>
      </c>
      <c r="DC70" s="46" t="n">
        <f aca="false">-(In_Fixed_Opex*$F24+In_Admin)*DC65*DC15*DC$6</f>
        <v>-563.235119448857</v>
      </c>
      <c r="DD70" s="46" t="n">
        <f aca="false">-(In_Fixed_Opex*$F24+In_Admin)*DD65*DD15*DD$6</f>
        <v>-569.493287442734</v>
      </c>
      <c r="DE70" s="46" t="n">
        <f aca="false">-(In_Fixed_Opex*$F24+In_Admin)*DE65*DE15*DE$6</f>
        <v>-575.75145543661</v>
      </c>
      <c r="DF70" s="46" t="n">
        <f aca="false">-(In_Fixed_Opex*$F24+In_Admin)*DF65*DF15*DF$6</f>
        <v>-575.75145543661</v>
      </c>
      <c r="DG70" s="46" t="n">
        <f aca="false">-(In_Fixed_Opex*$F24+In_Admin)*DG65*DG15*DG$6</f>
        <v>-583.730619628802</v>
      </c>
      <c r="DH70" s="46" t="n">
        <f aca="false">-(In_Fixed_Opex*$F24+In_Admin)*DH65*DH15*DH$6</f>
        <v>-583.730619628802</v>
      </c>
      <c r="DI70" s="46" t="n">
        <f aca="false">-(In_Fixed_Opex*$F24+In_Admin)*DI65*DI15*DI$6</f>
        <v>-590.145241822525</v>
      </c>
      <c r="DJ70" s="46" t="n">
        <f aca="false">-(In_Fixed_Opex*$F24+In_Admin)*DJ65*DJ15*DJ$6</f>
        <v>-590.145241822525</v>
      </c>
      <c r="DK70" s="46" t="n">
        <f aca="false">-(In_Fixed_Opex*$F24+In_Admin)*DK65*DK15*DK$6</f>
        <v>-591.748897370955</v>
      </c>
      <c r="DL70" s="46" t="n">
        <f aca="false">-(In_Fixed_Opex*$F24+In_Admin)*DL65*DL15*DL$6</f>
        <v>-598.323885119522</v>
      </c>
      <c r="DM70" s="46" t="n">
        <f aca="false">-(In_Fixed_Opex*$F24+In_Admin)*DM65*DM15*DM$6</f>
        <v>-604.898872868088</v>
      </c>
      <c r="DN70" s="46" t="n">
        <f aca="false">-(In_Fixed_Opex*$F24+In_Admin)*DN65*DN15*DN$6</f>
        <v>-604.898872868088</v>
      </c>
      <c r="DO70" s="46" t="n">
        <f aca="false">-(In_Fixed_Opex*$F24+In_Admin)*DO65*DO15*DO$6</f>
        <v>-606.542619805229</v>
      </c>
      <c r="DP70" s="46" t="n">
        <f aca="false">-(In_Fixed_Opex*$F24+In_Admin)*DP65*DP15*DP$6</f>
        <v>-613.28198224751</v>
      </c>
      <c r="DQ70" s="46" t="n">
        <f aca="false">-(In_Fixed_Opex*$F24+In_Admin)*DQ65*DQ15*DQ$6</f>
        <v>-620.02134468979</v>
      </c>
      <c r="DR70" s="46" t="n">
        <f aca="false">-(In_Fixed_Opex*$F24+In_Admin)*DR65*DR15*DR$6</f>
        <v>-620.02134468979</v>
      </c>
      <c r="DS70" s="46" t="n">
        <f aca="false">-(In_Fixed_Opex*$F24+In_Admin)*DS65*DS15*DS$6</f>
        <v>-621.70618530036</v>
      </c>
      <c r="DT70" s="46" t="n">
        <f aca="false">-(In_Fixed_Opex*$F24+In_Admin)*DT65*DT15*DT$6</f>
        <v>-628.614031803698</v>
      </c>
      <c r="DU70" s="46" t="n">
        <f aca="false">-(In_Fixed_Opex*$F24+In_Admin)*DU65*DU15*DU$6</f>
        <v>-635.521878307035</v>
      </c>
      <c r="DV70" s="46" t="n">
        <f aca="false">-(In_Fixed_Opex*$F24+In_Admin)*DV65*DV15*DV$6</f>
        <v>-635.521878307035</v>
      </c>
      <c r="DW70" s="46" t="n">
        <f aca="false">-(In_Fixed_Opex*$F24+In_Admin)*DW65*DW15*DW$6</f>
        <v>-644.32938259879</v>
      </c>
      <c r="DX70" s="46" t="n">
        <f aca="false">-(In_Fixed_Opex*$F24+In_Admin)*DX65*DX15*DX$6</f>
        <v>-644.32938259879</v>
      </c>
      <c r="DY70" s="46" t="n">
        <f aca="false">-(In_Fixed_Opex*$F24+In_Admin)*DY65*DY15*DY$6</f>
        <v>-651.409925264711</v>
      </c>
      <c r="DZ70" s="46" t="n">
        <f aca="false">-(In_Fixed_Opex*$F24+In_Admin)*DZ65*DZ15*DZ$6</f>
        <v>-651.409925264711</v>
      </c>
      <c r="EA70" s="46" t="n">
        <f aca="false">-(In_Fixed_Opex*$F24+In_Admin)*EA65*EA15*EA$6</f>
        <v>-653.180060931191</v>
      </c>
      <c r="EB70" s="46" t="n">
        <f aca="false">-(In_Fixed_Opex*$F24+In_Admin)*EB65*EB15*EB$6</f>
        <v>-660.43761716376</v>
      </c>
      <c r="EC70" s="46" t="n">
        <f aca="false">-(In_Fixed_Opex*$F24+In_Admin)*EC65*EC15*EC$6</f>
        <v>-667.695173396328</v>
      </c>
      <c r="ED70" s="46" t="n">
        <f aca="false">-(In_Fixed_Opex*$F24+In_Admin)*ED65*ED15*ED$6</f>
        <v>-667.695173396328</v>
      </c>
      <c r="EE70" s="46" t="n">
        <f aca="false">-(In_Fixed_Opex*$F24+In_Admin)*EE65*EE15*EE$6</f>
        <v>-669.50956245447</v>
      </c>
      <c r="EF70" s="46" t="n">
        <f aca="false">-(In_Fixed_Opex*$F24+In_Admin)*EF65*EF15*EF$6</f>
        <v>-676.948557592854</v>
      </c>
      <c r="EG70" s="46" t="n">
        <f aca="false">-(In_Fixed_Opex*$F24+In_Admin)*EG65*EG15*EG$6</f>
        <v>-684.387552731237</v>
      </c>
      <c r="EH70" s="46" t="n">
        <f aca="false">-(In_Fixed_Opex*$F24+In_Admin)*EH65*EH15*EH$6</f>
        <v>-684.387552731237</v>
      </c>
      <c r="EI70" s="46" t="n">
        <f aca="false">-(In_Fixed_Opex*$F24+In_Admin)*EI65*EI15*EI$6</f>
        <v>-686.247301515832</v>
      </c>
      <c r="EJ70" s="46" t="n">
        <f aca="false">-(In_Fixed_Opex*$F24+In_Admin)*EJ65*EJ15*EJ$6</f>
        <v>-693.872271532675</v>
      </c>
      <c r="EK70" s="46" t="n">
        <f aca="false">-(In_Fixed_Opex*$F24+In_Admin)*EK65*EK15*EK$6</f>
        <v>-701.497241549517</v>
      </c>
      <c r="EL70" s="46" t="n">
        <f aca="false">-(In_Fixed_Opex*$F24+In_Admin)*EL65*EL15*EL$6</f>
        <v>-701.497241549517</v>
      </c>
      <c r="EM70" s="46" t="n">
        <f aca="false">-(In_Fixed_Opex*$F24+In_Admin)*EM65*EM15*EM$6</f>
        <v>-711.219078320991</v>
      </c>
      <c r="EN70" s="46" t="n">
        <f aca="false">-(In_Fixed_Opex*$F24+In_Admin)*EN65*EN15*EN$6</f>
        <v>-711.219078320991</v>
      </c>
      <c r="EO70" s="46" t="n">
        <f aca="false">-(In_Fixed_Opex*$F24+In_Admin)*EO65*EO15*EO$6</f>
        <v>-719.034672588255</v>
      </c>
    </row>
    <row r="71" customFormat="false" ht="15" hidden="false" customHeight="false" outlineLevel="0" collapsed="false">
      <c r="C71" s="0" t="s">
        <v>401</v>
      </c>
      <c r="D71" s="11" t="s">
        <v>33</v>
      </c>
      <c r="I71" s="46" t="n">
        <f aca="false">SUM(J71:EO71)</f>
        <v>-7708.87664873263</v>
      </c>
      <c r="J71" s="46" t="n">
        <f aca="false">-In_Lease*$F24*J65*J16*J$6</f>
        <v>-0</v>
      </c>
      <c r="K71" s="46" t="n">
        <f aca="false">-In_Lease*$F24*K65*K16*K$6</f>
        <v>-0</v>
      </c>
      <c r="L71" s="46" t="n">
        <f aca="false">-In_Lease*$F24*L65*L16*L$6</f>
        <v>-0</v>
      </c>
      <c r="M71" s="46" t="n">
        <f aca="false">-In_Lease*$F24*M65*M16*M$6</f>
        <v>-0</v>
      </c>
      <c r="N71" s="46" t="n">
        <f aca="false">-In_Lease*$F24*N65*N16*N$6</f>
        <v>-0</v>
      </c>
      <c r="O71" s="46" t="n">
        <f aca="false">-In_Lease*$F24*O65*O16*O$6</f>
        <v>-0</v>
      </c>
      <c r="P71" s="46" t="n">
        <f aca="false">-In_Lease*$F24*P65*P16*P$6</f>
        <v>-0</v>
      </c>
      <c r="Q71" s="46" t="n">
        <f aca="false">-In_Lease*$F24*Q65*Q16*Q$6</f>
        <v>-0</v>
      </c>
      <c r="R71" s="46" t="n">
        <f aca="false">-In_Lease*$F24*R65*R16*R$6</f>
        <v>-39.5850480389201</v>
      </c>
      <c r="S71" s="46" t="n">
        <f aca="false">-In_Lease*$F24*S65*S16*S$6</f>
        <v>-39.6926161042432</v>
      </c>
      <c r="T71" s="46" t="n">
        <f aca="false">-In_Lease*$F24*T65*T16*T$6</f>
        <v>-40.1336451720682</v>
      </c>
      <c r="U71" s="46" t="n">
        <f aca="false">-In_Lease*$F24*U65*U16*U$6</f>
        <v>-40.5746742398931</v>
      </c>
      <c r="V71" s="46" t="n">
        <f aca="false">-In_Lease*$F24*V65*V16*V$6</f>
        <v>-40.5746742398931</v>
      </c>
      <c r="W71" s="46" t="n">
        <f aca="false">-In_Lease*$F24*W65*W16*W$6</f>
        <v>-40.6849315068493</v>
      </c>
      <c r="X71" s="46" t="n">
        <f aca="false">-In_Lease*$F24*X65*X16*X$6</f>
        <v>-41.1369863013699</v>
      </c>
      <c r="Y71" s="46" t="n">
        <f aca="false">-In_Lease*$F24*Y65*Y16*Y$6</f>
        <v>-41.5890410958904</v>
      </c>
      <c r="Z71" s="46" t="n">
        <f aca="false">-In_Lease*$F24*Z65*Z16*Z$6</f>
        <v>-41.5890410958904</v>
      </c>
      <c r="AA71" s="46" t="n">
        <f aca="false">-In_Lease*$F24*AA65*AA16*AA$6</f>
        <v>-41.7020547945206</v>
      </c>
      <c r="AB71" s="46" t="n">
        <f aca="false">-In_Lease*$F24*AB65*AB16*AB$6</f>
        <v>-42.1654109589041</v>
      </c>
      <c r="AC71" s="46" t="n">
        <f aca="false">-In_Lease*$F24*AC65*AC16*AC$6</f>
        <v>-42.6287671232877</v>
      </c>
      <c r="AD71" s="46" t="n">
        <f aca="false">-In_Lease*$F24*AD65*AD16*AD$6</f>
        <v>-42.6287671232877</v>
      </c>
      <c r="AE71" s="46" t="n">
        <f aca="false">-In_Lease*$F24*AE65*AE16*AE$6</f>
        <v>-43.2195462328767</v>
      </c>
      <c r="AF71" s="46" t="n">
        <f aca="false">-In_Lease*$F24*AF65*AF16*AF$6</f>
        <v>-43.2195462328767</v>
      </c>
      <c r="AG71" s="46" t="n">
        <f aca="false">-In_Lease*$F24*AG65*AG16*AG$6</f>
        <v>-43.6944863013699</v>
      </c>
      <c r="AH71" s="46" t="n">
        <f aca="false">-In_Lease*$F24*AH65*AH16*AH$6</f>
        <v>-43.6944863013699</v>
      </c>
      <c r="AI71" s="46" t="n">
        <f aca="false">-In_Lease*$F24*AI65*AI16*AI$6</f>
        <v>-43.8132213184931</v>
      </c>
      <c r="AJ71" s="46" t="n">
        <f aca="false">-In_Lease*$F24*AJ65*AJ16*AJ$6</f>
        <v>-44.3000348886986</v>
      </c>
      <c r="AK71" s="46" t="n">
        <f aca="false">-In_Lease*$F24*AK65*AK16*AK$6</f>
        <v>-44.7868484589041</v>
      </c>
      <c r="AL71" s="46" t="n">
        <f aca="false">-In_Lease*$F24*AL65*AL16*AL$6</f>
        <v>-44.7868484589041</v>
      </c>
      <c r="AM71" s="46" t="n">
        <f aca="false">-In_Lease*$F24*AM65*AM16*AM$6</f>
        <v>-44.9085518514555</v>
      </c>
      <c r="AN71" s="46" t="n">
        <f aca="false">-In_Lease*$F24*AN65*AN16*AN$6</f>
        <v>-45.4075357609161</v>
      </c>
      <c r="AO71" s="46" t="n">
        <f aca="false">-In_Lease*$F24*AO65*AO16*AO$6</f>
        <v>-45.9065196703767</v>
      </c>
      <c r="AP71" s="46" t="n">
        <f aca="false">-In_Lease*$F24*AP65*AP16*AP$6</f>
        <v>-45.9065196703767</v>
      </c>
      <c r="AQ71" s="46" t="n">
        <f aca="false">-In_Lease*$F24*AQ65*AQ16*AQ$6</f>
        <v>-46.0312656477419</v>
      </c>
      <c r="AR71" s="46" t="n">
        <f aca="false">-In_Lease*$F24*AR65*AR16*AR$6</f>
        <v>-46.542724154939</v>
      </c>
      <c r="AS71" s="46" t="n">
        <f aca="false">-In_Lease*$F24*AS65*AS16*AS$6</f>
        <v>-47.0541826621361</v>
      </c>
      <c r="AT71" s="46" t="n">
        <f aca="false">-In_Lease*$F24*AT65*AT16*AT$6</f>
        <v>-47.0541826621361</v>
      </c>
      <c r="AU71" s="46" t="n">
        <f aca="false">-In_Lease*$F24*AU65*AU16*AU$6</f>
        <v>-47.7062922588125</v>
      </c>
      <c r="AV71" s="46" t="n">
        <f aca="false">-In_Lease*$F24*AV65*AV16*AV$6</f>
        <v>-47.7062922588125</v>
      </c>
      <c r="AW71" s="46" t="n">
        <f aca="false">-In_Lease*$F24*AW65*AW16*AW$6</f>
        <v>-48.2305372286895</v>
      </c>
      <c r="AX71" s="46" t="n">
        <f aca="false">-In_Lease*$F24*AX65*AX16*AX$6</f>
        <v>-48.2305372286895</v>
      </c>
      <c r="AY71" s="46" t="n">
        <f aca="false">-In_Lease*$F24*AY65*AY16*AY$6</f>
        <v>-48.3615984711588</v>
      </c>
      <c r="AZ71" s="46" t="n">
        <f aca="false">-In_Lease*$F24*AZ65*AZ16*AZ$6</f>
        <v>-48.8989495652828</v>
      </c>
      <c r="BA71" s="46" t="n">
        <f aca="false">-In_Lease*$F24*BA65*BA16*BA$6</f>
        <v>-49.4363006594068</v>
      </c>
      <c r="BB71" s="46" t="n">
        <f aca="false">-In_Lease*$F24*BB65*BB16*BB$6</f>
        <v>-49.4363006594068</v>
      </c>
      <c r="BC71" s="46" t="n">
        <f aca="false">-In_Lease*$F24*BC65*BC16*BC$6</f>
        <v>-49.5706384329377</v>
      </c>
      <c r="BD71" s="46" t="n">
        <f aca="false">-In_Lease*$F24*BD65*BD16*BD$6</f>
        <v>-50.1214233044148</v>
      </c>
      <c r="BE71" s="46" t="n">
        <f aca="false">-In_Lease*$F24*BE65*BE16*BE$6</f>
        <v>-50.6722081758919</v>
      </c>
      <c r="BF71" s="46" t="n">
        <f aca="false">-In_Lease*$F24*BF65*BF16*BF$6</f>
        <v>-50.6722081758919</v>
      </c>
      <c r="BG71" s="46" t="n">
        <f aca="false">-In_Lease*$F24*BG65*BG16*BG$6</f>
        <v>-50.8099043937612</v>
      </c>
      <c r="BH71" s="46" t="n">
        <f aca="false">-In_Lease*$F24*BH65*BH16*BH$6</f>
        <v>-51.3744588870252</v>
      </c>
      <c r="BI71" s="46" t="n">
        <f aca="false">-In_Lease*$F24*BI65*BI16*BI$6</f>
        <v>-51.9390133802892</v>
      </c>
      <c r="BJ71" s="46" t="n">
        <f aca="false">-In_Lease*$F24*BJ65*BJ16*BJ$6</f>
        <v>-51.9390133802892</v>
      </c>
      <c r="BK71" s="46" t="n">
        <f aca="false">-In_Lease*$F24*BK65*BK16*BK$6</f>
        <v>-52.6588203592008</v>
      </c>
      <c r="BL71" s="46" t="n">
        <f aca="false">-In_Lease*$F24*BL65*BL16*BL$6</f>
        <v>-52.6588203592008</v>
      </c>
      <c r="BM71" s="46" t="n">
        <f aca="false">-In_Lease*$F24*BM65*BM16*BM$6</f>
        <v>-53.2374887147964</v>
      </c>
      <c r="BN71" s="46" t="n">
        <f aca="false">-In_Lease*$F24*BN65*BN16*BN$6</f>
        <v>-53.2374887147964</v>
      </c>
      <c r="BO71" s="46" t="n">
        <f aca="false">-In_Lease*$F24*BO65*BO16*BO$6</f>
        <v>-53.3821558036953</v>
      </c>
      <c r="BP71" s="46" t="n">
        <f aca="false">-In_Lease*$F24*BP65*BP16*BP$6</f>
        <v>-53.9752908681808</v>
      </c>
      <c r="BQ71" s="46" t="n">
        <f aca="false">-In_Lease*$F24*BQ65*BQ16*BQ$6</f>
        <v>-54.5684259326664</v>
      </c>
      <c r="BR71" s="46" t="n">
        <f aca="false">-In_Lease*$F24*BR65*BR16*BR$6</f>
        <v>-54.5684259326664</v>
      </c>
      <c r="BS71" s="46" t="n">
        <f aca="false">-In_Lease*$F24*BS65*BS16*BS$6</f>
        <v>-54.7167096987877</v>
      </c>
      <c r="BT71" s="46" t="n">
        <f aca="false">-In_Lease*$F24*BT65*BT16*BT$6</f>
        <v>-55.3246731398854</v>
      </c>
      <c r="BU71" s="46" t="n">
        <f aca="false">-In_Lease*$F24*BU65*BU16*BU$6</f>
        <v>-55.932636580983</v>
      </c>
      <c r="BV71" s="46" t="n">
        <f aca="false">-In_Lease*$F24*BV65*BV16*BV$6</f>
        <v>-55.932636580983</v>
      </c>
      <c r="BW71" s="46" t="n">
        <f aca="false">-In_Lease*$F24*BW65*BW16*BW$6</f>
        <v>-56.0846274412574</v>
      </c>
      <c r="BX71" s="46" t="n">
        <f aca="false">-In_Lease*$F24*BX65*BX16*BX$6</f>
        <v>-56.7077899683825</v>
      </c>
      <c r="BY71" s="46" t="n">
        <f aca="false">-In_Lease*$F24*BY65*BY16*BY$6</f>
        <v>-57.3309524955076</v>
      </c>
      <c r="BZ71" s="46" t="n">
        <f aca="false">-In_Lease*$F24*BZ65*BZ16*BZ$6</f>
        <v>-57.3309524955076</v>
      </c>
      <c r="CA71" s="46" t="n">
        <f aca="false">-In_Lease*$F24*CA65*CA16*CA$6</f>
        <v>-58.125484717592</v>
      </c>
      <c r="CB71" s="46" t="n">
        <f aca="false">-In_Lease*$F24*CB65*CB16*CB$6</f>
        <v>-58.125484717592</v>
      </c>
      <c r="CC71" s="46" t="n">
        <f aca="false">-In_Lease*$F24*CC65*CC16*CC$6</f>
        <v>-58.7642263078953</v>
      </c>
      <c r="CD71" s="46" t="n">
        <f aca="false">-In_Lease*$F24*CD65*CD16*CD$6</f>
        <v>-58.7642263078953</v>
      </c>
      <c r="CE71" s="46" t="n">
        <f aca="false">-In_Lease*$F24*CE65*CE16*CE$6</f>
        <v>-58.923911705471</v>
      </c>
      <c r="CF71" s="46" t="n">
        <f aca="false">-In_Lease*$F24*CF65*CF16*CF$6</f>
        <v>-59.5786218355318</v>
      </c>
      <c r="CG71" s="46" t="n">
        <f aca="false">-In_Lease*$F24*CG65*CG16*CG$6</f>
        <v>-60.2333319655926</v>
      </c>
      <c r="CH71" s="46" t="n">
        <f aca="false">-In_Lease*$F24*CH65*CH16*CH$6</f>
        <v>-60.2333319655926</v>
      </c>
      <c r="CI71" s="46" t="n">
        <f aca="false">-In_Lease*$F24*CI65*CI16*CI$6</f>
        <v>-60.3970094981078</v>
      </c>
      <c r="CJ71" s="46" t="n">
        <f aca="false">-In_Lease*$F24*CJ65*CJ16*CJ$6</f>
        <v>-61.0680873814201</v>
      </c>
      <c r="CK71" s="46" t="n">
        <f aca="false">-In_Lease*$F24*CK65*CK16*CK$6</f>
        <v>-61.7391652647324</v>
      </c>
      <c r="CL71" s="46" t="n">
        <f aca="false">-In_Lease*$F24*CL65*CL16*CL$6</f>
        <v>-61.7391652647324</v>
      </c>
      <c r="CM71" s="46" t="n">
        <f aca="false">-In_Lease*$F24*CM65*CM16*CM$6</f>
        <v>-61.9069347355605</v>
      </c>
      <c r="CN71" s="46" t="n">
        <f aca="false">-In_Lease*$F24*CN65*CN16*CN$6</f>
        <v>-62.5947895659556</v>
      </c>
      <c r="CO71" s="46" t="n">
        <f aca="false">-In_Lease*$F24*CO65*CO16*CO$6</f>
        <v>-63.2826443963507</v>
      </c>
      <c r="CP71" s="46" t="n">
        <f aca="false">-In_Lease*$F24*CP65*CP16*CP$6</f>
        <v>-63.2826443963507</v>
      </c>
      <c r="CQ71" s="46" t="n">
        <f aca="false">-In_Lease*$F24*CQ65*CQ16*CQ$6</f>
        <v>-64.1596593051045</v>
      </c>
      <c r="CR71" s="46" t="n">
        <f aca="false">-In_Lease*$F24*CR65*CR16*CR$6</f>
        <v>-64.1596593051045</v>
      </c>
      <c r="CS71" s="46" t="n">
        <f aca="false">-In_Lease*$F24*CS65*CS16*CS$6</f>
        <v>-64.8647105062595</v>
      </c>
      <c r="CT71" s="46" t="n">
        <f aca="false">-In_Lease*$F24*CT65*CT16*CT$6</f>
        <v>-64.8647105062595</v>
      </c>
      <c r="CU71" s="46" t="n">
        <f aca="false">-In_Lease*$F24*CU65*CU16*CU$6</f>
        <v>-65.0409733065482</v>
      </c>
      <c r="CV71" s="46" t="n">
        <f aca="false">-In_Lease*$F24*CV65*CV16*CV$6</f>
        <v>-65.7636507877321</v>
      </c>
      <c r="CW71" s="46" t="n">
        <f aca="false">-In_Lease*$F24*CW65*CW16*CW$6</f>
        <v>-66.486328268916</v>
      </c>
      <c r="CX71" s="46" t="n">
        <f aca="false">-In_Lease*$F24*CX65*CX16*CX$6</f>
        <v>-66.486328268916</v>
      </c>
      <c r="CY71" s="46" t="n">
        <f aca="false">-In_Lease*$F24*CY65*CY16*CY$6</f>
        <v>-66.6669976392119</v>
      </c>
      <c r="CZ71" s="46" t="n">
        <f aca="false">-In_Lease*$F24*CZ65*CZ16*CZ$6</f>
        <v>-67.4077420574254</v>
      </c>
      <c r="DA71" s="46" t="n">
        <f aca="false">-In_Lease*$F24*DA65*DA16*DA$6</f>
        <v>-68.1484864756389</v>
      </c>
      <c r="DB71" s="46" t="n">
        <f aca="false">-In_Lease*$F24*DB65*DB16*DB$6</f>
        <v>-68.1484864756389</v>
      </c>
      <c r="DC71" s="46" t="n">
        <f aca="false">-In_Lease*$F24*DC65*DC16*DC$6</f>
        <v>-68.3336725801922</v>
      </c>
      <c r="DD71" s="46" t="n">
        <f aca="false">-In_Lease*$F24*DD65*DD16*DD$6</f>
        <v>-69.0929356088611</v>
      </c>
      <c r="DE71" s="46" t="n">
        <f aca="false">-In_Lease*$F24*DE65*DE16*DE$6</f>
        <v>-69.8521986375299</v>
      </c>
      <c r="DF71" s="46" t="n">
        <f aca="false">-In_Lease*$F24*DF65*DF16*DF$6</f>
        <v>-69.8521986375299</v>
      </c>
      <c r="DG71" s="46" t="n">
        <f aca="false">-In_Lease*$F24*DG65*DG16*DG$6</f>
        <v>-70.8202589990826</v>
      </c>
      <c r="DH71" s="46" t="n">
        <f aca="false">-In_Lease*$F24*DH65*DH16*DH$6</f>
        <v>-70.8202589990826</v>
      </c>
      <c r="DI71" s="46" t="n">
        <f aca="false">-In_Lease*$F24*DI65*DI16*DI$6</f>
        <v>-71.5985036034681</v>
      </c>
      <c r="DJ71" s="46" t="n">
        <f aca="false">-In_Lease*$F24*DJ65*DJ16*DJ$6</f>
        <v>-71.5985036034681</v>
      </c>
      <c r="DK71" s="46" t="n">
        <f aca="false">-In_Lease*$F24*DK65*DK16*DK$6</f>
        <v>-71.7930647545645</v>
      </c>
      <c r="DL71" s="46" t="n">
        <f aca="false">-In_Lease*$F24*DL65*DL16*DL$6</f>
        <v>-72.5907654740596</v>
      </c>
      <c r="DM71" s="46" t="n">
        <f aca="false">-In_Lease*$F24*DM65*DM16*DM$6</f>
        <v>-73.3884661935548</v>
      </c>
      <c r="DN71" s="46" t="n">
        <f aca="false">-In_Lease*$F24*DN65*DN16*DN$6</f>
        <v>-73.3884661935548</v>
      </c>
      <c r="DO71" s="46" t="n">
        <f aca="false">-In_Lease*$F24*DO65*DO16*DO$6</f>
        <v>-73.5878913734286</v>
      </c>
      <c r="DP71" s="46" t="n">
        <f aca="false">-In_Lease*$F24*DP65*DP16*DP$6</f>
        <v>-74.4055346109111</v>
      </c>
      <c r="DQ71" s="46" t="n">
        <f aca="false">-In_Lease*$F24*DQ65*DQ16*DQ$6</f>
        <v>-75.2231778483937</v>
      </c>
      <c r="DR71" s="46" t="n">
        <f aca="false">-In_Lease*$F24*DR65*DR16*DR$6</f>
        <v>-75.2231778483937</v>
      </c>
      <c r="DS71" s="46" t="n">
        <f aca="false">-In_Lease*$F24*DS65*DS16*DS$6</f>
        <v>-75.4275886577643</v>
      </c>
      <c r="DT71" s="46" t="n">
        <f aca="false">-In_Lease*$F24*DT65*DT16*DT$6</f>
        <v>-76.2656729761839</v>
      </c>
      <c r="DU71" s="46" t="n">
        <f aca="false">-In_Lease*$F24*DU65*DU16*DU$6</f>
        <v>-77.1037572946035</v>
      </c>
      <c r="DV71" s="46" t="n">
        <f aca="false">-In_Lease*$F24*DV65*DV16*DV$6</f>
        <v>-77.1037572946035</v>
      </c>
      <c r="DW71" s="46" t="n">
        <f aca="false">-In_Lease*$F24*DW65*DW16*DW$6</f>
        <v>-78.1723148005885</v>
      </c>
      <c r="DX71" s="46" t="n">
        <f aca="false">-In_Lease*$F24*DX65*DX16*DX$6</f>
        <v>-78.1723148005885</v>
      </c>
      <c r="DY71" s="46" t="n">
        <f aca="false">-In_Lease*$F24*DY65*DY16*DY$6</f>
        <v>-79.0313512269686</v>
      </c>
      <c r="DZ71" s="46" t="n">
        <f aca="false">-In_Lease*$F24*DZ65*DZ16*DZ$6</f>
        <v>-79.0313512269686</v>
      </c>
      <c r="EA71" s="46" t="n">
        <f aca="false">-In_Lease*$F24*EA65*EA16*EA$6</f>
        <v>-79.2461103335636</v>
      </c>
      <c r="EB71" s="46" t="n">
        <f aca="false">-In_Lease*$F24*EB65*EB16*EB$6</f>
        <v>-80.1266226706032</v>
      </c>
      <c r="EC71" s="46" t="n">
        <f aca="false">-In_Lease*$F24*EC65*EC16*EC$6</f>
        <v>-81.0071350076428</v>
      </c>
      <c r="ED71" s="46" t="n">
        <f aca="false">-In_Lease*$F24*ED65*ED16*ED$6</f>
        <v>-81.0071350076428</v>
      </c>
      <c r="EE71" s="46" t="n">
        <f aca="false">-In_Lease*$F24*EE65*EE16*EE$6</f>
        <v>-81.2272630919027</v>
      </c>
      <c r="EF71" s="46" t="n">
        <f aca="false">-In_Lease*$F24*EF65*EF16*EF$6</f>
        <v>-82.1297882373683</v>
      </c>
      <c r="EG71" s="46" t="n">
        <f aca="false">-In_Lease*$F24*EG65*EG16*EG$6</f>
        <v>-83.0323133828338</v>
      </c>
      <c r="EH71" s="46" t="n">
        <f aca="false">-In_Lease*$F24*EH65*EH16*EH$6</f>
        <v>-83.0323133828338</v>
      </c>
      <c r="EI71" s="46" t="n">
        <f aca="false">-In_Lease*$F24*EI65*EI16*EI$6</f>
        <v>-83.2579446692002</v>
      </c>
      <c r="EJ71" s="46" t="n">
        <f aca="false">-In_Lease*$F24*EJ65*EJ16*EJ$6</f>
        <v>-84.1830329433024</v>
      </c>
      <c r="EK71" s="46" t="n">
        <f aca="false">-In_Lease*$F24*EK65*EK16*EK$6</f>
        <v>-85.1081212174047</v>
      </c>
      <c r="EL71" s="46" t="n">
        <f aca="false">-In_Lease*$F24*EL65*EL16*EL$6</f>
        <v>-85.1081212174047</v>
      </c>
      <c r="EM71" s="46" t="n">
        <f aca="false">-In_Lease*$F24*EM65*EM16*EM$6</f>
        <v>-86.287608766885</v>
      </c>
      <c r="EN71" s="46" t="n">
        <f aca="false">-In_Lease*$F24*EN65*EN16*EN$6</f>
        <v>-86.287608766885</v>
      </c>
      <c r="EO71" s="46" t="n">
        <f aca="false">-In_Lease*$F24*EO65*EO16*EO$6</f>
        <v>-87.2358242478398</v>
      </c>
    </row>
    <row r="72" customFormat="false" ht="15" hidden="false" customHeight="false" outlineLevel="0" collapsed="false">
      <c r="C72" s="0" t="s">
        <v>402</v>
      </c>
      <c r="D72" s="11" t="s">
        <v>33</v>
      </c>
      <c r="I72" s="46" t="n">
        <f aca="false">SUM(J72:EO72)</f>
        <v>-9554.32311667406</v>
      </c>
      <c r="J72" s="46" t="n">
        <f aca="false">-J68*(In_MEKH+In_HIPA+In_Innovation)</f>
        <v>-0</v>
      </c>
      <c r="K72" s="46" t="n">
        <f aca="false">-K68*(In_MEKH+In_HIPA+In_Innovation)</f>
        <v>-0</v>
      </c>
      <c r="L72" s="46" t="n">
        <f aca="false">-L68*(In_MEKH+In_HIPA+In_Innovation)</f>
        <v>-0</v>
      </c>
      <c r="M72" s="46" t="n">
        <f aca="false">-M68*(In_MEKH+In_HIPA+In_Innovation)</f>
        <v>-0</v>
      </c>
      <c r="N72" s="46" t="n">
        <f aca="false">-N68*(In_MEKH+In_HIPA+In_Innovation)</f>
        <v>-0</v>
      </c>
      <c r="O72" s="46" t="n">
        <f aca="false">-O68*(In_MEKH+In_HIPA+In_Innovation)</f>
        <v>-0</v>
      </c>
      <c r="P72" s="46" t="n">
        <f aca="false">-P68*(In_MEKH+In_HIPA+In_Innovation)</f>
        <v>-0</v>
      </c>
      <c r="Q72" s="46" t="n">
        <f aca="false">-Q68*(In_MEKH+In_HIPA+In_Innovation)</f>
        <v>-0</v>
      </c>
      <c r="R72" s="46" t="n">
        <f aca="false">-R68*(In_MEKH+In_HIPA+In_Innovation)</f>
        <v>-0</v>
      </c>
      <c r="S72" s="46" t="n">
        <f aca="false">-S68*(In_MEKH+In_HIPA+In_Innovation)</f>
        <v>-0</v>
      </c>
      <c r="T72" s="46" t="n">
        <f aca="false">-T68*(In_MEKH+In_HIPA+In_Innovation)</f>
        <v>-0</v>
      </c>
      <c r="U72" s="46" t="n">
        <f aca="false">-U68*(In_MEKH+In_HIPA+In_Innovation)</f>
        <v>-0</v>
      </c>
      <c r="V72" s="46" t="n">
        <f aca="false">-V68*(In_MEKH+In_HIPA+In_Innovation)</f>
        <v>-0</v>
      </c>
      <c r="W72" s="46" t="n">
        <f aca="false">-W68*(In_MEKH+In_HIPA+In_Innovation)</f>
        <v>-0</v>
      </c>
      <c r="X72" s="46" t="n">
        <f aca="false">-X68*(In_MEKH+In_HIPA+In_Innovation)</f>
        <v>-0</v>
      </c>
      <c r="Y72" s="46" t="n">
        <f aca="false">-Y68*(In_MEKH+In_HIPA+In_Innovation)</f>
        <v>-0</v>
      </c>
      <c r="Z72" s="46" t="n">
        <f aca="false">-Z68*(In_MEKH+In_HIPA+In_Innovation)</f>
        <v>-71.8611264</v>
      </c>
      <c r="AA72" s="46" t="n">
        <f aca="false">-AA68*(In_MEKH+In_HIPA+In_Innovation)</f>
        <v>-71.00191728</v>
      </c>
      <c r="AB72" s="46" t="n">
        <f aca="false">-AB68*(In_MEKH+In_HIPA+In_Innovation)</f>
        <v>-71.790827472</v>
      </c>
      <c r="AC72" s="46" t="n">
        <f aca="false">-AC68*(In_MEKH+In_HIPA+In_Innovation)</f>
        <v>-72.579737664</v>
      </c>
      <c r="AD72" s="46" t="n">
        <f aca="false">-AD68*(In_MEKH+In_HIPA+In_Innovation)</f>
        <v>-72.361998451008</v>
      </c>
      <c r="AE72" s="46" t="n">
        <f aca="false">-AE68*(In_MEKH+In_HIPA+In_Innovation)</f>
        <v>-72.2912095394799</v>
      </c>
      <c r="AF72" s="46" t="n">
        <f aca="false">-AF68*(In_MEKH+In_HIPA+In_Innovation)</f>
        <v>-72.2912095394799</v>
      </c>
      <c r="AG72" s="46" t="n">
        <f aca="false">-AG68*(In_MEKH+In_HIPA+In_Innovation)</f>
        <v>-73.0856184355181</v>
      </c>
      <c r="AH72" s="46" t="n">
        <f aca="false">-AH68*(In_MEKH+In_HIPA+In_Innovation)</f>
        <v>-72.8663615802116</v>
      </c>
      <c r="AI72" s="46" t="n">
        <f aca="false">-AI68*(In_MEKH+In_HIPA+In_Innovation)</f>
        <v>-71.9951333439264</v>
      </c>
      <c r="AJ72" s="46" t="n">
        <f aca="false">-AJ68*(In_MEKH+In_HIPA+In_Innovation)</f>
        <v>-72.7950792699701</v>
      </c>
      <c r="AK72" s="46" t="n">
        <f aca="false">-AK68*(In_MEKH+In_HIPA+In_Innovation)</f>
        <v>-73.5950251960137</v>
      </c>
      <c r="AL72" s="46" t="n">
        <f aca="false">-AL68*(In_MEKH+In_HIPA+In_Innovation)</f>
        <v>-73.3742401204257</v>
      </c>
      <c r="AM72" s="46" t="n">
        <f aca="false">-AM68*(In_MEKH+In_HIPA+In_Innovation)</f>
        <v>-72.4969394233336</v>
      </c>
      <c r="AN72" s="46" t="n">
        <f aca="false">-AN68*(In_MEKH+In_HIPA+In_Innovation)</f>
        <v>-73.3024609724817</v>
      </c>
      <c r="AO72" s="46" t="n">
        <f aca="false">-AO68*(In_MEKH+In_HIPA+In_Innovation)</f>
        <v>-74.1079825216299</v>
      </c>
      <c r="AP72" s="46" t="n">
        <f aca="false">-AP68*(In_MEKH+In_HIPA+In_Innovation)</f>
        <v>-73.885658574065</v>
      </c>
      <c r="AQ72" s="46" t="n">
        <f aca="false">-AQ68*(In_MEKH+In_HIPA+In_Innovation)</f>
        <v>-73.0022430911142</v>
      </c>
      <c r="AR72" s="46" t="n">
        <f aca="false">-AR68*(In_MEKH+In_HIPA+In_Innovation)</f>
        <v>-73.81337912546</v>
      </c>
      <c r="AS72" s="46" t="n">
        <f aca="false">-AS68*(In_MEKH+In_HIPA+In_Innovation)</f>
        <v>-74.6245151598057</v>
      </c>
      <c r="AT72" s="46" t="n">
        <f aca="false">-AT68*(In_MEKH+In_HIPA+In_Innovation)</f>
        <v>-74.4006416143263</v>
      </c>
      <c r="AU72" s="46" t="n">
        <f aca="false">-AU68*(In_MEKH+In_HIPA+In_Innovation)</f>
        <v>-74.3278583779644</v>
      </c>
      <c r="AV72" s="46" t="n">
        <f aca="false">-AV68*(In_MEKH+In_HIPA+In_Innovation)</f>
        <v>-74.3278583779644</v>
      </c>
      <c r="AW72" s="46" t="n">
        <f aca="false">-AW68*(In_MEKH+In_HIPA+In_Innovation)</f>
        <v>-75.1446480304695</v>
      </c>
      <c r="AX72" s="46" t="n">
        <f aca="false">-AX68*(In_MEKH+In_HIPA+In_Innovation)</f>
        <v>-74.9192140863781</v>
      </c>
      <c r="AY72" s="46" t="n">
        <f aca="false">-AY68*(In_MEKH+In_HIPA+In_Innovation)</f>
        <v>-74.0234408744757</v>
      </c>
      <c r="AZ72" s="46" t="n">
        <f aca="false">-AZ68*(In_MEKH+In_HIPA+In_Innovation)</f>
        <v>-74.8459235508588</v>
      </c>
      <c r="BA72" s="46" t="n">
        <f aca="false">-BA68*(In_MEKH+In_HIPA+In_Innovation)</f>
        <v>-75.6684062272419</v>
      </c>
      <c r="BB72" s="46" t="n">
        <f aca="false">-BB68*(In_MEKH+In_HIPA+In_Innovation)</f>
        <v>-75.4414010085602</v>
      </c>
      <c r="BC72" s="46" t="n">
        <f aca="false">-BC68*(In_MEKH+In_HIPA+In_Innovation)</f>
        <v>-74.5393842573708</v>
      </c>
      <c r="BD72" s="46" t="n">
        <f aca="false">-BD68*(In_MEKH+In_HIPA+In_Innovation)</f>
        <v>-75.3675996380083</v>
      </c>
      <c r="BE72" s="46" t="n">
        <f aca="false">-BE68*(In_MEKH+In_HIPA+In_Innovation)</f>
        <v>-76.1958150186458</v>
      </c>
      <c r="BF72" s="46" t="n">
        <f aca="false">-BF68*(In_MEKH+In_HIPA+In_Innovation)</f>
        <v>-75.9672275735898</v>
      </c>
      <c r="BG72" s="46" t="n">
        <f aca="false">-BG68*(In_MEKH+In_HIPA+In_Innovation)</f>
        <v>-75.0589237656447</v>
      </c>
      <c r="BH72" s="46" t="n">
        <f aca="false">-BH68*(In_MEKH+In_HIPA+In_Innovation)</f>
        <v>-75.8929118074852</v>
      </c>
      <c r="BI72" s="46" t="n">
        <f aca="false">-BI68*(In_MEKH+In_HIPA+In_Innovation)</f>
        <v>-76.7268998493257</v>
      </c>
      <c r="BJ72" s="46" t="n">
        <f aca="false">-BJ68*(In_MEKH+In_HIPA+In_Innovation)</f>
        <v>-76.4967191497777</v>
      </c>
      <c r="BK72" s="46" t="n">
        <f aca="false">-BK68*(In_MEKH+In_HIPA+In_Innovation)</f>
        <v>-76.4218854027834</v>
      </c>
      <c r="BL72" s="46" t="n">
        <f aca="false">-BL68*(In_MEKH+In_HIPA+In_Innovation)</f>
        <v>-76.4218854027834</v>
      </c>
      <c r="BM72" s="46" t="n">
        <f aca="false">-BM68*(In_MEKH+In_HIPA+In_Innovation)</f>
        <v>-77.2616863412755</v>
      </c>
      <c r="BN72" s="46" t="n">
        <f aca="false">-BN68*(In_MEKH+In_HIPA+In_Innovation)</f>
        <v>-77.0299012822517</v>
      </c>
      <c r="BO72" s="46" t="n">
        <f aca="false">-BO68*(In_MEKH+In_HIPA+In_Innovation)</f>
        <v>-76.1088915930074</v>
      </c>
      <c r="BP72" s="46" t="n">
        <f aca="false">-BP68*(In_MEKH+In_HIPA+In_Innovation)</f>
        <v>-76.9545459440408</v>
      </c>
      <c r="BQ72" s="46" t="n">
        <f aca="false">-BQ68*(In_MEKH+In_HIPA+In_Innovation)</f>
        <v>-77.8002002950742</v>
      </c>
      <c r="BR72" s="46" t="n">
        <f aca="false">-BR68*(In_MEKH+In_HIPA+In_Innovation)</f>
        <v>-77.566799694189</v>
      </c>
      <c r="BS72" s="46" t="n">
        <f aca="false">-BS68*(In_MEKH+In_HIPA+In_Innovation)</f>
        <v>-76.6393705674106</v>
      </c>
      <c r="BT72" s="46" t="n">
        <f aca="false">-BT68*(In_MEKH+In_HIPA+In_Innovation)</f>
        <v>-77.4909191292708</v>
      </c>
      <c r="BU72" s="46" t="n">
        <f aca="false">-BU68*(In_MEKH+In_HIPA+In_Innovation)</f>
        <v>-78.3424676911309</v>
      </c>
      <c r="BV72" s="46" t="n">
        <f aca="false">-BV68*(In_MEKH+In_HIPA+In_Innovation)</f>
        <v>-78.1074402880575</v>
      </c>
      <c r="BW72" s="46" t="n">
        <f aca="false">-BW68*(In_MEKH+In_HIPA+In_Innovation)</f>
        <v>-77.1735469802655</v>
      </c>
      <c r="BX72" s="46" t="n">
        <f aca="false">-BX68*(In_MEKH+In_HIPA+In_Innovation)</f>
        <v>-78.0310308356018</v>
      </c>
      <c r="BY72" s="46" t="n">
        <f aca="false">-BY68*(In_MEKH+In_HIPA+In_Innovation)</f>
        <v>-78.888514690938</v>
      </c>
      <c r="BZ72" s="46" t="n">
        <f aca="false">-BZ68*(In_MEKH+In_HIPA+In_Innovation)</f>
        <v>-78.6518491468652</v>
      </c>
      <c r="CA72" s="46" t="n">
        <f aca="false">-CA68*(In_MEKH+In_HIPA+In_Innovation)</f>
        <v>-78.5749071205259</v>
      </c>
      <c r="CB72" s="46" t="n">
        <f aca="false">-CB68*(In_MEKH+In_HIPA+In_Innovation)</f>
        <v>-78.5749071205259</v>
      </c>
      <c r="CC72" s="46" t="n">
        <f aca="false">-CC68*(In_MEKH+In_HIPA+In_Innovation)</f>
        <v>-79.4383676383339</v>
      </c>
      <c r="CD72" s="46" t="n">
        <f aca="false">-CD68*(In_MEKH+In_HIPA+In_Innovation)</f>
        <v>-79.2000525354189</v>
      </c>
      <c r="CE72" s="46" t="n">
        <f aca="false">-CE68*(In_MEKH+In_HIPA+In_Innovation)</f>
        <v>-78.2530953855389</v>
      </c>
      <c r="CF72" s="46" t="n">
        <f aca="false">-CF68*(In_MEKH+In_HIPA+In_Innovation)</f>
        <v>-79.122574223156</v>
      </c>
      <c r="CG72" s="46" t="n">
        <f aca="false">-CG68*(In_MEKH+In_HIPA+In_Innovation)</f>
        <v>-79.9920530607731</v>
      </c>
      <c r="CH72" s="46" t="n">
        <f aca="false">-CH68*(In_MEKH+In_HIPA+In_Innovation)</f>
        <v>-79.7520769015908</v>
      </c>
      <c r="CI72" s="46" t="n">
        <f aca="false">-CI68*(In_MEKH+In_HIPA+In_Innovation)</f>
        <v>-78.7985194603761</v>
      </c>
      <c r="CJ72" s="46" t="n">
        <f aca="false">-CJ68*(In_MEKH+In_HIPA+In_Innovation)</f>
        <v>-79.6740585654914</v>
      </c>
      <c r="CK72" s="46" t="n">
        <f aca="false">-CK68*(In_MEKH+In_HIPA+In_Innovation)</f>
        <v>-80.5495976706067</v>
      </c>
      <c r="CL72" s="46" t="n">
        <f aca="false">-CL68*(In_MEKH+In_HIPA+In_Innovation)</f>
        <v>-80.3079488775948</v>
      </c>
      <c r="CM72" s="46" t="n">
        <f aca="false">-CM68*(In_MEKH+In_HIPA+In_Innovation)</f>
        <v>-79.3477451410149</v>
      </c>
      <c r="CN72" s="46" t="n">
        <f aca="false">-CN68*(In_MEKH+In_HIPA+In_Innovation)</f>
        <v>-80.2293867536928</v>
      </c>
      <c r="CO72" s="46" t="n">
        <f aca="false">-CO68*(In_MEKH+In_HIPA+In_Innovation)</f>
        <v>-81.1110283663708</v>
      </c>
      <c r="CP72" s="46" t="n">
        <f aca="false">-CP68*(In_MEKH+In_HIPA+In_Innovation)</f>
        <v>-80.8676952812717</v>
      </c>
      <c r="CQ72" s="46" t="n">
        <f aca="false">-CQ68*(In_MEKH+In_HIPA+In_Innovation)</f>
        <v>-80.7885855793661</v>
      </c>
      <c r="CR72" s="46" t="n">
        <f aca="false">-CR68*(In_MEKH+In_HIPA+In_Innovation)</f>
        <v>-80.7885855793661</v>
      </c>
      <c r="CS72" s="46" t="n">
        <f aca="false">-CS68*(In_MEKH+In_HIPA+In_Innovation)</f>
        <v>-81.6763722340844</v>
      </c>
      <c r="CT72" s="46" t="n">
        <f aca="false">-CT68*(In_MEKH+In_HIPA+In_Innovation)</f>
        <v>-81.4313431173821</v>
      </c>
      <c r="CU72" s="46" t="n">
        <f aca="false">-CU68*(In_MEKH+In_HIPA+In_Innovation)</f>
        <v>-80.4577074931526</v>
      </c>
      <c r="CV72" s="46" t="n">
        <f aca="false">-CV68*(In_MEKH+In_HIPA+In_Innovation)</f>
        <v>-81.3516820208543</v>
      </c>
      <c r="CW72" s="46" t="n">
        <f aca="false">-CW68*(In_MEKH+In_HIPA+In_Innovation)</f>
        <v>-82.245656548556</v>
      </c>
      <c r="CX72" s="46" t="n">
        <f aca="false">-CX68*(In_MEKH+In_HIPA+In_Innovation)</f>
        <v>-81.9989195789103</v>
      </c>
      <c r="CY72" s="46" t="n">
        <f aca="false">-CY68*(In_MEKH+In_HIPA+In_Innovation)</f>
        <v>-81.0184977143799</v>
      </c>
      <c r="CZ72" s="46" t="n">
        <f aca="false">-CZ68*(In_MEKH+In_HIPA+In_Innovation)</f>
        <v>-81.9187032445396</v>
      </c>
      <c r="DA72" s="46" t="n">
        <f aca="false">-DA68*(In_MEKH+In_HIPA+In_Innovation)</f>
        <v>-82.8189087746994</v>
      </c>
      <c r="DB72" s="46" t="n">
        <f aca="false">-DB68*(In_MEKH+In_HIPA+In_Innovation)</f>
        <v>-82.5704520483753</v>
      </c>
      <c r="DC72" s="46" t="n">
        <f aca="false">-DC68*(In_MEKH+In_HIPA+In_Innovation)</f>
        <v>-81.5831966434491</v>
      </c>
      <c r="DD72" s="46" t="n">
        <f aca="false">-DD68*(In_MEKH+In_HIPA+In_Innovation)</f>
        <v>-82.4896766061541</v>
      </c>
      <c r="DE72" s="46" t="n">
        <f aca="false">-DE68*(In_MEKH+In_HIPA+In_Innovation)</f>
        <v>-83.3961565688591</v>
      </c>
      <c r="DF72" s="46" t="n">
        <f aca="false">-DF68*(In_MEKH+In_HIPA+In_Innovation)</f>
        <v>-83.1459680991525</v>
      </c>
      <c r="DG72" s="46" t="n">
        <f aca="false">-DG68*(In_MEKH+In_HIPA+In_Innovation)</f>
        <v>-83.0646296520989</v>
      </c>
      <c r="DH72" s="46" t="n">
        <f aca="false">-DH68*(In_MEKH+In_HIPA+In_Innovation)</f>
        <v>-83.0646296520989</v>
      </c>
      <c r="DI72" s="46" t="n">
        <f aca="false">-DI68*(In_MEKH+In_HIPA+In_Innovation)</f>
        <v>-83.977427780144</v>
      </c>
      <c r="DJ72" s="46" t="n">
        <f aca="false">-DJ68*(In_MEKH+In_HIPA+In_Innovation)</f>
        <v>-83.7254954968036</v>
      </c>
      <c r="DK72" s="46" t="n">
        <f aca="false">-DK68*(In_MEKH+In_HIPA+In_Innovation)</f>
        <v>-82.7244297897766</v>
      </c>
      <c r="DL72" s="46" t="n">
        <f aca="false">-DL68*(In_MEKH+In_HIPA+In_Innovation)</f>
        <v>-83.6435901207741</v>
      </c>
      <c r="DM72" s="46" t="n">
        <f aca="false">-DM68*(In_MEKH+In_HIPA+In_Innovation)</f>
        <v>-84.5627504517716</v>
      </c>
      <c r="DN72" s="46" t="n">
        <f aca="false">-DN68*(In_MEKH+In_HIPA+In_Innovation)</f>
        <v>-84.3090622004163</v>
      </c>
      <c r="DO72" s="46" t="n">
        <f aca="false">-DO68*(In_MEKH+In_HIPA+In_Innovation)</f>
        <v>-83.3010190654113</v>
      </c>
      <c r="DP72" s="46" t="n">
        <f aca="false">-DP68*(In_MEKH+In_HIPA+In_Innovation)</f>
        <v>-84.2265859439159</v>
      </c>
      <c r="DQ72" s="46" t="n">
        <f aca="false">-DQ68*(In_MEKH+In_HIPA+In_Innovation)</f>
        <v>-85.1521528224205</v>
      </c>
      <c r="DR72" s="46" t="n">
        <f aca="false">-DR68*(In_MEKH+In_HIPA+In_Innovation)</f>
        <v>-84.8966963639532</v>
      </c>
      <c r="DS72" s="46" t="n">
        <f aca="false">-DS68*(In_MEKH+In_HIPA+In_Innovation)</f>
        <v>-83.8816271682972</v>
      </c>
      <c r="DT72" s="46" t="n">
        <f aca="false">-DT68*(In_MEKH+In_HIPA+In_Innovation)</f>
        <v>-84.813645247945</v>
      </c>
      <c r="DU72" s="46" t="n">
        <f aca="false">-DU68*(In_MEKH+In_HIPA+In_Innovation)</f>
        <v>-85.7456633275927</v>
      </c>
      <c r="DV72" s="46" t="n">
        <f aca="false">-DV68*(In_MEKH+In_HIPA+In_Innovation)</f>
        <v>-85.48842633761</v>
      </c>
      <c r="DW72" s="46" t="n">
        <f aca="false">-DW68*(In_MEKH+In_HIPA+In_Innovation)</f>
        <v>-85.4047963553232</v>
      </c>
      <c r="DX72" s="46" t="n">
        <f aca="false">-DX68*(In_MEKH+In_HIPA+In_Innovation)</f>
        <v>-85.4047963553232</v>
      </c>
      <c r="DY72" s="46" t="n">
        <f aca="false">-DY68*(In_MEKH+In_HIPA+In_Innovation)</f>
        <v>-86.3433106009861</v>
      </c>
      <c r="DZ72" s="46" t="n">
        <f aca="false">-DZ68*(In_MEKH+In_HIPA+In_Innovation)</f>
        <v>-86.0842806691831</v>
      </c>
      <c r="EA72" s="46" t="n">
        <f aca="false">-EA68*(In_MEKH+In_HIPA+In_Innovation)</f>
        <v>-85.0550120959646</v>
      </c>
      <c r="EB72" s="46" t="n">
        <f aca="false">-EB68*(In_MEKH+In_HIPA+In_Innovation)</f>
        <v>-86.0000677859198</v>
      </c>
      <c r="EC72" s="46" t="n">
        <f aca="false">-EC68*(In_MEKH+In_HIPA+In_Innovation)</f>
        <v>-86.9451234758749</v>
      </c>
      <c r="ED72" s="46" t="n">
        <f aca="false">-ED68*(In_MEKH+In_HIPA+In_Innovation)</f>
        <v>-86.6842881054473</v>
      </c>
      <c r="EE72" s="46" t="n">
        <f aca="false">-EE68*(In_MEKH+In_HIPA+In_Innovation)</f>
        <v>-85.6478455302735</v>
      </c>
      <c r="EF72" s="46" t="n">
        <f aca="false">-EF68*(In_MEKH+In_HIPA+In_Innovation)</f>
        <v>-86.5994882583876</v>
      </c>
      <c r="EG72" s="46" t="n">
        <f aca="false">-EG68*(In_MEKH+In_HIPA+In_Innovation)</f>
        <v>-87.5511309865018</v>
      </c>
      <c r="EH72" s="46" t="n">
        <f aca="false">-EH68*(In_MEKH+In_HIPA+In_Innovation)</f>
        <v>-87.2884775935423</v>
      </c>
      <c r="EI72" s="46" t="n">
        <f aca="false">-EI68*(In_MEKH+In_HIPA+In_Innovation)</f>
        <v>-86.2448110136195</v>
      </c>
      <c r="EJ72" s="46" t="n">
        <f aca="false">-EJ68*(In_MEKH+In_HIPA+In_Innovation)</f>
        <v>-87.2030866915486</v>
      </c>
      <c r="EK72" s="46" t="n">
        <f aca="false">-EK68*(In_MEKH+In_HIPA+In_Innovation)</f>
        <v>-88.1613623694777</v>
      </c>
      <c r="EL72" s="46" t="n">
        <f aca="false">-EL68*(In_MEKH+In_HIPA+In_Innovation)</f>
        <v>-87.8968782823693</v>
      </c>
      <c r="EM72" s="46" t="n">
        <f aca="false">-EM68*(In_MEKH+In_HIPA+In_Innovation)</f>
        <v>-87.8108922057887</v>
      </c>
      <c r="EN72" s="46" t="n">
        <f aca="false">-EN68*(In_MEKH+In_HIPA+In_Innovation)</f>
        <v>-87.8108922057887</v>
      </c>
      <c r="EO72" s="46" t="n">
        <f aca="false">-EO68*(In_MEKH+In_HIPA+In_Innovation)</f>
        <v>-88.775847065193</v>
      </c>
    </row>
    <row r="73" customFormat="false" ht="15" hidden="false" customHeight="false" outlineLevel="0" collapsed="false">
      <c r="C73" s="0" t="s">
        <v>290</v>
      </c>
      <c r="D73" s="11" t="s">
        <v>33</v>
      </c>
      <c r="I73" s="46" t="n">
        <f aca="false">SUM(J73:EO73)</f>
        <v>-4855.44410223627</v>
      </c>
      <c r="J73" s="46" t="n">
        <f aca="false">In_Opex_Contingency*(J69+J70+J71-J68*In_MEKH)</f>
        <v>-0</v>
      </c>
      <c r="K73" s="46" t="n">
        <f aca="false">In_Opex_Contingency*(K69+K70+K71-K68*In_MEKH)</f>
        <v>-0</v>
      </c>
      <c r="L73" s="46" t="n">
        <f aca="false">In_Opex_Contingency*(L69+L70+L71-L68*In_MEKH)</f>
        <v>-0</v>
      </c>
      <c r="M73" s="46" t="n">
        <f aca="false">In_Opex_Contingency*(M69+M70+M71-M68*In_MEKH)</f>
        <v>-0</v>
      </c>
      <c r="N73" s="46" t="n">
        <f aca="false">In_Opex_Contingency*(N69+N70+N71-N68*In_MEKH)</f>
        <v>-0</v>
      </c>
      <c r="O73" s="46" t="n">
        <f aca="false">In_Opex_Contingency*(O69+O70+O71-O68*In_MEKH)</f>
        <v>-0</v>
      </c>
      <c r="P73" s="46" t="n">
        <f aca="false">In_Opex_Contingency*(P69+P70+P71-P68*In_MEKH)</f>
        <v>-0</v>
      </c>
      <c r="Q73" s="46" t="n">
        <f aca="false">In_Opex_Contingency*(Q69+Q70+Q71-Q68*In_MEKH)</f>
        <v>-0</v>
      </c>
      <c r="R73" s="46" t="n">
        <f aca="false">In_Opex_Contingency*(R69+R70+R71-R68*In_MEKH)</f>
        <v>-1.979252401946</v>
      </c>
      <c r="S73" s="46" t="n">
        <f aca="false">In_Opex_Contingency*(S69+S70+S71-S68*In_MEKH)</f>
        <v>-1.98463080521216</v>
      </c>
      <c r="T73" s="46" t="n">
        <f aca="false">In_Opex_Contingency*(T69+T70+T71-T68*In_MEKH)</f>
        <v>-2.00668225860341</v>
      </c>
      <c r="U73" s="46" t="n">
        <f aca="false">In_Opex_Contingency*(U69+U70+U71-U68*In_MEKH)</f>
        <v>-2.02873371199466</v>
      </c>
      <c r="V73" s="46" t="n">
        <f aca="false">In_Opex_Contingency*(V69+V70+V71-V68*In_MEKH)</f>
        <v>-2.02873371199466</v>
      </c>
      <c r="W73" s="46" t="n">
        <f aca="false">In_Opex_Contingency*(W69+W70+W71-W68*In_MEKH)</f>
        <v>-2.03424657534247</v>
      </c>
      <c r="X73" s="46" t="n">
        <f aca="false">In_Opex_Contingency*(X69+X70+X71-X68*In_MEKH)</f>
        <v>-2.05684931506849</v>
      </c>
      <c r="Y73" s="46" t="n">
        <f aca="false">In_Opex_Contingency*(Y69+Y70+Y71-Y68*In_MEKH)</f>
        <v>-2.07945205479452</v>
      </c>
      <c r="Z73" s="46" t="n">
        <f aca="false">In_Opex_Contingency*(Z69+Z70+Z71-Z68*In_MEKH)</f>
        <v>-27.6861487621918</v>
      </c>
      <c r="AA73" s="46" t="n">
        <f aca="false">In_Opex_Contingency*(AA69+AA70+AA71-AA68*In_MEKH)</f>
        <v>-27.759186020589</v>
      </c>
      <c r="AB73" s="46" t="n">
        <f aca="false">In_Opex_Contingency*(AB69+AB70+AB71-AB68*In_MEKH)</f>
        <v>-28.0676214208178</v>
      </c>
      <c r="AC73" s="46" t="n">
        <f aca="false">In_Opex_Contingency*(AC69+AC70+AC71-AC68*In_MEKH)</f>
        <v>-28.3760568210466</v>
      </c>
      <c r="AD73" s="46" t="n">
        <f aca="false">In_Opex_Contingency*(AD69+AD70+AD71-AD68*In_MEKH)</f>
        <v>-28.3500276231862</v>
      </c>
      <c r="AE73" s="46" t="n">
        <f aca="false">In_Opex_Contingency*(AE69+AE70+AE71-AE68*In_MEKH)</f>
        <v>-28.7406852947782</v>
      </c>
      <c r="AF73" s="46" t="n">
        <f aca="false">In_Opex_Contingency*(AF69+AF70+AF71-AF68*In_MEKH)</f>
        <v>-28.7406852947782</v>
      </c>
      <c r="AG73" s="46" t="n">
        <f aca="false">In_Opex_Contingency*(AG69+AG70+AG71-AG68*In_MEKH)</f>
        <v>-29.0565170013142</v>
      </c>
      <c r="AH73" s="46" t="n">
        <f aca="false">In_Opex_Contingency*(AH69+AH70+AH71-AH68*In_MEKH)</f>
        <v>-29.0299238972281</v>
      </c>
      <c r="AI73" s="46" t="n">
        <f aca="false">In_Opex_Contingency*(AI69+AI70+AI71-AI68*In_MEKH)</f>
        <v>-29.1065819877973</v>
      </c>
      <c r="AJ73" s="46" t="n">
        <f aca="false">In_Opex_Contingency*(AJ69+AJ70+AJ71-AJ68*In_MEKH)</f>
        <v>-29.4299884543283</v>
      </c>
      <c r="AK73" s="46" t="n">
        <f aca="false">In_Opex_Contingency*(AK69+AK70+AK71-AK68*In_MEKH)</f>
        <v>-29.7533949208594</v>
      </c>
      <c r="AL73" s="46" t="n">
        <f aca="false">In_Opex_Contingency*(AL69+AL70+AL71-AL68*In_MEKH)</f>
        <v>-29.7262255941876</v>
      </c>
      <c r="AM73" s="46" t="n">
        <f aca="false">In_Opex_Contingency*(AM69+AM70+AM71-AM68*In_MEKH)</f>
        <v>-29.8047602827551</v>
      </c>
      <c r="AN73" s="46" t="n">
        <f aca="false">In_Opex_Contingency*(AN69+AN70+AN71-AN68*In_MEKH)</f>
        <v>-30.1359242858968</v>
      </c>
      <c r="AO73" s="46" t="n">
        <f aca="false">In_Opex_Contingency*(AO69+AO70+AO71-AO68*In_MEKH)</f>
        <v>-30.4670882890385</v>
      </c>
      <c r="AP73" s="46" t="n">
        <f aca="false">In_Opex_Contingency*(AP69+AP70+AP71-AP68*In_MEKH)</f>
        <v>-30.4393301537144</v>
      </c>
      <c r="AQ73" s="46" t="n">
        <f aca="false">In_Opex_Contingency*(AQ69+AQ70+AQ71-AQ68*In_MEKH)</f>
        <v>-30.5197869920154</v>
      </c>
      <c r="AR73" s="46" t="n">
        <f aca="false">In_Opex_Contingency*(AR69+AR70+AR71-AR68*In_MEKH)</f>
        <v>-30.8588957363711</v>
      </c>
      <c r="AS73" s="46" t="n">
        <f aca="false">In_Opex_Contingency*(AS69+AS70+AS71-AS68*In_MEKH)</f>
        <v>-31.1980044807269</v>
      </c>
      <c r="AT73" s="46" t="n">
        <f aca="false">In_Opex_Contingency*(AT69+AT70+AT71-AT68*In_MEKH)</f>
        <v>-31.1696446750663</v>
      </c>
      <c r="AU73" s="46" t="n">
        <f aca="false">In_Opex_Contingency*(AU69+AU70+AU71-AU68*In_MEKH)</f>
        <v>-31.599315546111</v>
      </c>
      <c r="AV73" s="46" t="n">
        <f aca="false">In_Opex_Contingency*(AV69+AV70+AV71-AV68*In_MEKH)</f>
        <v>-31.599315546111</v>
      </c>
      <c r="AW73" s="46" t="n">
        <f aca="false">In_Opex_Contingency*(AW69+AW70+AW71-AW68*In_MEKH)</f>
        <v>-31.9465607718925</v>
      </c>
      <c r="AX73" s="46" t="n">
        <f aca="false">In_Opex_Contingency*(AX69+AX70+AX71-AX68*In_MEKH)</f>
        <v>-31.9175861525529</v>
      </c>
      <c r="AY73" s="46" t="n">
        <f aca="false">In_Opex_Contingency*(AY69+AY70+AY71-AY68*In_MEKH)</f>
        <v>-32.0020283943847</v>
      </c>
      <c r="AZ73" s="46" t="n">
        <f aca="false">In_Opex_Contingency*(AZ69+AZ70+AZ71-AZ68*In_MEKH)</f>
        <v>-32.3576064876556</v>
      </c>
      <c r="BA73" s="46" t="n">
        <f aca="false">In_Opex_Contingency*(BA69+BA70+BA71-BA68*In_MEKH)</f>
        <v>-32.7131845809266</v>
      </c>
      <c r="BB73" s="46" t="n">
        <f aca="false">In_Opex_Contingency*(BB69+BB70+BB71-BB68*In_MEKH)</f>
        <v>-32.6835817167343</v>
      </c>
      <c r="BC73" s="46" t="n">
        <f aca="false">In_Opex_Contingency*(BC69+BC70+BC71-BC68*In_MEKH)</f>
        <v>-32.7700895046566</v>
      </c>
      <c r="BD73" s="46" t="n">
        <f aca="false">In_Opex_Contingency*(BD69+BD70+BD71-BD68*In_MEKH)</f>
        <v>-33.1342016102639</v>
      </c>
      <c r="BE73" s="46" t="n">
        <f aca="false">In_Opex_Contingency*(BE69+BE70+BE71-BE68*In_MEKH)</f>
        <v>-33.4983137158712</v>
      </c>
      <c r="BF73" s="46" t="n">
        <f aca="false">In_Opex_Contingency*(BF69+BF70+BF71-BF68*In_MEKH)</f>
        <v>-33.4680688815128</v>
      </c>
      <c r="BG73" s="46" t="n">
        <f aca="false">In_Opex_Contingency*(BG69+BG70+BG71-BG68*In_MEKH)</f>
        <v>-33.556692353174</v>
      </c>
      <c r="BH73" s="46" t="n">
        <f aca="false">In_Opex_Contingency*(BH69+BH70+BH71-BH68*In_MEKH)</f>
        <v>-33.9295444904315</v>
      </c>
      <c r="BI73" s="46" t="n">
        <f aca="false">In_Opex_Contingency*(BI69+BI70+BI71-BI68*In_MEKH)</f>
        <v>-34.302396627689</v>
      </c>
      <c r="BJ73" s="46" t="n">
        <f aca="false">In_Opex_Contingency*(BJ69+BJ70+BJ71-BJ68*In_MEKH)</f>
        <v>-34.271495797265</v>
      </c>
      <c r="BK73" s="46" t="n">
        <f aca="false">In_Opex_Contingency*(BK69+BK70+BK71-BK68*In_MEKH)</f>
        <v>-34.7440894885305</v>
      </c>
      <c r="BL73" s="46" t="n">
        <f aca="false">In_Opex_Contingency*(BL69+BL70+BL71-BL68*In_MEKH)</f>
        <v>-34.7440894885305</v>
      </c>
      <c r="BM73" s="46" t="n">
        <f aca="false">In_Opex_Contingency*(BM69+BM70+BM71-BM68*In_MEKH)</f>
        <v>-35.1258926697232</v>
      </c>
      <c r="BN73" s="46" t="n">
        <f aca="false">In_Opex_Contingency*(BN69+BN70+BN71-BN68*In_MEKH)</f>
        <v>-35.0943215101595</v>
      </c>
      <c r="BO73" s="46" t="n">
        <f aca="false">In_Opex_Contingency*(BO69+BO70+BO71-BO68*In_MEKH)</f>
        <v>-35.1873316599441</v>
      </c>
      <c r="BP73" s="46" t="n">
        <f aca="false">In_Opex_Contingency*(BP69+BP70+BP71-BP68*In_MEKH)</f>
        <v>-35.5783020117213</v>
      </c>
      <c r="BQ73" s="46" t="n">
        <f aca="false">In_Opex_Contingency*(BQ69+BQ70+BQ71-BQ68*In_MEKH)</f>
        <v>-35.9692723634984</v>
      </c>
      <c r="BR73" s="46" t="n">
        <f aca="false">In_Opex_Contingency*(BR69+BR70+BR71-BR68*In_MEKH)</f>
        <v>-35.9370162278146</v>
      </c>
      <c r="BS73" s="46" t="n">
        <f aca="false">In_Opex_Contingency*(BS69+BS70+BS71-BS68*In_MEKH)</f>
        <v>-36.0322998955625</v>
      </c>
      <c r="BT73" s="46" t="n">
        <f aca="false">In_Opex_Contingency*(BT69+BT70+BT71-BT68*In_MEKH)</f>
        <v>-36.432658783291</v>
      </c>
      <c r="BU73" s="46" t="n">
        <f aca="false">In_Opex_Contingency*(BU69+BU70+BU71-BU68*In_MEKH)</f>
        <v>-36.8330176710195</v>
      </c>
      <c r="BV73" s="46" t="n">
        <f aca="false">In_Opex_Contingency*(BV69+BV70+BV71-BV68*In_MEKH)</f>
        <v>-36.8000615914482</v>
      </c>
      <c r="BW73" s="46" t="n">
        <f aca="false">In_Opex_Contingency*(BW69+BW70+BW71-BW68*In_MEKH)</f>
        <v>-36.897673963427</v>
      </c>
      <c r="BX73" s="46" t="n">
        <f aca="false">In_Opex_Contingency*(BX69+BX70+BX71-BX68*In_MEKH)</f>
        <v>-37.3076481185762</v>
      </c>
      <c r="BY73" s="46" t="n">
        <f aca="false">In_Opex_Contingency*(BY69+BY70+BY71-BY68*In_MEKH)</f>
        <v>-37.7176222737254</v>
      </c>
      <c r="BZ73" s="46" t="n">
        <f aca="false">In_Opex_Contingency*(BZ69+BZ70+BZ71-BZ68*In_MEKH)</f>
        <v>-37.6839509546821</v>
      </c>
      <c r="CA73" s="46" t="n">
        <f aca="false">In_Opex_Contingency*(CA69+CA70+CA71-CA68*In_MEKH)</f>
        <v>-38.20377020763</v>
      </c>
      <c r="CB73" s="46" t="n">
        <f aca="false">In_Opex_Contingency*(CB69+CB70+CB71-CB68*In_MEKH)</f>
        <v>-38.20377020763</v>
      </c>
      <c r="CC73" s="46" t="n">
        <f aca="false">In_Opex_Contingency*(CC69+CC70+CC71-CC68*In_MEKH)</f>
        <v>-38.6235918582633</v>
      </c>
      <c r="CD73" s="46" t="n">
        <f aca="false">In_Opex_Contingency*(CD69+CD70+CD71-CD68*In_MEKH)</f>
        <v>-38.5891896691609</v>
      </c>
      <c r="CE73" s="46" t="n">
        <f aca="false">In_Opex_Contingency*(CE69+CE70+CE71-CE68*In_MEKH)</f>
        <v>-38.6916304003514</v>
      </c>
      <c r="CF73" s="46" t="n">
        <f aca="false">In_Opex_Contingency*(CF69+CF70+CF71-CF68*In_MEKH)</f>
        <v>-39.1215374047998</v>
      </c>
      <c r="CG73" s="46" t="n">
        <f aca="false">In_Opex_Contingency*(CG69+CG70+CG71-CG68*In_MEKH)</f>
        <v>-39.5514444092481</v>
      </c>
      <c r="CH73" s="46" t="n">
        <f aca="false">In_Opex_Contingency*(CH69+CH70+CH71-CH68*In_MEKH)</f>
        <v>-39.5162953771545</v>
      </c>
      <c r="CI73" s="46" t="n">
        <f aca="false">In_Opex_Contingency*(CI69+CI70+CI71-CI68*In_MEKH)</f>
        <v>-39.6212385415893</v>
      </c>
      <c r="CJ73" s="46" t="n">
        <f aca="false">In_Opex_Contingency*(CJ69+CJ70+CJ71-CJ68*In_MEKH)</f>
        <v>-40.0614745253848</v>
      </c>
      <c r="CK73" s="46" t="n">
        <f aca="false">In_Opex_Contingency*(CK69+CK70+CK71-CK68*In_MEKH)</f>
        <v>-40.5017105091802</v>
      </c>
      <c r="CL73" s="46" t="n">
        <f aca="false">In_Opex_Contingency*(CL69+CL70+CL71-CL68*In_MEKH)</f>
        <v>-40.4657983113151</v>
      </c>
      <c r="CM73" s="46" t="n">
        <f aca="false">In_Opex_Contingency*(CM69+CM70+CM71-CM68*In_MEKH)</f>
        <v>-40.5733046533978</v>
      </c>
      <c r="CN73" s="46" t="n">
        <f aca="false">In_Opex_Contingency*(CN69+CN70+CN71-CN68*In_MEKH)</f>
        <v>-41.0241191495467</v>
      </c>
      <c r="CO73" s="46" t="n">
        <f aca="false">In_Opex_Contingency*(CO69+CO70+CO71-CO68*In_MEKH)</f>
        <v>-41.4749336456956</v>
      </c>
      <c r="CP73" s="46" t="n">
        <f aca="false">In_Opex_Contingency*(CP69+CP70+CP71-CP68*In_MEKH)</f>
        <v>-41.4382416017625</v>
      </c>
      <c r="CQ73" s="46" t="n">
        <f aca="false">In_Opex_Contingency*(CQ69+CQ70+CQ71-CQ68*In_MEKH)</f>
        <v>-42.0100219336516</v>
      </c>
      <c r="CR73" s="46" t="n">
        <f aca="false">In_Opex_Contingency*(CR69+CR70+CR71-CR68*In_MEKH)</f>
        <v>-42.0100219336516</v>
      </c>
      <c r="CS73" s="46" t="n">
        <f aca="false">In_Opex_Contingency*(CS69+CS70+CS71-CS68*In_MEKH)</f>
        <v>-42.471670526329</v>
      </c>
      <c r="CT73" s="46" t="n">
        <f aca="false">In_Opex_Contingency*(CT69+CT70+CT71-CT68*In_MEKH)</f>
        <v>-42.4341815906792</v>
      </c>
      <c r="CU73" s="46" t="n">
        <f aca="false">In_Opex_Contingency*(CU69+CU70+CU71-CU68*In_MEKH)</f>
        <v>-42.5470024574743</v>
      </c>
      <c r="CV73" s="46" t="n">
        <f aca="false">In_Opex_Contingency*(CV69+CV70+CV71-CV68*In_MEKH)</f>
        <v>-43.019746929224</v>
      </c>
      <c r="CW73" s="46" t="n">
        <f aca="false">In_Opex_Contingency*(CW69+CW70+CW71-CW68*In_MEKH)</f>
        <v>-43.4924914009738</v>
      </c>
      <c r="CX73" s="46" t="n">
        <f aca="false">In_Opex_Contingency*(CX69+CX70+CX71-CX68*In_MEKH)</f>
        <v>-43.4541881545982</v>
      </c>
      <c r="CY73" s="46" t="n">
        <f aca="false">In_Opex_Contingency*(CY69+CY70+CY71-CY68*In_MEKH)</f>
        <v>-43.5697634271779</v>
      </c>
      <c r="CZ73" s="46" t="n">
        <f aca="false">In_Opex_Contingency*(CZ69+CZ70+CZ71-CZ68*In_MEKH)</f>
        <v>-44.0538719097021</v>
      </c>
      <c r="DA73" s="46" t="n">
        <f aca="false">In_Opex_Contingency*(DA69+DA70+DA71-DA68*In_MEKH)</f>
        <v>-44.5379803922263</v>
      </c>
      <c r="DB73" s="46" t="n">
        <f aca="false">In_Opex_Contingency*(DB69+DB70+DB71-DB68*In_MEKH)</f>
        <v>-44.4988450345726</v>
      </c>
      <c r="DC73" s="46" t="n">
        <f aca="false">In_Opex_Contingency*(DC69+DC70+DC71-DC68*In_MEKH)</f>
        <v>-44.6172415765537</v>
      </c>
      <c r="DD73" s="46" t="n">
        <f aca="false">In_Opex_Contingency*(DD69+DD70+DD71-DD68*In_MEKH)</f>
        <v>-45.1129887051821</v>
      </c>
      <c r="DE73" s="46" t="n">
        <f aca="false">In_Opex_Contingency*(DE69+DE70+DE71-DE68*In_MEKH)</f>
        <v>-45.6087358338105</v>
      </c>
      <c r="DF73" s="46" t="n">
        <f aca="false">In_Opex_Contingency*(DF69+DF70+DF71-DF68*In_MEKH)</f>
        <v>-45.5687501744202</v>
      </c>
      <c r="DG73" s="46" t="n">
        <f aca="false">In_Opex_Contingency*(DG69+DG70+DG71-DG68*In_MEKH)</f>
        <v>-46.1977035453506</v>
      </c>
      <c r="DH73" s="46" t="n">
        <f aca="false">In_Opex_Contingency*(DH69+DH70+DH71-DH68*In_MEKH)</f>
        <v>-46.1977035453506</v>
      </c>
      <c r="DI73" s="46" t="n">
        <f aca="false">In_Opex_Contingency*(DI69+DI70+DI71-DI68*In_MEKH)</f>
        <v>-46.7053706172776</v>
      </c>
      <c r="DJ73" s="46" t="n">
        <f aca="false">In_Opex_Contingency*(DJ69+DJ70+DJ71-DJ68*In_MEKH)</f>
        <v>-46.6645160672396</v>
      </c>
      <c r="DK73" s="46" t="n">
        <f aca="false">In_Opex_Contingency*(DK69+DK70+DK71-DK68*In_MEKH)</f>
        <v>-46.7887622744214</v>
      </c>
      <c r="DL73" s="46" t="n">
        <f aca="false">In_Opex_Contingency*(DL69+DL70+DL71-DL68*In_MEKH)</f>
        <v>-47.3086374108039</v>
      </c>
      <c r="DM73" s="46" t="n">
        <f aca="false">In_Opex_Contingency*(DM69+DM70+DM71-DM68*In_MEKH)</f>
        <v>-47.8285125471863</v>
      </c>
      <c r="DN73" s="46" t="n">
        <f aca="false">In_Opex_Contingency*(DN69+DN70+DN71-DN68*In_MEKH)</f>
        <v>-47.786770110404</v>
      </c>
      <c r="DO73" s="46" t="n">
        <f aca="false">In_Opex_Contingency*(DO69+DO70+DO71-DO68*In_MEKH)</f>
        <v>-47.9140480809492</v>
      </c>
      <c r="DP73" s="46" t="n">
        <f aca="false">In_Opex_Contingency*(DP69+DP70+DP71-DP68*In_MEKH)</f>
        <v>-48.4464263929598</v>
      </c>
      <c r="DQ73" s="46" t="n">
        <f aca="false">In_Opex_Contingency*(DQ69+DQ70+DQ71-DQ68*In_MEKH)</f>
        <v>-48.9788047049703</v>
      </c>
      <c r="DR73" s="46" t="n">
        <f aca="false">In_Opex_Contingency*(DR69+DR70+DR71-DR68*In_MEKH)</f>
        <v>-48.9361549692362</v>
      </c>
      <c r="DS73" s="46" t="n">
        <f aca="false">In_Opex_Contingency*(DS69+DS70+DS71-DS68*In_MEKH)</f>
        <v>-49.0665383038425</v>
      </c>
      <c r="DT73" s="46" t="n">
        <f aca="false">In_Opex_Contingency*(DT69+DT70+DT71-DT68*In_MEKH)</f>
        <v>-49.6117220627741</v>
      </c>
      <c r="DU73" s="46" t="n">
        <f aca="false">In_Opex_Contingency*(DU69+DU70+DU71-DU68*In_MEKH)</f>
        <v>-50.1569058217057</v>
      </c>
      <c r="DV73" s="46" t="n">
        <f aca="false">In_Opex_Contingency*(DV69+DV70+DV71-DV68*In_MEKH)</f>
        <v>-50.1133289495808</v>
      </c>
      <c r="DW73" s="46" t="n">
        <f aca="false">In_Opex_Contingency*(DW69+DW70+DW71-DW68*In_MEKH)</f>
        <v>-50.8051918484756</v>
      </c>
      <c r="DX73" s="46" t="n">
        <f aca="false">In_Opex_Contingency*(DX69+DX70+DX71-DX68*In_MEKH)</f>
        <v>-50.8051918484756</v>
      </c>
      <c r="DY73" s="46" t="n">
        <f aca="false">In_Opex_Contingency*(DY69+DY70+DY71-DY68*In_MEKH)</f>
        <v>-51.3634906599973</v>
      </c>
      <c r="DZ73" s="46" t="n">
        <f aca="false">In_Opex_Contingency*(DZ69+DZ70+DZ71-DZ68*In_MEKH)</f>
        <v>-51.318966379491</v>
      </c>
      <c r="EA73" s="46" t="n">
        <f aca="false">In_Opex_Contingency*(EA69+EA70+EA71-EA68*In_MEKH)</f>
        <v>-51.4557884398768</v>
      </c>
      <c r="EB73" s="46" t="n">
        <f aca="false">In_Opex_Contingency*(EB69+EB70+EB71-EB68*In_MEKH)</f>
        <v>-52.0275194225421</v>
      </c>
      <c r="EC73" s="46" t="n">
        <f aca="false">In_Opex_Contingency*(EC69+EC70+EC71-EC68*In_MEKH)</f>
        <v>-52.5992504052074</v>
      </c>
      <c r="ED73" s="46" t="n">
        <f aca="false">In_Opex_Contingency*(ED69+ED70+ED71-ED68*In_MEKH)</f>
        <v>-52.5537580002524</v>
      </c>
      <c r="EE73" s="46" t="n">
        <f aca="false">In_Opex_Contingency*(EE69+EE70+EE71-EE68*In_MEKH)</f>
        <v>-52.6939171300324</v>
      </c>
      <c r="EF73" s="46" t="n">
        <f aca="false">In_Opex_Contingency*(EF69+EF70+EF71-EF68*In_MEKH)</f>
        <v>-53.2794050981439</v>
      </c>
      <c r="EG73" s="46" t="n">
        <f aca="false">In_Opex_Contingency*(EG69+EG70+EG71-EG68*In_MEKH)</f>
        <v>-53.8648930662554</v>
      </c>
      <c r="EH73" s="46" t="n">
        <f aca="false">In_Opex_Contingency*(EH69+EH70+EH71-EH68*In_MEKH)</f>
        <v>-53.8184113669737</v>
      </c>
      <c r="EI73" s="46" t="n">
        <f aca="false">In_Opex_Contingency*(EI69+EI70+EI71-EI68*In_MEKH)</f>
        <v>-53.9619885843489</v>
      </c>
      <c r="EJ73" s="46" t="n">
        <f aca="false">In_Opex_Contingency*(EJ69+EJ70+EJ71-EJ68*In_MEKH)</f>
        <v>-54.5615662352861</v>
      </c>
      <c r="EK73" s="46" t="n">
        <f aca="false">In_Opex_Contingency*(EK69+EK70+EK71-EK68*In_MEKH)</f>
        <v>-55.1611438862233</v>
      </c>
      <c r="EL73" s="46" t="n">
        <f aca="false">In_Opex_Contingency*(EL69+EL70+EL71-EL68*In_MEKH)</f>
        <v>-55.1136512589796</v>
      </c>
      <c r="EM73" s="46" t="n">
        <f aca="false">In_Opex_Contingency*(EM69+EM70+EM71-EM68*In_MEKH)</f>
        <v>-55.8747376568881</v>
      </c>
      <c r="EN73" s="46" t="n">
        <f aca="false">In_Opex_Contingency*(EN69+EN70+EN71-EN68*In_MEKH)</f>
        <v>-55.8747376568881</v>
      </c>
      <c r="EO73" s="46" t="n">
        <f aca="false">In_Opex_Contingency*(EO69+EO70+EO71-EO68*In_MEKH)</f>
        <v>-56.4887457630078</v>
      </c>
    </row>
    <row r="74" customFormat="false" ht="15" hidden="false" customHeight="false" outlineLevel="0" collapsed="false">
      <c r="C74" s="0" t="s">
        <v>23</v>
      </c>
      <c r="D74" s="11" t="s">
        <v>33</v>
      </c>
      <c r="I74" s="46" t="n">
        <f aca="false">SUM(J74:EO74)</f>
        <v>-9487.45919844699</v>
      </c>
      <c r="J74" s="46" t="n">
        <f aca="false">-$E30*J67/Thousand</f>
        <v>-0</v>
      </c>
      <c r="K74" s="46" t="n">
        <f aca="false">-$E30*K67/Thousand</f>
        <v>-0</v>
      </c>
      <c r="L74" s="46" t="n">
        <f aca="false">-$E30*L67/Thousand</f>
        <v>-0</v>
      </c>
      <c r="M74" s="46" t="n">
        <f aca="false">-$E30*M67/Thousand</f>
        <v>-0</v>
      </c>
      <c r="N74" s="46" t="n">
        <f aca="false">-$E30*N67/Thousand</f>
        <v>-0</v>
      </c>
      <c r="O74" s="46" t="n">
        <f aca="false">-$E30*O67/Thousand</f>
        <v>-0</v>
      </c>
      <c r="P74" s="46" t="n">
        <f aca="false">-$E30*P67/Thousand</f>
        <v>-0</v>
      </c>
      <c r="Q74" s="46" t="n">
        <f aca="false">-$E30*Q67/Thousand</f>
        <v>-0</v>
      </c>
      <c r="R74" s="46" t="n">
        <f aca="false">-$E30*R67/Thousand</f>
        <v>-0</v>
      </c>
      <c r="S74" s="46" t="n">
        <f aca="false">-$E30*S67/Thousand</f>
        <v>-0</v>
      </c>
      <c r="T74" s="46" t="n">
        <f aca="false">-$E30*T67/Thousand</f>
        <v>-0</v>
      </c>
      <c r="U74" s="46" t="n">
        <f aca="false">-$E30*U67/Thousand</f>
        <v>-0</v>
      </c>
      <c r="V74" s="46" t="n">
        <f aca="false">-$E30*V67/Thousand</f>
        <v>-0</v>
      </c>
      <c r="W74" s="46" t="n">
        <f aca="false">-$E30*W67/Thousand</f>
        <v>-0</v>
      </c>
      <c r="X74" s="46" t="n">
        <f aca="false">-$E30*X67/Thousand</f>
        <v>-0</v>
      </c>
      <c r="Y74" s="46" t="n">
        <f aca="false">-$E30*Y67/Thousand</f>
        <v>-0</v>
      </c>
      <c r="Z74" s="46" t="n">
        <f aca="false">-$E30*Z67/Thousand</f>
        <v>-83.1726</v>
      </c>
      <c r="AA74" s="46" t="n">
        <f aca="false">-$E30*AA67/Thousand</f>
        <v>-81.3645</v>
      </c>
      <c r="AB74" s="46" t="n">
        <f aca="false">-$E30*AB67/Thousand</f>
        <v>-82.26855</v>
      </c>
      <c r="AC74" s="46" t="n">
        <f aca="false">-$E30*AC67/Thousand</f>
        <v>-83.1726</v>
      </c>
      <c r="AD74" s="46" t="n">
        <f aca="false">-$E30*AD67/Thousand</f>
        <v>-82.9230822</v>
      </c>
      <c r="AE74" s="46" t="n">
        <f aca="false">-$E30*AE67/Thousand</f>
        <v>-82.02174435</v>
      </c>
      <c r="AF74" s="46" t="n">
        <f aca="false">-$E30*AF67/Thousand</f>
        <v>-82.02174435</v>
      </c>
      <c r="AG74" s="46" t="n">
        <f aca="false">-$E30*AG67/Thousand</f>
        <v>-82.9230822</v>
      </c>
      <c r="AH74" s="46" t="n">
        <f aca="false">-$E30*AH67/Thousand</f>
        <v>-82.6743129534001</v>
      </c>
      <c r="AI74" s="46" t="n">
        <f aca="false">-$E30*AI67/Thousand</f>
        <v>-80.8770452805</v>
      </c>
      <c r="AJ74" s="46" t="n">
        <f aca="false">-$E30*AJ67/Thousand</f>
        <v>-81.77567911695</v>
      </c>
      <c r="AK74" s="46" t="n">
        <f aca="false">-$E30*AK67/Thousand</f>
        <v>-82.6743129534001</v>
      </c>
      <c r="AL74" s="46" t="n">
        <f aca="false">-$E30*AL67/Thousand</f>
        <v>-82.4262900145398</v>
      </c>
      <c r="AM74" s="46" t="n">
        <f aca="false">-$E30*AM67/Thousand</f>
        <v>-80.6344141446585</v>
      </c>
      <c r="AN74" s="46" t="n">
        <f aca="false">-$E30*AN67/Thousand</f>
        <v>-81.5303520795992</v>
      </c>
      <c r="AO74" s="46" t="n">
        <f aca="false">-$E30*AO67/Thousand</f>
        <v>-82.4262900145398</v>
      </c>
      <c r="AP74" s="46" t="n">
        <f aca="false">-$E30*AP67/Thousand</f>
        <v>-82.1790111444962</v>
      </c>
      <c r="AQ74" s="46" t="n">
        <f aca="false">-$E30*AQ67/Thousand</f>
        <v>-80.3925109022245</v>
      </c>
      <c r="AR74" s="46" t="n">
        <f aca="false">-$E30*AR67/Thousand</f>
        <v>-81.2857610233604</v>
      </c>
      <c r="AS74" s="46" t="n">
        <f aca="false">-$E30*AS67/Thousand</f>
        <v>-82.1790111444962</v>
      </c>
      <c r="AT74" s="46" t="n">
        <f aca="false">-$E30*AT67/Thousand</f>
        <v>-81.9324741110627</v>
      </c>
      <c r="AU74" s="46" t="n">
        <f aca="false">-$E30*AU67/Thousand</f>
        <v>-81.0419037402903</v>
      </c>
      <c r="AV74" s="46" t="n">
        <f aca="false">-$E30*AV67/Thousand</f>
        <v>-81.0419037402903</v>
      </c>
      <c r="AW74" s="46" t="n">
        <f aca="false">-$E30*AW67/Thousand</f>
        <v>-81.9324741110627</v>
      </c>
      <c r="AX74" s="46" t="n">
        <f aca="false">-$E30*AX67/Thousand</f>
        <v>-81.6866766887295</v>
      </c>
      <c r="AY74" s="46" t="n">
        <f aca="false">-$E30*AY67/Thousand</f>
        <v>-79.9108793694093</v>
      </c>
      <c r="AZ74" s="46" t="n">
        <f aca="false">-$E30*AZ67/Thousand</f>
        <v>-80.7987780290694</v>
      </c>
      <c r="BA74" s="46" t="n">
        <f aca="false">-$E30*BA67/Thousand</f>
        <v>-81.6866766887295</v>
      </c>
      <c r="BB74" s="46" t="n">
        <f aca="false">-$E30*BB67/Thousand</f>
        <v>-81.4416166586634</v>
      </c>
      <c r="BC74" s="46" t="n">
        <f aca="false">-$E30*BC67/Thousand</f>
        <v>-79.6711467313011</v>
      </c>
      <c r="BD74" s="46" t="n">
        <f aca="false">-$E30*BD67/Thousand</f>
        <v>-80.5563816949822</v>
      </c>
      <c r="BE74" s="46" t="n">
        <f aca="false">-$E30*BE67/Thousand</f>
        <v>-81.4416166586634</v>
      </c>
      <c r="BF74" s="46" t="n">
        <f aca="false">-$E30*BF67/Thousand</f>
        <v>-81.1972918086874</v>
      </c>
      <c r="BG74" s="46" t="n">
        <f aca="false">-$E30*BG67/Thousand</f>
        <v>-79.4321332911072</v>
      </c>
      <c r="BH74" s="46" t="n">
        <f aca="false">-$E30*BH67/Thousand</f>
        <v>-80.3147125498973</v>
      </c>
      <c r="BI74" s="46" t="n">
        <f aca="false">-$E30*BI67/Thousand</f>
        <v>-81.1972918086874</v>
      </c>
      <c r="BJ74" s="46" t="n">
        <f aca="false">-$E30*BJ67/Thousand</f>
        <v>-80.9536999332613</v>
      </c>
      <c r="BK74" s="46" t="n">
        <f aca="false">-$E30*BK67/Thousand</f>
        <v>-80.0737684122476</v>
      </c>
      <c r="BL74" s="46" t="n">
        <f aca="false">-$E30*BL67/Thousand</f>
        <v>-80.0737684122476</v>
      </c>
      <c r="BM74" s="46" t="n">
        <f aca="false">-$E30*BM67/Thousand</f>
        <v>-80.9536999332613</v>
      </c>
      <c r="BN74" s="46" t="n">
        <f aca="false">-$E30*BN67/Thousand</f>
        <v>-80.7108388334615</v>
      </c>
      <c r="BO74" s="46" t="n">
        <f aca="false">-$E30*BO67/Thousand</f>
        <v>-78.9562553805602</v>
      </c>
      <c r="BP74" s="46" t="n">
        <f aca="false">-$E30*BP67/Thousand</f>
        <v>-79.8335471070108</v>
      </c>
      <c r="BQ74" s="46" t="n">
        <f aca="false">-$E30*BQ67/Thousand</f>
        <v>-80.7108388334615</v>
      </c>
      <c r="BR74" s="46" t="n">
        <f aca="false">-$E30*BR67/Thousand</f>
        <v>-80.4687063169611</v>
      </c>
      <c r="BS74" s="46" t="n">
        <f aca="false">-$E30*BS67/Thousand</f>
        <v>-78.7193866144185</v>
      </c>
      <c r="BT74" s="46" t="n">
        <f aca="false">-$E30*BT67/Thousand</f>
        <v>-79.5940464656898</v>
      </c>
      <c r="BU74" s="46" t="n">
        <f aca="false">-$E30*BU67/Thousand</f>
        <v>-80.4687063169611</v>
      </c>
      <c r="BV74" s="46" t="n">
        <f aca="false">-$E30*BV67/Thousand</f>
        <v>-80.2273001980102</v>
      </c>
      <c r="BW74" s="46" t="n">
        <f aca="false">-$E30*BW67/Thousand</f>
        <v>-78.4832284545752</v>
      </c>
      <c r="BX74" s="46" t="n">
        <f aca="false">-$E30*BX67/Thousand</f>
        <v>-79.3552643262927</v>
      </c>
      <c r="BY74" s="46" t="n">
        <f aca="false">-$E30*BY67/Thousand</f>
        <v>-80.2273001980102</v>
      </c>
      <c r="BZ74" s="46" t="n">
        <f aca="false">-$E30*BZ67/Thousand</f>
        <v>-79.9866182974162</v>
      </c>
      <c r="CA74" s="46" t="n">
        <f aca="false">-$E30*CA67/Thousand</f>
        <v>-79.1171985333138</v>
      </c>
      <c r="CB74" s="46" t="n">
        <f aca="false">-$E30*CB67/Thousand</f>
        <v>-79.1171985333138</v>
      </c>
      <c r="CC74" s="46" t="n">
        <f aca="false">-$E30*CC67/Thousand</f>
        <v>-79.9866182974162</v>
      </c>
      <c r="CD74" s="46" t="n">
        <f aca="false">-$E30*CD67/Thousand</f>
        <v>-79.746658442524</v>
      </c>
      <c r="CE74" s="46" t="n">
        <f aca="false">-$E30*CE67/Thousand</f>
        <v>-78.0130354329039</v>
      </c>
      <c r="CF74" s="46" t="n">
        <f aca="false">-$E30*CF67/Thousand</f>
        <v>-78.8798469377139</v>
      </c>
      <c r="CG74" s="46" t="n">
        <f aca="false">-$E30*CG67/Thousand</f>
        <v>-79.746658442524</v>
      </c>
      <c r="CH74" s="46" t="n">
        <f aca="false">-$E30*CH67/Thousand</f>
        <v>-79.5074184671964</v>
      </c>
      <c r="CI74" s="46" t="n">
        <f aca="false">-$E30*CI67/Thousand</f>
        <v>-77.7789963266052</v>
      </c>
      <c r="CJ74" s="46" t="n">
        <f aca="false">-$E30*CJ67/Thousand</f>
        <v>-78.6432073969008</v>
      </c>
      <c r="CK74" s="46" t="n">
        <f aca="false">-$E30*CK67/Thousand</f>
        <v>-79.5074184671964</v>
      </c>
      <c r="CL74" s="46" t="n">
        <f aca="false">-$E30*CL67/Thousand</f>
        <v>-79.2688962117948</v>
      </c>
      <c r="CM74" s="46" t="n">
        <f aca="false">-$E30*CM67/Thousand</f>
        <v>-77.5456593376253</v>
      </c>
      <c r="CN74" s="46" t="n">
        <f aca="false">-$E30*CN67/Thousand</f>
        <v>-78.4072777747101</v>
      </c>
      <c r="CO74" s="46" t="n">
        <f aca="false">-$E30*CO67/Thousand</f>
        <v>-79.2688962117948</v>
      </c>
      <c r="CP74" s="46" t="n">
        <f aca="false">-$E30*CP67/Thousand</f>
        <v>-79.0310895231594</v>
      </c>
      <c r="CQ74" s="46" t="n">
        <f aca="false">-$E30*CQ67/Thousand</f>
        <v>-78.172055941386</v>
      </c>
      <c r="CR74" s="46" t="n">
        <f aca="false">-$E30*CR67/Thousand</f>
        <v>-78.172055941386</v>
      </c>
      <c r="CS74" s="46" t="n">
        <f aca="false">-$E30*CS67/Thousand</f>
        <v>-79.0310895231594</v>
      </c>
      <c r="CT74" s="46" t="n">
        <f aca="false">-$E30*CT67/Thousand</f>
        <v>-78.7939962545899</v>
      </c>
      <c r="CU74" s="46" t="n">
        <f aca="false">-$E30*CU67/Thousand</f>
        <v>-77.0810832925336</v>
      </c>
      <c r="CV74" s="46" t="n">
        <f aca="false">-$E30*CV67/Thousand</f>
        <v>-77.9375397735618</v>
      </c>
      <c r="CW74" s="46" t="n">
        <f aca="false">-$E30*CW67/Thousand</f>
        <v>-78.7939962545899</v>
      </c>
      <c r="CX74" s="46" t="n">
        <f aca="false">-$E30*CX67/Thousand</f>
        <v>-78.5576142658262</v>
      </c>
      <c r="CY74" s="46" t="n">
        <f aca="false">-$E30*CY67/Thousand</f>
        <v>-76.849840042656</v>
      </c>
      <c r="CZ74" s="46" t="n">
        <f aca="false">-$E30*CZ67/Thousand</f>
        <v>-77.7037271542411</v>
      </c>
      <c r="DA74" s="46" t="n">
        <f aca="false">-$E30*DA67/Thousand</f>
        <v>-78.5576142658262</v>
      </c>
      <c r="DB74" s="46" t="n">
        <f aca="false">-$E30*DB67/Thousand</f>
        <v>-78.3219414230287</v>
      </c>
      <c r="DC74" s="46" t="n">
        <f aca="false">-$E30*DC67/Thousand</f>
        <v>-76.6192905225281</v>
      </c>
      <c r="DD74" s="46" t="n">
        <f aca="false">-$E30*DD67/Thousand</f>
        <v>-77.4706159727784</v>
      </c>
      <c r="DE74" s="46" t="n">
        <f aca="false">-$E30*DE67/Thousand</f>
        <v>-78.3219414230287</v>
      </c>
      <c r="DF74" s="46" t="n">
        <f aca="false">-$E30*DF67/Thousand</f>
        <v>-78.0869755987596</v>
      </c>
      <c r="DG74" s="46" t="n">
        <f aca="false">-$E30*DG67/Thousand</f>
        <v>-77.2382041248601</v>
      </c>
      <c r="DH74" s="46" t="n">
        <f aca="false">-$E30*DH67/Thousand</f>
        <v>-77.2382041248601</v>
      </c>
      <c r="DI74" s="46" t="n">
        <f aca="false">-$E30*DI67/Thousand</f>
        <v>-78.0869755987596</v>
      </c>
      <c r="DJ74" s="46" t="n">
        <f aca="false">-$E30*DJ67/Thousand</f>
        <v>-77.8527146719633</v>
      </c>
      <c r="DK74" s="46" t="n">
        <f aca="false">-$E30*DK67/Thousand</f>
        <v>-76.1602643530076</v>
      </c>
      <c r="DL74" s="46" t="n">
        <f aca="false">-$E30*DL67/Thousand</f>
        <v>-77.0064895124855</v>
      </c>
      <c r="DM74" s="46" t="n">
        <f aca="false">-$E30*DM67/Thousand</f>
        <v>-77.8527146719633</v>
      </c>
      <c r="DN74" s="46" t="n">
        <f aca="false">-$E30*DN67/Thousand</f>
        <v>-77.6191565279474</v>
      </c>
      <c r="DO74" s="46" t="n">
        <f aca="false">-$E30*DO67/Thousand</f>
        <v>-75.9317835599486</v>
      </c>
      <c r="DP74" s="46" t="n">
        <f aca="false">-$E30*DP67/Thousand</f>
        <v>-76.775470043948</v>
      </c>
      <c r="DQ74" s="46" t="n">
        <f aca="false">-$E30*DQ67/Thousand</f>
        <v>-77.6191565279474</v>
      </c>
      <c r="DR74" s="46" t="n">
        <f aca="false">-$E30*DR67/Thousand</f>
        <v>-77.3862990583636</v>
      </c>
      <c r="DS74" s="46" t="n">
        <f aca="false">-$E30*DS67/Thousand</f>
        <v>-75.7039882092687</v>
      </c>
      <c r="DT74" s="46" t="n">
        <f aca="false">-$E30*DT67/Thousand</f>
        <v>-76.5451436338162</v>
      </c>
      <c r="DU74" s="46" t="n">
        <f aca="false">-$E30*DU67/Thousand</f>
        <v>-77.3862990583636</v>
      </c>
      <c r="DV74" s="46" t="n">
        <f aca="false">-$E30*DV67/Thousand</f>
        <v>-77.1541401611885</v>
      </c>
      <c r="DW74" s="46" t="n">
        <f aca="false">-$E30*DW67/Thousand</f>
        <v>-76.3155082029147</v>
      </c>
      <c r="DX74" s="46" t="n">
        <f aca="false">-$E30*DX67/Thousand</f>
        <v>-76.3155082029147</v>
      </c>
      <c r="DY74" s="46" t="n">
        <f aca="false">-$E30*DY67/Thousand</f>
        <v>-77.1541401611885</v>
      </c>
      <c r="DZ74" s="46" t="n">
        <f aca="false">-$E30*DZ67/Thousand</f>
        <v>-76.9226777407049</v>
      </c>
      <c r="EA74" s="46" t="n">
        <f aca="false">-$E30*EA67/Thousand</f>
        <v>-75.250445615907</v>
      </c>
      <c r="EB74" s="46" t="n">
        <f aca="false">-$E30*EB67/Thousand</f>
        <v>-76.086561678306</v>
      </c>
      <c r="EC74" s="46" t="n">
        <f aca="false">-$E30*EC67/Thousand</f>
        <v>-76.9226777407049</v>
      </c>
      <c r="ED74" s="46" t="n">
        <f aca="false">-$E30*ED67/Thousand</f>
        <v>-76.6919097074828</v>
      </c>
      <c r="EE74" s="46" t="n">
        <f aca="false">-$E30*EE67/Thousand</f>
        <v>-75.0246942790593</v>
      </c>
      <c r="EF74" s="46" t="n">
        <f aca="false">-$E30*EF67/Thousand</f>
        <v>-75.858301993271</v>
      </c>
      <c r="EG74" s="46" t="n">
        <f aca="false">-$E30*EG67/Thousand</f>
        <v>-76.6919097074828</v>
      </c>
      <c r="EH74" s="46" t="n">
        <f aca="false">-$E30*EH67/Thousand</f>
        <v>-76.4618339783604</v>
      </c>
      <c r="EI74" s="46" t="n">
        <f aca="false">-$E30*EI67/Thousand</f>
        <v>-74.7996201962221</v>
      </c>
      <c r="EJ74" s="46" t="n">
        <f aca="false">-$E30*EJ67/Thousand</f>
        <v>-75.6307270872912</v>
      </c>
      <c r="EK74" s="46" t="n">
        <f aca="false">-$E30*EK67/Thousand</f>
        <v>-76.4618339783604</v>
      </c>
      <c r="EL74" s="46" t="n">
        <f aca="false">-$E30*EL67/Thousand</f>
        <v>-76.2324484764253</v>
      </c>
      <c r="EM74" s="46" t="n">
        <f aca="false">-$E30*EM67/Thousand</f>
        <v>-75.4038349060294</v>
      </c>
      <c r="EN74" s="46" t="n">
        <f aca="false">-$E30*EN67/Thousand</f>
        <v>-75.4038349060294</v>
      </c>
      <c r="EO74" s="46" t="n">
        <f aca="false">-$E30*EO67/Thousand</f>
        <v>-76.2324484764253</v>
      </c>
    </row>
    <row r="75" customFormat="false" ht="15" hidden="false" customHeight="false" outlineLevel="0" collapsed="false">
      <c r="C75" s="24" t="s">
        <v>403</v>
      </c>
      <c r="D75" s="11" t="s">
        <v>33</v>
      </c>
      <c r="E75" s="56" t="n">
        <f aca="false">SUMIF($J$7:$EO$7,YEAR(In_COD)+1,$J75:$EO75)</f>
        <v>9019.85169682936</v>
      </c>
      <c r="I75" s="56" t="n">
        <f aca="false">SUM(J75:EO75)</f>
        <v>277488.784862531</v>
      </c>
      <c r="J75" s="56" t="n">
        <f aca="false">SUM(J68:J74)</f>
        <v>0</v>
      </c>
      <c r="K75" s="56" t="n">
        <f aca="false">SUM(K68:K74)</f>
        <v>0</v>
      </c>
      <c r="L75" s="56" t="n">
        <f aca="false">SUM(L68:L74)</f>
        <v>0</v>
      </c>
      <c r="M75" s="56" t="n">
        <f aca="false">SUM(M68:M74)</f>
        <v>0</v>
      </c>
      <c r="N75" s="56" t="n">
        <f aca="false">SUM(N68:N74)</f>
        <v>0</v>
      </c>
      <c r="O75" s="56" t="n">
        <f aca="false">SUM(O68:O74)</f>
        <v>0</v>
      </c>
      <c r="P75" s="56" t="n">
        <f aca="false">SUM(P68:P74)</f>
        <v>0</v>
      </c>
      <c r="Q75" s="56" t="n">
        <f aca="false">SUM(Q68:Q74)</f>
        <v>0</v>
      </c>
      <c r="R75" s="56" t="n">
        <f aca="false">SUM(R68:R74)</f>
        <v>-41.5643004408661</v>
      </c>
      <c r="S75" s="56" t="n">
        <f aca="false">SUM(S68:S74)</f>
        <v>-41.6772469094554</v>
      </c>
      <c r="T75" s="56" t="n">
        <f aca="false">SUM(T68:T74)</f>
        <v>-42.1403274306716</v>
      </c>
      <c r="U75" s="56" t="n">
        <f aca="false">SUM(U68:U74)</f>
        <v>-42.6034079518878</v>
      </c>
      <c r="V75" s="56" t="n">
        <f aca="false">SUM(V68:V74)</f>
        <v>-42.6034079518878</v>
      </c>
      <c r="W75" s="56" t="n">
        <f aca="false">SUM(W68:W74)</f>
        <v>-42.7191780821918</v>
      </c>
      <c r="X75" s="56" t="n">
        <f aca="false">SUM(X68:X74)</f>
        <v>-43.1938356164384</v>
      </c>
      <c r="Y75" s="56" t="n">
        <f aca="false">SUM(Y68:Y74)</f>
        <v>-43.6684931506849</v>
      </c>
      <c r="Z75" s="56" t="n">
        <f aca="false">SUM(Z68:Z74)</f>
        <v>2260.76496319397</v>
      </c>
      <c r="AA75" s="56" t="n">
        <f aca="false">SUM(AA68:AA74)</f>
        <v>2226.06230950763</v>
      </c>
      <c r="AB75" s="56" t="n">
        <f aca="false">SUM(AB68:AB74)</f>
        <v>2250.79633516883</v>
      </c>
      <c r="AC75" s="56" t="n">
        <f aca="false">SUM(AC68:AC74)</f>
        <v>2275.53036083002</v>
      </c>
      <c r="AD75" s="56" t="n">
        <f aca="false">SUM(AD68:AD74)</f>
        <v>2267.46269132288</v>
      </c>
      <c r="AE75" s="56" t="n">
        <f aca="false">SUM(AE68:AE74)</f>
        <v>2257.27851946265</v>
      </c>
      <c r="AF75" s="56" t="n">
        <f aca="false">SUM(AF68:AF74)</f>
        <v>2257.27851946265</v>
      </c>
      <c r="AG75" s="56" t="n">
        <f aca="false">SUM(AG68:AG74)</f>
        <v>2282.08377791828</v>
      </c>
      <c r="AH75" s="56" t="n">
        <f aca="false">SUM(AH68:AH74)</f>
        <v>2273.96542119925</v>
      </c>
      <c r="AI75" s="56" t="n">
        <f aca="false">SUM(AI68:AI74)</f>
        <v>2238.6866195181</v>
      </c>
      <c r="AJ75" s="56" t="n">
        <f aca="false">SUM(AJ68:AJ74)</f>
        <v>2263.56091529052</v>
      </c>
      <c r="AK75" s="56" t="n">
        <f aca="false">SUM(AK68:AK74)</f>
        <v>2288.43521106294</v>
      </c>
      <c r="AL75" s="56" t="n">
        <f aca="false">SUM(AL68:AL74)</f>
        <v>2280.26599740985</v>
      </c>
      <c r="AM75" s="56" t="n">
        <f aca="false">SUM(AM68:AM74)</f>
        <v>2244.69519560902</v>
      </c>
      <c r="AN75" s="56" t="n">
        <f aca="false">SUM(AN68:AN74)</f>
        <v>2269.63625333801</v>
      </c>
      <c r="AO75" s="56" t="n">
        <f aca="false">SUM(AO68:AO74)</f>
        <v>2294.577311067</v>
      </c>
      <c r="AP75" s="56" t="n">
        <f aca="false">SUM(AP68:AP74)</f>
        <v>2286.3570734134</v>
      </c>
      <c r="AQ75" s="56" t="n">
        <f aca="false">SUM(AQ68:AQ74)</f>
        <v>2250.49160809956</v>
      </c>
      <c r="AR75" s="56" t="n">
        <f aca="false">SUM(AR68:AR74)</f>
        <v>2275.49707041178</v>
      </c>
      <c r="AS75" s="56" t="n">
        <f aca="false">SUM(AS68:AS74)</f>
        <v>2300.502532724</v>
      </c>
      <c r="AT75" s="56" t="n">
        <f aca="false">SUM(AT68:AT74)</f>
        <v>2292.23110676241</v>
      </c>
      <c r="AU75" s="56" t="n">
        <f aca="false">SUM(AU68:AU74)</f>
        <v>2281.13570459435</v>
      </c>
      <c r="AV75" s="56" t="n">
        <f aca="false">SUM(AV68:AV74)</f>
        <v>2281.13570459435</v>
      </c>
      <c r="AW75" s="56" t="n">
        <f aca="false">SUM(AW68:AW74)</f>
        <v>2306.20312991956</v>
      </c>
      <c r="AX75" s="56" t="n">
        <f aca="false">SUM(AX68:AX74)</f>
        <v>2297.8803542073</v>
      </c>
      <c r="AY75" s="56" t="n">
        <f aca="false">SUM(AY68:AY74)</f>
        <v>2261.41742994696</v>
      </c>
      <c r="AZ75" s="56" t="n">
        <f aca="false">SUM(AZ68:AZ74)</f>
        <v>2286.54429027971</v>
      </c>
      <c r="BA75" s="56" t="n">
        <f aca="false">SUM(BA68:BA74)</f>
        <v>2311.67115061245</v>
      </c>
      <c r="BB75" s="56" t="n">
        <f aca="false">SUM(BB68:BB74)</f>
        <v>2303.29686668005</v>
      </c>
      <c r="BC75" s="56" t="n">
        <f aca="false">SUM(BC68:BC74)</f>
        <v>2266.53107448138</v>
      </c>
      <c r="BD75" s="56" t="n">
        <f aca="false">SUM(BD68:BD74)</f>
        <v>2291.71475308673</v>
      </c>
      <c r="BE75" s="56" t="n">
        <f aca="false">SUM(BE68:BE74)</f>
        <v>2316.89843169208</v>
      </c>
      <c r="BF75" s="56" t="n">
        <f aca="false">SUM(BF68:BF74)</f>
        <v>2308.47248415443</v>
      </c>
      <c r="BG75" s="56" t="n">
        <f aca="false">SUM(BG68:BG74)</f>
        <v>2271.40101558536</v>
      </c>
      <c r="BH75" s="56" t="n">
        <f aca="false">SUM(BH68:BH74)</f>
        <v>2296.63880464742</v>
      </c>
      <c r="BI75" s="56" t="n">
        <f aca="false">SUM(BI68:BI74)</f>
        <v>2321.87659370948</v>
      </c>
      <c r="BJ75" s="56" t="n">
        <f aca="false">SUM(BJ68:BJ74)</f>
        <v>2313.39883037971</v>
      </c>
      <c r="BK75" s="56" t="n">
        <f aca="false">SUM(BK68:BK74)</f>
        <v>2301.30793726692</v>
      </c>
      <c r="BL75" s="56" t="n">
        <f aca="false">SUM(BL68:BL74)</f>
        <v>2301.30793726692</v>
      </c>
      <c r="BM75" s="56" t="n">
        <f aca="false">SUM(BM68:BM74)</f>
        <v>2326.59703547864</v>
      </c>
      <c r="BN75" s="56" t="n">
        <f aca="false">SUM(BN68:BN74)</f>
        <v>2318.06730748485</v>
      </c>
      <c r="BO75" s="56" t="n">
        <f aca="false">SUM(BO68:BO74)</f>
        <v>2280.37590835929</v>
      </c>
      <c r="BP75" s="56" t="n">
        <f aca="false">SUM(BP68:BP74)</f>
        <v>2305.71341845217</v>
      </c>
      <c r="BQ75" s="56" t="n">
        <f aca="false">SUM(BQ68:BQ74)</f>
        <v>2331.05092854505</v>
      </c>
      <c r="BR75" s="56" t="n">
        <f aca="false">SUM(BR68:BR74)</f>
        <v>2322.46909044988</v>
      </c>
      <c r="BS75" s="56" t="n">
        <f aca="false">SUM(BS68:BS74)</f>
        <v>2284.46335909378</v>
      </c>
      <c r="BT75" s="56" t="n">
        <f aca="false">SUM(BT68:BT74)</f>
        <v>2309.84628530593</v>
      </c>
      <c r="BU75" s="56" t="n">
        <f aca="false">SUM(BU68:BU74)</f>
        <v>2335.22921151808</v>
      </c>
      <c r="BV75" s="56" t="n">
        <f aca="false">SUM(BV68:BV74)</f>
        <v>2326.59512144125</v>
      </c>
      <c r="BW75" s="56" t="n">
        <f aca="false">SUM(BW68:BW74)</f>
        <v>2288.27209330176</v>
      </c>
      <c r="BX75" s="56" t="n">
        <f aca="false">SUM(BX68:BX74)</f>
        <v>2313.69733878289</v>
      </c>
      <c r="BY75" s="56" t="n">
        <f aca="false">SUM(BY68:BY74)</f>
        <v>2339.12258426403</v>
      </c>
      <c r="BZ75" s="56" t="n">
        <f aca="false">SUM(BZ68:BZ74)</f>
        <v>2330.4361040079</v>
      </c>
      <c r="CA75" s="56" t="n">
        <f aca="false">SUM(CA68:CA74)</f>
        <v>2317.25713780453</v>
      </c>
      <c r="CB75" s="56" t="n">
        <f aca="false">SUM(CB68:CB74)</f>
        <v>2317.25713780453</v>
      </c>
      <c r="CC75" s="56" t="n">
        <f aca="false">SUM(CC68:CC74)</f>
        <v>2342.72150195623</v>
      </c>
      <c r="CD75" s="56" t="n">
        <f aca="false">SUM(CD68:CD74)</f>
        <v>2333.98249713444</v>
      </c>
      <c r="CE75" s="56" t="n">
        <f aca="false">SUM(CE68:CE74)</f>
        <v>2295.01581747936</v>
      </c>
      <c r="CF75" s="56" t="n">
        <f aca="false">SUM(CF68:CF74)</f>
        <v>2320.51599322913</v>
      </c>
      <c r="CG75" s="56" t="n">
        <f aca="false">SUM(CG68:CG74)</f>
        <v>2346.0161689789</v>
      </c>
      <c r="CH75" s="56" t="n">
        <f aca="false">SUM(CH68:CH74)</f>
        <v>2337.22450914815</v>
      </c>
      <c r="CI75" s="56" t="n">
        <f aca="false">SUM(CI68:CI74)</f>
        <v>2297.93139066616</v>
      </c>
      <c r="CJ75" s="56" t="n">
        <f aca="false">SUM(CJ68:CJ74)</f>
        <v>2323.46396167356</v>
      </c>
      <c r="CK75" s="56" t="n">
        <f aca="false">SUM(CK68:CK74)</f>
        <v>2348.99653268097</v>
      </c>
      <c r="CL75" s="56" t="n">
        <f aca="false">SUM(CL68:CL74)</f>
        <v>2340.15209147601</v>
      </c>
      <c r="CM75" s="56" t="n">
        <f aca="false">SUM(CM68:CM74)</f>
        <v>2300.52940138983</v>
      </c>
      <c r="CN75" s="56" t="n">
        <f aca="false">SUM(CN68:CN74)</f>
        <v>2326.09083918305</v>
      </c>
      <c r="CO75" s="56" t="n">
        <f aca="false">SUM(CO68:CO74)</f>
        <v>2351.65227697628</v>
      </c>
      <c r="CP75" s="56" t="n">
        <f aca="false">SUM(CP68:CP74)</f>
        <v>2342.75493224826</v>
      </c>
      <c r="CQ75" s="56" t="n">
        <f aca="false">SUM(CQ68:CQ74)</f>
        <v>2328.38615474529</v>
      </c>
      <c r="CR75" s="56" t="n">
        <f aca="false">SUM(CR68:CR74)</f>
        <v>2328.38615474529</v>
      </c>
      <c r="CS75" s="56" t="n">
        <f aca="false">SUM(CS68:CS74)</f>
        <v>2353.97281578645</v>
      </c>
      <c r="CT75" s="56" t="n">
        <f aca="false">SUM(CT68:CT74)</f>
        <v>2345.02244974458</v>
      </c>
      <c r="CU75" s="56" t="n">
        <f aca="false">SUM(CU68:CU74)</f>
        <v>2304.73104096759</v>
      </c>
      <c r="CV75" s="56" t="n">
        <f aca="false">SUM(CV68:CV74)</f>
        <v>2330.33916364501</v>
      </c>
      <c r="CW75" s="56" t="n">
        <f aca="false">SUM(CW68:CW74)</f>
        <v>2355.94728632243</v>
      </c>
      <c r="CX75" s="56" t="n">
        <f aca="false">SUM(CX68:CX74)</f>
        <v>2346.94378567909</v>
      </c>
      <c r="CY75" s="56" t="n">
        <f aca="false">SUM(CY68:CY74)</f>
        <v>2306.31313910949</v>
      </c>
      <c r="CZ75" s="56" t="n">
        <f aca="false">SUM(CZ68:CZ74)</f>
        <v>2331.93884065515</v>
      </c>
      <c r="DA75" s="56" t="n">
        <f aca="false">SUM(DA68:DA74)</f>
        <v>2357.56454220081</v>
      </c>
      <c r="DB75" s="56" t="n">
        <f aca="false">SUM(DB68:DB74)</f>
        <v>2348.50779832022</v>
      </c>
      <c r="DC75" s="56" t="n">
        <f aca="false">SUM(DC68:DC74)</f>
        <v>2307.53459973025</v>
      </c>
      <c r="DD75" s="56" t="n">
        <f aca="false">SUM(DD68:DD74)</f>
        <v>2333.17387306059</v>
      </c>
      <c r="DE75" s="56" t="n">
        <f aca="false">SUM(DE68:DE74)</f>
        <v>2358.81314639092</v>
      </c>
      <c r="DF75" s="56" t="n">
        <f aca="false">SUM(DF68:DF74)</f>
        <v>2349.70305544142</v>
      </c>
      <c r="DG75" s="56" t="n">
        <f aca="false">SUM(DG68:DG74)</f>
        <v>2334.0326535103</v>
      </c>
      <c r="DH75" s="56" t="n">
        <f aca="false">SUM(DH68:DH74)</f>
        <v>2334.0326535103</v>
      </c>
      <c r="DI75" s="56" t="n">
        <f aca="false">SUM(DI68:DI74)</f>
        <v>2359.68136398844</v>
      </c>
      <c r="DJ75" s="56" t="n">
        <f aca="false">SUM(DJ68:DJ74)</f>
        <v>2350.51782709838</v>
      </c>
      <c r="DK75" s="56" t="n">
        <f aca="false">SUM(DK68:DK74)</f>
        <v>2308.8493905763</v>
      </c>
      <c r="DL75" s="56" t="n">
        <f aca="false">SUM(DL68:DL74)</f>
        <v>2334.50327269381</v>
      </c>
      <c r="DM75" s="56" t="n">
        <f aca="false">SUM(DM68:DM74)</f>
        <v>2360.15715481133</v>
      </c>
      <c r="DN75" s="56" t="n">
        <f aca="false">SUM(DN68:DN74)</f>
        <v>2350.94007822885</v>
      </c>
      <c r="DO75" s="56" t="n">
        <f aca="false">SUM(DO68:DO74)</f>
        <v>2308.91885786124</v>
      </c>
      <c r="DP75" s="56" t="n">
        <f aca="false">SUM(DP68:DP74)</f>
        <v>2334.57351183747</v>
      </c>
      <c r="DQ75" s="56" t="n">
        <f aca="false">SUM(DQ68:DQ74)</f>
        <v>2360.22816581371</v>
      </c>
      <c r="DR75" s="56" t="n">
        <f aca="false">SUM(DR68:DR74)</f>
        <v>2350.95746107027</v>
      </c>
      <c r="DS75" s="56" t="n">
        <f aca="false">SUM(DS68:DS74)</f>
        <v>2308.57994671947</v>
      </c>
      <c r="DT75" s="56" t="n">
        <f aca="false">SUM(DT68:DT74)</f>
        <v>2334.23083501635</v>
      </c>
      <c r="DU75" s="56" t="n">
        <f aca="false">SUM(DU68:DU74)</f>
        <v>2359.88172331324</v>
      </c>
      <c r="DV75" s="56" t="n">
        <f aca="false">SUM(DV68:DV74)</f>
        <v>2350.55730739115</v>
      </c>
      <c r="DW75" s="56" t="n">
        <f aca="false">SUM(DW68:DW74)</f>
        <v>2333.46238127704</v>
      </c>
      <c r="DX75" s="56" t="n">
        <f aca="false">SUM(DX68:DX74)</f>
        <v>2333.46238127704</v>
      </c>
      <c r="DY75" s="56" t="n">
        <f aca="false">SUM(DY68:DY74)</f>
        <v>2359.10482502734</v>
      </c>
      <c r="DZ75" s="56" t="n">
        <f aca="false">SUM(DZ68:DZ74)</f>
        <v>2349.72662053131</v>
      </c>
      <c r="EA75" s="56" t="n">
        <f aca="false">SUM(EA68:EA74)</f>
        <v>2306.62578121991</v>
      </c>
      <c r="EB75" s="56" t="n">
        <f aca="false">SUM(EB68:EB74)</f>
        <v>2332.25495656679</v>
      </c>
      <c r="EC75" s="56" t="n">
        <f aca="false">SUM(EC68:EC74)</f>
        <v>2357.88413191368</v>
      </c>
      <c r="ED75" s="56" t="n">
        <f aca="false">SUM(ED68:ED74)</f>
        <v>2348.45206724647</v>
      </c>
      <c r="EE75" s="56" t="n">
        <f aca="false">SUM(EE68:EE74)</f>
        <v>2304.98409111847</v>
      </c>
      <c r="EF75" s="56" t="n">
        <f aca="false">SUM(EF68:EF74)</f>
        <v>2330.59502546424</v>
      </c>
      <c r="EG75" s="56" t="n">
        <f aca="false">SUM(EG68:EG74)</f>
        <v>2356.20595981</v>
      </c>
      <c r="EH75" s="56" t="n">
        <f aca="false">SUM(EH68:EH74)</f>
        <v>2346.71996935231</v>
      </c>
      <c r="EI75" s="56" t="n">
        <f aca="false">SUM(EI68:EI74)</f>
        <v>2302.88113454521</v>
      </c>
      <c r="EJ75" s="56" t="n">
        <f aca="false">SUM(EJ68:EJ74)</f>
        <v>2328.46870270683</v>
      </c>
      <c r="EK75" s="56" t="n">
        <f aca="false">SUM(EK68:EK74)</f>
        <v>2354.05627086844</v>
      </c>
      <c r="EL75" s="56" t="n">
        <f aca="false">SUM(EL68:EL74)</f>
        <v>2344.51629516312</v>
      </c>
      <c r="EM75" s="56" t="n">
        <f aca="false">SUM(EM68:EM74)</f>
        <v>2325.86174450997</v>
      </c>
      <c r="EN75" s="56" t="n">
        <f aca="false">SUM(EN68:EN74)</f>
        <v>2325.86174450997</v>
      </c>
      <c r="EO75" s="56" t="n">
        <f aca="false">SUM(EO68:EO74)</f>
        <v>2351.42066477931</v>
      </c>
    </row>
    <row r="77" customFormat="false" ht="15" hidden="false" customHeight="false" outlineLevel="0" collapsed="false">
      <c r="A77" s="9" t="s">
        <v>13</v>
      </c>
      <c r="B77" s="9"/>
      <c r="C77" s="9" t="s">
        <v>404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</row>
    <row r="78" customFormat="false" ht="15" hidden="false" customHeight="false" outlineLevel="0" collapsed="false">
      <c r="C78" s="0" t="s">
        <v>405</v>
      </c>
      <c r="D78" s="11" t="s">
        <v>33</v>
      </c>
      <c r="J78" s="57" t="n">
        <v>0</v>
      </c>
      <c r="K78" s="57" t="n">
        <v>0</v>
      </c>
      <c r="L78" s="57" t="n">
        <v>0</v>
      </c>
      <c r="M78" s="57" t="n">
        <v>0</v>
      </c>
      <c r="N78" s="57" t="n">
        <v>0</v>
      </c>
      <c r="O78" s="57" t="n">
        <v>0</v>
      </c>
      <c r="P78" s="57" t="n">
        <v>0</v>
      </c>
      <c r="Q78" s="57" t="n">
        <v>0</v>
      </c>
      <c r="R78" s="57" t="n">
        <v>0</v>
      </c>
      <c r="S78" s="57" t="n">
        <v>0</v>
      </c>
      <c r="T78" s="57" t="n">
        <v>0</v>
      </c>
      <c r="U78" s="57" t="n">
        <v>0</v>
      </c>
      <c r="V78" s="57" t="n">
        <v>0</v>
      </c>
      <c r="W78" s="57" t="n">
        <v>0</v>
      </c>
      <c r="X78" s="57" t="n">
        <v>0</v>
      </c>
      <c r="Y78" s="57" t="n">
        <v>0</v>
      </c>
      <c r="Z78" s="57" t="n">
        <v>-26.8493416772974</v>
      </c>
      <c r="AA78" s="57" t="n">
        <v>-26.5329521846974</v>
      </c>
      <c r="AB78" s="57" t="n">
        <v>-27.3928371179013</v>
      </c>
      <c r="AC78" s="57" t="n">
        <v>-28.2623417699392</v>
      </c>
      <c r="AD78" s="57" t="n">
        <v>-28.1628712934555</v>
      </c>
      <c r="AE78" s="57" t="n">
        <v>-28.4665994952787</v>
      </c>
      <c r="AF78" s="57" t="n">
        <v>-33.9827075798979</v>
      </c>
      <c r="AG78" s="57" t="n">
        <v>-59.2349751393392</v>
      </c>
      <c r="AH78" s="57" t="n">
        <v>-59.0443884008585</v>
      </c>
      <c r="AI78" s="57" t="n">
        <v>-58.4011558660008</v>
      </c>
      <c r="AJ78" s="57" t="n">
        <v>-62.4216231785073</v>
      </c>
      <c r="AK78" s="57" t="n">
        <v>-64.2524515095387</v>
      </c>
      <c r="AL78" s="57" t="n">
        <v>-64.0992588221918</v>
      </c>
      <c r="AM78" s="57" t="n">
        <v>-63.4228238648708</v>
      </c>
      <c r="AN78" s="57" t="n">
        <v>-65.2702176702446</v>
      </c>
      <c r="AO78" s="57" t="n">
        <v>-67.1376230276186</v>
      </c>
      <c r="AP78" s="57" t="n">
        <v>-67.0108055348763</v>
      </c>
      <c r="AQ78" s="57" t="n">
        <v>-66.3391622331176</v>
      </c>
      <c r="AR78" s="57" t="n">
        <v>-68.2238885595576</v>
      </c>
      <c r="AS78" s="57" t="n">
        <v>-70.1290357057261</v>
      </c>
      <c r="AT78" s="57" t="n">
        <v>-70.0299707973748</v>
      </c>
      <c r="AU78" s="57" t="n">
        <v>-70.6503100972348</v>
      </c>
      <c r="AV78" s="57" t="n">
        <v>-71.300783303525</v>
      </c>
      <c r="AW78" s="57" t="n">
        <v>-73.2450505224401</v>
      </c>
      <c r="AX78" s="57" t="n">
        <v>-73.1753395433697</v>
      </c>
      <c r="AY78" s="57" t="n">
        <v>-72.5170002153755</v>
      </c>
      <c r="AZ78" s="57" t="n">
        <v>-74.480226176692</v>
      </c>
      <c r="BA78" s="57" t="n">
        <v>-76.4647415045691</v>
      </c>
      <c r="BB78" s="57" t="n">
        <v>-76.4257406590024</v>
      </c>
      <c r="BC78" s="57" t="n">
        <v>-75.7758851564429</v>
      </c>
      <c r="BD78" s="57" t="n">
        <v>-77.7802402003296</v>
      </c>
      <c r="BE78" s="57" t="n">
        <v>-79.8063435352321</v>
      </c>
      <c r="BF78" s="57" t="n">
        <v>-79.7996317332899</v>
      </c>
      <c r="BG78" s="57" t="n">
        <v>-79.15961913806</v>
      </c>
      <c r="BH78" s="57" t="n">
        <v>-81.2064892305378</v>
      </c>
      <c r="BI78" s="57" t="n">
        <v>-83.2755846310487</v>
      </c>
      <c r="BJ78" s="57" t="n">
        <v>-83.3028142465772</v>
      </c>
      <c r="BK78" s="57" t="n">
        <v>-83.9800499404226</v>
      </c>
      <c r="BL78" s="57" t="n">
        <v>-84.778259174526</v>
      </c>
      <c r="BM78" s="57" t="n">
        <v>-86.8919774620936</v>
      </c>
      <c r="BN78" s="57" t="n">
        <v>-86.9550391058368</v>
      </c>
      <c r="BO78" s="57" t="n">
        <v>-86.3392387806707</v>
      </c>
      <c r="BP78" s="57" t="n">
        <v>-88.4757313775503</v>
      </c>
      <c r="BQ78" s="57" t="n">
        <v>-90.6354629977254</v>
      </c>
      <c r="BR78" s="57" t="n">
        <v>-90.7360130337996</v>
      </c>
      <c r="BS78" s="57" t="n">
        <v>-90.1345784740035</v>
      </c>
      <c r="BT78" s="57" t="n">
        <v>-92.3181644537947</v>
      </c>
      <c r="BU78" s="57" t="n">
        <v>-94.5255260975892</v>
      </c>
      <c r="BV78" s="57" t="n">
        <v>-94.6654590782598</v>
      </c>
      <c r="BW78" s="57" t="n">
        <v>-94.0800535037534</v>
      </c>
      <c r="BX78" s="57" t="n">
        <v>-96.3124057294902</v>
      </c>
      <c r="BY78" s="57" t="n">
        <v>-98.5690920002016</v>
      </c>
      <c r="BZ78" s="57" t="n">
        <v>-98.7503908074233</v>
      </c>
      <c r="CA78" s="57" t="n">
        <v>-99.5045124088462</v>
      </c>
      <c r="CB78" s="57" t="n">
        <v>-100.479070951992</v>
      </c>
      <c r="CC78" s="57" t="n">
        <v>-102.787018706165</v>
      </c>
      <c r="CD78" s="57" t="n">
        <v>-103.011921107808</v>
      </c>
      <c r="CE78" s="57" t="n">
        <v>-102.464073115837</v>
      </c>
      <c r="CF78" s="57" t="n">
        <v>-104.799469750222</v>
      </c>
      <c r="CG78" s="57" t="n">
        <v>-107.160388541821</v>
      </c>
      <c r="CH78" s="57" t="n">
        <v>-107.430912286461</v>
      </c>
      <c r="CI78" s="57" t="n">
        <v>-106.904619903965</v>
      </c>
      <c r="CJ78" s="57" t="n">
        <v>-109.294310235448</v>
      </c>
      <c r="CK78" s="57" t="n">
        <v>-111.71015276359</v>
      </c>
      <c r="CL78" s="57" t="n">
        <v>-112.028571912212</v>
      </c>
      <c r="CM78" s="57" t="n">
        <v>-111.525865855109</v>
      </c>
      <c r="CN78" s="57" t="n">
        <v>-113.971871021793</v>
      </c>
      <c r="CO78" s="57" t="n">
        <v>-116.444684569824</v>
      </c>
      <c r="CP78" s="57" t="n">
        <v>-116.813379432346</v>
      </c>
      <c r="CQ78" s="57" t="n">
        <v>-117.669149904505</v>
      </c>
      <c r="CR78" s="57" t="n">
        <v>-118.854330749694</v>
      </c>
      <c r="CS78" s="57" t="n">
        <v>-121.386423087447</v>
      </c>
      <c r="CT78" s="57" t="n">
        <v>-121.808048384971</v>
      </c>
      <c r="CU78" s="57" t="n">
        <v>-120.12190794487</v>
      </c>
      <c r="CV78" s="57" t="n">
        <v>-121.456595810924</v>
      </c>
      <c r="CW78" s="57" t="n">
        <v>-122.791283676978</v>
      </c>
      <c r="CX78" s="57" t="n">
        <v>-121.980968619077</v>
      </c>
      <c r="CY78" s="57" t="n">
        <v>-120.26429677764</v>
      </c>
      <c r="CZ78" s="57" t="n">
        <v>-121.600566741836</v>
      </c>
      <c r="DA78" s="57" t="n">
        <v>-122.936836706032</v>
      </c>
      <c r="DB78" s="57" t="n">
        <v>-211.36570184882</v>
      </c>
      <c r="DC78" s="57" t="n">
        <v>-207.678113975722</v>
      </c>
      <c r="DD78" s="57" t="n">
        <v>-209.985648575453</v>
      </c>
      <c r="DE78" s="57" t="n">
        <v>-212.293183175183</v>
      </c>
      <c r="DF78" s="57" t="n">
        <v>-211.473274989727</v>
      </c>
      <c r="DG78" s="57" t="n">
        <v>-210.062938815927</v>
      </c>
      <c r="DH78" s="57" t="n">
        <v>-210.062938815927</v>
      </c>
      <c r="DI78" s="57" t="n">
        <v>-212.371322758959</v>
      </c>
      <c r="DJ78" s="57" t="n">
        <v>-211.546604438854</v>
      </c>
      <c r="DK78" s="57" t="n">
        <v>-207.796445151866</v>
      </c>
      <c r="DL78" s="57" t="n">
        <v>-210.105294542443</v>
      </c>
      <c r="DM78" s="57" t="n">
        <v>-212.414143933019</v>
      </c>
      <c r="DN78" s="57" t="n">
        <v>-211.584607040596</v>
      </c>
      <c r="DO78" s="57" t="n">
        <v>-207.802697207511</v>
      </c>
      <c r="DP78" s="57" t="n">
        <v>-210.111616065372</v>
      </c>
      <c r="DQ78" s="57" t="n">
        <v>-212.420534923233</v>
      </c>
      <c r="DR78" s="57" t="n">
        <v>-211.586171496324</v>
      </c>
      <c r="DS78" s="57" t="n">
        <v>-207.772195204752</v>
      </c>
      <c r="DT78" s="57" t="n">
        <v>-210.080775151472</v>
      </c>
      <c r="DU78" s="57" t="n">
        <v>-212.389355098191</v>
      </c>
      <c r="DV78" s="57" t="n">
        <v>-211.550157665203</v>
      </c>
      <c r="DW78" s="57" t="n">
        <v>-210.011614314934</v>
      </c>
      <c r="DX78" s="57" t="n">
        <v>-210.011614314934</v>
      </c>
      <c r="DY78" s="57" t="n">
        <v>-212.319434252461</v>
      </c>
      <c r="DZ78" s="57" t="n">
        <v>-211.475395847818</v>
      </c>
      <c r="EA78" s="57" t="n">
        <v>-207.596320309791</v>
      </c>
      <c r="EB78" s="57" t="n">
        <v>-209.902946091011</v>
      </c>
      <c r="EC78" s="57" t="n">
        <v>-212.209571872231</v>
      </c>
      <c r="ED78" s="57" t="n">
        <v>-211.360686052182</v>
      </c>
      <c r="EE78" s="57" t="n">
        <v>-207.448568200662</v>
      </c>
      <c r="EF78" s="57" t="n">
        <v>-209.753552291781</v>
      </c>
      <c r="EG78" s="57" t="n">
        <v>-212.058536382899</v>
      </c>
      <c r="EH78" s="57" t="n">
        <v>-211.204797241707</v>
      </c>
      <c r="EI78" s="57" t="n">
        <v>-207.259302109069</v>
      </c>
      <c r="EJ78" s="57" t="n">
        <v>-209.562183243614</v>
      </c>
      <c r="EK78" s="57" t="n">
        <v>-211.865064378159</v>
      </c>
      <c r="EL78" s="57" t="n">
        <v>-211.00646656468</v>
      </c>
      <c r="EM78" s="57" t="n">
        <v>-209.327557005897</v>
      </c>
      <c r="EN78" s="57" t="n">
        <v>-209.327557005897</v>
      </c>
      <c r="EO78" s="57" t="n">
        <v>-211.627859830137</v>
      </c>
    </row>
    <row r="79" customFormat="false" ht="15" hidden="false" customHeight="false" outlineLevel="0" collapsed="false">
      <c r="C79" s="0" t="s">
        <v>406</v>
      </c>
      <c r="D79" s="11" t="s">
        <v>33</v>
      </c>
      <c r="I79" s="46" t="n">
        <f aca="false">SUM(J79:EO79)</f>
        <v>262312.379698548</v>
      </c>
      <c r="J79" s="46" t="n">
        <f aca="false">(J75+J52+J78)*(J$4&gt;In_COD)</f>
        <v>-0</v>
      </c>
      <c r="K79" s="46" t="n">
        <f aca="false">(K75+K52+K78)*(K$4&gt;In_COD)</f>
        <v>-0</v>
      </c>
      <c r="L79" s="46" t="n">
        <f aca="false">(L75+L52+L78)*(L$4&gt;In_COD)</f>
        <v>-0</v>
      </c>
      <c r="M79" s="46" t="n">
        <f aca="false">(M75+M52+M78)*(M$4&gt;In_COD)</f>
        <v>-0</v>
      </c>
      <c r="N79" s="46" t="n">
        <f aca="false">(N75+N52+N78)*(N$4&gt;In_COD)</f>
        <v>-0</v>
      </c>
      <c r="O79" s="46" t="n">
        <f aca="false">(O75+O52+O78)*(O$4&gt;In_COD)</f>
        <v>-0</v>
      </c>
      <c r="P79" s="46" t="n">
        <f aca="false">(P75+P52+P78)*(P$4&gt;In_COD)</f>
        <v>-0</v>
      </c>
      <c r="Q79" s="46" t="n">
        <f aca="false">(Q75+Q52+Q78)*(Q$4&gt;In_COD)</f>
        <v>-0</v>
      </c>
      <c r="R79" s="46" t="n">
        <f aca="false">(R75+R52+R78)*(R$4&gt;In_COD)</f>
        <v>-0</v>
      </c>
      <c r="S79" s="46" t="n">
        <f aca="false">(S75+S52+S78)*(S$4&gt;In_COD)</f>
        <v>-0</v>
      </c>
      <c r="T79" s="46" t="n">
        <f aca="false">(T75+T52+T78)*(T$4&gt;In_COD)</f>
        <v>-0</v>
      </c>
      <c r="U79" s="46" t="n">
        <f aca="false">(U75+U52+U78)*(U$4&gt;In_COD)</f>
        <v>-0</v>
      </c>
      <c r="V79" s="46" t="n">
        <f aca="false">(V75+V52+V78)*(V$4&gt;In_COD)</f>
        <v>-0</v>
      </c>
      <c r="W79" s="46" t="n">
        <f aca="false">(W75+W52+W78)*(W$4&gt;In_COD)</f>
        <v>-0</v>
      </c>
      <c r="X79" s="46" t="n">
        <f aca="false">(X75+X52+X78)*(X$4&gt;In_COD)</f>
        <v>-0</v>
      </c>
      <c r="Y79" s="46" t="n">
        <f aca="false">(Y75+Y52+Y78)*(Y$4&gt;In_COD)</f>
        <v>-0</v>
      </c>
      <c r="Z79" s="46" t="n">
        <f aca="false">(Z75+Z52+Z78)*(Z$4&gt;In_COD)</f>
        <v>2208.68251962139</v>
      </c>
      <c r="AA79" s="46" t="n">
        <f aca="false">(AA75+AA52+AA78)*(AA$4&gt;In_COD)</f>
        <v>2174.84480112102</v>
      </c>
      <c r="AB79" s="46" t="n">
        <f aca="false">(AB75+AB52+AB78)*(AB$4&gt;In_COD)</f>
        <v>2198.44466900232</v>
      </c>
      <c r="AC79" s="46" t="n">
        <f aca="false">(AC75+AC52+AC78)*(AC$4&gt;In_COD)</f>
        <v>2222.03491716479</v>
      </c>
      <c r="AD79" s="46" t="n">
        <f aca="false">(AD75+AD52+AD78)*(AD$4&gt;In_COD)</f>
        <v>2214.06671813413</v>
      </c>
      <c r="AE79" s="46" t="n">
        <f aca="false">(AE75+AE52+AE78)*(AE$4&gt;In_COD)</f>
        <v>2203.85309091877</v>
      </c>
      <c r="AF79" s="46" t="n">
        <f aca="false">(AF75+AF52+AF78)*(AF$4&gt;In_COD)</f>
        <v>2198.33698283415</v>
      </c>
      <c r="AG79" s="46" t="n">
        <f aca="false">(AG75+AG52+AG78)*(AG$4&gt;In_COD)</f>
        <v>2197.61570088365</v>
      </c>
      <c r="AH79" s="46" t="n">
        <f aca="false">(AH75+AH52+AH78)*(AH$4&gt;In_COD)</f>
        <v>2189.68793090311</v>
      </c>
      <c r="AI79" s="46" t="n">
        <f aca="false">(AI75+AI52+AI78)*(AI$4&gt;In_COD)</f>
        <v>2155.60090745018</v>
      </c>
      <c r="AJ79" s="46" t="n">
        <f aca="false">(AJ75+AJ52+AJ78)*(AJ$4&gt;In_COD)</f>
        <v>2201.13929211201</v>
      </c>
      <c r="AK79" s="46" t="n">
        <f aca="false">(AK75+AK52+AK78)*(AK$4&gt;In_COD)</f>
        <v>2224.1827595534</v>
      </c>
      <c r="AL79" s="46" t="n">
        <f aca="false">(AL75+AL52+AL78)*(AL$4&gt;In_COD)</f>
        <v>2216.16673858766</v>
      </c>
      <c r="AM79" s="46" t="n">
        <f aca="false">(AM75+AM52+AM78)*(AM$4&gt;In_COD)</f>
        <v>2181.27237174415</v>
      </c>
      <c r="AN79" s="46" t="n">
        <f aca="false">(AN75+AN52+AN78)*(AN$4&gt;In_COD)</f>
        <v>2204.36603566777</v>
      </c>
      <c r="AO79" s="46" t="n">
        <f aca="false">(AO75+AO52+AO78)*(AO$4&gt;In_COD)</f>
        <v>2227.43968803938</v>
      </c>
      <c r="AP79" s="46" t="n">
        <f aca="false">(AP75+AP52+AP78)*(AP$4&gt;In_COD)</f>
        <v>2219.34626787852</v>
      </c>
      <c r="AQ79" s="46" t="n">
        <f aca="false">(AQ75+AQ52+AQ78)*(AQ$4&gt;In_COD)</f>
        <v>2184.15244586644</v>
      </c>
      <c r="AR79" s="46" t="n">
        <f aca="false">(AR75+AR52+AR78)*(AR$4&gt;In_COD)</f>
        <v>2207.27318185222</v>
      </c>
      <c r="AS79" s="46" t="n">
        <f aca="false">(AS75+AS52+AS78)*(AS$4&gt;In_COD)</f>
        <v>2230.37349701827</v>
      </c>
      <c r="AT79" s="46" t="n">
        <f aca="false">(AT75+AT52+AT78)*(AT$4&gt;In_COD)</f>
        <v>2222.20113596503</v>
      </c>
      <c r="AU79" s="46" t="n">
        <f aca="false">(AU75+AU52+AU78)*(AU$4&gt;In_COD)</f>
        <v>2210.48539449711</v>
      </c>
      <c r="AV79" s="46" t="n">
        <f aca="false">(AV75+AV52+AV78)*(AV$4&gt;In_COD)</f>
        <v>2209.83492129082</v>
      </c>
      <c r="AW79" s="46" t="n">
        <f aca="false">(AW75+AW52+AW78)*(AW$4&gt;In_COD)</f>
        <v>2232.95807939712</v>
      </c>
      <c r="AX79" s="46" t="n">
        <f aca="false">(AX75+AX52+AX78)*(AX$4&gt;In_COD)</f>
        <v>2224.70501466393</v>
      </c>
      <c r="AY79" s="46" t="n">
        <f aca="false">(AY75+AY52+AY78)*(AY$4&gt;In_COD)</f>
        <v>2188.90042973159</v>
      </c>
      <c r="AZ79" s="46" t="n">
        <f aca="false">(AZ75+AZ52+AZ78)*(AZ$4&gt;In_COD)</f>
        <v>2212.06406410301</v>
      </c>
      <c r="BA79" s="46" t="n">
        <f aca="false">(BA75+BA52+BA78)*(BA$4&gt;In_COD)</f>
        <v>2235.20640910788</v>
      </c>
      <c r="BB79" s="46" t="n">
        <f aca="false">(BB75+BB52+BB78)*(BB$4&gt;In_COD)</f>
        <v>2226.87112602105</v>
      </c>
      <c r="BC79" s="46" t="n">
        <f aca="false">(BC75+BC52+BC78)*(BC$4&gt;In_COD)</f>
        <v>2190.75518932494</v>
      </c>
      <c r="BD79" s="46" t="n">
        <f aca="false">(BD75+BD52+BD78)*(BD$4&gt;In_COD)</f>
        <v>2213.9345128864</v>
      </c>
      <c r="BE79" s="46" t="n">
        <f aca="false">(BE75+BE52+BE78)*(BE$4&gt;In_COD)</f>
        <v>2237.09208815685</v>
      </c>
      <c r="BF79" s="46" t="n">
        <f aca="false">(BF75+BF52+BF78)*(BF$4&gt;In_COD)</f>
        <v>2228.67285242114</v>
      </c>
      <c r="BG79" s="46" t="n">
        <f aca="false">(BG75+BG52+BG78)*(BG$4&gt;In_COD)</f>
        <v>2192.2413964473</v>
      </c>
      <c r="BH79" s="46" t="n">
        <f aca="false">(BH75+BH52+BH78)*(BH$4&gt;In_COD)</f>
        <v>2215.43231541688</v>
      </c>
      <c r="BI79" s="46" t="n">
        <f aca="false">(BI75+BI52+BI78)*(BI$4&gt;In_COD)</f>
        <v>2238.60100907843</v>
      </c>
      <c r="BJ79" s="46" t="n">
        <f aca="false">(BJ75+BJ52+BJ78)*(BJ$4&gt;In_COD)</f>
        <v>2230.09601613313</v>
      </c>
      <c r="BK79" s="46" t="n">
        <f aca="false">(BK75+BK52+BK78)*(BK$4&gt;In_COD)</f>
        <v>2217.3278873265</v>
      </c>
      <c r="BL79" s="46" t="n">
        <f aca="false">(BL75+BL52+BL78)*(BL$4&gt;In_COD)</f>
        <v>2216.52967809239</v>
      </c>
      <c r="BM79" s="46" t="n">
        <f aca="false">(BM75+BM52+BM78)*(BM$4&gt;In_COD)</f>
        <v>2239.70505801655</v>
      </c>
      <c r="BN79" s="46" t="n">
        <f aca="false">(BN75+BN52+BN78)*(BN$4&gt;In_COD)</f>
        <v>2231.11226837901</v>
      </c>
      <c r="BO79" s="46" t="n">
        <f aca="false">(BO75+BO52+BO78)*(BO$4&gt;In_COD)</f>
        <v>2194.03666957862</v>
      </c>
      <c r="BP79" s="46" t="n">
        <f aca="false">(BP75+BP52+BP78)*(BP$4&gt;In_COD)</f>
        <v>2217.23768707462</v>
      </c>
      <c r="BQ79" s="46" t="n">
        <f aca="false">(BQ75+BQ52+BQ78)*(BQ$4&gt;In_COD)</f>
        <v>2240.41546554733</v>
      </c>
      <c r="BR79" s="46" t="n">
        <f aca="false">(BR75+BR52+BR78)*(BR$4&gt;In_COD)</f>
        <v>2231.73307741608</v>
      </c>
      <c r="BS79" s="46" t="n">
        <f aca="false">(BS75+BS52+BS78)*(BS$4&gt;In_COD)</f>
        <v>2194.32878061977</v>
      </c>
      <c r="BT79" s="46" t="n">
        <f aca="false">(BT75+BT52+BT78)*(BT$4&gt;In_COD)</f>
        <v>2217.52812085213</v>
      </c>
      <c r="BU79" s="46" t="n">
        <f aca="false">(BU75+BU52+BU78)*(BU$4&gt;In_COD)</f>
        <v>2240.70368542049</v>
      </c>
      <c r="BV79" s="46" t="n">
        <f aca="false">(BV75+BV52+BV78)*(BV$4&gt;In_COD)</f>
        <v>2231.92966236299</v>
      </c>
      <c r="BW79" s="46" t="n">
        <f aca="false">(BW75+BW52+BW78)*(BW$4&gt;In_COD)</f>
        <v>2194.19203979801</v>
      </c>
      <c r="BX79" s="46" t="n">
        <f aca="false">(BX75+BX52+BX78)*(BX$4&gt;In_COD)</f>
        <v>2217.3849330534</v>
      </c>
      <c r="BY79" s="46" t="n">
        <f aca="false">(BY75+BY52+BY78)*(BY$4&gt;In_COD)</f>
        <v>2240.55349226382</v>
      </c>
      <c r="BZ79" s="46" t="n">
        <f aca="false">(BZ75+BZ52+BZ78)*(BZ$4&gt;In_COD)</f>
        <v>2231.68571320047</v>
      </c>
      <c r="CA79" s="46" t="n">
        <f aca="false">(CA75+CA52+CA78)*(CA$4&gt;In_COD)</f>
        <v>2217.75262539568</v>
      </c>
      <c r="CB79" s="46" t="n">
        <f aca="false">(CB75+CB52+CB78)*(CB$4&gt;In_COD)</f>
        <v>2216.77806685254</v>
      </c>
      <c r="CC79" s="46" t="n">
        <f aca="false">(CC75+CC52+CC78)*(CC$4&gt;In_COD)</f>
        <v>2239.93448325006</v>
      </c>
      <c r="CD79" s="46" t="n">
        <f aca="false">(CD75+CD52+CD78)*(CD$4&gt;In_COD)</f>
        <v>2230.97057602663</v>
      </c>
      <c r="CE79" s="46" t="n">
        <f aca="false">(CE75+CE52+CE78)*(CE$4&gt;In_COD)</f>
        <v>2192.55174436352</v>
      </c>
      <c r="CF79" s="46" t="n">
        <f aca="false">(CF75+CF52+CF78)*(CF$4&gt;In_COD)</f>
        <v>2215.71652347891</v>
      </c>
      <c r="CG79" s="46" t="n">
        <f aca="false">(CG75+CG52+CG78)*(CG$4&gt;In_COD)</f>
        <v>2238.85578043708</v>
      </c>
      <c r="CH79" s="46" t="n">
        <f aca="false">(CH75+CH52+CH78)*(CH$4&gt;In_COD)</f>
        <v>2229.79359686169</v>
      </c>
      <c r="CI79" s="46" t="n">
        <f aca="false">(CI75+CI52+CI78)*(CI$4&gt;In_COD)</f>
        <v>2191.0267707622</v>
      </c>
      <c r="CJ79" s="46" t="n">
        <f aca="false">(CJ75+CJ52+CJ78)*(CJ$4&gt;In_COD)</f>
        <v>2214.16965143812</v>
      </c>
      <c r="CK79" s="46" t="n">
        <f aca="false">(CK75+CK52+CK78)*(CK$4&gt;In_COD)</f>
        <v>2237.28637991738</v>
      </c>
      <c r="CL79" s="46" t="n">
        <f aca="false">(CL75+CL52+CL78)*(CL$4&gt;In_COD)</f>
        <v>2228.1235195638</v>
      </c>
      <c r="CM79" s="46" t="n">
        <f aca="false">(CM75+CM52+CM78)*(CM$4&gt;In_COD)</f>
        <v>2189.00353553473</v>
      </c>
      <c r="CN79" s="46" t="n">
        <f aca="false">(CN75+CN52+CN78)*(CN$4&gt;In_COD)</f>
        <v>2212.11896816126</v>
      </c>
      <c r="CO79" s="46" t="n">
        <f aca="false">(CO75+CO52+CO78)*(CO$4&gt;In_COD)</f>
        <v>2235.20759240645</v>
      </c>
      <c r="CP79" s="46" t="n">
        <f aca="false">(CP75+CP52+CP78)*(CP$4&gt;In_COD)</f>
        <v>2225.94155281592</v>
      </c>
      <c r="CQ79" s="46" t="n">
        <f aca="false">(CQ75+CQ52+CQ78)*(CQ$4&gt;In_COD)</f>
        <v>2210.71700484079</v>
      </c>
      <c r="CR79" s="46" t="n">
        <f aca="false">(CR75+CR52+CR78)*(CR$4&gt;In_COD)</f>
        <v>2209.5318239956</v>
      </c>
      <c r="CS79" s="46" t="n">
        <f aca="false">(CS75+CS52+CS78)*(CS$4&gt;In_COD)</f>
        <v>2232.586392699</v>
      </c>
      <c r="CT79" s="46" t="n">
        <f aca="false">(CT75+CT52+CT78)*(CT$4&gt;In_COD)</f>
        <v>2223.21440135961</v>
      </c>
      <c r="CU79" s="46" t="n">
        <f aca="false">(CU75+CU52+CU78)*(CU$4&gt;In_COD)</f>
        <v>2184.60913302272</v>
      </c>
      <c r="CV79" s="46" t="n">
        <f aca="false">(CV75+CV52+CV78)*(CV$4&gt;In_COD)</f>
        <v>2208.88256783409</v>
      </c>
      <c r="CW79" s="46" t="n">
        <f aca="false">(CW75+CW52+CW78)*(CW$4&gt;In_COD)</f>
        <v>2233.15600264545</v>
      </c>
      <c r="CX79" s="46" t="n">
        <f aca="false">(CX75+CX52+CX78)*(CX$4&gt;In_COD)</f>
        <v>2224.96281706001</v>
      </c>
      <c r="CY79" s="46" t="n">
        <f aca="false">(CY75+CY52+CY78)*(CY$4&gt;In_COD)</f>
        <v>2186.04884233185</v>
      </c>
      <c r="CZ79" s="46" t="n">
        <f aca="false">(CZ75+CZ52+CZ78)*(CZ$4&gt;In_COD)</f>
        <v>2210.33827391331</v>
      </c>
      <c r="DA79" s="46" t="n">
        <f aca="false">(DA75+DA52+DA78)*(DA$4&gt;In_COD)</f>
        <v>2234.62770549478</v>
      </c>
      <c r="DB79" s="46" t="n">
        <f aca="false">(DB75+DB52+DB78)*(DB$4&gt;In_COD)</f>
        <v>2137.1420964714</v>
      </c>
      <c r="DC79" s="46" t="n">
        <f aca="false">(DC75+DC52+DC78)*(DC$4&gt;In_COD)</f>
        <v>2099.85648575453</v>
      </c>
      <c r="DD79" s="46" t="n">
        <f aca="false">(DD75+DD52+DD78)*(DD$4&gt;In_COD)</f>
        <v>2123.18822448513</v>
      </c>
      <c r="DE79" s="46" t="n">
        <f aca="false">(DE75+DE52+DE78)*(DE$4&gt;In_COD)</f>
        <v>2146.51996321574</v>
      </c>
      <c r="DF79" s="46" t="n">
        <f aca="false">(DF75+DF52+DF78)*(DF$4&gt;In_COD)</f>
        <v>2138.22978045169</v>
      </c>
      <c r="DG79" s="46" t="n">
        <f aca="false">(DG75+DG52+DG78)*(DG$4&gt;In_COD)</f>
        <v>2123.96971469438</v>
      </c>
      <c r="DH79" s="46" t="n">
        <f aca="false">(DH75+DH52+DH78)*(DH$4&gt;In_COD)</f>
        <v>2123.96971469438</v>
      </c>
      <c r="DI79" s="46" t="n">
        <f aca="false">(DI75+DI52+DI78)*(DI$4&gt;In_COD)</f>
        <v>2147.31004122948</v>
      </c>
      <c r="DJ79" s="46" t="n">
        <f aca="false">(DJ75+DJ52+DJ78)*(DJ$4&gt;In_COD)</f>
        <v>2138.97122265953</v>
      </c>
      <c r="DK79" s="46" t="n">
        <f aca="false">(DK75+DK52+DK78)*(DK$4&gt;In_COD)</f>
        <v>2101.05294542443</v>
      </c>
      <c r="DL79" s="46" t="n">
        <f aca="false">(DL75+DL52+DL78)*(DL$4&gt;In_COD)</f>
        <v>2124.39797815137</v>
      </c>
      <c r="DM79" s="46" t="n">
        <f aca="false">(DM75+DM52+DM78)*(DM$4&gt;In_COD)</f>
        <v>2147.74301087831</v>
      </c>
      <c r="DN79" s="46" t="n">
        <f aca="false">(DN75+DN52+DN78)*(DN$4&gt;In_COD)</f>
        <v>2139.35547118825</v>
      </c>
      <c r="DO79" s="46" t="n">
        <f aca="false">(DO75+DO52+DO78)*(DO$4&gt;In_COD)</f>
        <v>2101.11616065373</v>
      </c>
      <c r="DP79" s="46" t="n">
        <f aca="false">(DP75+DP52+DP78)*(DP$4&gt;In_COD)</f>
        <v>2124.4618957721</v>
      </c>
      <c r="DQ79" s="46" t="n">
        <f aca="false">(DQ75+DQ52+DQ78)*(DQ$4&gt;In_COD)</f>
        <v>2147.80763089048</v>
      </c>
      <c r="DR79" s="46" t="n">
        <f aca="false">(DR75+DR52+DR78)*(DR$4&gt;In_COD)</f>
        <v>2139.37128957395</v>
      </c>
      <c r="DS79" s="46" t="n">
        <f aca="false">(DS75+DS52+DS78)*(DS$4&gt;In_COD)</f>
        <v>2100.80775151472</v>
      </c>
      <c r="DT79" s="46" t="n">
        <f aca="false">(DT75+DT52+DT78)*(DT$4&gt;In_COD)</f>
        <v>2124.15005986488</v>
      </c>
      <c r="DU79" s="46" t="n">
        <f aca="false">(DU75+DU52+DU78)*(DU$4&gt;In_COD)</f>
        <v>2147.49236821505</v>
      </c>
      <c r="DV79" s="46" t="n">
        <f aca="false">(DV75+DV52+DV78)*(DV$4&gt;In_COD)</f>
        <v>2139.00714972595</v>
      </c>
      <c r="DW79" s="46" t="n">
        <f aca="false">(DW75+DW52+DW78)*(DW$4&gt;In_COD)</f>
        <v>2123.45076696211</v>
      </c>
      <c r="DX79" s="46" t="n">
        <f aca="false">(DX75+DX52+DX78)*(DX$4&gt;In_COD)</f>
        <v>2123.45076696211</v>
      </c>
      <c r="DY79" s="46" t="n">
        <f aca="false">(DY75+DY52+DY78)*(DY$4&gt;In_COD)</f>
        <v>2146.78539077488</v>
      </c>
      <c r="DZ79" s="46" t="n">
        <f aca="false">(DZ75+DZ52+DZ78)*(DZ$4&gt;In_COD)</f>
        <v>2138.25122468349</v>
      </c>
      <c r="EA79" s="46" t="n">
        <f aca="false">(EA75+EA52+EA78)*(EA$4&gt;In_COD)</f>
        <v>2099.02946091011</v>
      </c>
      <c r="EB79" s="46" t="n">
        <f aca="false">(EB75+EB52+EB78)*(EB$4&gt;In_COD)</f>
        <v>2122.35201047578</v>
      </c>
      <c r="EC79" s="46" t="n">
        <f aca="false">(EC75+EC52+EC78)*(EC$4&gt;In_COD)</f>
        <v>2145.67456004145</v>
      </c>
      <c r="ED79" s="46" t="n">
        <f aca="false">(ED75+ED52+ED78)*(ED$4&gt;In_COD)</f>
        <v>2137.09138119429</v>
      </c>
      <c r="EE79" s="46" t="n">
        <f aca="false">(EE75+EE52+EE78)*(EE$4&gt;In_COD)</f>
        <v>2097.53552291781</v>
      </c>
      <c r="EF79" s="46" t="n">
        <f aca="false">(EF75+EF52+EF78)*(EF$4&gt;In_COD)</f>
        <v>2120.84147317245</v>
      </c>
      <c r="EG79" s="46" t="n">
        <f aca="false">(EG75+EG52+EG78)*(EG$4&gt;In_COD)</f>
        <v>2144.1474234271</v>
      </c>
      <c r="EH79" s="46" t="n">
        <f aca="false">(EH75+EH52+EH78)*(EH$4&gt;In_COD)</f>
        <v>2135.5151721106</v>
      </c>
      <c r="EI79" s="46" t="n">
        <f aca="false">(EI75+EI52+EI78)*(EI$4&gt;In_COD)</f>
        <v>2095.62183243614</v>
      </c>
      <c r="EJ79" s="46" t="n">
        <f aca="false">(EJ75+EJ52+EJ78)*(EJ$4&gt;In_COD)</f>
        <v>2118.90651946321</v>
      </c>
      <c r="EK79" s="46" t="n">
        <f aca="false">(EK75+EK52+EK78)*(EK$4&gt;In_COD)</f>
        <v>2142.19120649028</v>
      </c>
      <c r="EL79" s="46" t="n">
        <f aca="false">(EL75+EL52+EL78)*(EL$4&gt;In_COD)</f>
        <v>2133.50982859844</v>
      </c>
      <c r="EM79" s="46" t="n">
        <f aca="false">(EM75+EM52+EM78)*(EM$4&gt;In_COD)</f>
        <v>2116.53418750407</v>
      </c>
      <c r="EN79" s="46" t="n">
        <f aca="false">(EN75+EN52+EN78)*(EN$4&gt;In_COD)</f>
        <v>2116.53418750407</v>
      </c>
      <c r="EO79" s="46" t="n">
        <f aca="false">(EO75+EO52+EO78)*(EO$4&gt;In_COD)</f>
        <v>2139.79280494917</v>
      </c>
    </row>
    <row r="80" customFormat="false" ht="15" hidden="false" customHeight="false" outlineLevel="0" collapsed="false">
      <c r="C80" s="0" t="s">
        <v>407</v>
      </c>
      <c r="D80" s="11" t="s">
        <v>33</v>
      </c>
      <c r="E80" s="46" t="n">
        <f aca="false">SUMPRODUCT($J80:$EO80/$J21:$EO21)*$E21</f>
        <v>87230.068749855</v>
      </c>
      <c r="I80" s="46" t="n">
        <f aca="false">SUM(J80:EO80)</f>
        <v>132911.169399</v>
      </c>
      <c r="J80" s="46" t="n">
        <f aca="false">J79/In_DSCR*J17</f>
        <v>-0</v>
      </c>
      <c r="K80" s="46" t="n">
        <f aca="false">K79/In_DSCR*K17</f>
        <v>-0</v>
      </c>
      <c r="L80" s="46" t="n">
        <f aca="false">L79/In_DSCR*L17</f>
        <v>-0</v>
      </c>
      <c r="M80" s="46" t="n">
        <f aca="false">M79/In_DSCR*M17</f>
        <v>-0</v>
      </c>
      <c r="N80" s="46" t="n">
        <f aca="false">N79/In_DSCR*N17</f>
        <v>-0</v>
      </c>
      <c r="O80" s="46" t="n">
        <f aca="false">O79/In_DSCR*O17</f>
        <v>-0</v>
      </c>
      <c r="P80" s="46" t="n">
        <f aca="false">P79/In_DSCR*P17</f>
        <v>-0</v>
      </c>
      <c r="Q80" s="46" t="n">
        <f aca="false">Q79/In_DSCR*Q17</f>
        <v>-0</v>
      </c>
      <c r="R80" s="46" t="n">
        <f aca="false">R79/In_DSCR*R17</f>
        <v>-0</v>
      </c>
      <c r="S80" s="46" t="n">
        <f aca="false">S79/In_DSCR*S17</f>
        <v>-0</v>
      </c>
      <c r="T80" s="46" t="n">
        <f aca="false">T79/In_DSCR*T17</f>
        <v>-0</v>
      </c>
      <c r="U80" s="46" t="n">
        <f aca="false">U79/In_DSCR*U17</f>
        <v>-0</v>
      </c>
      <c r="V80" s="46" t="n">
        <f aca="false">V79/In_DSCR*V17</f>
        <v>-0</v>
      </c>
      <c r="W80" s="46" t="n">
        <f aca="false">W79/In_DSCR*W17</f>
        <v>-0</v>
      </c>
      <c r="X80" s="46" t="n">
        <f aca="false">X79/In_DSCR*X17</f>
        <v>-0</v>
      </c>
      <c r="Y80" s="46" t="n">
        <f aca="false">Y79/In_DSCR*Y17</f>
        <v>-0</v>
      </c>
      <c r="Z80" s="46" t="n">
        <f aca="false">Z79/In_DSCR*Z17</f>
        <v>1840.56876635116</v>
      </c>
      <c r="AA80" s="46" t="n">
        <f aca="false">AA79/In_DSCR*AA17</f>
        <v>1812.37066760085</v>
      </c>
      <c r="AB80" s="46" t="n">
        <f aca="false">AB79/In_DSCR*AB17</f>
        <v>1832.0372241686</v>
      </c>
      <c r="AC80" s="46" t="n">
        <f aca="false">AC79/In_DSCR*AC17</f>
        <v>1851.695764304</v>
      </c>
      <c r="AD80" s="46" t="n">
        <f aca="false">AD79/In_DSCR*AD17</f>
        <v>1845.05559844511</v>
      </c>
      <c r="AE80" s="46" t="n">
        <f aca="false">AE79/In_DSCR*AE17</f>
        <v>1836.54424243231</v>
      </c>
      <c r="AF80" s="46" t="n">
        <f aca="false">AF79/In_DSCR*AF17</f>
        <v>1831.94748569513</v>
      </c>
      <c r="AG80" s="46" t="n">
        <f aca="false">AG79/In_DSCR*AG17</f>
        <v>1831.34641740305</v>
      </c>
      <c r="AH80" s="46" t="n">
        <f aca="false">AH79/In_DSCR*AH17</f>
        <v>1824.73994241926</v>
      </c>
      <c r="AI80" s="46" t="n">
        <f aca="false">AI79/In_DSCR*AI17</f>
        <v>1796.33408954182</v>
      </c>
      <c r="AJ80" s="46" t="n">
        <f aca="false">AJ79/In_DSCR*AJ17</f>
        <v>1834.28274342668</v>
      </c>
      <c r="AK80" s="46" t="n">
        <f aca="false">AK79/In_DSCR*AK17</f>
        <v>1853.48563296117</v>
      </c>
      <c r="AL80" s="46" t="n">
        <f aca="false">AL79/In_DSCR*AL17</f>
        <v>1846.80561548971</v>
      </c>
      <c r="AM80" s="46" t="n">
        <f aca="false">AM79/In_DSCR*AM17</f>
        <v>1817.72697645346</v>
      </c>
      <c r="AN80" s="46" t="n">
        <f aca="false">AN79/In_DSCR*AN17</f>
        <v>1836.97169638981</v>
      </c>
      <c r="AO80" s="46" t="n">
        <f aca="false">AO79/In_DSCR*AO17</f>
        <v>1856.19974003282</v>
      </c>
      <c r="AP80" s="46" t="n">
        <f aca="false">AP79/In_DSCR*AP17</f>
        <v>1849.4552232321</v>
      </c>
      <c r="AQ80" s="46" t="n">
        <f aca="false">AQ79/In_DSCR*AQ17</f>
        <v>1820.12703822204</v>
      </c>
      <c r="AR80" s="46" t="n">
        <f aca="false">AR79/In_DSCR*AR17</f>
        <v>1839.39431821018</v>
      </c>
      <c r="AS80" s="46" t="n">
        <f aca="false">AS79/In_DSCR*AS17</f>
        <v>1858.64458084856</v>
      </c>
      <c r="AT80" s="46" t="n">
        <f aca="false">AT79/In_DSCR*AT17</f>
        <v>1851.83427997086</v>
      </c>
      <c r="AU80" s="46" t="n">
        <f aca="false">AU79/In_DSCR*AU17</f>
        <v>1842.07116208093</v>
      </c>
      <c r="AV80" s="46" t="n">
        <f aca="false">AV79/In_DSCR*AV17</f>
        <v>1841.52910107568</v>
      </c>
      <c r="AW80" s="46" t="n">
        <f aca="false">AW79/In_DSCR*AW17</f>
        <v>1860.7983994976</v>
      </c>
      <c r="AX80" s="46" t="n">
        <f aca="false">AX79/In_DSCR*AX17</f>
        <v>1853.92084555328</v>
      </c>
      <c r="AY80" s="46" t="n">
        <f aca="false">AY79/In_DSCR*AY17</f>
        <v>1824.08369144299</v>
      </c>
      <c r="AZ80" s="46" t="n">
        <f aca="false">AZ79/In_DSCR*AZ17</f>
        <v>1843.38672008585</v>
      </c>
      <c r="BA80" s="46" t="n">
        <f aca="false">BA79/In_DSCR*BA17</f>
        <v>1862.6720075899</v>
      </c>
      <c r="BB80" s="46" t="n">
        <f aca="false">BB79/In_DSCR*BB17</f>
        <v>1855.72593835087</v>
      </c>
      <c r="BC80" s="46" t="n">
        <f aca="false">BC79/In_DSCR*BC17</f>
        <v>1825.62932443745</v>
      </c>
      <c r="BD80" s="46" t="n">
        <f aca="false">BD79/In_DSCR*BD17</f>
        <v>1844.94542740533</v>
      </c>
      <c r="BE80" s="46" t="n">
        <f aca="false">BE79/In_DSCR*BE17</f>
        <v>1864.24340679737</v>
      </c>
      <c r="BF80" s="46" t="n">
        <f aca="false">BF79/In_DSCR*BF17</f>
        <v>1857.22737701762</v>
      </c>
      <c r="BG80" s="46" t="n">
        <f aca="false">BG79/In_DSCR*BG17</f>
        <v>1826.86783037275</v>
      </c>
      <c r="BH80" s="46" t="n">
        <f aca="false">BH79/In_DSCR*BH17</f>
        <v>1846.19359618073</v>
      </c>
      <c r="BI80" s="46" t="n">
        <f aca="false">BI79/In_DSCR*BI17</f>
        <v>1865.50084089869</v>
      </c>
      <c r="BJ80" s="46" t="n">
        <f aca="false">BJ79/In_DSCR*BJ17</f>
        <v>1858.41334677761</v>
      </c>
      <c r="BK80" s="46" t="n">
        <f aca="false">BK79/In_DSCR*BK17</f>
        <v>1847.77323943875</v>
      </c>
      <c r="BL80" s="46" t="n">
        <f aca="false">BL79/In_DSCR*BL17</f>
        <v>1847.10806507699</v>
      </c>
      <c r="BM80" s="46" t="n">
        <f aca="false">BM79/In_DSCR*BM17</f>
        <v>1866.42088168046</v>
      </c>
      <c r="BN80" s="46" t="n">
        <f aca="false">BN79/In_DSCR*BN17</f>
        <v>1859.26022364918</v>
      </c>
      <c r="BO80" s="46" t="n">
        <f aca="false">BO79/In_DSCR*BO17</f>
        <v>1828.36389131551</v>
      </c>
      <c r="BP80" s="46" t="n">
        <f aca="false">BP79/In_DSCR*BP17</f>
        <v>1847.69807256218</v>
      </c>
      <c r="BQ80" s="46" t="n">
        <f aca="false">BQ79/In_DSCR*BQ17</f>
        <v>1867.0128879561</v>
      </c>
      <c r="BR80" s="46" t="n">
        <f aca="false">BR79/In_DSCR*BR17</f>
        <v>1859.7775645134</v>
      </c>
      <c r="BS80" s="46" t="n">
        <f aca="false">BS79/In_DSCR*BS17</f>
        <v>1828.60731718314</v>
      </c>
      <c r="BT80" s="46" t="n">
        <f aca="false">BT79/In_DSCR*BT17</f>
        <v>1847.94010071011</v>
      </c>
      <c r="BU80" s="46" t="n">
        <f aca="false">BU79/In_DSCR*BU17</f>
        <v>1867.25307118374</v>
      </c>
      <c r="BV80" s="46" t="n">
        <f aca="false">BV79/In_DSCR*BV17</f>
        <v>1859.94138530249</v>
      </c>
      <c r="BW80" s="46" t="n">
        <f aca="false">BW79/In_DSCR*BW17</f>
        <v>1828.49336649834</v>
      </c>
      <c r="BX80" s="46" t="n">
        <f aca="false">BX79/In_DSCR*BX17</f>
        <v>1847.8207775445</v>
      </c>
      <c r="BY80" s="46" t="n">
        <f aca="false">BY79/In_DSCR*BY17</f>
        <v>1867.12791021985</v>
      </c>
      <c r="BZ80" s="46" t="n">
        <f aca="false">BZ79/In_DSCR*BZ17</f>
        <v>1859.73809433373</v>
      </c>
      <c r="CA80" s="46" t="n">
        <f aca="false">CA79/In_DSCR*CA17</f>
        <v>1848.12718782974</v>
      </c>
      <c r="CB80" s="46" t="n">
        <f aca="false">CB79/In_DSCR*CB17</f>
        <v>1847.31505571045</v>
      </c>
      <c r="CC80" s="46" t="n">
        <f aca="false">CC79/In_DSCR*CC17</f>
        <v>1866.61206937505</v>
      </c>
      <c r="CD80" s="46" t="n">
        <f aca="false">CD79/In_DSCR*CD17</f>
        <v>1859.14214668886</v>
      </c>
      <c r="CE80" s="46" t="n">
        <f aca="false">CE79/In_DSCR*CE17</f>
        <v>1827.12645363627</v>
      </c>
      <c r="CF80" s="46" t="n">
        <f aca="false">CF79/In_DSCR*CF17</f>
        <v>1846.43043623242</v>
      </c>
      <c r="CG80" s="46" t="n">
        <f aca="false">CG79/In_DSCR*CG17</f>
        <v>1865.71315036423</v>
      </c>
      <c r="CH80" s="46" t="n">
        <f aca="false">CH79/In_DSCR*CH17</f>
        <v>1858.16133071807</v>
      </c>
      <c r="CI80" s="46" t="n">
        <f aca="false">CI79/In_DSCR*CI17</f>
        <v>1825.85564230183</v>
      </c>
      <c r="CJ80" s="46" t="n">
        <f aca="false">CJ79/In_DSCR*CJ17</f>
        <v>1845.14137619843</v>
      </c>
      <c r="CK80" s="46" t="n">
        <f aca="false">CK79/In_DSCR*CK17</f>
        <v>1864.40531659781</v>
      </c>
      <c r="CL80" s="46" t="n">
        <f aca="false">CL79/In_DSCR*CL17</f>
        <v>1856.7695996365</v>
      </c>
      <c r="CM80" s="46" t="n">
        <f aca="false">CM79/In_DSCR*CM17</f>
        <v>1824.1696129456</v>
      </c>
      <c r="CN80" s="46" t="n">
        <f aca="false">CN79/In_DSCR*CN17</f>
        <v>1843.43247346772</v>
      </c>
      <c r="CO80" s="46" t="n">
        <f aca="false">CO79/In_DSCR*CO17</f>
        <v>1862.67299367204</v>
      </c>
      <c r="CP80" s="46" t="n">
        <f aca="false">CP79/In_DSCR*CP17</f>
        <v>1854.95129401326</v>
      </c>
      <c r="CQ80" s="46" t="n">
        <f aca="false">CQ79/In_DSCR*CQ17</f>
        <v>1842.26417070066</v>
      </c>
      <c r="CR80" s="46" t="n">
        <f aca="false">CR79/In_DSCR*CR17</f>
        <v>1841.27651999633</v>
      </c>
      <c r="CS80" s="46" t="n">
        <f aca="false">CS79/In_DSCR*CS17</f>
        <v>1860.4886605825</v>
      </c>
      <c r="CT80" s="46" t="n">
        <f aca="false">CT79/In_DSCR*CT17</f>
        <v>0</v>
      </c>
      <c r="CU80" s="46" t="n">
        <f aca="false">CU79/In_DSCR*CU17</f>
        <v>0</v>
      </c>
      <c r="CV80" s="46" t="n">
        <f aca="false">CV79/In_DSCR*CV17</f>
        <v>0</v>
      </c>
      <c r="CW80" s="46" t="n">
        <f aca="false">CW79/In_DSCR*CW17</f>
        <v>0</v>
      </c>
      <c r="CX80" s="46" t="n">
        <f aca="false">CX79/In_DSCR*CX17</f>
        <v>0</v>
      </c>
      <c r="CY80" s="46" t="n">
        <f aca="false">CY79/In_DSCR*CY17</f>
        <v>0</v>
      </c>
      <c r="CZ80" s="46" t="n">
        <f aca="false">CZ79/In_DSCR*CZ17</f>
        <v>0</v>
      </c>
      <c r="DA80" s="46" t="n">
        <f aca="false">DA79/In_DSCR*DA17</f>
        <v>0</v>
      </c>
      <c r="DB80" s="46" t="n">
        <f aca="false">DB79/In_DSCR*DB17</f>
        <v>0</v>
      </c>
      <c r="DC80" s="46" t="n">
        <f aca="false">DC79/In_DSCR*DC17</f>
        <v>0</v>
      </c>
      <c r="DD80" s="46" t="n">
        <f aca="false">DD79/In_DSCR*DD17</f>
        <v>0</v>
      </c>
      <c r="DE80" s="46" t="n">
        <f aca="false">DE79/In_DSCR*DE17</f>
        <v>0</v>
      </c>
      <c r="DF80" s="46" t="n">
        <f aca="false">DF79/In_DSCR*DF17</f>
        <v>0</v>
      </c>
      <c r="DG80" s="46" t="n">
        <f aca="false">DG79/In_DSCR*DG17</f>
        <v>0</v>
      </c>
      <c r="DH80" s="46" t="n">
        <f aca="false">DH79/In_DSCR*DH17</f>
        <v>0</v>
      </c>
      <c r="DI80" s="46" t="n">
        <f aca="false">DI79/In_DSCR*DI17</f>
        <v>0</v>
      </c>
      <c r="DJ80" s="46" t="n">
        <f aca="false">DJ79/In_DSCR*DJ17</f>
        <v>0</v>
      </c>
      <c r="DK80" s="46" t="n">
        <f aca="false">DK79/In_DSCR*DK17</f>
        <v>0</v>
      </c>
      <c r="DL80" s="46" t="n">
        <f aca="false">DL79/In_DSCR*DL17</f>
        <v>0</v>
      </c>
      <c r="DM80" s="46" t="n">
        <f aca="false">DM79/In_DSCR*DM17</f>
        <v>0</v>
      </c>
      <c r="DN80" s="46" t="n">
        <f aca="false">DN79/In_DSCR*DN17</f>
        <v>0</v>
      </c>
      <c r="DO80" s="46" t="n">
        <f aca="false">DO79/In_DSCR*DO17</f>
        <v>0</v>
      </c>
      <c r="DP80" s="46" t="n">
        <f aca="false">DP79/In_DSCR*DP17</f>
        <v>0</v>
      </c>
      <c r="DQ80" s="46" t="n">
        <f aca="false">DQ79/In_DSCR*DQ17</f>
        <v>0</v>
      </c>
      <c r="DR80" s="46" t="n">
        <f aca="false">DR79/In_DSCR*DR17</f>
        <v>0</v>
      </c>
      <c r="DS80" s="46" t="n">
        <f aca="false">DS79/In_DSCR*DS17</f>
        <v>0</v>
      </c>
      <c r="DT80" s="46" t="n">
        <f aca="false">DT79/In_DSCR*DT17</f>
        <v>0</v>
      </c>
      <c r="DU80" s="46" t="n">
        <f aca="false">DU79/In_DSCR*DU17</f>
        <v>0</v>
      </c>
      <c r="DV80" s="46" t="n">
        <f aca="false">DV79/In_DSCR*DV17</f>
        <v>0</v>
      </c>
      <c r="DW80" s="46" t="n">
        <f aca="false">DW79/In_DSCR*DW17</f>
        <v>0</v>
      </c>
      <c r="DX80" s="46" t="n">
        <f aca="false">DX79/In_DSCR*DX17</f>
        <v>0</v>
      </c>
      <c r="DY80" s="46" t="n">
        <f aca="false">DY79/In_DSCR*DY17</f>
        <v>0</v>
      </c>
      <c r="DZ80" s="46" t="n">
        <f aca="false">DZ79/In_DSCR*DZ17</f>
        <v>0</v>
      </c>
      <c r="EA80" s="46" t="n">
        <f aca="false">EA79/In_DSCR*EA17</f>
        <v>0</v>
      </c>
      <c r="EB80" s="46" t="n">
        <f aca="false">EB79/In_DSCR*EB17</f>
        <v>0</v>
      </c>
      <c r="EC80" s="46" t="n">
        <f aca="false">EC79/In_DSCR*EC17</f>
        <v>0</v>
      </c>
      <c r="ED80" s="46" t="n">
        <f aca="false">ED79/In_DSCR*ED17</f>
        <v>0</v>
      </c>
      <c r="EE80" s="46" t="n">
        <f aca="false">EE79/In_DSCR*EE17</f>
        <v>0</v>
      </c>
      <c r="EF80" s="46" t="n">
        <f aca="false">EF79/In_DSCR*EF17</f>
        <v>0</v>
      </c>
      <c r="EG80" s="46" t="n">
        <f aca="false">EG79/In_DSCR*EG17</f>
        <v>0</v>
      </c>
      <c r="EH80" s="46" t="n">
        <f aca="false">EH79/In_DSCR*EH17</f>
        <v>0</v>
      </c>
      <c r="EI80" s="46" t="n">
        <f aca="false">EI79/In_DSCR*EI17</f>
        <v>0</v>
      </c>
      <c r="EJ80" s="46" t="n">
        <f aca="false">EJ79/In_DSCR*EJ17</f>
        <v>0</v>
      </c>
      <c r="EK80" s="46" t="n">
        <f aca="false">EK79/In_DSCR*EK17</f>
        <v>0</v>
      </c>
      <c r="EL80" s="46" t="n">
        <f aca="false">EL79/In_DSCR*EL17</f>
        <v>0</v>
      </c>
      <c r="EM80" s="46" t="n">
        <f aca="false">EM79/In_DSCR*EM17</f>
        <v>0</v>
      </c>
      <c r="EN80" s="46" t="n">
        <f aca="false">EN79/In_DSCR*EN17</f>
        <v>0</v>
      </c>
      <c r="EO80" s="46" t="n">
        <f aca="false">EO79/In_DSCR*EO17</f>
        <v>0</v>
      </c>
    </row>
    <row r="81" customFormat="false" ht="15" hidden="false" customHeight="false" outlineLevel="0" collapsed="false">
      <c r="C81" s="0" t="s">
        <v>408</v>
      </c>
      <c r="D81" s="11" t="s">
        <v>27</v>
      </c>
      <c r="E81" s="47" t="n">
        <f aca="false">IF($E35=1,In_Gearing,In_Gearing_CN)</f>
        <v>0.7</v>
      </c>
    </row>
    <row r="82" customFormat="false" ht="15" hidden="false" customHeight="false" outlineLevel="0" collapsed="false">
      <c r="C82" s="24" t="s">
        <v>409</v>
      </c>
      <c r="D82" s="11" t="s">
        <v>27</v>
      </c>
      <c r="E82" s="32" t="n">
        <f aca="false">MIN($E81,$E80/-$E62)</f>
        <v>0.7</v>
      </c>
      <c r="F82" s="32" t="n">
        <f aca="false">$E82*-$E62/$E80</f>
        <v>0.593630286794815</v>
      </c>
    </row>
    <row r="84" customFormat="false" ht="15" hidden="false" customHeight="false" outlineLevel="0" collapsed="false">
      <c r="A84" s="9" t="s">
        <v>13</v>
      </c>
      <c r="B84" s="9"/>
      <c r="C84" s="9" t="s">
        <v>300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410</v>
      </c>
      <c r="D85" s="11" t="s">
        <v>33</v>
      </c>
      <c r="I85" s="46" t="n">
        <f aca="false">SUM(J85:EO85)</f>
        <v>-27117.6848794549</v>
      </c>
      <c r="J85" s="46" t="n">
        <f aca="false">-I91*$F21*(J$4&gt;In_COD)</f>
        <v>-0</v>
      </c>
      <c r="K85" s="46" t="n">
        <f aca="false">-J91*$F21*(K$4&gt;In_COD)</f>
        <v>-0</v>
      </c>
      <c r="L85" s="46" t="n">
        <f aca="false">-K91*$F21*(L$4&gt;In_COD)</f>
        <v>-0</v>
      </c>
      <c r="M85" s="46" t="n">
        <f aca="false">-L91*$F21*(M$4&gt;In_COD)</f>
        <v>-0</v>
      </c>
      <c r="N85" s="46" t="n">
        <f aca="false">-M91*$F21*(N$4&gt;In_COD)</f>
        <v>-0</v>
      </c>
      <c r="O85" s="46" t="n">
        <f aca="false">-N91*$F21*(O$4&gt;In_COD)</f>
        <v>-0</v>
      </c>
      <c r="P85" s="46" t="n">
        <f aca="false">-O91*$F21*(P$4&gt;In_COD)</f>
        <v>-0</v>
      </c>
      <c r="Q85" s="46" t="n">
        <f aca="false">-P91*$F21*(Q$4&gt;In_COD)</f>
        <v>-0</v>
      </c>
      <c r="R85" s="46" t="n">
        <f aca="false">-Q91*$F21*(R$4&gt;In_COD)</f>
        <v>-0</v>
      </c>
      <c r="S85" s="46" t="n">
        <f aca="false">-R91*$F21*(S$4&gt;In_COD)</f>
        <v>-0</v>
      </c>
      <c r="T85" s="46" t="n">
        <f aca="false">-S91*$F21*(T$4&gt;In_COD)</f>
        <v>-0</v>
      </c>
      <c r="U85" s="46" t="n">
        <f aca="false">-T91*$F21*(U$4&gt;In_COD)</f>
        <v>-0</v>
      </c>
      <c r="V85" s="46" t="n">
        <f aca="false">-U91*$F21*(V$4&gt;In_COD)</f>
        <v>-0</v>
      </c>
      <c r="W85" s="46" t="n">
        <f aca="false">-V91*$F21*(W$4&gt;In_COD)</f>
        <v>-0</v>
      </c>
      <c r="X85" s="46" t="n">
        <f aca="false">-W91*$F21*(X$4&gt;In_COD)</f>
        <v>-0</v>
      </c>
      <c r="Y85" s="46" t="n">
        <f aca="false">-X91*$F21*(Y$4&gt;In_COD)</f>
        <v>-0</v>
      </c>
      <c r="Z85" s="46" t="n">
        <f aca="false">-Y91*$F21*(Z$4&gt;In_COD)</f>
        <v>-647.280134113848</v>
      </c>
      <c r="AA85" s="46" t="n">
        <f aca="false">-Z91*$F21*(AA$4&gt;In_COD)</f>
        <v>-641.713418732339</v>
      </c>
      <c r="AB85" s="46" t="n">
        <f aca="false">-AA91*$F21*(AB$4&gt;In_COD)</f>
        <v>-636.286359976663</v>
      </c>
      <c r="AC85" s="46" t="n">
        <f aca="false">-AB91*$F21*(AC$4&gt;In_COD)</f>
        <v>-630.645529691346</v>
      </c>
      <c r="AD85" s="46" t="n">
        <f aca="false">-AC91*$F21*(AD$4&gt;In_COD)</f>
        <v>-624.788315217232</v>
      </c>
      <c r="AE85" s="46" t="n">
        <f aca="false">-AD91*$F21*(AE$4&gt;In_COD)</f>
        <v>-618.90715810673</v>
      </c>
      <c r="AF85" s="46" t="n">
        <f aca="false">-AE91*$F21*(AF$4&gt;In_COD)</f>
        <v>-613.015644016234</v>
      </c>
      <c r="AG85" s="46" t="n">
        <f aca="false">-AF91*$F21*(AG$4&gt;In_COD)</f>
        <v>-607.084595674859</v>
      </c>
      <c r="AH85" s="46" t="n">
        <f aca="false">-AG91*$F21*(AH$4&gt;In_COD)</f>
        <v>-601.083869383499</v>
      </c>
      <c r="AI85" s="46" t="n">
        <f aca="false">-AH91*$F21*(AI$4&gt;In_COD)</f>
        <v>-595.057156558989</v>
      </c>
      <c r="AJ85" s="46" t="n">
        <f aca="false">-AI91*$F21*(AJ$4&gt;In_COD)</f>
        <v>-589.165892006551</v>
      </c>
      <c r="AK85" s="46" t="n">
        <f aca="false">-AJ91*$F21*(AK$4&gt;In_COD)</f>
        <v>-582.919393268594</v>
      </c>
      <c r="AL85" s="46" t="n">
        <f aca="false">-AK91*$F21*(AL$4&gt;In_COD)</f>
        <v>-576.452320586141</v>
      </c>
      <c r="AM85" s="46" t="n">
        <f aca="false">-AL91*$F21*(AM$4&gt;In_COD)</f>
        <v>-569.95397775375</v>
      </c>
      <c r="AN85" s="46" t="n">
        <f aca="false">-AM91*$F21*(AN$4&gt;In_COD)</f>
        <v>-563.590180146338</v>
      </c>
      <c r="AO85" s="46" t="n">
        <f aca="false">-AN91*$F21*(AO$4&gt;In_COD)</f>
        <v>-557.004031961144</v>
      </c>
      <c r="AP85" s="46" t="n">
        <f aca="false">-AO91*$F21*(AP$4&gt;In_COD)</f>
        <v>-550.192877560356</v>
      </c>
      <c r="AQ85" s="46" t="n">
        <f aca="false">-AP91*$F21*(AQ$4&gt;In_COD)</f>
        <v>-543.346630597593</v>
      </c>
      <c r="AR85" s="46" t="n">
        <f aca="false">-AQ91*$F21*(AR$4&gt;In_COD)</f>
        <v>-536.632431783778</v>
      </c>
      <c r="AS85" s="46" t="n">
        <f aca="false">-AR91*$F21*(AS$4&gt;In_COD)</f>
        <v>-529.691334972977</v>
      </c>
      <c r="AT85" s="46" t="n">
        <f aca="false">-AS91*$F21*(AT$4&gt;In_COD)</f>
        <v>-522.520630215405</v>
      </c>
      <c r="AU85" s="46" t="n">
        <f aca="false">-AT91*$F21*(AU$4&gt;In_COD)</f>
        <v>-515.310826659153</v>
      </c>
      <c r="AV85" s="46" t="n">
        <f aca="false">-AU91*$F21*(AV$4&gt;In_COD)</f>
        <v>-508.083346589361</v>
      </c>
      <c r="AW85" s="46" t="n">
        <f aca="false">-AV91*$F21*(AW$4&gt;In_COD)</f>
        <v>-500.769545316571</v>
      </c>
      <c r="AX85" s="46" t="n">
        <f aca="false">-AW91*$F21*(AX$4&gt;In_COD)</f>
        <v>-493.221336038514</v>
      </c>
      <c r="AY85" s="46" t="n">
        <f aca="false">-AX91*$F21*(AY$4&gt;In_COD)</f>
        <v>-485.629808198487</v>
      </c>
      <c r="AZ85" s="46" t="n">
        <f aca="false">-AY91*$F21*(AZ$4&gt;In_COD)</f>
        <v>-478.164789239855</v>
      </c>
      <c r="BA85" s="46" t="n">
        <f aca="false">-AZ91*$F21*(BA$4&gt;In_COD)</f>
        <v>-470.463221763874</v>
      </c>
      <c r="BB85" s="46" t="n">
        <f aca="false">-BA91*$F21*(BB$4&gt;In_COD)</f>
        <v>-462.522280560044</v>
      </c>
      <c r="BC85" s="46" t="n">
        <f aca="false">-BB91*$F21*(BC$4&gt;In_COD)</f>
        <v>-454.533620054597</v>
      </c>
      <c r="BD85" s="46" t="n">
        <f aca="false">-BC91*$F21*(BD$4&gt;In_COD)</f>
        <v>-446.668429562195</v>
      </c>
      <c r="BE85" s="46" t="n">
        <f aca="false">-BD91*$F21*(BE$4&gt;In_COD)</f>
        <v>-438.561591391829</v>
      </c>
      <c r="BF85" s="46" t="n">
        <f aca="false">-BE91*$F21*(BF$4&gt;In_COD)</f>
        <v>-430.210219431321</v>
      </c>
      <c r="BG85" s="46" t="n">
        <f aca="false">-BF91*$F21*(BG$4&gt;In_COD)</f>
        <v>-421.806516918436</v>
      </c>
      <c r="BH85" s="46" t="n">
        <f aca="false">-BG91*$F21*(BH$4&gt;In_COD)</f>
        <v>-413.523047453912</v>
      </c>
      <c r="BI85" s="46" t="n">
        <f aca="false">-BH91*$F21*(BI$4&gt;In_COD)</f>
        <v>-404.992630122341</v>
      </c>
      <c r="BJ85" s="46" t="n">
        <f aca="false">-BI91*$F21*(BJ$4&gt;In_COD)</f>
        <v>-396.212315508887</v>
      </c>
      <c r="BK85" s="46" t="n">
        <f aca="false">-BJ91*$F21*(BK$4&gt;In_COD)</f>
        <v>-387.374838852362</v>
      </c>
      <c r="BL85" s="46" t="n">
        <f aca="false">-BK91*$F21*(BL$4&gt;In_COD)</f>
        <v>-378.505847362269</v>
      </c>
      <c r="BM85" s="46" t="n">
        <f aca="false">-BL91*$F21*(BM$4&gt;In_COD)</f>
        <v>-369.530929324139</v>
      </c>
      <c r="BN85" s="46" t="n">
        <f aca="false">-BM91*$F21*(BN$4&gt;In_COD)</f>
        <v>-360.300516399793</v>
      </c>
      <c r="BO85" s="46" t="n">
        <f aca="false">-BN91*$F21*(BO$4&gt;In_COD)</f>
        <v>-351.007858107403</v>
      </c>
      <c r="BP85" s="46" t="n">
        <f aca="false">-BO91*$F21*(BP$4&gt;In_COD)</f>
        <v>-341.828304069159</v>
      </c>
      <c r="BQ85" s="46" t="n">
        <f aca="false">-BP91*$F21*(BQ$4&gt;In_COD)</f>
        <v>-332.390538660957</v>
      </c>
      <c r="BR85" s="46" t="n">
        <f aca="false">-BQ91*$F21*(BR$4&gt;In_COD)</f>
        <v>-322.691477942631</v>
      </c>
      <c r="BS85" s="46" t="n">
        <f aca="false">-BR91*$F21*(BS$4&gt;In_COD)</f>
        <v>-312.924867804456</v>
      </c>
      <c r="BT85" s="46" t="n">
        <f aca="false">-BS91*$F21*(BT$4&gt;In_COD)</f>
        <v>-303.26747007533</v>
      </c>
      <c r="BU85" s="46" t="n">
        <f aca="false">-BT91*$F21*(BU$4&gt;In_COD)</f>
        <v>-293.345898301719</v>
      </c>
      <c r="BV85" s="46" t="n">
        <f aca="false">-BU91*$F21*(BV$4&gt;In_COD)</f>
        <v>-283.156997328425</v>
      </c>
      <c r="BW85" s="46" t="n">
        <f aca="false">-BV91*$F21*(BW$4&gt;In_COD)</f>
        <v>-272.894990570297</v>
      </c>
      <c r="BX85" s="46" t="n">
        <f aca="false">-BW91*$F21*(BX$4&gt;In_COD)</f>
        <v>-262.738064932965</v>
      </c>
      <c r="BY85" s="46" t="n">
        <f aca="false">-BX91*$F21*(BY$4&gt;In_COD)</f>
        <v>-252.310761018138</v>
      </c>
      <c r="BZ85" s="46" t="n">
        <f aca="false">-BY91*$F21*(BZ$4&gt;In_COD)</f>
        <v>-241.609849570534</v>
      </c>
      <c r="CA85" s="46" t="n">
        <f aca="false">-BZ91*$F21*(CA$4&gt;In_COD)</f>
        <v>-230.830011961384</v>
      </c>
      <c r="CB85" s="46" t="n">
        <f aca="false">-CA91*$F21*(CB$4&gt;In_COD)</f>
        <v>-220.001583704093</v>
      </c>
      <c r="CC85" s="46" t="n">
        <f aca="false">-CB91*$F21*(CC$4&gt;In_COD)</f>
        <v>-209.043826421372</v>
      </c>
      <c r="CD85" s="46" t="n">
        <f aca="false">-CC91*$F21*(CD$4&gt;In_COD)</f>
        <v>-197.805906025667</v>
      </c>
      <c r="CE85" s="46" t="n">
        <f aca="false">-CD91*$F21*(CE$4&gt;In_COD)</f>
        <v>-186.482941279347</v>
      </c>
      <c r="CF85" s="46" t="n">
        <f aca="false">-CE91*$F21*(CF$4&gt;In_COD)</f>
        <v>-175.256008036808</v>
      </c>
      <c r="CG85" s="46" t="n">
        <f aca="false">-CF91*$F21*(CG$4&gt;In_COD)</f>
        <v>-163.745495269676</v>
      </c>
      <c r="CH85" s="46" t="n">
        <f aca="false">-CG91*$F21*(CH$4&gt;In_COD)</f>
        <v>-151.948016053952</v>
      </c>
      <c r="CI85" s="46" t="n">
        <f aca="false">-CH91*$F21*(CI$4&gt;In_COD)</f>
        <v>-140.059105708812</v>
      </c>
      <c r="CJ85" s="46" t="n">
        <f aca="false">-CI91*$F21*(CJ$4&gt;In_COD)</f>
        <v>-128.261304422852</v>
      </c>
      <c r="CK85" s="46" t="n">
        <f aca="false">-CJ91*$F21*(CK$4&gt;In_COD)</f>
        <v>-116.172923174017</v>
      </c>
      <c r="CL85" s="46" t="n">
        <f aca="false">-CK91*$F21*(CL$4&gt;In_COD)</f>
        <v>-103.790491428771</v>
      </c>
      <c r="CM85" s="46" t="n">
        <f aca="false">-CL91*$F21*(CM$4&gt;In_COD)</f>
        <v>-91.309939197329</v>
      </c>
      <c r="CN85" s="46" t="n">
        <f aca="false">-CM91*$F21*(CN$4&gt;In_COD)</f>
        <v>-78.9152843061045</v>
      </c>
      <c r="CO85" s="46" t="n">
        <f aca="false">-CN91*$F21*(CO$4&gt;In_COD)</f>
        <v>-66.2227585110369</v>
      </c>
      <c r="CP85" s="46" t="n">
        <f aca="false">-CO91*$F21*(CP$4&gt;In_COD)</f>
        <v>-53.2288041994437</v>
      </c>
      <c r="CQ85" s="46" t="n">
        <f aca="false">-CP91*$F21*(CQ$4&gt;In_COD)</f>
        <v>-40.1297233937429</v>
      </c>
      <c r="CR85" s="46" t="n">
        <f aca="false">-CQ91*$F21*(CR$4&gt;In_COD)</f>
        <v>-26.9610473361042</v>
      </c>
      <c r="CS85" s="46" t="n">
        <f aca="false">-CR91*$F21*(CS$4&gt;In_COD)</f>
        <v>-13.6350915698807</v>
      </c>
      <c r="CT85" s="46" t="n">
        <f aca="false">-CS91*$F21*(CT$4&gt;In_COD)</f>
        <v>-3.1093350116862E-012</v>
      </c>
      <c r="CU85" s="46" t="n">
        <f aca="false">-CT91*$F21*(CU$4&gt;In_COD)</f>
        <v>-3.14820169933228E-012</v>
      </c>
      <c r="CV85" s="46" t="n">
        <f aca="false">-CU91*$F21*(CV$4&gt;In_COD)</f>
        <v>-3.18755422057393E-012</v>
      </c>
      <c r="CW85" s="46" t="n">
        <f aca="false">-CV91*$F21*(CW$4&gt;In_COD)</f>
        <v>-3.2273986483311E-012</v>
      </c>
      <c r="CX85" s="46" t="n">
        <f aca="false">-CW91*$F21*(CX$4&gt;In_COD)</f>
        <v>-3.26774113143524E-012</v>
      </c>
      <c r="CY85" s="46" t="n">
        <f aca="false">-CX91*$F21*(CY$4&gt;In_COD)</f>
        <v>-3.30858789557818E-012</v>
      </c>
      <c r="CZ85" s="46" t="n">
        <f aca="false">-CY91*$F21*(CZ$4&gt;In_COD)</f>
        <v>-3.34994524427291E-012</v>
      </c>
      <c r="DA85" s="46" t="n">
        <f aca="false">-CZ91*$F21*(DA$4&gt;In_COD)</f>
        <v>-3.39181955982632E-012</v>
      </c>
      <c r="DB85" s="46" t="n">
        <f aca="false">-DA91*$F21*(DB$4&gt;In_COD)</f>
        <v>-3.43421730432415E-012</v>
      </c>
      <c r="DC85" s="46" t="n">
        <f aca="false">-DB91*$F21*(DC$4&gt;In_COD)</f>
        <v>-3.4771450206282E-012</v>
      </c>
      <c r="DD85" s="46" t="n">
        <f aca="false">-DC91*$F21*(DD$4&gt;In_COD)</f>
        <v>-3.52060933338606E-012</v>
      </c>
      <c r="DE85" s="46" t="n">
        <f aca="false">-DD91*$F21*(DE$4&gt;In_COD)</f>
        <v>-3.56461695005338E-012</v>
      </c>
      <c r="DF85" s="46" t="n">
        <f aca="false">-DE91*$F21*(DF$4&gt;In_COD)</f>
        <v>-3.60917466192905E-012</v>
      </c>
      <c r="DG85" s="46" t="n">
        <f aca="false">-DF91*$F21*(DG$4&gt;In_COD)</f>
        <v>-3.65428934520316E-012</v>
      </c>
      <c r="DH85" s="46" t="n">
        <f aca="false">-DG91*$F21*(DH$4&gt;In_COD)</f>
        <v>-3.6999679620182E-012</v>
      </c>
      <c r="DI85" s="46" t="n">
        <f aca="false">-DH91*$F21*(DI$4&gt;In_COD)</f>
        <v>-3.74621756154343E-012</v>
      </c>
      <c r="DJ85" s="46" t="n">
        <f aca="false">-DI91*$F21*(DJ$4&gt;In_COD)</f>
        <v>-3.79304528106272E-012</v>
      </c>
      <c r="DK85" s="46" t="n">
        <f aca="false">-DJ91*$F21*(DK$4&gt;In_COD)</f>
        <v>-3.84045834707601E-012</v>
      </c>
      <c r="DL85" s="46" t="n">
        <f aca="false">-DK91*$F21*(DL$4&gt;In_COD)</f>
        <v>-3.88846407641446E-012</v>
      </c>
      <c r="DM85" s="46" t="n">
        <f aca="false">-DL91*$F21*(DM$4&gt;In_COD)</f>
        <v>-3.93706987736964E-012</v>
      </c>
      <c r="DN85" s="46" t="n">
        <f aca="false">-DM91*$F21*(DN$4&gt;In_COD)</f>
        <v>-3.98628325083676E-012</v>
      </c>
      <c r="DO85" s="46" t="n">
        <f aca="false">-DN91*$F21*(DO$4&gt;In_COD)</f>
        <v>-4.03611179147222E-012</v>
      </c>
      <c r="DP85" s="46" t="n">
        <f aca="false">-DO91*$F21*(DP$4&gt;In_COD)</f>
        <v>-4.08656318886562E-012</v>
      </c>
      <c r="DQ85" s="46" t="n">
        <f aca="false">-DP91*$F21*(DQ$4&gt;In_COD)</f>
        <v>-4.13764522872644E-012</v>
      </c>
      <c r="DR85" s="46" t="n">
        <f aca="false">-DQ91*$F21*(DR$4&gt;In_COD)</f>
        <v>-4.18936579408552E-012</v>
      </c>
      <c r="DS85" s="46" t="n">
        <f aca="false">-DR91*$F21*(DS$4&gt;In_COD)</f>
        <v>-4.24173286651159E-012</v>
      </c>
      <c r="DT85" s="46" t="n">
        <f aca="false">-DS91*$F21*(DT$4&gt;In_COD)</f>
        <v>-4.29475452734298E-012</v>
      </c>
      <c r="DU85" s="46" t="n">
        <f aca="false">-DT91*$F21*(DU$4&gt;In_COD)</f>
        <v>-4.34843895893477E-012</v>
      </c>
      <c r="DV85" s="46" t="n">
        <f aca="false">-DU91*$F21*(DV$4&gt;In_COD)</f>
        <v>-4.40279444592145E-012</v>
      </c>
      <c r="DW85" s="46" t="n">
        <f aca="false">-DV91*$F21*(DW$4&gt;In_COD)</f>
        <v>-4.45782937649547E-012</v>
      </c>
      <c r="DX85" s="46" t="n">
        <f aca="false">-DW91*$F21*(DX$4&gt;In_COD)</f>
        <v>-4.51355224370167E-012</v>
      </c>
      <c r="DY85" s="46" t="n">
        <f aca="false">-DX91*$F21*(DY$4&gt;In_COD)</f>
        <v>-4.56997164674794E-012</v>
      </c>
      <c r="DZ85" s="46" t="n">
        <f aca="false">-DY91*$F21*(DZ$4&gt;In_COD)</f>
        <v>-4.62709629233229E-012</v>
      </c>
      <c r="EA85" s="46" t="n">
        <f aca="false">-DZ91*$F21*(EA$4&gt;In_COD)</f>
        <v>-4.68493499598644E-012</v>
      </c>
      <c r="EB85" s="46" t="n">
        <f aca="false">-EA91*$F21*(EB$4&gt;In_COD)</f>
        <v>-4.74349668343627E-012</v>
      </c>
      <c r="EC85" s="46" t="n">
        <f aca="false">-EB91*$F21*(EC$4&gt;In_COD)</f>
        <v>-4.80279039197922E-012</v>
      </c>
      <c r="ED85" s="46" t="n">
        <f aca="false">-EC91*$F21*(ED$4&gt;In_COD)</f>
        <v>-4.86282527187896E-012</v>
      </c>
      <c r="EE85" s="46" t="n">
        <f aca="false">-ED91*$F21*(EE$4&gt;In_COD)</f>
        <v>-4.92361058777745E-012</v>
      </c>
      <c r="EF85" s="46" t="n">
        <f aca="false">-EE91*$F21*(EF$4&gt;In_COD)</f>
        <v>-4.98515572012467E-012</v>
      </c>
      <c r="EG85" s="46" t="n">
        <f aca="false">-EF91*$F21*(EG$4&gt;In_COD)</f>
        <v>-5.04747016662623E-012</v>
      </c>
      <c r="EH85" s="46" t="n">
        <f aca="false">-EG91*$F21*(EH$4&gt;In_COD)</f>
        <v>-5.11056354370905E-012</v>
      </c>
      <c r="EI85" s="46" t="n">
        <f aca="false">-EH91*$F21*(EI$4&gt;In_COD)</f>
        <v>-5.17444558800542E-012</v>
      </c>
      <c r="EJ85" s="46" t="n">
        <f aca="false">-EI91*$F21*(EJ$4&gt;In_COD)</f>
        <v>-5.23912615785549E-012</v>
      </c>
      <c r="EK85" s="46" t="n">
        <f aca="false">-EJ91*$F21*(EK$4&gt;In_COD)</f>
        <v>-5.30461523482868E-012</v>
      </c>
      <c r="EL85" s="46" t="n">
        <f aca="false">-EK91*$F21*(EL$4&gt;In_COD)</f>
        <v>-5.37092292526404E-012</v>
      </c>
      <c r="EM85" s="46" t="n">
        <f aca="false">-EL91*$F21*(EM$4&gt;In_COD)</f>
        <v>-5.43805946182984E-012</v>
      </c>
      <c r="EN85" s="46" t="n">
        <f aca="false">-EM91*$F21*(EN$4&gt;In_COD)</f>
        <v>-5.50603520510271E-012</v>
      </c>
      <c r="EO85" s="46" t="n">
        <f aca="false">-EN91*$F21*(EO$4&gt;In_COD)</f>
        <v>-5.5748606451665E-012</v>
      </c>
    </row>
    <row r="86" customFormat="false" ht="15" hidden="false" customHeight="false" outlineLevel="0" collapsed="false">
      <c r="C86" s="0" t="s">
        <v>411</v>
      </c>
      <c r="D86" s="11" t="s">
        <v>33</v>
      </c>
      <c r="I86" s="46" t="n">
        <f aca="false">SUM(J86:EO86)</f>
        <v>-78900.0956085624</v>
      </c>
      <c r="J86" s="46" t="n">
        <f aca="false">-J80*$F82</f>
        <v>0</v>
      </c>
      <c r="K86" s="46" t="n">
        <f aca="false">-K80*$F82</f>
        <v>0</v>
      </c>
      <c r="L86" s="46" t="n">
        <f aca="false">-L80*$F82</f>
        <v>0</v>
      </c>
      <c r="M86" s="46" t="n">
        <f aca="false">-M80*$F82</f>
        <v>0</v>
      </c>
      <c r="N86" s="46" t="n">
        <f aca="false">-N80*$F82</f>
        <v>0</v>
      </c>
      <c r="O86" s="46" t="n">
        <f aca="false">-O80*$F82</f>
        <v>0</v>
      </c>
      <c r="P86" s="46" t="n">
        <f aca="false">-P80*$F82</f>
        <v>0</v>
      </c>
      <c r="Q86" s="46" t="n">
        <f aca="false">-Q80*$F82</f>
        <v>0</v>
      </c>
      <c r="R86" s="46" t="n">
        <f aca="false">-R80*$F82</f>
        <v>0</v>
      </c>
      <c r="S86" s="46" t="n">
        <f aca="false">-S80*$F82</f>
        <v>0</v>
      </c>
      <c r="T86" s="46" t="n">
        <f aca="false">-T80*$F82</f>
        <v>0</v>
      </c>
      <c r="U86" s="46" t="n">
        <f aca="false">-U80*$F82</f>
        <v>0</v>
      </c>
      <c r="V86" s="46" t="n">
        <f aca="false">-V80*$F82</f>
        <v>0</v>
      </c>
      <c r="W86" s="46" t="n">
        <f aca="false">-W80*$F82</f>
        <v>0</v>
      </c>
      <c r="X86" s="46" t="n">
        <f aca="false">-X80*$F82</f>
        <v>0</v>
      </c>
      <c r="Y86" s="46" t="n">
        <f aca="false">-Y80*$F82</f>
        <v>0</v>
      </c>
      <c r="Z86" s="46" t="n">
        <f aca="false">-Z80*$F82</f>
        <v>-1092.61736463462</v>
      </c>
      <c r="AA86" s="46" t="n">
        <f aca="false">-AA80*$F82</f>
        <v>-1075.8781191864</v>
      </c>
      <c r="AB86" s="46" t="n">
        <f aca="false">-AB80*$F82</f>
        <v>-1087.55278280198</v>
      </c>
      <c r="AC86" s="46" t="n">
        <f aca="false">-AC80*$F82</f>
        <v>-1099.22268762052</v>
      </c>
      <c r="AD86" s="46" t="n">
        <f aca="false">-AD80*$F82</f>
        <v>-1095.28088405735</v>
      </c>
      <c r="AE86" s="46" t="n">
        <f aca="false">-AE80*$F82</f>
        <v>-1090.22828534646</v>
      </c>
      <c r="AF86" s="46" t="n">
        <f aca="false">-AF80*$F82</f>
        <v>-1087.49951132624</v>
      </c>
      <c r="AG86" s="46" t="n">
        <f aca="false">-AG80*$F82</f>
        <v>-1087.14269898363</v>
      </c>
      <c r="AH86" s="46" t="n">
        <f aca="false">-AH80*$F82</f>
        <v>-1083.2208953443</v>
      </c>
      <c r="AI86" s="46" t="n">
        <f aca="false">-AI80*$F82</f>
        <v>-1066.35832075401</v>
      </c>
      <c r="AJ86" s="46" t="n">
        <f aca="false">-AJ80*$F82</f>
        <v>-1088.88579104316</v>
      </c>
      <c r="AK86" s="46" t="n">
        <f aca="false">-AK80*$F82</f>
        <v>-1100.28520786481</v>
      </c>
      <c r="AL86" s="46" t="n">
        <f aca="false">-AL80*$F82</f>
        <v>-1096.31974717743</v>
      </c>
      <c r="AM86" s="46" t="n">
        <f aca="false">-AM80*$F82</f>
        <v>-1079.05778634674</v>
      </c>
      <c r="AN86" s="46" t="n">
        <f aca="false">-AN80*$F82</f>
        <v>-1090.48203496184</v>
      </c>
      <c r="AO86" s="46" t="n">
        <f aca="false">-AO80*$F82</f>
        <v>-1101.89638402414</v>
      </c>
      <c r="AP86" s="46" t="n">
        <f aca="false">-AP80*$F82</f>
        <v>-1097.89263458144</v>
      </c>
      <c r="AQ86" s="46" t="n">
        <f aca="false">-AQ80*$F82</f>
        <v>-1080.48253570274</v>
      </c>
      <c r="AR86" s="46" t="n">
        <f aca="false">-AR80*$F82</f>
        <v>-1091.92017664786</v>
      </c>
      <c r="AS86" s="46" t="n">
        <f aca="false">-AS80*$F82</f>
        <v>-1103.34771557876</v>
      </c>
      <c r="AT86" s="46" t="n">
        <f aca="false">-AT80*$F82</f>
        <v>-1099.30491471557</v>
      </c>
      <c r="AU86" s="46" t="n">
        <f aca="false">-AU80*$F82</f>
        <v>-1093.50923224256</v>
      </c>
      <c r="AV86" s="46" t="n">
        <f aca="false">-AV80*$F82</f>
        <v>-1093.18744841256</v>
      </c>
      <c r="AW86" s="46" t="n">
        <f aca="false">-AW80*$F82</f>
        <v>-1104.62628756109</v>
      </c>
      <c r="AX86" s="46" t="n">
        <f aca="false">-AX80*$F82</f>
        <v>-1100.54356324068</v>
      </c>
      <c r="AY86" s="46" t="n">
        <f aca="false">-AY80*$F82</f>
        <v>-1082.83132488905</v>
      </c>
      <c r="AZ86" s="46" t="n">
        <f aca="false">-AZ80*$F82</f>
        <v>-1094.29018731831</v>
      </c>
      <c r="BA86" s="46" t="n">
        <f aca="false">-BA80*$F82</f>
        <v>-1105.73851807027</v>
      </c>
      <c r="BB86" s="46" t="n">
        <f aca="false">-BB80*$F82</f>
        <v>-1101.61512099581</v>
      </c>
      <c r="BC86" s="46" t="n">
        <f aca="false">-BC80*$F82</f>
        <v>-1083.74885944683</v>
      </c>
      <c r="BD86" s="46" t="n">
        <f aca="false">-BD80*$F82</f>
        <v>-1095.21548319141</v>
      </c>
      <c r="BE86" s="46" t="n">
        <f aca="false">-BE80*$F82</f>
        <v>-1106.67134823247</v>
      </c>
      <c r="BF86" s="46" t="n">
        <f aca="false">-BF80*$F82</f>
        <v>-1102.50642046215</v>
      </c>
      <c r="BG86" s="46" t="n">
        <f aca="false">-BG80*$F82</f>
        <v>-1084.4840740804</v>
      </c>
      <c r="BH86" s="46" t="n">
        <f aca="false">-BH80*$F82</f>
        <v>-1095.95643397952</v>
      </c>
      <c r="BI86" s="46" t="n">
        <f aca="false">-BI80*$F82</f>
        <v>-1107.41779919866</v>
      </c>
      <c r="BJ86" s="46" t="n">
        <f aca="false">-BJ80*$F82</f>
        <v>-1103.2104480309</v>
      </c>
      <c r="BK86" s="46" t="n">
        <f aca="false">-BK80*$F82</f>
        <v>-1096.89415805981</v>
      </c>
      <c r="BL86" s="46" t="n">
        <f aca="false">-BL80*$F82</f>
        <v>-1096.49929041267</v>
      </c>
      <c r="BM86" s="46" t="n">
        <f aca="false">-BM80*$F82</f>
        <v>-1107.9639632718</v>
      </c>
      <c r="BN86" s="46" t="n">
        <f aca="false">-BN80*$F82</f>
        <v>-1103.71317979105</v>
      </c>
      <c r="BO86" s="46" t="n">
        <f aca="false">-BO80*$F82</f>
        <v>-1085.37218116691</v>
      </c>
      <c r="BP86" s="46" t="n">
        <f aca="false">-BP80*$F82</f>
        <v>-1096.84953672532</v>
      </c>
      <c r="BQ86" s="46" t="n">
        <f aca="false">-BQ80*$F82</f>
        <v>-1108.315396127</v>
      </c>
      <c r="BR86" s="46" t="n">
        <f aca="false">-BR80*$F82</f>
        <v>-1104.02028899665</v>
      </c>
      <c r="BS86" s="46" t="n">
        <f aca="false">-BS80*$F82</f>
        <v>-1085.51668613453</v>
      </c>
      <c r="BT86" s="46" t="n">
        <f aca="false">-BT80*$F82</f>
        <v>-1096.99321196418</v>
      </c>
      <c r="BU86" s="46" t="n">
        <f aca="false">-BU80*$F82</f>
        <v>-1108.4579761653</v>
      </c>
      <c r="BV86" s="46" t="n">
        <f aca="false">-BV80*$F82</f>
        <v>-1104.11753797866</v>
      </c>
      <c r="BW86" s="46" t="n">
        <f aca="false">-BW80*$F82</f>
        <v>-1085.44904155683</v>
      </c>
      <c r="BX86" s="46" t="n">
        <f aca="false">-BX80*$F82</f>
        <v>-1096.92237811916</v>
      </c>
      <c r="BY86" s="46" t="n">
        <f aca="false">-BY80*$F82</f>
        <v>-1108.38367682641</v>
      </c>
      <c r="BZ86" s="46" t="n">
        <f aca="false">-BZ80*$F82</f>
        <v>-1103.99685830257</v>
      </c>
      <c r="CA86" s="46" t="n">
        <f aca="false">-CA80*$F82</f>
        <v>-1097.10427254466</v>
      </c>
      <c r="CB86" s="46" t="n">
        <f aca="false">-CB80*$F82</f>
        <v>-1096.62216632177</v>
      </c>
      <c r="CC86" s="46" t="n">
        <f aca="false">-CC80*$F82</f>
        <v>-1108.07745807778</v>
      </c>
      <c r="CD86" s="46" t="n">
        <f aca="false">-CD80*$F82</f>
        <v>-1103.64308573124</v>
      </c>
      <c r="CE86" s="46" t="n">
        <f aca="false">-CE80*$F82</f>
        <v>-1084.63760068249</v>
      </c>
      <c r="CF86" s="46" t="n">
        <f aca="false">-CF80*$F82</f>
        <v>-1096.09702940733</v>
      </c>
      <c r="CG86" s="46" t="n">
        <f aca="false">-CG80*$F82</f>
        <v>-1107.54383252758</v>
      </c>
      <c r="CH86" s="46" t="n">
        <f aca="false">-CH80*$F82</f>
        <v>-1103.0608436652</v>
      </c>
      <c r="CI86" s="46" t="n">
        <f aca="false">-CI80*$F82</f>
        <v>-1083.88320858557</v>
      </c>
      <c r="CJ86" s="46" t="n">
        <f aca="false">-CJ80*$F82</f>
        <v>-1095.33180432965</v>
      </c>
      <c r="CK86" s="46" t="n">
        <f aca="false">-CK80*$F82</f>
        <v>-1106.76746279374</v>
      </c>
      <c r="CL86" s="46" t="n">
        <f aca="false">-CL80*$F82</f>
        <v>-1102.23466994411</v>
      </c>
      <c r="CM86" s="46" t="n">
        <f aca="false">-CM80*$F82</f>
        <v>-1082.88233049529</v>
      </c>
      <c r="CN86" s="46" t="n">
        <f aca="false">-CN80*$F82</f>
        <v>-1094.31734791152</v>
      </c>
      <c r="CO86" s="46" t="n">
        <f aca="false">-CO80*$F82</f>
        <v>-1105.73910343849</v>
      </c>
      <c r="CP86" s="46" t="n">
        <f aca="false">-CP80*$F82</f>
        <v>-1101.15526865551</v>
      </c>
      <c r="CQ86" s="46" t="n">
        <f aca="false">-CQ80*$F82</f>
        <v>-1093.62380800484</v>
      </c>
      <c r="CR86" s="46" t="n">
        <f aca="false">-CR80*$F82</f>
        <v>-1093.03750863398</v>
      </c>
      <c r="CS86" s="46" t="n">
        <f aca="false">-CS80*$F82</f>
        <v>-1104.44241716009</v>
      </c>
      <c r="CT86" s="46" t="n">
        <f aca="false">-CT80*$F82</f>
        <v>-0</v>
      </c>
      <c r="CU86" s="46" t="n">
        <f aca="false">-CU80*$F82</f>
        <v>-0</v>
      </c>
      <c r="CV86" s="46" t="n">
        <f aca="false">-CV80*$F82</f>
        <v>-0</v>
      </c>
      <c r="CW86" s="46" t="n">
        <f aca="false">-CW80*$F82</f>
        <v>-0</v>
      </c>
      <c r="CX86" s="46" t="n">
        <f aca="false">-CX80*$F82</f>
        <v>-0</v>
      </c>
      <c r="CY86" s="46" t="n">
        <f aca="false">-CY80*$F82</f>
        <v>-0</v>
      </c>
      <c r="CZ86" s="46" t="n">
        <f aca="false">-CZ80*$F82</f>
        <v>-0</v>
      </c>
      <c r="DA86" s="46" t="n">
        <f aca="false">-DA80*$F82</f>
        <v>-0</v>
      </c>
      <c r="DB86" s="46" t="n">
        <f aca="false">-DB80*$F82</f>
        <v>-0</v>
      </c>
      <c r="DC86" s="46" t="n">
        <f aca="false">-DC80*$F82</f>
        <v>-0</v>
      </c>
      <c r="DD86" s="46" t="n">
        <f aca="false">-DD80*$F82</f>
        <v>-0</v>
      </c>
      <c r="DE86" s="46" t="n">
        <f aca="false">-DE80*$F82</f>
        <v>-0</v>
      </c>
      <c r="DF86" s="46" t="n">
        <f aca="false">-DF80*$F82</f>
        <v>-0</v>
      </c>
      <c r="DG86" s="46" t="n">
        <f aca="false">-DG80*$F82</f>
        <v>-0</v>
      </c>
      <c r="DH86" s="46" t="n">
        <f aca="false">-DH80*$F82</f>
        <v>-0</v>
      </c>
      <c r="DI86" s="46" t="n">
        <f aca="false">-DI80*$F82</f>
        <v>-0</v>
      </c>
      <c r="DJ86" s="46" t="n">
        <f aca="false">-DJ80*$F82</f>
        <v>-0</v>
      </c>
      <c r="DK86" s="46" t="n">
        <f aca="false">-DK80*$F82</f>
        <v>-0</v>
      </c>
      <c r="DL86" s="46" t="n">
        <f aca="false">-DL80*$F82</f>
        <v>-0</v>
      </c>
      <c r="DM86" s="46" t="n">
        <f aca="false">-DM80*$F82</f>
        <v>-0</v>
      </c>
      <c r="DN86" s="46" t="n">
        <f aca="false">-DN80*$F82</f>
        <v>-0</v>
      </c>
      <c r="DO86" s="46" t="n">
        <f aca="false">-DO80*$F82</f>
        <v>-0</v>
      </c>
      <c r="DP86" s="46" t="n">
        <f aca="false">-DP80*$F82</f>
        <v>-0</v>
      </c>
      <c r="DQ86" s="46" t="n">
        <f aca="false">-DQ80*$F82</f>
        <v>-0</v>
      </c>
      <c r="DR86" s="46" t="n">
        <f aca="false">-DR80*$F82</f>
        <v>-0</v>
      </c>
      <c r="DS86" s="46" t="n">
        <f aca="false">-DS80*$F82</f>
        <v>-0</v>
      </c>
      <c r="DT86" s="46" t="n">
        <f aca="false">-DT80*$F82</f>
        <v>-0</v>
      </c>
      <c r="DU86" s="46" t="n">
        <f aca="false">-DU80*$F82</f>
        <v>-0</v>
      </c>
      <c r="DV86" s="46" t="n">
        <f aca="false">-DV80*$F82</f>
        <v>-0</v>
      </c>
      <c r="DW86" s="46" t="n">
        <f aca="false">-DW80*$F82</f>
        <v>-0</v>
      </c>
      <c r="DX86" s="46" t="n">
        <f aca="false">-DX80*$F82</f>
        <v>-0</v>
      </c>
      <c r="DY86" s="46" t="n">
        <f aca="false">-DY80*$F82</f>
        <v>-0</v>
      </c>
      <c r="DZ86" s="46" t="n">
        <f aca="false">-DZ80*$F82</f>
        <v>-0</v>
      </c>
      <c r="EA86" s="46" t="n">
        <f aca="false">-EA80*$F82</f>
        <v>-0</v>
      </c>
      <c r="EB86" s="46" t="n">
        <f aca="false">-EB80*$F82</f>
        <v>-0</v>
      </c>
      <c r="EC86" s="46" t="n">
        <f aca="false">-EC80*$F82</f>
        <v>-0</v>
      </c>
      <c r="ED86" s="46" t="n">
        <f aca="false">-ED80*$F82</f>
        <v>-0</v>
      </c>
      <c r="EE86" s="46" t="n">
        <f aca="false">-EE80*$F82</f>
        <v>-0</v>
      </c>
      <c r="EF86" s="46" t="n">
        <f aca="false">-EF80*$F82</f>
        <v>-0</v>
      </c>
      <c r="EG86" s="46" t="n">
        <f aca="false">-EG80*$F82</f>
        <v>-0</v>
      </c>
      <c r="EH86" s="46" t="n">
        <f aca="false">-EH80*$F82</f>
        <v>-0</v>
      </c>
      <c r="EI86" s="46" t="n">
        <f aca="false">-EI80*$F82</f>
        <v>-0</v>
      </c>
      <c r="EJ86" s="46" t="n">
        <f aca="false">-EJ80*$F82</f>
        <v>-0</v>
      </c>
      <c r="EK86" s="46" t="n">
        <f aca="false">-EK80*$F82</f>
        <v>-0</v>
      </c>
      <c r="EL86" s="46" t="n">
        <f aca="false">-EL80*$F82</f>
        <v>-0</v>
      </c>
      <c r="EM86" s="46" t="n">
        <f aca="false">-EM80*$F82</f>
        <v>-0</v>
      </c>
      <c r="EN86" s="46" t="n">
        <f aca="false">-EN80*$F82</f>
        <v>-0</v>
      </c>
      <c r="EO86" s="46" t="n">
        <f aca="false">-EO80*$F82</f>
        <v>-0</v>
      </c>
    </row>
    <row r="87" customFormat="false" ht="15" hidden="false" customHeight="false" outlineLevel="0" collapsed="false">
      <c r="C87" s="0" t="s">
        <v>412</v>
      </c>
      <c r="D87" s="11" t="s">
        <v>33</v>
      </c>
      <c r="J87" s="19" t="n">
        <f aca="false">I91</f>
        <v>0</v>
      </c>
      <c r="K87" s="19" t="n">
        <f aca="false">J91</f>
        <v>0</v>
      </c>
      <c r="L87" s="19" t="n">
        <f aca="false">K91</f>
        <v>0</v>
      </c>
      <c r="M87" s="19" t="n">
        <f aca="false">L91</f>
        <v>0</v>
      </c>
      <c r="N87" s="19" t="n">
        <f aca="false">M91</f>
        <v>0</v>
      </c>
      <c r="O87" s="19" t="n">
        <f aca="false">N91</f>
        <v>0</v>
      </c>
      <c r="P87" s="19" t="n">
        <f aca="false">O91</f>
        <v>0</v>
      </c>
      <c r="Q87" s="19" t="n">
        <f aca="false">P91</f>
        <v>0</v>
      </c>
      <c r="R87" s="19" t="n">
        <f aca="false">Q91</f>
        <v>0</v>
      </c>
      <c r="S87" s="19" t="n">
        <f aca="false">R91</f>
        <v>5356.33767123288</v>
      </c>
      <c r="T87" s="19" t="n">
        <f aca="false">S91</f>
        <v>16371.5636455479</v>
      </c>
      <c r="U87" s="19" t="n">
        <f aca="false">T91</f>
        <v>21874.3248007063</v>
      </c>
      <c r="V87" s="19" t="n">
        <f aca="false">U91</f>
        <v>27504.091531948</v>
      </c>
      <c r="W87" s="19" t="n">
        <f aca="false">V91</f>
        <v>33204.2303473303</v>
      </c>
      <c r="X87" s="19" t="n">
        <f aca="false">W91</f>
        <v>38859.1787746171</v>
      </c>
      <c r="Y87" s="19" t="n">
        <f aca="false">X91</f>
        <v>44643.0351188889</v>
      </c>
      <c r="Z87" s="19" t="n">
        <f aca="false">Y91</f>
        <v>51782.4107291079</v>
      </c>
      <c r="AA87" s="19" t="n">
        <f aca="false">Z91</f>
        <v>51337.0734985871</v>
      </c>
      <c r="AB87" s="19" t="n">
        <f aca="false">AA91</f>
        <v>50902.908798133</v>
      </c>
      <c r="AC87" s="19" t="n">
        <f aca="false">AB91</f>
        <v>50451.6423753077</v>
      </c>
      <c r="AD87" s="19" t="n">
        <f aca="false">AC91</f>
        <v>49983.0652173785</v>
      </c>
      <c r="AE87" s="19" t="n">
        <f aca="false">AD91</f>
        <v>49512.5726485384</v>
      </c>
      <c r="AF87" s="19" t="n">
        <f aca="false">AE91</f>
        <v>49041.2515212987</v>
      </c>
      <c r="AG87" s="19" t="n">
        <f aca="false">AF91</f>
        <v>48566.7676539887</v>
      </c>
      <c r="AH87" s="19" t="n">
        <f aca="false">AG91</f>
        <v>48086.7095506799</v>
      </c>
      <c r="AI87" s="19" t="n">
        <f aca="false">AH91</f>
        <v>47604.5725247191</v>
      </c>
      <c r="AJ87" s="19" t="n">
        <f aca="false">AI91</f>
        <v>47133.2713605241</v>
      </c>
      <c r="AK87" s="19" t="n">
        <f aca="false">AJ91</f>
        <v>46633.5514614875</v>
      </c>
      <c r="AL87" s="19" t="n">
        <f aca="false">AK91</f>
        <v>46116.1856468913</v>
      </c>
      <c r="AM87" s="19" t="n">
        <f aca="false">AL91</f>
        <v>45596.3182203</v>
      </c>
      <c r="AN87" s="19" t="n">
        <f aca="false">AM91</f>
        <v>45087.214411707</v>
      </c>
      <c r="AO87" s="19" t="n">
        <f aca="false">AN91</f>
        <v>44560.3225568915</v>
      </c>
      <c r="AP87" s="19" t="n">
        <f aca="false">AO91</f>
        <v>44015.4302048285</v>
      </c>
      <c r="AQ87" s="19" t="n">
        <f aca="false">AP91</f>
        <v>43467.7304478074</v>
      </c>
      <c r="AR87" s="19" t="n">
        <f aca="false">AQ91</f>
        <v>42930.5945427023</v>
      </c>
      <c r="AS87" s="19" t="n">
        <f aca="false">AR91</f>
        <v>42375.3067978382</v>
      </c>
      <c r="AT87" s="19" t="n">
        <f aca="false">AS91</f>
        <v>41801.6504172324</v>
      </c>
      <c r="AU87" s="19" t="n">
        <f aca="false">AT91</f>
        <v>41224.8661327322</v>
      </c>
      <c r="AV87" s="19" t="n">
        <f aca="false">AU91</f>
        <v>40646.6677271488</v>
      </c>
      <c r="AW87" s="19" t="n">
        <f aca="false">AV91</f>
        <v>40061.5636253256</v>
      </c>
      <c r="AX87" s="19" t="n">
        <f aca="false">AW91</f>
        <v>39457.7068830811</v>
      </c>
      <c r="AY87" s="19" t="n">
        <f aca="false">AX91</f>
        <v>38850.384655879</v>
      </c>
      <c r="AZ87" s="19" t="n">
        <f aca="false">AY91</f>
        <v>38253.1831391884</v>
      </c>
      <c r="BA87" s="19" t="n">
        <f aca="false">AZ91</f>
        <v>37637.0577411099</v>
      </c>
      <c r="BB87" s="19" t="n">
        <f aca="false">BA91</f>
        <v>37001.7824448035</v>
      </c>
      <c r="BC87" s="19" t="n">
        <f aca="false">BB91</f>
        <v>36362.6896043678</v>
      </c>
      <c r="BD87" s="19" t="n">
        <f aca="false">BC91</f>
        <v>35733.4743649756</v>
      </c>
      <c r="BE87" s="19" t="n">
        <f aca="false">BD91</f>
        <v>35084.9273113463</v>
      </c>
      <c r="BF87" s="19" t="n">
        <f aca="false">BE91</f>
        <v>34416.8175545057</v>
      </c>
      <c r="BG87" s="19" t="n">
        <f aca="false">BF91</f>
        <v>33744.5213534749</v>
      </c>
      <c r="BH87" s="19" t="n">
        <f aca="false">BG91</f>
        <v>33081.8437963129</v>
      </c>
      <c r="BI87" s="19" t="n">
        <f aca="false">BH91</f>
        <v>32399.4104097873</v>
      </c>
      <c r="BJ87" s="19" t="n">
        <f aca="false">BI91</f>
        <v>31696.985240711</v>
      </c>
      <c r="BK87" s="19" t="n">
        <f aca="false">BJ91</f>
        <v>30989.987108189</v>
      </c>
      <c r="BL87" s="19" t="n">
        <f aca="false">BK91</f>
        <v>30280.4677889815</v>
      </c>
      <c r="BM87" s="19" t="n">
        <f aca="false">BL91</f>
        <v>29562.4743459311</v>
      </c>
      <c r="BN87" s="19" t="n">
        <f aca="false">BM91</f>
        <v>28824.0413119835</v>
      </c>
      <c r="BO87" s="19" t="n">
        <f aca="false">BN91</f>
        <v>28080.6286485922</v>
      </c>
      <c r="BP87" s="19" t="n">
        <f aca="false">BO91</f>
        <v>27346.2643255327</v>
      </c>
      <c r="BQ87" s="19" t="n">
        <f aca="false">BP91</f>
        <v>26591.2430928765</v>
      </c>
      <c r="BR87" s="19" t="n">
        <f aca="false">BQ91</f>
        <v>25815.3182354105</v>
      </c>
      <c r="BS87" s="19" t="n">
        <f aca="false">BR91</f>
        <v>25033.9894243565</v>
      </c>
      <c r="BT87" s="19" t="n">
        <f aca="false">BS91</f>
        <v>24261.3976060264</v>
      </c>
      <c r="BU87" s="19" t="n">
        <f aca="false">BT91</f>
        <v>23467.6718641376</v>
      </c>
      <c r="BV87" s="19" t="n">
        <f aca="false">BU91</f>
        <v>22652.559786274</v>
      </c>
      <c r="BW87" s="19" t="n">
        <f aca="false">BV91</f>
        <v>21831.5992456237</v>
      </c>
      <c r="BX87" s="19" t="n">
        <f aca="false">BW91</f>
        <v>21019.0451946372</v>
      </c>
      <c r="BY87" s="19" t="n">
        <f aca="false">BX91</f>
        <v>20184.860881451</v>
      </c>
      <c r="BZ87" s="19" t="n">
        <f aca="false">BY91</f>
        <v>19328.7879656427</v>
      </c>
      <c r="CA87" s="19" t="n">
        <f aca="false">BZ91</f>
        <v>18466.4009569107</v>
      </c>
      <c r="CB87" s="19" t="n">
        <f aca="false">CA91</f>
        <v>17600.1266963274</v>
      </c>
      <c r="CC87" s="19" t="n">
        <f aca="false">CB91</f>
        <v>16723.5061137097</v>
      </c>
      <c r="CD87" s="19" t="n">
        <f aca="false">CC91</f>
        <v>15824.4724820533</v>
      </c>
      <c r="CE87" s="19" t="n">
        <f aca="false">CD91</f>
        <v>14918.6353023478</v>
      </c>
      <c r="CF87" s="19" t="n">
        <f aca="false">CE91</f>
        <v>14020.4806429446</v>
      </c>
      <c r="CG87" s="19" t="n">
        <f aca="false">CF91</f>
        <v>13099.6396215741</v>
      </c>
      <c r="CH87" s="19" t="n">
        <f aca="false">CG91</f>
        <v>12155.8412843162</v>
      </c>
      <c r="CI87" s="19" t="n">
        <f aca="false">CH91</f>
        <v>11204.7284567049</v>
      </c>
      <c r="CJ87" s="19" t="n">
        <f aca="false">CI91</f>
        <v>10260.9043538282</v>
      </c>
      <c r="CK87" s="19" t="n">
        <f aca="false">CJ91</f>
        <v>9293.83385392138</v>
      </c>
      <c r="CL87" s="19" t="n">
        <f aca="false">CK91</f>
        <v>8303.23931430166</v>
      </c>
      <c r="CM87" s="19" t="n">
        <f aca="false">CL91</f>
        <v>7304.79513578632</v>
      </c>
      <c r="CN87" s="19" t="n">
        <f aca="false">CM91</f>
        <v>6313.22274448836</v>
      </c>
      <c r="CO87" s="19" t="n">
        <f aca="false">CN91</f>
        <v>5297.82068088295</v>
      </c>
      <c r="CP87" s="19" t="n">
        <f aca="false">CO91</f>
        <v>4258.3043359555</v>
      </c>
      <c r="CQ87" s="19" t="n">
        <f aca="false">CP91</f>
        <v>3210.37787149943</v>
      </c>
      <c r="CR87" s="19" t="n">
        <f aca="false">CQ91</f>
        <v>2156.88378688834</v>
      </c>
      <c r="CS87" s="19" t="n">
        <f aca="false">CR91</f>
        <v>1090.80732559046</v>
      </c>
      <c r="CT87" s="19" t="n">
        <f aca="false">CS91</f>
        <v>2.48746800934896E-010</v>
      </c>
      <c r="CU87" s="19" t="n">
        <f aca="false">CT91</f>
        <v>2.51856135946582E-010</v>
      </c>
      <c r="CV87" s="19" t="n">
        <f aca="false">CU91</f>
        <v>2.55004337645914E-010</v>
      </c>
      <c r="CW87" s="19" t="n">
        <f aca="false">CV91</f>
        <v>2.58191891866488E-010</v>
      </c>
      <c r="CX87" s="19" t="n">
        <f aca="false">CW91</f>
        <v>2.61419290514819E-010</v>
      </c>
      <c r="CY87" s="19" t="n">
        <f aca="false">CX91</f>
        <v>2.64687031646255E-010</v>
      </c>
      <c r="CZ87" s="19" t="n">
        <f aca="false">CY91</f>
        <v>2.67995619541833E-010</v>
      </c>
      <c r="DA87" s="19" t="n">
        <f aca="false">CZ91</f>
        <v>2.71345564786106E-010</v>
      </c>
      <c r="DB87" s="19" t="n">
        <f aca="false">DA91</f>
        <v>2.74737384345932E-010</v>
      </c>
      <c r="DC87" s="19" t="n">
        <f aca="false">DB91</f>
        <v>2.78171601650256E-010</v>
      </c>
      <c r="DD87" s="19" t="n">
        <f aca="false">DC91</f>
        <v>2.81648746670884E-010</v>
      </c>
      <c r="DE87" s="19" t="n">
        <f aca="false">DD91</f>
        <v>2.8516935600427E-010</v>
      </c>
      <c r="DF87" s="19" t="n">
        <f aca="false">DE91</f>
        <v>2.88733972954324E-010</v>
      </c>
      <c r="DG87" s="19" t="n">
        <f aca="false">DF91</f>
        <v>2.92343147616253E-010</v>
      </c>
      <c r="DH87" s="19" t="n">
        <f aca="false">DG91</f>
        <v>2.95997436961456E-010</v>
      </c>
      <c r="DI87" s="19" t="n">
        <f aca="false">DH91</f>
        <v>2.99697404923474E-010</v>
      </c>
      <c r="DJ87" s="19" t="n">
        <f aca="false">DI91</f>
        <v>3.03443622485018E-010</v>
      </c>
      <c r="DK87" s="19" t="n">
        <f aca="false">DJ91</f>
        <v>3.0723666776608E-010</v>
      </c>
      <c r="DL87" s="19" t="n">
        <f aca="false">DK91</f>
        <v>3.11077126113156E-010</v>
      </c>
      <c r="DM87" s="19" t="n">
        <f aca="false">DL91</f>
        <v>3.14965590189571E-010</v>
      </c>
      <c r="DN87" s="19" t="n">
        <f aca="false">DM91</f>
        <v>3.1890266006694E-010</v>
      </c>
      <c r="DO87" s="19" t="n">
        <f aca="false">DN91</f>
        <v>3.22888943317777E-010</v>
      </c>
      <c r="DP87" s="19" t="n">
        <f aca="false">DO91</f>
        <v>3.26925055109249E-010</v>
      </c>
      <c r="DQ87" s="19" t="n">
        <f aca="false">DP91</f>
        <v>3.31011618298115E-010</v>
      </c>
      <c r="DR87" s="19" t="n">
        <f aca="false">DQ91</f>
        <v>3.35149263526841E-010</v>
      </c>
      <c r="DS87" s="19" t="n">
        <f aca="false">DR91</f>
        <v>3.39338629320927E-010</v>
      </c>
      <c r="DT87" s="19" t="n">
        <f aca="false">DS91</f>
        <v>3.43580362187439E-010</v>
      </c>
      <c r="DU87" s="19" t="n">
        <f aca="false">DT91</f>
        <v>3.47875116714782E-010</v>
      </c>
      <c r="DV87" s="19" t="n">
        <f aca="false">DU91</f>
        <v>3.52223555673716E-010</v>
      </c>
      <c r="DW87" s="19" t="n">
        <f aca="false">DV91</f>
        <v>3.56626350119638E-010</v>
      </c>
      <c r="DX87" s="19" t="n">
        <f aca="false">DW91</f>
        <v>3.61084179496133E-010</v>
      </c>
      <c r="DY87" s="19" t="n">
        <f aca="false">DX91</f>
        <v>3.65597731739835E-010</v>
      </c>
      <c r="DZ87" s="19" t="n">
        <f aca="false">DY91</f>
        <v>3.70167703386583E-010</v>
      </c>
      <c r="EA87" s="19" t="n">
        <f aca="false">DZ91</f>
        <v>3.74794799678915E-010</v>
      </c>
      <c r="EB87" s="19" t="n">
        <f aca="false">EA91</f>
        <v>3.79479734674902E-010</v>
      </c>
      <c r="EC87" s="19" t="n">
        <f aca="false">EB91</f>
        <v>3.84223231358338E-010</v>
      </c>
      <c r="ED87" s="19" t="n">
        <f aca="false">EC91</f>
        <v>3.89026021750317E-010</v>
      </c>
      <c r="EE87" s="19" t="n">
        <f aca="false">ED91</f>
        <v>3.93888847022196E-010</v>
      </c>
      <c r="EF87" s="19" t="n">
        <f aca="false">EE91</f>
        <v>3.98812457609973E-010</v>
      </c>
      <c r="EG87" s="19" t="n">
        <f aca="false">EF91</f>
        <v>4.03797613330098E-010</v>
      </c>
      <c r="EH87" s="19" t="n">
        <f aca="false">EG91</f>
        <v>4.08845083496724E-010</v>
      </c>
      <c r="EI87" s="19" t="n">
        <f aca="false">EH91</f>
        <v>4.13955647040433E-010</v>
      </c>
      <c r="EJ87" s="19" t="n">
        <f aca="false">EI91</f>
        <v>4.19130092628439E-010</v>
      </c>
      <c r="EK87" s="19" t="n">
        <f aca="false">EJ91</f>
        <v>4.24369218786294E-010</v>
      </c>
      <c r="EL87" s="19" t="n">
        <f aca="false">EK91</f>
        <v>4.29673834021123E-010</v>
      </c>
      <c r="EM87" s="19" t="n">
        <f aca="false">EL91</f>
        <v>4.35044756946387E-010</v>
      </c>
      <c r="EN87" s="19" t="n">
        <f aca="false">EM91</f>
        <v>4.40482816408217E-010</v>
      </c>
      <c r="EO87" s="19" t="n">
        <f aca="false">EN91</f>
        <v>4.4598885161332E-010</v>
      </c>
    </row>
    <row r="88" customFormat="false" ht="15" hidden="false" customHeight="false" outlineLevel="0" collapsed="false">
      <c r="C88" s="0" t="s">
        <v>413</v>
      </c>
      <c r="D88" s="11" t="s">
        <v>33</v>
      </c>
      <c r="I88" s="46" t="n">
        <f aca="false">SUM(J88:EO88)</f>
        <v>49434.7512054795</v>
      </c>
      <c r="J88" s="46" t="n">
        <f aca="false">-$E82*J62</f>
        <v>0</v>
      </c>
      <c r="K88" s="46" t="n">
        <f aca="false">-$E82*K62</f>
        <v>0</v>
      </c>
      <c r="L88" s="46" t="n">
        <f aca="false">-$E82*L62</f>
        <v>0</v>
      </c>
      <c r="M88" s="46" t="n">
        <f aca="false">-$E82*M62</f>
        <v>0</v>
      </c>
      <c r="N88" s="46" t="n">
        <f aca="false">-$E82*N62</f>
        <v>0</v>
      </c>
      <c r="O88" s="46" t="n">
        <f aca="false">-$E82*O62</f>
        <v>0</v>
      </c>
      <c r="P88" s="46" t="n">
        <f aca="false">-$E82*P62</f>
        <v>0</v>
      </c>
      <c r="Q88" s="46" t="n">
        <f aca="false">-$E82*Q62</f>
        <v>0</v>
      </c>
      <c r="R88" s="46" t="n">
        <f aca="false">-$E82*R62</f>
        <v>5356.33767123288</v>
      </c>
      <c r="S88" s="46" t="n">
        <f aca="false">-$E82*S62</f>
        <v>10948.2717534247</v>
      </c>
      <c r="T88" s="46" t="n">
        <f aca="false">-$E82*T62</f>
        <v>5298.11660958904</v>
      </c>
      <c r="U88" s="46" t="n">
        <f aca="false">-$E82*U62</f>
        <v>5356.33767123288</v>
      </c>
      <c r="V88" s="46" t="n">
        <f aca="false">-$E82*V62</f>
        <v>5356.33767123288</v>
      </c>
      <c r="W88" s="46" t="n">
        <f aca="false">-$E82*W62</f>
        <v>5239.89554794521</v>
      </c>
      <c r="X88" s="46" t="n">
        <f aca="false">-$E82*X62</f>
        <v>5298.11660958904</v>
      </c>
      <c r="Y88" s="46" t="n">
        <f aca="false">-$E82*Y62</f>
        <v>6581.33767123288</v>
      </c>
      <c r="Z88" s="46" t="n">
        <f aca="false">-$E82*Z62</f>
        <v>0</v>
      </c>
      <c r="AA88" s="46" t="n">
        <f aca="false">-$E82*AA62</f>
        <v>0</v>
      </c>
      <c r="AB88" s="46" t="n">
        <f aca="false">-$E82*AB62</f>
        <v>0</v>
      </c>
      <c r="AC88" s="46" t="n">
        <f aca="false">-$E82*AC62</f>
        <v>0</v>
      </c>
      <c r="AD88" s="46" t="n">
        <f aca="false">-$E82*AD62</f>
        <v>0</v>
      </c>
      <c r="AE88" s="46" t="n">
        <f aca="false">-$E82*AE62</f>
        <v>0</v>
      </c>
      <c r="AF88" s="46" t="n">
        <f aca="false">-$E82*AF62</f>
        <v>0</v>
      </c>
      <c r="AG88" s="46" t="n">
        <f aca="false">-$E82*AG62</f>
        <v>0</v>
      </c>
      <c r="AH88" s="46" t="n">
        <f aca="false">-$E82*AH62</f>
        <v>0</v>
      </c>
      <c r="AI88" s="46" t="n">
        <f aca="false">-$E82*AI62</f>
        <v>0</v>
      </c>
      <c r="AJ88" s="46" t="n">
        <f aca="false">-$E82*AJ62</f>
        <v>0</v>
      </c>
      <c r="AK88" s="46" t="n">
        <f aca="false">-$E82*AK62</f>
        <v>0</v>
      </c>
      <c r="AL88" s="46" t="n">
        <f aca="false">-$E82*AL62</f>
        <v>0</v>
      </c>
      <c r="AM88" s="46" t="n">
        <f aca="false">-$E82*AM62</f>
        <v>0</v>
      </c>
      <c r="AN88" s="46" t="n">
        <f aca="false">-$E82*AN62</f>
        <v>0</v>
      </c>
      <c r="AO88" s="46" t="n">
        <f aca="false">-$E82*AO62</f>
        <v>0</v>
      </c>
      <c r="AP88" s="46" t="n">
        <f aca="false">-$E82*AP62</f>
        <v>0</v>
      </c>
      <c r="AQ88" s="46" t="n">
        <f aca="false">-$E82*AQ62</f>
        <v>0</v>
      </c>
      <c r="AR88" s="46" t="n">
        <f aca="false">-$E82*AR62</f>
        <v>0</v>
      </c>
      <c r="AS88" s="46" t="n">
        <f aca="false">-$E82*AS62</f>
        <v>0</v>
      </c>
      <c r="AT88" s="46" t="n">
        <f aca="false">-$E82*AT62</f>
        <v>0</v>
      </c>
      <c r="AU88" s="46" t="n">
        <f aca="false">-$E82*AU62</f>
        <v>0</v>
      </c>
      <c r="AV88" s="46" t="n">
        <f aca="false">-$E82*AV62</f>
        <v>0</v>
      </c>
      <c r="AW88" s="46" t="n">
        <f aca="false">-$E82*AW62</f>
        <v>0</v>
      </c>
      <c r="AX88" s="46" t="n">
        <f aca="false">-$E82*AX62</f>
        <v>0</v>
      </c>
      <c r="AY88" s="46" t="n">
        <f aca="false">-$E82*AY62</f>
        <v>0</v>
      </c>
      <c r="AZ88" s="46" t="n">
        <f aca="false">-$E82*AZ62</f>
        <v>0</v>
      </c>
      <c r="BA88" s="46" t="n">
        <f aca="false">-$E82*BA62</f>
        <v>0</v>
      </c>
      <c r="BB88" s="46" t="n">
        <f aca="false">-$E82*BB62</f>
        <v>0</v>
      </c>
      <c r="BC88" s="46" t="n">
        <f aca="false">-$E82*BC62</f>
        <v>0</v>
      </c>
      <c r="BD88" s="46" t="n">
        <f aca="false">-$E82*BD62</f>
        <v>0</v>
      </c>
      <c r="BE88" s="46" t="n">
        <f aca="false">-$E82*BE62</f>
        <v>0</v>
      </c>
      <c r="BF88" s="46" t="n">
        <f aca="false">-$E82*BF62</f>
        <v>0</v>
      </c>
      <c r="BG88" s="46" t="n">
        <f aca="false">-$E82*BG62</f>
        <v>0</v>
      </c>
      <c r="BH88" s="46" t="n">
        <f aca="false">-$E82*BH62</f>
        <v>0</v>
      </c>
      <c r="BI88" s="46" t="n">
        <f aca="false">-$E82*BI62</f>
        <v>0</v>
      </c>
      <c r="BJ88" s="46" t="n">
        <f aca="false">-$E82*BJ62</f>
        <v>0</v>
      </c>
      <c r="BK88" s="46" t="n">
        <f aca="false">-$E82*BK62</f>
        <v>0</v>
      </c>
      <c r="BL88" s="46" t="n">
        <f aca="false">-$E82*BL62</f>
        <v>0</v>
      </c>
      <c r="BM88" s="46" t="n">
        <f aca="false">-$E82*BM62</f>
        <v>0</v>
      </c>
      <c r="BN88" s="46" t="n">
        <f aca="false">-$E82*BN62</f>
        <v>0</v>
      </c>
      <c r="BO88" s="46" t="n">
        <f aca="false">-$E82*BO62</f>
        <v>0</v>
      </c>
      <c r="BP88" s="46" t="n">
        <f aca="false">-$E82*BP62</f>
        <v>0</v>
      </c>
      <c r="BQ88" s="46" t="n">
        <f aca="false">-$E82*BQ62</f>
        <v>0</v>
      </c>
      <c r="BR88" s="46" t="n">
        <f aca="false">-$E82*BR62</f>
        <v>0</v>
      </c>
      <c r="BS88" s="46" t="n">
        <f aca="false">-$E82*BS62</f>
        <v>0</v>
      </c>
      <c r="BT88" s="46" t="n">
        <f aca="false">-$E82*BT62</f>
        <v>0</v>
      </c>
      <c r="BU88" s="46" t="n">
        <f aca="false">-$E82*BU62</f>
        <v>0</v>
      </c>
      <c r="BV88" s="46" t="n">
        <f aca="false">-$E82*BV62</f>
        <v>0</v>
      </c>
      <c r="BW88" s="46" t="n">
        <f aca="false">-$E82*BW62</f>
        <v>0</v>
      </c>
      <c r="BX88" s="46" t="n">
        <f aca="false">-$E82*BX62</f>
        <v>0</v>
      </c>
      <c r="BY88" s="46" t="n">
        <f aca="false">-$E82*BY62</f>
        <v>0</v>
      </c>
      <c r="BZ88" s="46" t="n">
        <f aca="false">-$E82*BZ62</f>
        <v>0</v>
      </c>
      <c r="CA88" s="46" t="n">
        <f aca="false">-$E82*CA62</f>
        <v>0</v>
      </c>
      <c r="CB88" s="46" t="n">
        <f aca="false">-$E82*CB62</f>
        <v>0</v>
      </c>
      <c r="CC88" s="46" t="n">
        <f aca="false">-$E82*CC62</f>
        <v>0</v>
      </c>
      <c r="CD88" s="46" t="n">
        <f aca="false">-$E82*CD62</f>
        <v>0</v>
      </c>
      <c r="CE88" s="46" t="n">
        <f aca="false">-$E82*CE62</f>
        <v>0</v>
      </c>
      <c r="CF88" s="46" t="n">
        <f aca="false">-$E82*CF62</f>
        <v>0</v>
      </c>
      <c r="CG88" s="46" t="n">
        <f aca="false">-$E82*CG62</f>
        <v>0</v>
      </c>
      <c r="CH88" s="46" t="n">
        <f aca="false">-$E82*CH62</f>
        <v>0</v>
      </c>
      <c r="CI88" s="46" t="n">
        <f aca="false">-$E82*CI62</f>
        <v>0</v>
      </c>
      <c r="CJ88" s="46" t="n">
        <f aca="false">-$E82*CJ62</f>
        <v>0</v>
      </c>
      <c r="CK88" s="46" t="n">
        <f aca="false">-$E82*CK62</f>
        <v>0</v>
      </c>
      <c r="CL88" s="46" t="n">
        <f aca="false">-$E82*CL62</f>
        <v>0</v>
      </c>
      <c r="CM88" s="46" t="n">
        <f aca="false">-$E82*CM62</f>
        <v>0</v>
      </c>
      <c r="CN88" s="46" t="n">
        <f aca="false">-$E82*CN62</f>
        <v>0</v>
      </c>
      <c r="CO88" s="46" t="n">
        <f aca="false">-$E82*CO62</f>
        <v>0</v>
      </c>
      <c r="CP88" s="46" t="n">
        <f aca="false">-$E82*CP62</f>
        <v>0</v>
      </c>
      <c r="CQ88" s="46" t="n">
        <f aca="false">-$E82*CQ62</f>
        <v>0</v>
      </c>
      <c r="CR88" s="46" t="n">
        <f aca="false">-$E82*CR62</f>
        <v>0</v>
      </c>
      <c r="CS88" s="46" t="n">
        <f aca="false">-$E82*CS62</f>
        <v>0</v>
      </c>
      <c r="CT88" s="46" t="n">
        <f aca="false">-$E82*CT62</f>
        <v>0</v>
      </c>
      <c r="CU88" s="46" t="n">
        <f aca="false">-$E82*CU62</f>
        <v>0</v>
      </c>
      <c r="CV88" s="46" t="n">
        <f aca="false">-$E82*CV62</f>
        <v>0</v>
      </c>
      <c r="CW88" s="46" t="n">
        <f aca="false">-$E82*CW62</f>
        <v>0</v>
      </c>
      <c r="CX88" s="46" t="n">
        <f aca="false">-$E82*CX62</f>
        <v>0</v>
      </c>
      <c r="CY88" s="46" t="n">
        <f aca="false">-$E82*CY62</f>
        <v>0</v>
      </c>
      <c r="CZ88" s="46" t="n">
        <f aca="false">-$E82*CZ62</f>
        <v>0</v>
      </c>
      <c r="DA88" s="46" t="n">
        <f aca="false">-$E82*DA62</f>
        <v>0</v>
      </c>
      <c r="DB88" s="46" t="n">
        <f aca="false">-$E82*DB62</f>
        <v>0</v>
      </c>
      <c r="DC88" s="46" t="n">
        <f aca="false">-$E82*DC62</f>
        <v>0</v>
      </c>
      <c r="DD88" s="46" t="n">
        <f aca="false">-$E82*DD62</f>
        <v>0</v>
      </c>
      <c r="DE88" s="46" t="n">
        <f aca="false">-$E82*DE62</f>
        <v>0</v>
      </c>
      <c r="DF88" s="46" t="n">
        <f aca="false">-$E82*DF62</f>
        <v>0</v>
      </c>
      <c r="DG88" s="46" t="n">
        <f aca="false">-$E82*DG62</f>
        <v>0</v>
      </c>
      <c r="DH88" s="46" t="n">
        <f aca="false">-$E82*DH62</f>
        <v>0</v>
      </c>
      <c r="DI88" s="46" t="n">
        <f aca="false">-$E82*DI62</f>
        <v>0</v>
      </c>
      <c r="DJ88" s="46" t="n">
        <f aca="false">-$E82*DJ62</f>
        <v>0</v>
      </c>
      <c r="DK88" s="46" t="n">
        <f aca="false">-$E82*DK62</f>
        <v>0</v>
      </c>
      <c r="DL88" s="46" t="n">
        <f aca="false">-$E82*DL62</f>
        <v>0</v>
      </c>
      <c r="DM88" s="46" t="n">
        <f aca="false">-$E82*DM62</f>
        <v>0</v>
      </c>
      <c r="DN88" s="46" t="n">
        <f aca="false">-$E82*DN62</f>
        <v>0</v>
      </c>
      <c r="DO88" s="46" t="n">
        <f aca="false">-$E82*DO62</f>
        <v>0</v>
      </c>
      <c r="DP88" s="46" t="n">
        <f aca="false">-$E82*DP62</f>
        <v>0</v>
      </c>
      <c r="DQ88" s="46" t="n">
        <f aca="false">-$E82*DQ62</f>
        <v>0</v>
      </c>
      <c r="DR88" s="46" t="n">
        <f aca="false">-$E82*DR62</f>
        <v>0</v>
      </c>
      <c r="DS88" s="46" t="n">
        <f aca="false">-$E82*DS62</f>
        <v>0</v>
      </c>
      <c r="DT88" s="46" t="n">
        <f aca="false">-$E82*DT62</f>
        <v>0</v>
      </c>
      <c r="DU88" s="46" t="n">
        <f aca="false">-$E82*DU62</f>
        <v>0</v>
      </c>
      <c r="DV88" s="46" t="n">
        <f aca="false">-$E82*DV62</f>
        <v>0</v>
      </c>
      <c r="DW88" s="46" t="n">
        <f aca="false">-$E82*DW62</f>
        <v>0</v>
      </c>
      <c r="DX88" s="46" t="n">
        <f aca="false">-$E82*DX62</f>
        <v>0</v>
      </c>
      <c r="DY88" s="46" t="n">
        <f aca="false">-$E82*DY62</f>
        <v>0</v>
      </c>
      <c r="DZ88" s="46" t="n">
        <f aca="false">-$E82*DZ62</f>
        <v>0</v>
      </c>
      <c r="EA88" s="46" t="n">
        <f aca="false">-$E82*EA62</f>
        <v>0</v>
      </c>
      <c r="EB88" s="46" t="n">
        <f aca="false">-$E82*EB62</f>
        <v>0</v>
      </c>
      <c r="EC88" s="46" t="n">
        <f aca="false">-$E82*EC62</f>
        <v>0</v>
      </c>
      <c r="ED88" s="46" t="n">
        <f aca="false">-$E82*ED62</f>
        <v>0</v>
      </c>
      <c r="EE88" s="46" t="n">
        <f aca="false">-$E82*EE62</f>
        <v>0</v>
      </c>
      <c r="EF88" s="46" t="n">
        <f aca="false">-$E82*EF62</f>
        <v>0</v>
      </c>
      <c r="EG88" s="46" t="n">
        <f aca="false">-$E82*EG62</f>
        <v>0</v>
      </c>
      <c r="EH88" s="46" t="n">
        <f aca="false">-$E82*EH62</f>
        <v>0</v>
      </c>
      <c r="EI88" s="46" t="n">
        <f aca="false">-$E82*EI62</f>
        <v>0</v>
      </c>
      <c r="EJ88" s="46" t="n">
        <f aca="false">-$E82*EJ62</f>
        <v>0</v>
      </c>
      <c r="EK88" s="46" t="n">
        <f aca="false">-$E82*EK62</f>
        <v>0</v>
      </c>
      <c r="EL88" s="46" t="n">
        <f aca="false">-$E82*EL62</f>
        <v>0</v>
      </c>
      <c r="EM88" s="46" t="n">
        <f aca="false">-$E82*EM62</f>
        <v>0</v>
      </c>
      <c r="EN88" s="46" t="n">
        <f aca="false">-$E82*EN62</f>
        <v>0</v>
      </c>
      <c r="EO88" s="46" t="n">
        <f aca="false">-$E82*EO62</f>
        <v>0</v>
      </c>
    </row>
    <row r="89" customFormat="false" ht="15" hidden="false" customHeight="false" outlineLevel="0" collapsed="false">
      <c r="C89" s="0" t="s">
        <v>414</v>
      </c>
      <c r="D89" s="11" t="s">
        <v>33</v>
      </c>
      <c r="I89" s="46" t="n">
        <f aca="false">SUM(J89:EO89)</f>
        <v>2347.65952362839</v>
      </c>
      <c r="J89" s="46" t="n">
        <f aca="false">J87*$F21*(J$4&lt;=In_COD)</f>
        <v>0</v>
      </c>
      <c r="K89" s="46" t="n">
        <f aca="false">K87*$F21*(K$4&lt;=In_COD)</f>
        <v>0</v>
      </c>
      <c r="L89" s="46" t="n">
        <f aca="false">L87*$F21*(L$4&lt;=In_COD)</f>
        <v>0</v>
      </c>
      <c r="M89" s="46" t="n">
        <f aca="false">M87*$F21*(M$4&lt;=In_COD)</f>
        <v>0</v>
      </c>
      <c r="N89" s="46" t="n">
        <f aca="false">N87*$F21*(N$4&lt;=In_COD)</f>
        <v>0</v>
      </c>
      <c r="O89" s="46" t="n">
        <f aca="false">O87*$F21*(O$4&lt;=In_COD)</f>
        <v>0</v>
      </c>
      <c r="P89" s="46" t="n">
        <f aca="false">P87*$F21*(P$4&lt;=In_COD)</f>
        <v>0</v>
      </c>
      <c r="Q89" s="46" t="n">
        <f aca="false">Q87*$F21*(Q$4&lt;=In_COD)</f>
        <v>0</v>
      </c>
      <c r="R89" s="46" t="n">
        <f aca="false">R87*$F21*(R$4&lt;=In_COD)</f>
        <v>0</v>
      </c>
      <c r="S89" s="46" t="n">
        <f aca="false">S87*$F21*(S$4&lt;=In_COD)</f>
        <v>66.954220890411</v>
      </c>
      <c r="T89" s="46" t="n">
        <f aca="false">T87*$F21*(T$4&lt;=In_COD)</f>
        <v>204.644545569349</v>
      </c>
      <c r="U89" s="46" t="n">
        <f aca="false">U87*$F21*(U$4&lt;=In_COD)</f>
        <v>273.429060008829</v>
      </c>
      <c r="V89" s="46" t="n">
        <f aca="false">V87*$F21*(V$4&lt;=In_COD)</f>
        <v>343.801144149351</v>
      </c>
      <c r="W89" s="46" t="n">
        <f aca="false">W87*$F21*(W$4&lt;=In_COD)</f>
        <v>415.052879341628</v>
      </c>
      <c r="X89" s="46" t="n">
        <f aca="false">X87*$F21*(X$4&lt;=In_COD)</f>
        <v>485.739734682714</v>
      </c>
      <c r="Y89" s="46" t="n">
        <f aca="false">Y87*$F21*(Y$4&lt;=In_COD)</f>
        <v>558.037938986111</v>
      </c>
      <c r="Z89" s="46" t="n">
        <f aca="false">Z87*$F21*(Z$4&lt;=In_COD)</f>
        <v>0</v>
      </c>
      <c r="AA89" s="46" t="n">
        <f aca="false">AA87*$F21*(AA$4&lt;=In_COD)</f>
        <v>0</v>
      </c>
      <c r="AB89" s="46" t="n">
        <f aca="false">AB87*$F21*(AB$4&lt;=In_COD)</f>
        <v>0</v>
      </c>
      <c r="AC89" s="46" t="n">
        <f aca="false">AC87*$F21*(AC$4&lt;=In_COD)</f>
        <v>0</v>
      </c>
      <c r="AD89" s="46" t="n">
        <f aca="false">AD87*$F21*(AD$4&lt;=In_COD)</f>
        <v>0</v>
      </c>
      <c r="AE89" s="46" t="n">
        <f aca="false">AE87*$F21*(AE$4&lt;=In_COD)</f>
        <v>0</v>
      </c>
      <c r="AF89" s="46" t="n">
        <f aca="false">AF87*$F21*(AF$4&lt;=In_COD)</f>
        <v>0</v>
      </c>
      <c r="AG89" s="46" t="n">
        <f aca="false">AG87*$F21*(AG$4&lt;=In_COD)</f>
        <v>0</v>
      </c>
      <c r="AH89" s="46" t="n">
        <f aca="false">AH87*$F21*(AH$4&lt;=In_COD)</f>
        <v>0</v>
      </c>
      <c r="AI89" s="46" t="n">
        <f aca="false">AI87*$F21*(AI$4&lt;=In_COD)</f>
        <v>0</v>
      </c>
      <c r="AJ89" s="46" t="n">
        <f aca="false">AJ87*$F21*(AJ$4&lt;=In_COD)</f>
        <v>0</v>
      </c>
      <c r="AK89" s="46" t="n">
        <f aca="false">AK87*$F21*(AK$4&lt;=In_COD)</f>
        <v>0</v>
      </c>
      <c r="AL89" s="46" t="n">
        <f aca="false">AL87*$F21*(AL$4&lt;=In_COD)</f>
        <v>0</v>
      </c>
      <c r="AM89" s="46" t="n">
        <f aca="false">AM87*$F21*(AM$4&lt;=In_COD)</f>
        <v>0</v>
      </c>
      <c r="AN89" s="46" t="n">
        <f aca="false">AN87*$F21*(AN$4&lt;=In_COD)</f>
        <v>0</v>
      </c>
      <c r="AO89" s="46" t="n">
        <f aca="false">AO87*$F21*(AO$4&lt;=In_COD)</f>
        <v>0</v>
      </c>
      <c r="AP89" s="46" t="n">
        <f aca="false">AP87*$F21*(AP$4&lt;=In_COD)</f>
        <v>0</v>
      </c>
      <c r="AQ89" s="46" t="n">
        <f aca="false">AQ87*$F21*(AQ$4&lt;=In_COD)</f>
        <v>0</v>
      </c>
      <c r="AR89" s="46" t="n">
        <f aca="false">AR87*$F21*(AR$4&lt;=In_COD)</f>
        <v>0</v>
      </c>
      <c r="AS89" s="46" t="n">
        <f aca="false">AS87*$F21*(AS$4&lt;=In_COD)</f>
        <v>0</v>
      </c>
      <c r="AT89" s="46" t="n">
        <f aca="false">AT87*$F21*(AT$4&lt;=In_COD)</f>
        <v>0</v>
      </c>
      <c r="AU89" s="46" t="n">
        <f aca="false">AU87*$F21*(AU$4&lt;=In_COD)</f>
        <v>0</v>
      </c>
      <c r="AV89" s="46" t="n">
        <f aca="false">AV87*$F21*(AV$4&lt;=In_COD)</f>
        <v>0</v>
      </c>
      <c r="AW89" s="46" t="n">
        <f aca="false">AW87*$F21*(AW$4&lt;=In_COD)</f>
        <v>0</v>
      </c>
      <c r="AX89" s="46" t="n">
        <f aca="false">AX87*$F21*(AX$4&lt;=In_COD)</f>
        <v>0</v>
      </c>
      <c r="AY89" s="46" t="n">
        <f aca="false">AY87*$F21*(AY$4&lt;=In_COD)</f>
        <v>0</v>
      </c>
      <c r="AZ89" s="46" t="n">
        <f aca="false">AZ87*$F21*(AZ$4&lt;=In_COD)</f>
        <v>0</v>
      </c>
      <c r="BA89" s="46" t="n">
        <f aca="false">BA87*$F21*(BA$4&lt;=In_COD)</f>
        <v>0</v>
      </c>
      <c r="BB89" s="46" t="n">
        <f aca="false">BB87*$F21*(BB$4&lt;=In_COD)</f>
        <v>0</v>
      </c>
      <c r="BC89" s="46" t="n">
        <f aca="false">BC87*$F21*(BC$4&lt;=In_COD)</f>
        <v>0</v>
      </c>
      <c r="BD89" s="46" t="n">
        <f aca="false">BD87*$F21*(BD$4&lt;=In_COD)</f>
        <v>0</v>
      </c>
      <c r="BE89" s="46" t="n">
        <f aca="false">BE87*$F21*(BE$4&lt;=In_COD)</f>
        <v>0</v>
      </c>
      <c r="BF89" s="46" t="n">
        <f aca="false">BF87*$F21*(BF$4&lt;=In_COD)</f>
        <v>0</v>
      </c>
      <c r="BG89" s="46" t="n">
        <f aca="false">BG87*$F21*(BG$4&lt;=In_COD)</f>
        <v>0</v>
      </c>
      <c r="BH89" s="46" t="n">
        <f aca="false">BH87*$F21*(BH$4&lt;=In_COD)</f>
        <v>0</v>
      </c>
      <c r="BI89" s="46" t="n">
        <f aca="false">BI87*$F21*(BI$4&lt;=In_COD)</f>
        <v>0</v>
      </c>
      <c r="BJ89" s="46" t="n">
        <f aca="false">BJ87*$F21*(BJ$4&lt;=In_COD)</f>
        <v>0</v>
      </c>
      <c r="BK89" s="46" t="n">
        <f aca="false">BK87*$F21*(BK$4&lt;=In_COD)</f>
        <v>0</v>
      </c>
      <c r="BL89" s="46" t="n">
        <f aca="false">BL87*$F21*(BL$4&lt;=In_COD)</f>
        <v>0</v>
      </c>
      <c r="BM89" s="46" t="n">
        <f aca="false">BM87*$F21*(BM$4&lt;=In_COD)</f>
        <v>0</v>
      </c>
      <c r="BN89" s="46" t="n">
        <f aca="false">BN87*$F21*(BN$4&lt;=In_COD)</f>
        <v>0</v>
      </c>
      <c r="BO89" s="46" t="n">
        <f aca="false">BO87*$F21*(BO$4&lt;=In_COD)</f>
        <v>0</v>
      </c>
      <c r="BP89" s="46" t="n">
        <f aca="false">BP87*$F21*(BP$4&lt;=In_COD)</f>
        <v>0</v>
      </c>
      <c r="BQ89" s="46" t="n">
        <f aca="false">BQ87*$F21*(BQ$4&lt;=In_COD)</f>
        <v>0</v>
      </c>
      <c r="BR89" s="46" t="n">
        <f aca="false">BR87*$F21*(BR$4&lt;=In_COD)</f>
        <v>0</v>
      </c>
      <c r="BS89" s="46" t="n">
        <f aca="false">BS87*$F21*(BS$4&lt;=In_COD)</f>
        <v>0</v>
      </c>
      <c r="BT89" s="46" t="n">
        <f aca="false">BT87*$F21*(BT$4&lt;=In_COD)</f>
        <v>0</v>
      </c>
      <c r="BU89" s="46" t="n">
        <f aca="false">BU87*$F21*(BU$4&lt;=In_COD)</f>
        <v>0</v>
      </c>
      <c r="BV89" s="46" t="n">
        <f aca="false">BV87*$F21*(BV$4&lt;=In_COD)</f>
        <v>0</v>
      </c>
      <c r="BW89" s="46" t="n">
        <f aca="false">BW87*$F21*(BW$4&lt;=In_COD)</f>
        <v>0</v>
      </c>
      <c r="BX89" s="46" t="n">
        <f aca="false">BX87*$F21*(BX$4&lt;=In_COD)</f>
        <v>0</v>
      </c>
      <c r="BY89" s="46" t="n">
        <f aca="false">BY87*$F21*(BY$4&lt;=In_COD)</f>
        <v>0</v>
      </c>
      <c r="BZ89" s="46" t="n">
        <f aca="false">BZ87*$F21*(BZ$4&lt;=In_COD)</f>
        <v>0</v>
      </c>
      <c r="CA89" s="46" t="n">
        <f aca="false">CA87*$F21*(CA$4&lt;=In_COD)</f>
        <v>0</v>
      </c>
      <c r="CB89" s="46" t="n">
        <f aca="false">CB87*$F21*(CB$4&lt;=In_COD)</f>
        <v>0</v>
      </c>
      <c r="CC89" s="46" t="n">
        <f aca="false">CC87*$F21*(CC$4&lt;=In_COD)</f>
        <v>0</v>
      </c>
      <c r="CD89" s="46" t="n">
        <f aca="false">CD87*$F21*(CD$4&lt;=In_COD)</f>
        <v>0</v>
      </c>
      <c r="CE89" s="46" t="n">
        <f aca="false">CE87*$F21*(CE$4&lt;=In_COD)</f>
        <v>0</v>
      </c>
      <c r="CF89" s="46" t="n">
        <f aca="false">CF87*$F21*(CF$4&lt;=In_COD)</f>
        <v>0</v>
      </c>
      <c r="CG89" s="46" t="n">
        <f aca="false">CG87*$F21*(CG$4&lt;=In_COD)</f>
        <v>0</v>
      </c>
      <c r="CH89" s="46" t="n">
        <f aca="false">CH87*$F21*(CH$4&lt;=In_COD)</f>
        <v>0</v>
      </c>
      <c r="CI89" s="46" t="n">
        <f aca="false">CI87*$F21*(CI$4&lt;=In_COD)</f>
        <v>0</v>
      </c>
      <c r="CJ89" s="46" t="n">
        <f aca="false">CJ87*$F21*(CJ$4&lt;=In_COD)</f>
        <v>0</v>
      </c>
      <c r="CK89" s="46" t="n">
        <f aca="false">CK87*$F21*(CK$4&lt;=In_COD)</f>
        <v>0</v>
      </c>
      <c r="CL89" s="46" t="n">
        <f aca="false">CL87*$F21*(CL$4&lt;=In_COD)</f>
        <v>0</v>
      </c>
      <c r="CM89" s="46" t="n">
        <f aca="false">CM87*$F21*(CM$4&lt;=In_COD)</f>
        <v>0</v>
      </c>
      <c r="CN89" s="46" t="n">
        <f aca="false">CN87*$F21*(CN$4&lt;=In_COD)</f>
        <v>0</v>
      </c>
      <c r="CO89" s="46" t="n">
        <f aca="false">CO87*$F21*(CO$4&lt;=In_COD)</f>
        <v>0</v>
      </c>
      <c r="CP89" s="46" t="n">
        <f aca="false">CP87*$F21*(CP$4&lt;=In_COD)</f>
        <v>0</v>
      </c>
      <c r="CQ89" s="46" t="n">
        <f aca="false">CQ87*$F21*(CQ$4&lt;=In_COD)</f>
        <v>0</v>
      </c>
      <c r="CR89" s="46" t="n">
        <f aca="false">CR87*$F21*(CR$4&lt;=In_COD)</f>
        <v>0</v>
      </c>
      <c r="CS89" s="46" t="n">
        <f aca="false">CS87*$F21*(CS$4&lt;=In_COD)</f>
        <v>0</v>
      </c>
      <c r="CT89" s="46" t="n">
        <f aca="false">CT87*$F21*(CT$4&lt;=In_COD)</f>
        <v>0</v>
      </c>
      <c r="CU89" s="46" t="n">
        <f aca="false">CU87*$F21*(CU$4&lt;=In_COD)</f>
        <v>0</v>
      </c>
      <c r="CV89" s="46" t="n">
        <f aca="false">CV87*$F21*(CV$4&lt;=In_COD)</f>
        <v>0</v>
      </c>
      <c r="CW89" s="46" t="n">
        <f aca="false">CW87*$F21*(CW$4&lt;=In_COD)</f>
        <v>0</v>
      </c>
      <c r="CX89" s="46" t="n">
        <f aca="false">CX87*$F21*(CX$4&lt;=In_COD)</f>
        <v>0</v>
      </c>
      <c r="CY89" s="46" t="n">
        <f aca="false">CY87*$F21*(CY$4&lt;=In_COD)</f>
        <v>0</v>
      </c>
      <c r="CZ89" s="46" t="n">
        <f aca="false">CZ87*$F21*(CZ$4&lt;=In_COD)</f>
        <v>0</v>
      </c>
      <c r="DA89" s="46" t="n">
        <f aca="false">DA87*$F21*(DA$4&lt;=In_COD)</f>
        <v>0</v>
      </c>
      <c r="DB89" s="46" t="n">
        <f aca="false">DB87*$F21*(DB$4&lt;=In_COD)</f>
        <v>0</v>
      </c>
      <c r="DC89" s="46" t="n">
        <f aca="false">DC87*$F21*(DC$4&lt;=In_COD)</f>
        <v>0</v>
      </c>
      <c r="DD89" s="46" t="n">
        <f aca="false">DD87*$F21*(DD$4&lt;=In_COD)</f>
        <v>0</v>
      </c>
      <c r="DE89" s="46" t="n">
        <f aca="false">DE87*$F21*(DE$4&lt;=In_COD)</f>
        <v>0</v>
      </c>
      <c r="DF89" s="46" t="n">
        <f aca="false">DF87*$F21*(DF$4&lt;=In_COD)</f>
        <v>0</v>
      </c>
      <c r="DG89" s="46" t="n">
        <f aca="false">DG87*$F21*(DG$4&lt;=In_COD)</f>
        <v>0</v>
      </c>
      <c r="DH89" s="46" t="n">
        <f aca="false">DH87*$F21*(DH$4&lt;=In_COD)</f>
        <v>0</v>
      </c>
      <c r="DI89" s="46" t="n">
        <f aca="false">DI87*$F21*(DI$4&lt;=In_COD)</f>
        <v>0</v>
      </c>
      <c r="DJ89" s="46" t="n">
        <f aca="false">DJ87*$F21*(DJ$4&lt;=In_COD)</f>
        <v>0</v>
      </c>
      <c r="DK89" s="46" t="n">
        <f aca="false">DK87*$F21*(DK$4&lt;=In_COD)</f>
        <v>0</v>
      </c>
      <c r="DL89" s="46" t="n">
        <f aca="false">DL87*$F21*(DL$4&lt;=In_COD)</f>
        <v>0</v>
      </c>
      <c r="DM89" s="46" t="n">
        <f aca="false">DM87*$F21*(DM$4&lt;=In_COD)</f>
        <v>0</v>
      </c>
      <c r="DN89" s="46" t="n">
        <f aca="false">DN87*$F21*(DN$4&lt;=In_COD)</f>
        <v>0</v>
      </c>
      <c r="DO89" s="46" t="n">
        <f aca="false">DO87*$F21*(DO$4&lt;=In_COD)</f>
        <v>0</v>
      </c>
      <c r="DP89" s="46" t="n">
        <f aca="false">DP87*$F21*(DP$4&lt;=In_COD)</f>
        <v>0</v>
      </c>
      <c r="DQ89" s="46" t="n">
        <f aca="false">DQ87*$F21*(DQ$4&lt;=In_COD)</f>
        <v>0</v>
      </c>
      <c r="DR89" s="46" t="n">
        <f aca="false">DR87*$F21*(DR$4&lt;=In_COD)</f>
        <v>0</v>
      </c>
      <c r="DS89" s="46" t="n">
        <f aca="false">DS87*$F21*(DS$4&lt;=In_COD)</f>
        <v>0</v>
      </c>
      <c r="DT89" s="46" t="n">
        <f aca="false">DT87*$F21*(DT$4&lt;=In_COD)</f>
        <v>0</v>
      </c>
      <c r="DU89" s="46" t="n">
        <f aca="false">DU87*$F21*(DU$4&lt;=In_COD)</f>
        <v>0</v>
      </c>
      <c r="DV89" s="46" t="n">
        <f aca="false">DV87*$F21*(DV$4&lt;=In_COD)</f>
        <v>0</v>
      </c>
      <c r="DW89" s="46" t="n">
        <f aca="false">DW87*$F21*(DW$4&lt;=In_COD)</f>
        <v>0</v>
      </c>
      <c r="DX89" s="46" t="n">
        <f aca="false">DX87*$F21*(DX$4&lt;=In_COD)</f>
        <v>0</v>
      </c>
      <c r="DY89" s="46" t="n">
        <f aca="false">DY87*$F21*(DY$4&lt;=In_COD)</f>
        <v>0</v>
      </c>
      <c r="DZ89" s="46" t="n">
        <f aca="false">DZ87*$F21*(DZ$4&lt;=In_COD)</f>
        <v>0</v>
      </c>
      <c r="EA89" s="46" t="n">
        <f aca="false">EA87*$F21*(EA$4&lt;=In_COD)</f>
        <v>0</v>
      </c>
      <c r="EB89" s="46" t="n">
        <f aca="false">EB87*$F21*(EB$4&lt;=In_COD)</f>
        <v>0</v>
      </c>
      <c r="EC89" s="46" t="n">
        <f aca="false">EC87*$F21*(EC$4&lt;=In_COD)</f>
        <v>0</v>
      </c>
      <c r="ED89" s="46" t="n">
        <f aca="false">ED87*$F21*(ED$4&lt;=In_COD)</f>
        <v>0</v>
      </c>
      <c r="EE89" s="46" t="n">
        <f aca="false">EE87*$F21*(EE$4&lt;=In_COD)</f>
        <v>0</v>
      </c>
      <c r="EF89" s="46" t="n">
        <f aca="false">EF87*$F21*(EF$4&lt;=In_COD)</f>
        <v>0</v>
      </c>
      <c r="EG89" s="46" t="n">
        <f aca="false">EG87*$F21*(EG$4&lt;=In_COD)</f>
        <v>0</v>
      </c>
      <c r="EH89" s="46" t="n">
        <f aca="false">EH87*$F21*(EH$4&lt;=In_COD)</f>
        <v>0</v>
      </c>
      <c r="EI89" s="46" t="n">
        <f aca="false">EI87*$F21*(EI$4&lt;=In_COD)</f>
        <v>0</v>
      </c>
      <c r="EJ89" s="46" t="n">
        <f aca="false">EJ87*$F21*(EJ$4&lt;=In_COD)</f>
        <v>0</v>
      </c>
      <c r="EK89" s="46" t="n">
        <f aca="false">EK87*$F21*(EK$4&lt;=In_COD)</f>
        <v>0</v>
      </c>
      <c r="EL89" s="46" t="n">
        <f aca="false">EL87*$F21*(EL$4&lt;=In_COD)</f>
        <v>0</v>
      </c>
      <c r="EM89" s="46" t="n">
        <f aca="false">EM87*$F21*(EM$4&lt;=In_COD)</f>
        <v>0</v>
      </c>
      <c r="EN89" s="46" t="n">
        <f aca="false">EN87*$F21*(EN$4&lt;=In_COD)</f>
        <v>0</v>
      </c>
      <c r="EO89" s="46" t="n">
        <f aca="false">EO87*$F21*(EO$4&lt;=In_COD)</f>
        <v>0</v>
      </c>
    </row>
    <row r="90" customFormat="false" ht="15" hidden="false" customHeight="false" outlineLevel="0" collapsed="false">
      <c r="C90" s="0" t="s">
        <v>415</v>
      </c>
      <c r="D90" s="11" t="s">
        <v>33</v>
      </c>
      <c r="I90" s="46" t="n">
        <f aca="false">SUM(J90:EO90)</f>
        <v>-51782.4107291074</v>
      </c>
      <c r="J90" s="46" t="n">
        <f aca="false">J86-J85</f>
        <v>0</v>
      </c>
      <c r="K90" s="46" t="n">
        <f aca="false">K86-K85</f>
        <v>0</v>
      </c>
      <c r="L90" s="46" t="n">
        <f aca="false">L86-L85</f>
        <v>0</v>
      </c>
      <c r="M90" s="46" t="n">
        <f aca="false">M86-M85</f>
        <v>0</v>
      </c>
      <c r="N90" s="46" t="n">
        <f aca="false">N86-N85</f>
        <v>0</v>
      </c>
      <c r="O90" s="46" t="n">
        <f aca="false">O86-O85</f>
        <v>0</v>
      </c>
      <c r="P90" s="46" t="n">
        <f aca="false">P86-P85</f>
        <v>0</v>
      </c>
      <c r="Q90" s="46" t="n">
        <f aca="false">Q86-Q85</f>
        <v>0</v>
      </c>
      <c r="R90" s="46" t="n">
        <f aca="false">R86-R85</f>
        <v>0</v>
      </c>
      <c r="S90" s="46" t="n">
        <f aca="false">S86-S85</f>
        <v>0</v>
      </c>
      <c r="T90" s="46" t="n">
        <f aca="false">T86-T85</f>
        <v>0</v>
      </c>
      <c r="U90" s="46" t="n">
        <f aca="false">U86-U85</f>
        <v>0</v>
      </c>
      <c r="V90" s="46" t="n">
        <f aca="false">V86-V85</f>
        <v>0</v>
      </c>
      <c r="W90" s="46" t="n">
        <f aca="false">W86-W85</f>
        <v>0</v>
      </c>
      <c r="X90" s="46" t="n">
        <f aca="false">X86-X85</f>
        <v>0</v>
      </c>
      <c r="Y90" s="46" t="n">
        <f aca="false">Y86-Y85</f>
        <v>0</v>
      </c>
      <c r="Z90" s="46" t="n">
        <f aca="false">Z86-Z85</f>
        <v>-445.337230520767</v>
      </c>
      <c r="AA90" s="46" t="n">
        <f aca="false">AA86-AA85</f>
        <v>-434.164700454064</v>
      </c>
      <c r="AB90" s="46" t="n">
        <f aca="false">AB86-AB85</f>
        <v>-451.266422825321</v>
      </c>
      <c r="AC90" s="46" t="n">
        <f aca="false">AC86-AC85</f>
        <v>-468.577157929178</v>
      </c>
      <c r="AD90" s="46" t="n">
        <f aca="false">AD86-AD85</f>
        <v>-470.492568840117</v>
      </c>
      <c r="AE90" s="46" t="n">
        <f aca="false">AE86-AE85</f>
        <v>-471.321127239727</v>
      </c>
      <c r="AF90" s="46" t="n">
        <f aca="false">AF86-AF85</f>
        <v>-474.483867310003</v>
      </c>
      <c r="AG90" s="46" t="n">
        <f aca="false">AG86-AG85</f>
        <v>-480.058103308768</v>
      </c>
      <c r="AH90" s="46" t="n">
        <f aca="false">AH86-AH85</f>
        <v>-482.137025960798</v>
      </c>
      <c r="AI90" s="46" t="n">
        <f aca="false">AI86-AI85</f>
        <v>-471.301164195023</v>
      </c>
      <c r="AJ90" s="46" t="n">
        <f aca="false">AJ86-AJ85</f>
        <v>-499.719899036607</v>
      </c>
      <c r="AK90" s="46" t="n">
        <f aca="false">AK86-AK85</f>
        <v>-517.365814596214</v>
      </c>
      <c r="AL90" s="46" t="n">
        <f aca="false">AL86-AL85</f>
        <v>-519.867426591292</v>
      </c>
      <c r="AM90" s="46" t="n">
        <f aca="false">AM86-AM85</f>
        <v>-509.103808592989</v>
      </c>
      <c r="AN90" s="46" t="n">
        <f aca="false">AN86-AN85</f>
        <v>-526.891854815501</v>
      </c>
      <c r="AO90" s="46" t="n">
        <f aca="false">AO86-AO85</f>
        <v>-544.892352062999</v>
      </c>
      <c r="AP90" s="46" t="n">
        <f aca="false">AP86-AP85</f>
        <v>-547.699757021084</v>
      </c>
      <c r="AQ90" s="46" t="n">
        <f aca="false">AQ86-AQ85</f>
        <v>-537.135905105151</v>
      </c>
      <c r="AR90" s="46" t="n">
        <f aca="false">AR86-AR85</f>
        <v>-555.287744864086</v>
      </c>
      <c r="AS90" s="46" t="n">
        <f aca="false">AS86-AS85</f>
        <v>-573.65638060578</v>
      </c>
      <c r="AT90" s="46" t="n">
        <f aca="false">AT86-AT85</f>
        <v>-576.784284500167</v>
      </c>
      <c r="AU90" s="46" t="n">
        <f aca="false">AU86-AU85</f>
        <v>-578.198405583405</v>
      </c>
      <c r="AV90" s="46" t="n">
        <f aca="false">AV86-AV85</f>
        <v>-585.104101823195</v>
      </c>
      <c r="AW90" s="46" t="n">
        <f aca="false">AW86-AW85</f>
        <v>-603.856742244521</v>
      </c>
      <c r="AX90" s="46" t="n">
        <f aca="false">AX86-AX85</f>
        <v>-607.322227202163</v>
      </c>
      <c r="AY90" s="46" t="n">
        <f aca="false">AY86-AY85</f>
        <v>-597.201516690559</v>
      </c>
      <c r="AZ90" s="46" t="n">
        <f aca="false">AZ86-AZ85</f>
        <v>-616.125398078458</v>
      </c>
      <c r="BA90" s="46" t="n">
        <f aca="false">BA86-BA85</f>
        <v>-635.275296306392</v>
      </c>
      <c r="BB90" s="46" t="n">
        <f aca="false">BB86-BB85</f>
        <v>-639.092840435762</v>
      </c>
      <c r="BC90" s="46" t="n">
        <f aca="false">BC86-BC85</f>
        <v>-629.21523939223</v>
      </c>
      <c r="BD90" s="46" t="n">
        <f aca="false">BD86-BD85</f>
        <v>-648.547053629216</v>
      </c>
      <c r="BE90" s="46" t="n">
        <f aca="false">BE86-BE85</f>
        <v>-668.109756840638</v>
      </c>
      <c r="BF90" s="46" t="n">
        <f aca="false">BF86-BF85</f>
        <v>-672.296201030828</v>
      </c>
      <c r="BG90" s="46" t="n">
        <f aca="false">BG86-BG85</f>
        <v>-662.67755716196</v>
      </c>
      <c r="BH90" s="46" t="n">
        <f aca="false">BH86-BH85</f>
        <v>-682.433386525608</v>
      </c>
      <c r="BI90" s="46" t="n">
        <f aca="false">BI86-BI85</f>
        <v>-702.425169076317</v>
      </c>
      <c r="BJ90" s="46" t="n">
        <f aca="false">BJ86-BJ85</f>
        <v>-706.998132522017</v>
      </c>
      <c r="BK90" s="46" t="n">
        <f aca="false">BK86-BK85</f>
        <v>-709.519319207444</v>
      </c>
      <c r="BL90" s="46" t="n">
        <f aca="false">BL86-BL85</f>
        <v>-717.993443050402</v>
      </c>
      <c r="BM90" s="46" t="n">
        <f aca="false">BM86-BM85</f>
        <v>-738.433033947662</v>
      </c>
      <c r="BN90" s="46" t="n">
        <f aca="false">BN86-BN85</f>
        <v>-743.41266339126</v>
      </c>
      <c r="BO90" s="46" t="n">
        <f aca="false">BO86-BO85</f>
        <v>-734.36432305951</v>
      </c>
      <c r="BP90" s="46" t="n">
        <f aca="false">BP86-BP85</f>
        <v>-755.021232656156</v>
      </c>
      <c r="BQ90" s="46" t="n">
        <f aca="false">BQ86-BQ85</f>
        <v>-775.924857466041</v>
      </c>
      <c r="BR90" s="46" t="n">
        <f aca="false">BR86-BR85</f>
        <v>-781.328811054018</v>
      </c>
      <c r="BS90" s="46" t="n">
        <f aca="false">BS86-BS85</f>
        <v>-772.591818330071</v>
      </c>
      <c r="BT90" s="46" t="n">
        <f aca="false">BT86-BT85</f>
        <v>-793.725741888853</v>
      </c>
      <c r="BU90" s="46" t="n">
        <f aca="false">BU86-BU85</f>
        <v>-815.112077863585</v>
      </c>
      <c r="BV90" s="46" t="n">
        <f aca="false">BV86-BV85</f>
        <v>-820.960540650239</v>
      </c>
      <c r="BW90" s="46" t="n">
        <f aca="false">BW86-BW85</f>
        <v>-812.554050986531</v>
      </c>
      <c r="BX90" s="46" t="n">
        <f aca="false">BX86-BX85</f>
        <v>-834.184313186196</v>
      </c>
      <c r="BY90" s="46" t="n">
        <f aca="false">BY86-BY85</f>
        <v>-856.072915808277</v>
      </c>
      <c r="BZ90" s="46" t="n">
        <f aca="false">BZ86-BZ85</f>
        <v>-862.38700873204</v>
      </c>
      <c r="CA90" s="46" t="n">
        <f aca="false">CA86-CA85</f>
        <v>-866.274260583278</v>
      </c>
      <c r="CB90" s="46" t="n">
        <f aca="false">CB86-CB85</f>
        <v>-876.620582617681</v>
      </c>
      <c r="CC90" s="46" t="n">
        <f aca="false">CC86-CC85</f>
        <v>-899.033631656404</v>
      </c>
      <c r="CD90" s="46" t="n">
        <f aca="false">CD86-CD85</f>
        <v>-905.83717970557</v>
      </c>
      <c r="CE90" s="46" t="n">
        <f aca="false">CE86-CE85</f>
        <v>-898.154659403145</v>
      </c>
      <c r="CF90" s="46" t="n">
        <f aca="false">CF86-CF85</f>
        <v>-920.841021370521</v>
      </c>
      <c r="CG90" s="46" t="n">
        <f aca="false">CG86-CG85</f>
        <v>-943.798337257902</v>
      </c>
      <c r="CH90" s="46" t="n">
        <f aca="false">CH86-CH85</f>
        <v>-951.112827611252</v>
      </c>
      <c r="CI90" s="46" t="n">
        <f aca="false">CI86-CI85</f>
        <v>-943.824102876755</v>
      </c>
      <c r="CJ90" s="46" t="n">
        <f aca="false">CJ86-CJ85</f>
        <v>-967.070499906801</v>
      </c>
      <c r="CK90" s="46" t="n">
        <f aca="false">CK86-CK85</f>
        <v>-990.59453961972</v>
      </c>
      <c r="CL90" s="46" t="n">
        <f aca="false">CL86-CL85</f>
        <v>-998.444178515338</v>
      </c>
      <c r="CM90" s="46" t="n">
        <f aca="false">CM86-CM85</f>
        <v>-991.572391297957</v>
      </c>
      <c r="CN90" s="46" t="n">
        <f aca="false">CN86-CN85</f>
        <v>-1015.40206360541</v>
      </c>
      <c r="CO90" s="46" t="n">
        <f aca="false">CO86-CO85</f>
        <v>-1039.51634492745</v>
      </c>
      <c r="CP90" s="46" t="n">
        <f aca="false">CP86-CP85</f>
        <v>-1047.92646445606</v>
      </c>
      <c r="CQ90" s="46" t="n">
        <f aca="false">CQ86-CQ85</f>
        <v>-1053.4940846111</v>
      </c>
      <c r="CR90" s="46" t="n">
        <f aca="false">CR86-CR85</f>
        <v>-1066.07646129788</v>
      </c>
      <c r="CS90" s="46" t="n">
        <f aca="false">CS86-CS85</f>
        <v>-1090.80732559021</v>
      </c>
      <c r="CT90" s="46" t="n">
        <f aca="false">CT86-CT85</f>
        <v>3.1093350116862E-012</v>
      </c>
      <c r="CU90" s="46" t="n">
        <f aca="false">CU86-CU85</f>
        <v>3.14820169933228E-012</v>
      </c>
      <c r="CV90" s="46" t="n">
        <f aca="false">CV86-CV85</f>
        <v>3.18755422057393E-012</v>
      </c>
      <c r="CW90" s="46" t="n">
        <f aca="false">CW86-CW85</f>
        <v>3.2273986483311E-012</v>
      </c>
      <c r="CX90" s="46" t="n">
        <f aca="false">CX86-CX85</f>
        <v>3.26774113143524E-012</v>
      </c>
      <c r="CY90" s="46" t="n">
        <f aca="false">CY86-CY85</f>
        <v>3.30858789557818E-012</v>
      </c>
      <c r="CZ90" s="46" t="n">
        <f aca="false">CZ86-CZ85</f>
        <v>3.34994524427291E-012</v>
      </c>
      <c r="DA90" s="46" t="n">
        <f aca="false">DA86-DA85</f>
        <v>3.39181955982632E-012</v>
      </c>
      <c r="DB90" s="46" t="n">
        <f aca="false">DB86-DB85</f>
        <v>3.43421730432415E-012</v>
      </c>
      <c r="DC90" s="46" t="n">
        <f aca="false">DC86-DC85</f>
        <v>3.4771450206282E-012</v>
      </c>
      <c r="DD90" s="46" t="n">
        <f aca="false">DD86-DD85</f>
        <v>3.52060933338606E-012</v>
      </c>
      <c r="DE90" s="46" t="n">
        <f aca="false">DE86-DE85</f>
        <v>3.56461695005338E-012</v>
      </c>
      <c r="DF90" s="46" t="n">
        <f aca="false">DF86-DF85</f>
        <v>3.60917466192905E-012</v>
      </c>
      <c r="DG90" s="46" t="n">
        <f aca="false">DG86-DG85</f>
        <v>3.65428934520316E-012</v>
      </c>
      <c r="DH90" s="46" t="n">
        <f aca="false">DH86-DH85</f>
        <v>3.6999679620182E-012</v>
      </c>
      <c r="DI90" s="46" t="n">
        <f aca="false">DI86-DI85</f>
        <v>3.74621756154343E-012</v>
      </c>
      <c r="DJ90" s="46" t="n">
        <f aca="false">DJ86-DJ85</f>
        <v>3.79304528106272E-012</v>
      </c>
      <c r="DK90" s="46" t="n">
        <f aca="false">DK86-DK85</f>
        <v>3.84045834707601E-012</v>
      </c>
      <c r="DL90" s="46" t="n">
        <f aca="false">DL86-DL85</f>
        <v>3.88846407641446E-012</v>
      </c>
      <c r="DM90" s="46" t="n">
        <f aca="false">DM86-DM85</f>
        <v>3.93706987736964E-012</v>
      </c>
      <c r="DN90" s="46" t="n">
        <f aca="false">DN86-DN85</f>
        <v>3.98628325083676E-012</v>
      </c>
      <c r="DO90" s="46" t="n">
        <f aca="false">DO86-DO85</f>
        <v>4.03611179147222E-012</v>
      </c>
      <c r="DP90" s="46" t="n">
        <f aca="false">DP86-DP85</f>
        <v>4.08656318886562E-012</v>
      </c>
      <c r="DQ90" s="46" t="n">
        <f aca="false">DQ86-DQ85</f>
        <v>4.13764522872644E-012</v>
      </c>
      <c r="DR90" s="46" t="n">
        <f aca="false">DR86-DR85</f>
        <v>4.18936579408552E-012</v>
      </c>
      <c r="DS90" s="46" t="n">
        <f aca="false">DS86-DS85</f>
        <v>4.24173286651159E-012</v>
      </c>
      <c r="DT90" s="46" t="n">
        <f aca="false">DT86-DT85</f>
        <v>4.29475452734298E-012</v>
      </c>
      <c r="DU90" s="46" t="n">
        <f aca="false">DU86-DU85</f>
        <v>4.34843895893477E-012</v>
      </c>
      <c r="DV90" s="46" t="n">
        <f aca="false">DV86-DV85</f>
        <v>4.40279444592145E-012</v>
      </c>
      <c r="DW90" s="46" t="n">
        <f aca="false">DW86-DW85</f>
        <v>4.45782937649547E-012</v>
      </c>
      <c r="DX90" s="46" t="n">
        <f aca="false">DX86-DX85</f>
        <v>4.51355224370167E-012</v>
      </c>
      <c r="DY90" s="46" t="n">
        <f aca="false">DY86-DY85</f>
        <v>4.56997164674794E-012</v>
      </c>
      <c r="DZ90" s="46" t="n">
        <f aca="false">DZ86-DZ85</f>
        <v>4.62709629233229E-012</v>
      </c>
      <c r="EA90" s="46" t="n">
        <f aca="false">EA86-EA85</f>
        <v>4.68493499598644E-012</v>
      </c>
      <c r="EB90" s="46" t="n">
        <f aca="false">EB86-EB85</f>
        <v>4.74349668343627E-012</v>
      </c>
      <c r="EC90" s="46" t="n">
        <f aca="false">EC86-EC85</f>
        <v>4.80279039197922E-012</v>
      </c>
      <c r="ED90" s="46" t="n">
        <f aca="false">ED86-ED85</f>
        <v>4.86282527187896E-012</v>
      </c>
      <c r="EE90" s="46" t="n">
        <f aca="false">EE86-EE85</f>
        <v>4.92361058777745E-012</v>
      </c>
      <c r="EF90" s="46" t="n">
        <f aca="false">EF86-EF85</f>
        <v>4.98515572012467E-012</v>
      </c>
      <c r="EG90" s="46" t="n">
        <f aca="false">EG86-EG85</f>
        <v>5.04747016662623E-012</v>
      </c>
      <c r="EH90" s="46" t="n">
        <f aca="false">EH86-EH85</f>
        <v>5.11056354370905E-012</v>
      </c>
      <c r="EI90" s="46" t="n">
        <f aca="false">EI86-EI85</f>
        <v>5.17444558800542E-012</v>
      </c>
      <c r="EJ90" s="46" t="n">
        <f aca="false">EJ86-EJ85</f>
        <v>5.23912615785549E-012</v>
      </c>
      <c r="EK90" s="46" t="n">
        <f aca="false">EK86-EK85</f>
        <v>5.30461523482868E-012</v>
      </c>
      <c r="EL90" s="46" t="n">
        <f aca="false">EL86-EL85</f>
        <v>5.37092292526404E-012</v>
      </c>
      <c r="EM90" s="46" t="n">
        <f aca="false">EM86-EM85</f>
        <v>5.43805946182984E-012</v>
      </c>
      <c r="EN90" s="46" t="n">
        <f aca="false">EN86-EN85</f>
        <v>5.50603520510271E-012</v>
      </c>
      <c r="EO90" s="46" t="n">
        <f aca="false">EO86-EO85</f>
        <v>5.5748606451665E-012</v>
      </c>
    </row>
    <row r="91" customFormat="false" ht="15" hidden="false" customHeight="false" outlineLevel="0" collapsed="false">
      <c r="C91" s="24" t="s">
        <v>416</v>
      </c>
      <c r="D91" s="11" t="s">
        <v>33</v>
      </c>
      <c r="E91" s="56" t="n">
        <f aca="false">SUMIF($J$4:$EO$4,In_COD,$J91:$EO91)</f>
        <v>51782.4107291079</v>
      </c>
      <c r="I91" s="58"/>
      <c r="J91" s="56" t="n">
        <f aca="false">SUM(J87:J90)</f>
        <v>0</v>
      </c>
      <c r="K91" s="56" t="n">
        <f aca="false">SUM(K87:K90)</f>
        <v>0</v>
      </c>
      <c r="L91" s="56" t="n">
        <f aca="false">SUM(L87:L90)</f>
        <v>0</v>
      </c>
      <c r="M91" s="56" t="n">
        <f aca="false">SUM(M87:M90)</f>
        <v>0</v>
      </c>
      <c r="N91" s="56" t="n">
        <f aca="false">SUM(N87:N90)</f>
        <v>0</v>
      </c>
      <c r="O91" s="56" t="n">
        <f aca="false">SUM(O87:O90)</f>
        <v>0</v>
      </c>
      <c r="P91" s="56" t="n">
        <f aca="false">SUM(P87:P90)</f>
        <v>0</v>
      </c>
      <c r="Q91" s="56" t="n">
        <f aca="false">SUM(Q87:Q90)</f>
        <v>0</v>
      </c>
      <c r="R91" s="56" t="n">
        <f aca="false">SUM(R87:R90)</f>
        <v>5356.33767123288</v>
      </c>
      <c r="S91" s="56" t="n">
        <f aca="false">SUM(S87:S90)</f>
        <v>16371.5636455479</v>
      </c>
      <c r="T91" s="56" t="n">
        <f aca="false">SUM(T87:T90)</f>
        <v>21874.3248007063</v>
      </c>
      <c r="U91" s="56" t="n">
        <f aca="false">SUM(U87:U90)</f>
        <v>27504.091531948</v>
      </c>
      <c r="V91" s="56" t="n">
        <f aca="false">SUM(V87:V90)</f>
        <v>33204.2303473303</v>
      </c>
      <c r="W91" s="56" t="n">
        <f aca="false">SUM(W87:W90)</f>
        <v>38859.1787746171</v>
      </c>
      <c r="X91" s="56" t="n">
        <f aca="false">SUM(X87:X90)</f>
        <v>44643.0351188889</v>
      </c>
      <c r="Y91" s="56" t="n">
        <f aca="false">SUM(Y87:Y90)</f>
        <v>51782.4107291079</v>
      </c>
      <c r="Z91" s="56" t="n">
        <f aca="false">SUM(Z87:Z90)</f>
        <v>51337.0734985871</v>
      </c>
      <c r="AA91" s="56" t="n">
        <f aca="false">SUM(AA87:AA90)</f>
        <v>50902.908798133</v>
      </c>
      <c r="AB91" s="56" t="n">
        <f aca="false">SUM(AB87:AB90)</f>
        <v>50451.6423753077</v>
      </c>
      <c r="AC91" s="56" t="n">
        <f aca="false">SUM(AC87:AC90)</f>
        <v>49983.0652173785</v>
      </c>
      <c r="AD91" s="56" t="n">
        <f aca="false">SUM(AD87:AD90)</f>
        <v>49512.5726485384</v>
      </c>
      <c r="AE91" s="56" t="n">
        <f aca="false">SUM(AE87:AE90)</f>
        <v>49041.2515212987</v>
      </c>
      <c r="AF91" s="56" t="n">
        <f aca="false">SUM(AF87:AF90)</f>
        <v>48566.7676539887</v>
      </c>
      <c r="AG91" s="56" t="n">
        <f aca="false">SUM(AG87:AG90)</f>
        <v>48086.7095506799</v>
      </c>
      <c r="AH91" s="56" t="n">
        <f aca="false">SUM(AH87:AH90)</f>
        <v>47604.5725247191</v>
      </c>
      <c r="AI91" s="56" t="n">
        <f aca="false">SUM(AI87:AI90)</f>
        <v>47133.2713605241</v>
      </c>
      <c r="AJ91" s="56" t="n">
        <f aca="false">SUM(AJ87:AJ90)</f>
        <v>46633.5514614875</v>
      </c>
      <c r="AK91" s="56" t="n">
        <f aca="false">SUM(AK87:AK90)</f>
        <v>46116.1856468913</v>
      </c>
      <c r="AL91" s="56" t="n">
        <f aca="false">SUM(AL87:AL90)</f>
        <v>45596.3182203</v>
      </c>
      <c r="AM91" s="56" t="n">
        <f aca="false">SUM(AM87:AM90)</f>
        <v>45087.214411707</v>
      </c>
      <c r="AN91" s="56" t="n">
        <f aca="false">SUM(AN87:AN90)</f>
        <v>44560.3225568915</v>
      </c>
      <c r="AO91" s="56" t="n">
        <f aca="false">SUM(AO87:AO90)</f>
        <v>44015.4302048285</v>
      </c>
      <c r="AP91" s="56" t="n">
        <f aca="false">SUM(AP87:AP90)</f>
        <v>43467.7304478074</v>
      </c>
      <c r="AQ91" s="56" t="n">
        <f aca="false">SUM(AQ87:AQ90)</f>
        <v>42930.5945427023</v>
      </c>
      <c r="AR91" s="56" t="n">
        <f aca="false">SUM(AR87:AR90)</f>
        <v>42375.3067978382</v>
      </c>
      <c r="AS91" s="56" t="n">
        <f aca="false">SUM(AS87:AS90)</f>
        <v>41801.6504172324</v>
      </c>
      <c r="AT91" s="56" t="n">
        <f aca="false">SUM(AT87:AT90)</f>
        <v>41224.8661327322</v>
      </c>
      <c r="AU91" s="56" t="n">
        <f aca="false">SUM(AU87:AU90)</f>
        <v>40646.6677271488</v>
      </c>
      <c r="AV91" s="56" t="n">
        <f aca="false">SUM(AV87:AV90)</f>
        <v>40061.5636253256</v>
      </c>
      <c r="AW91" s="56" t="n">
        <f aca="false">SUM(AW87:AW90)</f>
        <v>39457.7068830811</v>
      </c>
      <c r="AX91" s="56" t="n">
        <f aca="false">SUM(AX87:AX90)</f>
        <v>38850.384655879</v>
      </c>
      <c r="AY91" s="56" t="n">
        <f aca="false">SUM(AY87:AY90)</f>
        <v>38253.1831391884</v>
      </c>
      <c r="AZ91" s="56" t="n">
        <f aca="false">SUM(AZ87:AZ90)</f>
        <v>37637.0577411099</v>
      </c>
      <c r="BA91" s="56" t="n">
        <f aca="false">SUM(BA87:BA90)</f>
        <v>37001.7824448035</v>
      </c>
      <c r="BB91" s="56" t="n">
        <f aca="false">SUM(BB87:BB90)</f>
        <v>36362.6896043678</v>
      </c>
      <c r="BC91" s="56" t="n">
        <f aca="false">SUM(BC87:BC90)</f>
        <v>35733.4743649756</v>
      </c>
      <c r="BD91" s="56" t="n">
        <f aca="false">SUM(BD87:BD90)</f>
        <v>35084.9273113463</v>
      </c>
      <c r="BE91" s="56" t="n">
        <f aca="false">SUM(BE87:BE90)</f>
        <v>34416.8175545057</v>
      </c>
      <c r="BF91" s="56" t="n">
        <f aca="false">SUM(BF87:BF90)</f>
        <v>33744.5213534749</v>
      </c>
      <c r="BG91" s="56" t="n">
        <f aca="false">SUM(BG87:BG90)</f>
        <v>33081.8437963129</v>
      </c>
      <c r="BH91" s="56" t="n">
        <f aca="false">SUM(BH87:BH90)</f>
        <v>32399.4104097873</v>
      </c>
      <c r="BI91" s="56" t="n">
        <f aca="false">SUM(BI87:BI90)</f>
        <v>31696.985240711</v>
      </c>
      <c r="BJ91" s="56" t="n">
        <f aca="false">SUM(BJ87:BJ90)</f>
        <v>30989.987108189</v>
      </c>
      <c r="BK91" s="56" t="n">
        <f aca="false">SUM(BK87:BK90)</f>
        <v>30280.4677889815</v>
      </c>
      <c r="BL91" s="56" t="n">
        <f aca="false">SUM(BL87:BL90)</f>
        <v>29562.4743459311</v>
      </c>
      <c r="BM91" s="56" t="n">
        <f aca="false">SUM(BM87:BM90)</f>
        <v>28824.0413119835</v>
      </c>
      <c r="BN91" s="56" t="n">
        <f aca="false">SUM(BN87:BN90)</f>
        <v>28080.6286485922</v>
      </c>
      <c r="BO91" s="56" t="n">
        <f aca="false">SUM(BO87:BO90)</f>
        <v>27346.2643255327</v>
      </c>
      <c r="BP91" s="56" t="n">
        <f aca="false">SUM(BP87:BP90)</f>
        <v>26591.2430928765</v>
      </c>
      <c r="BQ91" s="56" t="n">
        <f aca="false">SUM(BQ87:BQ90)</f>
        <v>25815.3182354105</v>
      </c>
      <c r="BR91" s="56" t="n">
        <f aca="false">SUM(BR87:BR90)</f>
        <v>25033.9894243565</v>
      </c>
      <c r="BS91" s="56" t="n">
        <f aca="false">SUM(BS87:BS90)</f>
        <v>24261.3976060264</v>
      </c>
      <c r="BT91" s="56" t="n">
        <f aca="false">SUM(BT87:BT90)</f>
        <v>23467.6718641376</v>
      </c>
      <c r="BU91" s="56" t="n">
        <f aca="false">SUM(BU87:BU90)</f>
        <v>22652.559786274</v>
      </c>
      <c r="BV91" s="56" t="n">
        <f aca="false">SUM(BV87:BV90)</f>
        <v>21831.5992456237</v>
      </c>
      <c r="BW91" s="56" t="n">
        <f aca="false">SUM(BW87:BW90)</f>
        <v>21019.0451946372</v>
      </c>
      <c r="BX91" s="56" t="n">
        <f aca="false">SUM(BX87:BX90)</f>
        <v>20184.860881451</v>
      </c>
      <c r="BY91" s="56" t="n">
        <f aca="false">SUM(BY87:BY90)</f>
        <v>19328.7879656427</v>
      </c>
      <c r="BZ91" s="56" t="n">
        <f aca="false">SUM(BZ87:BZ90)</f>
        <v>18466.4009569107</v>
      </c>
      <c r="CA91" s="56" t="n">
        <f aca="false">SUM(CA87:CA90)</f>
        <v>17600.1266963274</v>
      </c>
      <c r="CB91" s="56" t="n">
        <f aca="false">SUM(CB87:CB90)</f>
        <v>16723.5061137097</v>
      </c>
      <c r="CC91" s="56" t="n">
        <f aca="false">SUM(CC87:CC90)</f>
        <v>15824.4724820533</v>
      </c>
      <c r="CD91" s="56" t="n">
        <f aca="false">SUM(CD87:CD90)</f>
        <v>14918.6353023478</v>
      </c>
      <c r="CE91" s="56" t="n">
        <f aca="false">SUM(CE87:CE90)</f>
        <v>14020.4806429446</v>
      </c>
      <c r="CF91" s="56" t="n">
        <f aca="false">SUM(CF87:CF90)</f>
        <v>13099.6396215741</v>
      </c>
      <c r="CG91" s="56" t="n">
        <f aca="false">SUM(CG87:CG90)</f>
        <v>12155.8412843162</v>
      </c>
      <c r="CH91" s="56" t="n">
        <f aca="false">SUM(CH87:CH90)</f>
        <v>11204.7284567049</v>
      </c>
      <c r="CI91" s="56" t="n">
        <f aca="false">SUM(CI87:CI90)</f>
        <v>10260.9043538282</v>
      </c>
      <c r="CJ91" s="56" t="n">
        <f aca="false">SUM(CJ87:CJ90)</f>
        <v>9293.83385392138</v>
      </c>
      <c r="CK91" s="56" t="n">
        <f aca="false">SUM(CK87:CK90)</f>
        <v>8303.23931430166</v>
      </c>
      <c r="CL91" s="56" t="n">
        <f aca="false">SUM(CL87:CL90)</f>
        <v>7304.79513578632</v>
      </c>
      <c r="CM91" s="56" t="n">
        <f aca="false">SUM(CM87:CM90)</f>
        <v>6313.22274448836</v>
      </c>
      <c r="CN91" s="56" t="n">
        <f aca="false">SUM(CN87:CN90)</f>
        <v>5297.82068088295</v>
      </c>
      <c r="CO91" s="56" t="n">
        <f aca="false">SUM(CO87:CO90)</f>
        <v>4258.3043359555</v>
      </c>
      <c r="CP91" s="56" t="n">
        <f aca="false">SUM(CP87:CP90)</f>
        <v>3210.37787149943</v>
      </c>
      <c r="CQ91" s="56" t="n">
        <f aca="false">SUM(CQ87:CQ90)</f>
        <v>2156.88378688834</v>
      </c>
      <c r="CR91" s="56" t="n">
        <f aca="false">SUM(CR87:CR90)</f>
        <v>1090.80732559046</v>
      </c>
      <c r="CS91" s="56" t="n">
        <f aca="false">SUM(CS87:CS90)</f>
        <v>2.48746800934896E-010</v>
      </c>
      <c r="CT91" s="56" t="n">
        <f aca="false">SUM(CT87:CT90)</f>
        <v>2.51856135946582E-010</v>
      </c>
      <c r="CU91" s="56" t="n">
        <f aca="false">SUM(CU87:CU90)</f>
        <v>2.55004337645914E-010</v>
      </c>
      <c r="CV91" s="56" t="n">
        <f aca="false">SUM(CV87:CV90)</f>
        <v>2.58191891866488E-010</v>
      </c>
      <c r="CW91" s="56" t="n">
        <f aca="false">SUM(CW87:CW90)</f>
        <v>2.61419290514819E-010</v>
      </c>
      <c r="CX91" s="56" t="n">
        <f aca="false">SUM(CX87:CX90)</f>
        <v>2.64687031646255E-010</v>
      </c>
      <c r="CY91" s="56" t="n">
        <f aca="false">SUM(CY87:CY90)</f>
        <v>2.67995619541833E-010</v>
      </c>
      <c r="CZ91" s="56" t="n">
        <f aca="false">SUM(CZ87:CZ90)</f>
        <v>2.71345564786106E-010</v>
      </c>
      <c r="DA91" s="56" t="n">
        <f aca="false">SUM(DA87:DA90)</f>
        <v>2.74737384345932E-010</v>
      </c>
      <c r="DB91" s="56" t="n">
        <f aca="false">SUM(DB87:DB90)</f>
        <v>2.78171601650256E-010</v>
      </c>
      <c r="DC91" s="56" t="n">
        <f aca="false">SUM(DC87:DC90)</f>
        <v>2.81648746670884E-010</v>
      </c>
      <c r="DD91" s="56" t="n">
        <f aca="false">SUM(DD87:DD90)</f>
        <v>2.8516935600427E-010</v>
      </c>
      <c r="DE91" s="56" t="n">
        <f aca="false">SUM(DE87:DE90)</f>
        <v>2.88733972954324E-010</v>
      </c>
      <c r="DF91" s="56" t="n">
        <f aca="false">SUM(DF87:DF90)</f>
        <v>2.92343147616253E-010</v>
      </c>
      <c r="DG91" s="56" t="n">
        <f aca="false">SUM(DG87:DG90)</f>
        <v>2.95997436961456E-010</v>
      </c>
      <c r="DH91" s="56" t="n">
        <f aca="false">SUM(DH87:DH90)</f>
        <v>2.99697404923474E-010</v>
      </c>
      <c r="DI91" s="56" t="n">
        <f aca="false">SUM(DI87:DI90)</f>
        <v>3.03443622485018E-010</v>
      </c>
      <c r="DJ91" s="56" t="n">
        <f aca="false">SUM(DJ87:DJ90)</f>
        <v>3.0723666776608E-010</v>
      </c>
      <c r="DK91" s="56" t="n">
        <f aca="false">SUM(DK87:DK90)</f>
        <v>3.11077126113156E-010</v>
      </c>
      <c r="DL91" s="56" t="n">
        <f aca="false">SUM(DL87:DL90)</f>
        <v>3.14965590189571E-010</v>
      </c>
      <c r="DM91" s="56" t="n">
        <f aca="false">SUM(DM87:DM90)</f>
        <v>3.1890266006694E-010</v>
      </c>
      <c r="DN91" s="56" t="n">
        <f aca="false">SUM(DN87:DN90)</f>
        <v>3.22888943317777E-010</v>
      </c>
      <c r="DO91" s="56" t="n">
        <f aca="false">SUM(DO87:DO90)</f>
        <v>3.26925055109249E-010</v>
      </c>
      <c r="DP91" s="56" t="n">
        <f aca="false">SUM(DP87:DP90)</f>
        <v>3.31011618298115E-010</v>
      </c>
      <c r="DQ91" s="56" t="n">
        <f aca="false">SUM(DQ87:DQ90)</f>
        <v>3.35149263526841E-010</v>
      </c>
      <c r="DR91" s="56" t="n">
        <f aca="false">SUM(DR87:DR90)</f>
        <v>3.39338629320927E-010</v>
      </c>
      <c r="DS91" s="56" t="n">
        <f aca="false">SUM(DS87:DS90)</f>
        <v>3.43580362187439E-010</v>
      </c>
      <c r="DT91" s="56" t="n">
        <f aca="false">SUM(DT87:DT90)</f>
        <v>3.47875116714782E-010</v>
      </c>
      <c r="DU91" s="56" t="n">
        <f aca="false">SUM(DU87:DU90)</f>
        <v>3.52223555673716E-010</v>
      </c>
      <c r="DV91" s="56" t="n">
        <f aca="false">SUM(DV87:DV90)</f>
        <v>3.56626350119638E-010</v>
      </c>
      <c r="DW91" s="56" t="n">
        <f aca="false">SUM(DW87:DW90)</f>
        <v>3.61084179496133E-010</v>
      </c>
      <c r="DX91" s="56" t="n">
        <f aca="false">SUM(DX87:DX90)</f>
        <v>3.65597731739835E-010</v>
      </c>
      <c r="DY91" s="56" t="n">
        <f aca="false">SUM(DY87:DY90)</f>
        <v>3.70167703386583E-010</v>
      </c>
      <c r="DZ91" s="56" t="n">
        <f aca="false">SUM(DZ87:DZ90)</f>
        <v>3.74794799678915E-010</v>
      </c>
      <c r="EA91" s="56" t="n">
        <f aca="false">SUM(EA87:EA90)</f>
        <v>3.79479734674902E-010</v>
      </c>
      <c r="EB91" s="56" t="n">
        <f aca="false">SUM(EB87:EB90)</f>
        <v>3.84223231358338E-010</v>
      </c>
      <c r="EC91" s="56" t="n">
        <f aca="false">SUM(EC87:EC90)</f>
        <v>3.89026021750317E-010</v>
      </c>
      <c r="ED91" s="56" t="n">
        <f aca="false">SUM(ED87:ED90)</f>
        <v>3.93888847022196E-010</v>
      </c>
      <c r="EE91" s="56" t="n">
        <f aca="false">SUM(EE87:EE90)</f>
        <v>3.98812457609973E-010</v>
      </c>
      <c r="EF91" s="56" t="n">
        <f aca="false">SUM(EF87:EF90)</f>
        <v>4.03797613330098E-010</v>
      </c>
      <c r="EG91" s="56" t="n">
        <f aca="false">SUM(EG87:EG90)</f>
        <v>4.08845083496724E-010</v>
      </c>
      <c r="EH91" s="56" t="n">
        <f aca="false">SUM(EH87:EH90)</f>
        <v>4.13955647040433E-010</v>
      </c>
      <c r="EI91" s="56" t="n">
        <f aca="false">SUM(EI87:EI90)</f>
        <v>4.19130092628439E-010</v>
      </c>
      <c r="EJ91" s="56" t="n">
        <f aca="false">SUM(EJ87:EJ90)</f>
        <v>4.24369218786294E-010</v>
      </c>
      <c r="EK91" s="56" t="n">
        <f aca="false">SUM(EK87:EK90)</f>
        <v>4.29673834021123E-010</v>
      </c>
      <c r="EL91" s="56" t="n">
        <f aca="false">SUM(EL87:EL90)</f>
        <v>4.35044756946387E-010</v>
      </c>
      <c r="EM91" s="56" t="n">
        <f aca="false">SUM(EM87:EM90)</f>
        <v>4.40482816408217E-010</v>
      </c>
      <c r="EN91" s="56" t="n">
        <f aca="false">SUM(EN87:EN90)</f>
        <v>4.4598885161332E-010</v>
      </c>
      <c r="EO91" s="56" t="n">
        <f aca="false">SUM(EO87:EO90)</f>
        <v>4.51563712258486E-010</v>
      </c>
    </row>
    <row r="92" customFormat="false" ht="15" hidden="false" customHeight="false" outlineLevel="0" collapsed="false">
      <c r="C92" s="0" t="s">
        <v>417</v>
      </c>
      <c r="D92" s="11" t="s">
        <v>33</v>
      </c>
      <c r="I92" s="46" t="n">
        <f aca="false">SUM(J92:EO92)</f>
        <v>-906.192187759387</v>
      </c>
      <c r="J92" s="46" t="n">
        <f aca="false">-In_Upfront_Fee*$E91*(J87=0)*(J88&gt;0)</f>
        <v>-0</v>
      </c>
      <c r="K92" s="46" t="n">
        <f aca="false">-In_Upfront_Fee*$E91*(K87=0)*(K88&gt;0)</f>
        <v>-0</v>
      </c>
      <c r="L92" s="46" t="n">
        <f aca="false">-In_Upfront_Fee*$E91*(L87=0)*(L88&gt;0)</f>
        <v>-0</v>
      </c>
      <c r="M92" s="46" t="n">
        <f aca="false">-In_Upfront_Fee*$E91*(M87=0)*(M88&gt;0)</f>
        <v>-0</v>
      </c>
      <c r="N92" s="46" t="n">
        <f aca="false">-In_Upfront_Fee*$E91*(N87=0)*(N88&gt;0)</f>
        <v>-0</v>
      </c>
      <c r="O92" s="46" t="n">
        <f aca="false">-In_Upfront_Fee*$E91*(O87=0)*(O88&gt;0)</f>
        <v>-0</v>
      </c>
      <c r="P92" s="46" t="n">
        <f aca="false">-In_Upfront_Fee*$E91*(P87=0)*(P88&gt;0)</f>
        <v>-0</v>
      </c>
      <c r="Q92" s="46" t="n">
        <f aca="false">-In_Upfront_Fee*$E91*(Q87=0)*(Q88&gt;0)</f>
        <v>-0</v>
      </c>
      <c r="R92" s="46" t="n">
        <f aca="false">-In_Upfront_Fee*$E91*(R87=0)*(R88&gt;0)</f>
        <v>-906.192187759387</v>
      </c>
      <c r="S92" s="46" t="n">
        <f aca="false">-In_Upfront_Fee*$E91*(S87=0)*(S88&gt;0)</f>
        <v>-0</v>
      </c>
      <c r="T92" s="46" t="n">
        <f aca="false">-In_Upfront_Fee*$E91*(T87=0)*(T88&gt;0)</f>
        <v>-0</v>
      </c>
      <c r="U92" s="46" t="n">
        <f aca="false">-In_Upfront_Fee*$E91*(U87=0)*(U88&gt;0)</f>
        <v>-0</v>
      </c>
      <c r="V92" s="46" t="n">
        <f aca="false">-In_Upfront_Fee*$E91*(V87=0)*(V88&gt;0)</f>
        <v>-0</v>
      </c>
      <c r="W92" s="46" t="n">
        <f aca="false">-In_Upfront_Fee*$E91*(W87=0)*(W88&gt;0)</f>
        <v>-0</v>
      </c>
      <c r="X92" s="46" t="n">
        <f aca="false">-In_Upfront_Fee*$E91*(X87=0)*(X88&gt;0)</f>
        <v>-0</v>
      </c>
      <c r="Y92" s="46" t="n">
        <f aca="false">-In_Upfront_Fee*$E91*(Y87=0)*(Y88&gt;0)</f>
        <v>-0</v>
      </c>
      <c r="Z92" s="46" t="n">
        <f aca="false">-In_Upfront_Fee*$E91*(Z87=0)*(Z88&gt;0)</f>
        <v>-0</v>
      </c>
      <c r="AA92" s="46" t="n">
        <f aca="false">-In_Upfront_Fee*$E91*(AA87=0)*(AA88&gt;0)</f>
        <v>-0</v>
      </c>
      <c r="AB92" s="46" t="n">
        <f aca="false">-In_Upfront_Fee*$E91*(AB87=0)*(AB88&gt;0)</f>
        <v>-0</v>
      </c>
      <c r="AC92" s="46" t="n">
        <f aca="false">-In_Upfront_Fee*$E91*(AC87=0)*(AC88&gt;0)</f>
        <v>-0</v>
      </c>
      <c r="AD92" s="46" t="n">
        <f aca="false">-In_Upfront_Fee*$E91*(AD87=0)*(AD88&gt;0)</f>
        <v>-0</v>
      </c>
      <c r="AE92" s="46" t="n">
        <f aca="false">-In_Upfront_Fee*$E91*(AE87=0)*(AE88&gt;0)</f>
        <v>-0</v>
      </c>
      <c r="AF92" s="46" t="n">
        <f aca="false">-In_Upfront_Fee*$E91*(AF87=0)*(AF88&gt;0)</f>
        <v>-0</v>
      </c>
      <c r="AG92" s="46" t="n">
        <f aca="false">-In_Upfront_Fee*$E91*(AG87=0)*(AG88&gt;0)</f>
        <v>-0</v>
      </c>
      <c r="AH92" s="46" t="n">
        <f aca="false">-In_Upfront_Fee*$E91*(AH87=0)*(AH88&gt;0)</f>
        <v>-0</v>
      </c>
      <c r="AI92" s="46" t="n">
        <f aca="false">-In_Upfront_Fee*$E91*(AI87=0)*(AI88&gt;0)</f>
        <v>-0</v>
      </c>
      <c r="AJ92" s="46" t="n">
        <f aca="false">-In_Upfront_Fee*$E91*(AJ87=0)*(AJ88&gt;0)</f>
        <v>-0</v>
      </c>
      <c r="AK92" s="46" t="n">
        <f aca="false">-In_Upfront_Fee*$E91*(AK87=0)*(AK88&gt;0)</f>
        <v>-0</v>
      </c>
      <c r="AL92" s="46" t="n">
        <f aca="false">-In_Upfront_Fee*$E91*(AL87=0)*(AL88&gt;0)</f>
        <v>-0</v>
      </c>
      <c r="AM92" s="46" t="n">
        <f aca="false">-In_Upfront_Fee*$E91*(AM87=0)*(AM88&gt;0)</f>
        <v>-0</v>
      </c>
      <c r="AN92" s="46" t="n">
        <f aca="false">-In_Upfront_Fee*$E91*(AN87=0)*(AN88&gt;0)</f>
        <v>-0</v>
      </c>
      <c r="AO92" s="46" t="n">
        <f aca="false">-In_Upfront_Fee*$E91*(AO87=0)*(AO88&gt;0)</f>
        <v>-0</v>
      </c>
      <c r="AP92" s="46" t="n">
        <f aca="false">-In_Upfront_Fee*$E91*(AP87=0)*(AP88&gt;0)</f>
        <v>-0</v>
      </c>
      <c r="AQ92" s="46" t="n">
        <f aca="false">-In_Upfront_Fee*$E91*(AQ87=0)*(AQ88&gt;0)</f>
        <v>-0</v>
      </c>
      <c r="AR92" s="46" t="n">
        <f aca="false">-In_Upfront_Fee*$E91*(AR87=0)*(AR88&gt;0)</f>
        <v>-0</v>
      </c>
      <c r="AS92" s="46" t="n">
        <f aca="false">-In_Upfront_Fee*$E91*(AS87=0)*(AS88&gt;0)</f>
        <v>-0</v>
      </c>
      <c r="AT92" s="46" t="n">
        <f aca="false">-In_Upfront_Fee*$E91*(AT87=0)*(AT88&gt;0)</f>
        <v>-0</v>
      </c>
      <c r="AU92" s="46" t="n">
        <f aca="false">-In_Upfront_Fee*$E91*(AU87=0)*(AU88&gt;0)</f>
        <v>-0</v>
      </c>
      <c r="AV92" s="46" t="n">
        <f aca="false">-In_Upfront_Fee*$E91*(AV87=0)*(AV88&gt;0)</f>
        <v>-0</v>
      </c>
      <c r="AW92" s="46" t="n">
        <f aca="false">-In_Upfront_Fee*$E91*(AW87=0)*(AW88&gt;0)</f>
        <v>-0</v>
      </c>
      <c r="AX92" s="46" t="n">
        <f aca="false">-In_Upfront_Fee*$E91*(AX87=0)*(AX88&gt;0)</f>
        <v>-0</v>
      </c>
      <c r="AY92" s="46" t="n">
        <f aca="false">-In_Upfront_Fee*$E91*(AY87=0)*(AY88&gt;0)</f>
        <v>-0</v>
      </c>
      <c r="AZ92" s="46" t="n">
        <f aca="false">-In_Upfront_Fee*$E91*(AZ87=0)*(AZ88&gt;0)</f>
        <v>-0</v>
      </c>
      <c r="BA92" s="46" t="n">
        <f aca="false">-In_Upfront_Fee*$E91*(BA87=0)*(BA88&gt;0)</f>
        <v>-0</v>
      </c>
      <c r="BB92" s="46" t="n">
        <f aca="false">-In_Upfront_Fee*$E91*(BB87=0)*(BB88&gt;0)</f>
        <v>-0</v>
      </c>
      <c r="BC92" s="46" t="n">
        <f aca="false">-In_Upfront_Fee*$E91*(BC87=0)*(BC88&gt;0)</f>
        <v>-0</v>
      </c>
      <c r="BD92" s="46" t="n">
        <f aca="false">-In_Upfront_Fee*$E91*(BD87=0)*(BD88&gt;0)</f>
        <v>-0</v>
      </c>
      <c r="BE92" s="46" t="n">
        <f aca="false">-In_Upfront_Fee*$E91*(BE87=0)*(BE88&gt;0)</f>
        <v>-0</v>
      </c>
      <c r="BF92" s="46" t="n">
        <f aca="false">-In_Upfront_Fee*$E91*(BF87=0)*(BF88&gt;0)</f>
        <v>-0</v>
      </c>
      <c r="BG92" s="46" t="n">
        <f aca="false">-In_Upfront_Fee*$E91*(BG87=0)*(BG88&gt;0)</f>
        <v>-0</v>
      </c>
      <c r="BH92" s="46" t="n">
        <f aca="false">-In_Upfront_Fee*$E91*(BH87=0)*(BH88&gt;0)</f>
        <v>-0</v>
      </c>
      <c r="BI92" s="46" t="n">
        <f aca="false">-In_Upfront_Fee*$E91*(BI87=0)*(BI88&gt;0)</f>
        <v>-0</v>
      </c>
      <c r="BJ92" s="46" t="n">
        <f aca="false">-In_Upfront_Fee*$E91*(BJ87=0)*(BJ88&gt;0)</f>
        <v>-0</v>
      </c>
      <c r="BK92" s="46" t="n">
        <f aca="false">-In_Upfront_Fee*$E91*(BK87=0)*(BK88&gt;0)</f>
        <v>-0</v>
      </c>
      <c r="BL92" s="46" t="n">
        <f aca="false">-In_Upfront_Fee*$E91*(BL87=0)*(BL88&gt;0)</f>
        <v>-0</v>
      </c>
      <c r="BM92" s="46" t="n">
        <f aca="false">-In_Upfront_Fee*$E91*(BM87=0)*(BM88&gt;0)</f>
        <v>-0</v>
      </c>
      <c r="BN92" s="46" t="n">
        <f aca="false">-In_Upfront_Fee*$E91*(BN87=0)*(BN88&gt;0)</f>
        <v>-0</v>
      </c>
      <c r="BO92" s="46" t="n">
        <f aca="false">-In_Upfront_Fee*$E91*(BO87=0)*(BO88&gt;0)</f>
        <v>-0</v>
      </c>
      <c r="BP92" s="46" t="n">
        <f aca="false">-In_Upfront_Fee*$E91*(BP87=0)*(BP88&gt;0)</f>
        <v>-0</v>
      </c>
      <c r="BQ92" s="46" t="n">
        <f aca="false">-In_Upfront_Fee*$E91*(BQ87=0)*(BQ88&gt;0)</f>
        <v>-0</v>
      </c>
      <c r="BR92" s="46" t="n">
        <f aca="false">-In_Upfront_Fee*$E91*(BR87=0)*(BR88&gt;0)</f>
        <v>-0</v>
      </c>
      <c r="BS92" s="46" t="n">
        <f aca="false">-In_Upfront_Fee*$E91*(BS87=0)*(BS88&gt;0)</f>
        <v>-0</v>
      </c>
      <c r="BT92" s="46" t="n">
        <f aca="false">-In_Upfront_Fee*$E91*(BT87=0)*(BT88&gt;0)</f>
        <v>-0</v>
      </c>
      <c r="BU92" s="46" t="n">
        <f aca="false">-In_Upfront_Fee*$E91*(BU87=0)*(BU88&gt;0)</f>
        <v>-0</v>
      </c>
      <c r="BV92" s="46" t="n">
        <f aca="false">-In_Upfront_Fee*$E91*(BV87=0)*(BV88&gt;0)</f>
        <v>-0</v>
      </c>
      <c r="BW92" s="46" t="n">
        <f aca="false">-In_Upfront_Fee*$E91*(BW87=0)*(BW88&gt;0)</f>
        <v>-0</v>
      </c>
      <c r="BX92" s="46" t="n">
        <f aca="false">-In_Upfront_Fee*$E91*(BX87=0)*(BX88&gt;0)</f>
        <v>-0</v>
      </c>
      <c r="BY92" s="46" t="n">
        <f aca="false">-In_Upfront_Fee*$E91*(BY87=0)*(BY88&gt;0)</f>
        <v>-0</v>
      </c>
      <c r="BZ92" s="46" t="n">
        <f aca="false">-In_Upfront_Fee*$E91*(BZ87=0)*(BZ88&gt;0)</f>
        <v>-0</v>
      </c>
      <c r="CA92" s="46" t="n">
        <f aca="false">-In_Upfront_Fee*$E91*(CA87=0)*(CA88&gt;0)</f>
        <v>-0</v>
      </c>
      <c r="CB92" s="46" t="n">
        <f aca="false">-In_Upfront_Fee*$E91*(CB87=0)*(CB88&gt;0)</f>
        <v>-0</v>
      </c>
      <c r="CC92" s="46" t="n">
        <f aca="false">-In_Upfront_Fee*$E91*(CC87=0)*(CC88&gt;0)</f>
        <v>-0</v>
      </c>
      <c r="CD92" s="46" t="n">
        <f aca="false">-In_Upfront_Fee*$E91*(CD87=0)*(CD88&gt;0)</f>
        <v>-0</v>
      </c>
      <c r="CE92" s="46" t="n">
        <f aca="false">-In_Upfront_Fee*$E91*(CE87=0)*(CE88&gt;0)</f>
        <v>-0</v>
      </c>
      <c r="CF92" s="46" t="n">
        <f aca="false">-In_Upfront_Fee*$E91*(CF87=0)*(CF88&gt;0)</f>
        <v>-0</v>
      </c>
      <c r="CG92" s="46" t="n">
        <f aca="false">-In_Upfront_Fee*$E91*(CG87=0)*(CG88&gt;0)</f>
        <v>-0</v>
      </c>
      <c r="CH92" s="46" t="n">
        <f aca="false">-In_Upfront_Fee*$E91*(CH87=0)*(CH88&gt;0)</f>
        <v>-0</v>
      </c>
      <c r="CI92" s="46" t="n">
        <f aca="false">-In_Upfront_Fee*$E91*(CI87=0)*(CI88&gt;0)</f>
        <v>-0</v>
      </c>
      <c r="CJ92" s="46" t="n">
        <f aca="false">-In_Upfront_Fee*$E91*(CJ87=0)*(CJ88&gt;0)</f>
        <v>-0</v>
      </c>
      <c r="CK92" s="46" t="n">
        <f aca="false">-In_Upfront_Fee*$E91*(CK87=0)*(CK88&gt;0)</f>
        <v>-0</v>
      </c>
      <c r="CL92" s="46" t="n">
        <f aca="false">-In_Upfront_Fee*$E91*(CL87=0)*(CL88&gt;0)</f>
        <v>-0</v>
      </c>
      <c r="CM92" s="46" t="n">
        <f aca="false">-In_Upfront_Fee*$E91*(CM87=0)*(CM88&gt;0)</f>
        <v>-0</v>
      </c>
      <c r="CN92" s="46" t="n">
        <f aca="false">-In_Upfront_Fee*$E91*(CN87=0)*(CN88&gt;0)</f>
        <v>-0</v>
      </c>
      <c r="CO92" s="46" t="n">
        <f aca="false">-In_Upfront_Fee*$E91*(CO87=0)*(CO88&gt;0)</f>
        <v>-0</v>
      </c>
      <c r="CP92" s="46" t="n">
        <f aca="false">-In_Upfront_Fee*$E91*(CP87=0)*(CP88&gt;0)</f>
        <v>-0</v>
      </c>
      <c r="CQ92" s="46" t="n">
        <f aca="false">-In_Upfront_Fee*$E91*(CQ87=0)*(CQ88&gt;0)</f>
        <v>-0</v>
      </c>
      <c r="CR92" s="46" t="n">
        <f aca="false">-In_Upfront_Fee*$E91*(CR87=0)*(CR88&gt;0)</f>
        <v>-0</v>
      </c>
      <c r="CS92" s="46" t="n">
        <f aca="false">-In_Upfront_Fee*$E91*(CS87=0)*(CS88&gt;0)</f>
        <v>-0</v>
      </c>
      <c r="CT92" s="46" t="n">
        <f aca="false">-In_Upfront_Fee*$E91*(CT87=0)*(CT88&gt;0)</f>
        <v>-0</v>
      </c>
      <c r="CU92" s="46" t="n">
        <f aca="false">-In_Upfront_Fee*$E91*(CU87=0)*(CU88&gt;0)</f>
        <v>-0</v>
      </c>
      <c r="CV92" s="46" t="n">
        <f aca="false">-In_Upfront_Fee*$E91*(CV87=0)*(CV88&gt;0)</f>
        <v>-0</v>
      </c>
      <c r="CW92" s="46" t="n">
        <f aca="false">-In_Upfront_Fee*$E91*(CW87=0)*(CW88&gt;0)</f>
        <v>-0</v>
      </c>
      <c r="CX92" s="46" t="n">
        <f aca="false">-In_Upfront_Fee*$E91*(CX87=0)*(CX88&gt;0)</f>
        <v>-0</v>
      </c>
      <c r="CY92" s="46" t="n">
        <f aca="false">-In_Upfront_Fee*$E91*(CY87=0)*(CY88&gt;0)</f>
        <v>-0</v>
      </c>
      <c r="CZ92" s="46" t="n">
        <f aca="false">-In_Upfront_Fee*$E91*(CZ87=0)*(CZ88&gt;0)</f>
        <v>-0</v>
      </c>
      <c r="DA92" s="46" t="n">
        <f aca="false">-In_Upfront_Fee*$E91*(DA87=0)*(DA88&gt;0)</f>
        <v>-0</v>
      </c>
      <c r="DB92" s="46" t="n">
        <f aca="false">-In_Upfront_Fee*$E91*(DB87=0)*(DB88&gt;0)</f>
        <v>-0</v>
      </c>
      <c r="DC92" s="46" t="n">
        <f aca="false">-In_Upfront_Fee*$E91*(DC87=0)*(DC88&gt;0)</f>
        <v>-0</v>
      </c>
      <c r="DD92" s="46" t="n">
        <f aca="false">-In_Upfront_Fee*$E91*(DD87=0)*(DD88&gt;0)</f>
        <v>-0</v>
      </c>
      <c r="DE92" s="46" t="n">
        <f aca="false">-In_Upfront_Fee*$E91*(DE87=0)*(DE88&gt;0)</f>
        <v>-0</v>
      </c>
      <c r="DF92" s="46" t="n">
        <f aca="false">-In_Upfront_Fee*$E91*(DF87=0)*(DF88&gt;0)</f>
        <v>-0</v>
      </c>
      <c r="DG92" s="46" t="n">
        <f aca="false">-In_Upfront_Fee*$E91*(DG87=0)*(DG88&gt;0)</f>
        <v>-0</v>
      </c>
      <c r="DH92" s="46" t="n">
        <f aca="false">-In_Upfront_Fee*$E91*(DH87=0)*(DH88&gt;0)</f>
        <v>-0</v>
      </c>
      <c r="DI92" s="46" t="n">
        <f aca="false">-In_Upfront_Fee*$E91*(DI87=0)*(DI88&gt;0)</f>
        <v>-0</v>
      </c>
      <c r="DJ92" s="46" t="n">
        <f aca="false">-In_Upfront_Fee*$E91*(DJ87=0)*(DJ88&gt;0)</f>
        <v>-0</v>
      </c>
      <c r="DK92" s="46" t="n">
        <f aca="false">-In_Upfront_Fee*$E91*(DK87=0)*(DK88&gt;0)</f>
        <v>-0</v>
      </c>
      <c r="DL92" s="46" t="n">
        <f aca="false">-In_Upfront_Fee*$E91*(DL87=0)*(DL88&gt;0)</f>
        <v>-0</v>
      </c>
      <c r="DM92" s="46" t="n">
        <f aca="false">-In_Upfront_Fee*$E91*(DM87=0)*(DM88&gt;0)</f>
        <v>-0</v>
      </c>
      <c r="DN92" s="46" t="n">
        <f aca="false">-In_Upfront_Fee*$E91*(DN87=0)*(DN88&gt;0)</f>
        <v>-0</v>
      </c>
      <c r="DO92" s="46" t="n">
        <f aca="false">-In_Upfront_Fee*$E91*(DO87=0)*(DO88&gt;0)</f>
        <v>-0</v>
      </c>
      <c r="DP92" s="46" t="n">
        <f aca="false">-In_Upfront_Fee*$E91*(DP87=0)*(DP88&gt;0)</f>
        <v>-0</v>
      </c>
      <c r="DQ92" s="46" t="n">
        <f aca="false">-In_Upfront_Fee*$E91*(DQ87=0)*(DQ88&gt;0)</f>
        <v>-0</v>
      </c>
      <c r="DR92" s="46" t="n">
        <f aca="false">-In_Upfront_Fee*$E91*(DR87=0)*(DR88&gt;0)</f>
        <v>-0</v>
      </c>
      <c r="DS92" s="46" t="n">
        <f aca="false">-In_Upfront_Fee*$E91*(DS87=0)*(DS88&gt;0)</f>
        <v>-0</v>
      </c>
      <c r="DT92" s="46" t="n">
        <f aca="false">-In_Upfront_Fee*$E91*(DT87=0)*(DT88&gt;0)</f>
        <v>-0</v>
      </c>
      <c r="DU92" s="46" t="n">
        <f aca="false">-In_Upfront_Fee*$E91*(DU87=0)*(DU88&gt;0)</f>
        <v>-0</v>
      </c>
      <c r="DV92" s="46" t="n">
        <f aca="false">-In_Upfront_Fee*$E91*(DV87=0)*(DV88&gt;0)</f>
        <v>-0</v>
      </c>
      <c r="DW92" s="46" t="n">
        <f aca="false">-In_Upfront_Fee*$E91*(DW87=0)*(DW88&gt;0)</f>
        <v>-0</v>
      </c>
      <c r="DX92" s="46" t="n">
        <f aca="false">-In_Upfront_Fee*$E91*(DX87=0)*(DX88&gt;0)</f>
        <v>-0</v>
      </c>
      <c r="DY92" s="46" t="n">
        <f aca="false">-In_Upfront_Fee*$E91*(DY87=0)*(DY88&gt;0)</f>
        <v>-0</v>
      </c>
      <c r="DZ92" s="46" t="n">
        <f aca="false">-In_Upfront_Fee*$E91*(DZ87=0)*(DZ88&gt;0)</f>
        <v>-0</v>
      </c>
      <c r="EA92" s="46" t="n">
        <f aca="false">-In_Upfront_Fee*$E91*(EA87=0)*(EA88&gt;0)</f>
        <v>-0</v>
      </c>
      <c r="EB92" s="46" t="n">
        <f aca="false">-In_Upfront_Fee*$E91*(EB87=0)*(EB88&gt;0)</f>
        <v>-0</v>
      </c>
      <c r="EC92" s="46" t="n">
        <f aca="false">-In_Upfront_Fee*$E91*(EC87=0)*(EC88&gt;0)</f>
        <v>-0</v>
      </c>
      <c r="ED92" s="46" t="n">
        <f aca="false">-In_Upfront_Fee*$E91*(ED87=0)*(ED88&gt;0)</f>
        <v>-0</v>
      </c>
      <c r="EE92" s="46" t="n">
        <f aca="false">-In_Upfront_Fee*$E91*(EE87=0)*(EE88&gt;0)</f>
        <v>-0</v>
      </c>
      <c r="EF92" s="46" t="n">
        <f aca="false">-In_Upfront_Fee*$E91*(EF87=0)*(EF88&gt;0)</f>
        <v>-0</v>
      </c>
      <c r="EG92" s="46" t="n">
        <f aca="false">-In_Upfront_Fee*$E91*(EG87=0)*(EG88&gt;0)</f>
        <v>-0</v>
      </c>
      <c r="EH92" s="46" t="n">
        <f aca="false">-In_Upfront_Fee*$E91*(EH87=0)*(EH88&gt;0)</f>
        <v>-0</v>
      </c>
      <c r="EI92" s="46" t="n">
        <f aca="false">-In_Upfront_Fee*$E91*(EI87=0)*(EI88&gt;0)</f>
        <v>-0</v>
      </c>
      <c r="EJ92" s="46" t="n">
        <f aca="false">-In_Upfront_Fee*$E91*(EJ87=0)*(EJ88&gt;0)</f>
        <v>-0</v>
      </c>
      <c r="EK92" s="46" t="n">
        <f aca="false">-In_Upfront_Fee*$E91*(EK87=0)*(EK88&gt;0)</f>
        <v>-0</v>
      </c>
      <c r="EL92" s="46" t="n">
        <f aca="false">-In_Upfront_Fee*$E91*(EL87=0)*(EL88&gt;0)</f>
        <v>-0</v>
      </c>
      <c r="EM92" s="46" t="n">
        <f aca="false">-In_Upfront_Fee*$E91*(EM87=0)*(EM88&gt;0)</f>
        <v>-0</v>
      </c>
      <c r="EN92" s="46" t="n">
        <f aca="false">-In_Upfront_Fee*$E91*(EN87=0)*(EN88&gt;0)</f>
        <v>-0</v>
      </c>
      <c r="EO92" s="46" t="n">
        <f aca="false">-In_Upfront_Fee*$E91*(EO87=0)*(EO88&gt;0)</f>
        <v>-0</v>
      </c>
    </row>
    <row r="93" customFormat="false" ht="15" hidden="false" customHeight="false" outlineLevel="0" collapsed="false">
      <c r="C93" s="0" t="s">
        <v>418</v>
      </c>
      <c r="D93" s="11" t="s">
        <v>33</v>
      </c>
      <c r="I93" s="46" t="n">
        <f aca="false">SUM(J93:EO93)</f>
        <v>-477.997685425277</v>
      </c>
      <c r="J93" s="46" t="n">
        <f aca="false">-In_Commitment_Fee*($I88-SUM($J88:J88)+J88)*J$6*(J12&gt;0)</f>
        <v>-0</v>
      </c>
      <c r="K93" s="46" t="n">
        <f aca="false">-In_Commitment_Fee*($I88-SUM($J88:K88)+K88)*K$6*(K12&gt;0)</f>
        <v>-0</v>
      </c>
      <c r="L93" s="46" t="n">
        <f aca="false">-In_Commitment_Fee*($I88-SUM($J88:L88)+L88)*L$6*(L12&gt;0)</f>
        <v>-0</v>
      </c>
      <c r="M93" s="46" t="n">
        <f aca="false">-In_Commitment_Fee*($I88-SUM($J88:M88)+M88)*M$6*(M12&gt;0)</f>
        <v>-0</v>
      </c>
      <c r="N93" s="46" t="n">
        <f aca="false">-In_Commitment_Fee*($I88-SUM($J88:N88)+N88)*N$6*(N12&gt;0)</f>
        <v>-0</v>
      </c>
      <c r="O93" s="46" t="n">
        <f aca="false">-In_Commitment_Fee*($I88-SUM($J88:O88)+O88)*O$6*(O12&gt;0)</f>
        <v>-0</v>
      </c>
      <c r="P93" s="46" t="n">
        <f aca="false">-In_Commitment_Fee*($I88-SUM($J88:P88)+P88)*P$6*(P12&gt;0)</f>
        <v>-0</v>
      </c>
      <c r="Q93" s="46" t="n">
        <f aca="false">-In_Commitment_Fee*($I88-SUM($J88:Q88)+Q88)*Q$6*(Q12&gt;0)</f>
        <v>-0</v>
      </c>
      <c r="R93" s="46" t="n">
        <f aca="false">-In_Commitment_Fee*($I88-SUM($J88:R88)+R88)*R$6*(R12&gt;0)</f>
        <v>-112.142394515444</v>
      </c>
      <c r="S93" s="46" t="n">
        <f aca="false">-In_Commitment_Fee*($I88-SUM($J88:S88)+S88)*S$6*(S12&gt;0)</f>
        <v>-97.8178492129855</v>
      </c>
      <c r="T93" s="46" t="n">
        <f aca="false">-In_Commitment_Fee*($I88-SUM($J88:T88)+T88)*T$6*(T12&gt;0)</f>
        <v>-74.3385921054607</v>
      </c>
      <c r="U93" s="46" t="n">
        <f aca="false">-In_Commitment_Fee*($I88-SUM($J88:U88)+U88)*U$6*(U12&gt;0)</f>
        <v>-63.1367584706324</v>
      </c>
      <c r="V93" s="46" t="n">
        <f aca="false">-In_Commitment_Fee*($I88-SUM($J88:V88)+V88)*V$6*(V12&gt;0)</f>
        <v>-50.9859431506849</v>
      </c>
      <c r="W93" s="46" t="n">
        <f aca="false">-In_Commitment_Fee*($I88-SUM($J88:W88)+W88)*W$6*(W12&gt;0)</f>
        <v>-37.9908859213736</v>
      </c>
      <c r="X93" s="46" t="n">
        <f aca="false">-In_Commitment_Fee*($I88-SUM($J88:X88)+X88)*X$6*(X12&gt;0)</f>
        <v>-26.6555426191593</v>
      </c>
      <c r="Y93" s="46" t="n">
        <f aca="false">-In_Commitment_Fee*($I88-SUM($J88:Y88)+Y88)*Y$6*(Y12&gt;0)</f>
        <v>-14.9297194295365</v>
      </c>
      <c r="Z93" s="46" t="n">
        <f aca="false">-In_Commitment_Fee*($I88-SUM($J88:Z88)+Z88)*Z$6*(Z12&gt;0)</f>
        <v>-0</v>
      </c>
      <c r="AA93" s="46" t="n">
        <f aca="false">-In_Commitment_Fee*($I88-SUM($J88:AA88)+AA88)*AA$6*(AA12&gt;0)</f>
        <v>-0</v>
      </c>
      <c r="AB93" s="46" t="n">
        <f aca="false">-In_Commitment_Fee*($I88-SUM($J88:AB88)+AB88)*AB$6*(AB12&gt;0)</f>
        <v>-0</v>
      </c>
      <c r="AC93" s="46" t="n">
        <f aca="false">-In_Commitment_Fee*($I88-SUM($J88:AC88)+AC88)*AC$6*(AC12&gt;0)</f>
        <v>-0</v>
      </c>
      <c r="AD93" s="46" t="n">
        <f aca="false">-In_Commitment_Fee*($I88-SUM($J88:AD88)+AD88)*AD$6*(AD12&gt;0)</f>
        <v>-0</v>
      </c>
      <c r="AE93" s="46" t="n">
        <f aca="false">-In_Commitment_Fee*($I88-SUM($J88:AE88)+AE88)*AE$6*(AE12&gt;0)</f>
        <v>-0</v>
      </c>
      <c r="AF93" s="46" t="n">
        <f aca="false">-In_Commitment_Fee*($I88-SUM($J88:AF88)+AF88)*AF$6*(AF12&gt;0)</f>
        <v>-0</v>
      </c>
      <c r="AG93" s="46" t="n">
        <f aca="false">-In_Commitment_Fee*($I88-SUM($J88:AG88)+AG88)*AG$6*(AG12&gt;0)</f>
        <v>-0</v>
      </c>
      <c r="AH93" s="46" t="n">
        <f aca="false">-In_Commitment_Fee*($I88-SUM($J88:AH88)+AH88)*AH$6*(AH12&gt;0)</f>
        <v>-0</v>
      </c>
      <c r="AI93" s="46" t="n">
        <f aca="false">-In_Commitment_Fee*($I88-SUM($J88:AI88)+AI88)*AI$6*(AI12&gt;0)</f>
        <v>-0</v>
      </c>
      <c r="AJ93" s="46" t="n">
        <f aca="false">-In_Commitment_Fee*($I88-SUM($J88:AJ88)+AJ88)*AJ$6*(AJ12&gt;0)</f>
        <v>-0</v>
      </c>
      <c r="AK93" s="46" t="n">
        <f aca="false">-In_Commitment_Fee*($I88-SUM($J88:AK88)+AK88)*AK$6*(AK12&gt;0)</f>
        <v>-0</v>
      </c>
      <c r="AL93" s="46" t="n">
        <f aca="false">-In_Commitment_Fee*($I88-SUM($J88:AL88)+AL88)*AL$6*(AL12&gt;0)</f>
        <v>-0</v>
      </c>
      <c r="AM93" s="46" t="n">
        <f aca="false">-In_Commitment_Fee*($I88-SUM($J88:AM88)+AM88)*AM$6*(AM12&gt;0)</f>
        <v>-0</v>
      </c>
      <c r="AN93" s="46" t="n">
        <f aca="false">-In_Commitment_Fee*($I88-SUM($J88:AN88)+AN88)*AN$6*(AN12&gt;0)</f>
        <v>-0</v>
      </c>
      <c r="AO93" s="46" t="n">
        <f aca="false">-In_Commitment_Fee*($I88-SUM($J88:AO88)+AO88)*AO$6*(AO12&gt;0)</f>
        <v>-0</v>
      </c>
      <c r="AP93" s="46" t="n">
        <f aca="false">-In_Commitment_Fee*($I88-SUM($J88:AP88)+AP88)*AP$6*(AP12&gt;0)</f>
        <v>-0</v>
      </c>
      <c r="AQ93" s="46" t="n">
        <f aca="false">-In_Commitment_Fee*($I88-SUM($J88:AQ88)+AQ88)*AQ$6*(AQ12&gt;0)</f>
        <v>-0</v>
      </c>
      <c r="AR93" s="46" t="n">
        <f aca="false">-In_Commitment_Fee*($I88-SUM($J88:AR88)+AR88)*AR$6*(AR12&gt;0)</f>
        <v>-0</v>
      </c>
      <c r="AS93" s="46" t="n">
        <f aca="false">-In_Commitment_Fee*($I88-SUM($J88:AS88)+AS88)*AS$6*(AS12&gt;0)</f>
        <v>-0</v>
      </c>
      <c r="AT93" s="46" t="n">
        <f aca="false">-In_Commitment_Fee*($I88-SUM($J88:AT88)+AT88)*AT$6*(AT12&gt;0)</f>
        <v>-0</v>
      </c>
      <c r="AU93" s="46" t="n">
        <f aca="false">-In_Commitment_Fee*($I88-SUM($J88:AU88)+AU88)*AU$6*(AU12&gt;0)</f>
        <v>-0</v>
      </c>
      <c r="AV93" s="46" t="n">
        <f aca="false">-In_Commitment_Fee*($I88-SUM($J88:AV88)+AV88)*AV$6*(AV12&gt;0)</f>
        <v>-0</v>
      </c>
      <c r="AW93" s="46" t="n">
        <f aca="false">-In_Commitment_Fee*($I88-SUM($J88:AW88)+AW88)*AW$6*(AW12&gt;0)</f>
        <v>-0</v>
      </c>
      <c r="AX93" s="46" t="n">
        <f aca="false">-In_Commitment_Fee*($I88-SUM($J88:AX88)+AX88)*AX$6*(AX12&gt;0)</f>
        <v>-0</v>
      </c>
      <c r="AY93" s="46" t="n">
        <f aca="false">-In_Commitment_Fee*($I88-SUM($J88:AY88)+AY88)*AY$6*(AY12&gt;0)</f>
        <v>-0</v>
      </c>
      <c r="AZ93" s="46" t="n">
        <f aca="false">-In_Commitment_Fee*($I88-SUM($J88:AZ88)+AZ88)*AZ$6*(AZ12&gt;0)</f>
        <v>-0</v>
      </c>
      <c r="BA93" s="46" t="n">
        <f aca="false">-In_Commitment_Fee*($I88-SUM($J88:BA88)+BA88)*BA$6*(BA12&gt;0)</f>
        <v>-0</v>
      </c>
      <c r="BB93" s="46" t="n">
        <f aca="false">-In_Commitment_Fee*($I88-SUM($J88:BB88)+BB88)*BB$6*(BB12&gt;0)</f>
        <v>-0</v>
      </c>
      <c r="BC93" s="46" t="n">
        <f aca="false">-In_Commitment_Fee*($I88-SUM($J88:BC88)+BC88)*BC$6*(BC12&gt;0)</f>
        <v>-0</v>
      </c>
      <c r="BD93" s="46" t="n">
        <f aca="false">-In_Commitment_Fee*($I88-SUM($J88:BD88)+BD88)*BD$6*(BD12&gt;0)</f>
        <v>-0</v>
      </c>
      <c r="BE93" s="46" t="n">
        <f aca="false">-In_Commitment_Fee*($I88-SUM($J88:BE88)+BE88)*BE$6*(BE12&gt;0)</f>
        <v>-0</v>
      </c>
      <c r="BF93" s="46" t="n">
        <f aca="false">-In_Commitment_Fee*($I88-SUM($J88:BF88)+BF88)*BF$6*(BF12&gt;0)</f>
        <v>-0</v>
      </c>
      <c r="BG93" s="46" t="n">
        <f aca="false">-In_Commitment_Fee*($I88-SUM($J88:BG88)+BG88)*BG$6*(BG12&gt;0)</f>
        <v>-0</v>
      </c>
      <c r="BH93" s="46" t="n">
        <f aca="false">-In_Commitment_Fee*($I88-SUM($J88:BH88)+BH88)*BH$6*(BH12&gt;0)</f>
        <v>-0</v>
      </c>
      <c r="BI93" s="46" t="n">
        <f aca="false">-In_Commitment_Fee*($I88-SUM($J88:BI88)+BI88)*BI$6*(BI12&gt;0)</f>
        <v>-0</v>
      </c>
      <c r="BJ93" s="46" t="n">
        <f aca="false">-In_Commitment_Fee*($I88-SUM($J88:BJ88)+BJ88)*BJ$6*(BJ12&gt;0)</f>
        <v>-0</v>
      </c>
      <c r="BK93" s="46" t="n">
        <f aca="false">-In_Commitment_Fee*($I88-SUM($J88:BK88)+BK88)*BK$6*(BK12&gt;0)</f>
        <v>-0</v>
      </c>
      <c r="BL93" s="46" t="n">
        <f aca="false">-In_Commitment_Fee*($I88-SUM($J88:BL88)+BL88)*BL$6*(BL12&gt;0)</f>
        <v>-0</v>
      </c>
      <c r="BM93" s="46" t="n">
        <f aca="false">-In_Commitment_Fee*($I88-SUM($J88:BM88)+BM88)*BM$6*(BM12&gt;0)</f>
        <v>-0</v>
      </c>
      <c r="BN93" s="46" t="n">
        <f aca="false">-In_Commitment_Fee*($I88-SUM($J88:BN88)+BN88)*BN$6*(BN12&gt;0)</f>
        <v>-0</v>
      </c>
      <c r="BO93" s="46" t="n">
        <f aca="false">-In_Commitment_Fee*($I88-SUM($J88:BO88)+BO88)*BO$6*(BO12&gt;0)</f>
        <v>-0</v>
      </c>
      <c r="BP93" s="46" t="n">
        <f aca="false">-In_Commitment_Fee*($I88-SUM($J88:BP88)+BP88)*BP$6*(BP12&gt;0)</f>
        <v>-0</v>
      </c>
      <c r="BQ93" s="46" t="n">
        <f aca="false">-In_Commitment_Fee*($I88-SUM($J88:BQ88)+BQ88)*BQ$6*(BQ12&gt;0)</f>
        <v>-0</v>
      </c>
      <c r="BR93" s="46" t="n">
        <f aca="false">-In_Commitment_Fee*($I88-SUM($J88:BR88)+BR88)*BR$6*(BR12&gt;0)</f>
        <v>-0</v>
      </c>
      <c r="BS93" s="46" t="n">
        <f aca="false">-In_Commitment_Fee*($I88-SUM($J88:BS88)+BS88)*BS$6*(BS12&gt;0)</f>
        <v>-0</v>
      </c>
      <c r="BT93" s="46" t="n">
        <f aca="false">-In_Commitment_Fee*($I88-SUM($J88:BT88)+BT88)*BT$6*(BT12&gt;0)</f>
        <v>-0</v>
      </c>
      <c r="BU93" s="46" t="n">
        <f aca="false">-In_Commitment_Fee*($I88-SUM($J88:BU88)+BU88)*BU$6*(BU12&gt;0)</f>
        <v>-0</v>
      </c>
      <c r="BV93" s="46" t="n">
        <f aca="false">-In_Commitment_Fee*($I88-SUM($J88:BV88)+BV88)*BV$6*(BV12&gt;0)</f>
        <v>-0</v>
      </c>
      <c r="BW93" s="46" t="n">
        <f aca="false">-In_Commitment_Fee*($I88-SUM($J88:BW88)+BW88)*BW$6*(BW12&gt;0)</f>
        <v>-0</v>
      </c>
      <c r="BX93" s="46" t="n">
        <f aca="false">-In_Commitment_Fee*($I88-SUM($J88:BX88)+BX88)*BX$6*(BX12&gt;0)</f>
        <v>-0</v>
      </c>
      <c r="BY93" s="46" t="n">
        <f aca="false">-In_Commitment_Fee*($I88-SUM($J88:BY88)+BY88)*BY$6*(BY12&gt;0)</f>
        <v>-0</v>
      </c>
      <c r="BZ93" s="46" t="n">
        <f aca="false">-In_Commitment_Fee*($I88-SUM($J88:BZ88)+BZ88)*BZ$6*(BZ12&gt;0)</f>
        <v>-0</v>
      </c>
      <c r="CA93" s="46" t="n">
        <f aca="false">-In_Commitment_Fee*($I88-SUM($J88:CA88)+CA88)*CA$6*(CA12&gt;0)</f>
        <v>-0</v>
      </c>
      <c r="CB93" s="46" t="n">
        <f aca="false">-In_Commitment_Fee*($I88-SUM($J88:CB88)+CB88)*CB$6*(CB12&gt;0)</f>
        <v>-0</v>
      </c>
      <c r="CC93" s="46" t="n">
        <f aca="false">-In_Commitment_Fee*($I88-SUM($J88:CC88)+CC88)*CC$6*(CC12&gt;0)</f>
        <v>-0</v>
      </c>
      <c r="CD93" s="46" t="n">
        <f aca="false">-In_Commitment_Fee*($I88-SUM($J88:CD88)+CD88)*CD$6*(CD12&gt;0)</f>
        <v>-0</v>
      </c>
      <c r="CE93" s="46" t="n">
        <f aca="false">-In_Commitment_Fee*($I88-SUM($J88:CE88)+CE88)*CE$6*(CE12&gt;0)</f>
        <v>-0</v>
      </c>
      <c r="CF93" s="46" t="n">
        <f aca="false">-In_Commitment_Fee*($I88-SUM($J88:CF88)+CF88)*CF$6*(CF12&gt;0)</f>
        <v>-0</v>
      </c>
      <c r="CG93" s="46" t="n">
        <f aca="false">-In_Commitment_Fee*($I88-SUM($J88:CG88)+CG88)*CG$6*(CG12&gt;0)</f>
        <v>-0</v>
      </c>
      <c r="CH93" s="46" t="n">
        <f aca="false">-In_Commitment_Fee*($I88-SUM($J88:CH88)+CH88)*CH$6*(CH12&gt;0)</f>
        <v>-0</v>
      </c>
      <c r="CI93" s="46" t="n">
        <f aca="false">-In_Commitment_Fee*($I88-SUM($J88:CI88)+CI88)*CI$6*(CI12&gt;0)</f>
        <v>-0</v>
      </c>
      <c r="CJ93" s="46" t="n">
        <f aca="false">-In_Commitment_Fee*($I88-SUM($J88:CJ88)+CJ88)*CJ$6*(CJ12&gt;0)</f>
        <v>-0</v>
      </c>
      <c r="CK93" s="46" t="n">
        <f aca="false">-In_Commitment_Fee*($I88-SUM($J88:CK88)+CK88)*CK$6*(CK12&gt;0)</f>
        <v>-0</v>
      </c>
      <c r="CL93" s="46" t="n">
        <f aca="false">-In_Commitment_Fee*($I88-SUM($J88:CL88)+CL88)*CL$6*(CL12&gt;0)</f>
        <v>-0</v>
      </c>
      <c r="CM93" s="46" t="n">
        <f aca="false">-In_Commitment_Fee*($I88-SUM($J88:CM88)+CM88)*CM$6*(CM12&gt;0)</f>
        <v>-0</v>
      </c>
      <c r="CN93" s="46" t="n">
        <f aca="false">-In_Commitment_Fee*($I88-SUM($J88:CN88)+CN88)*CN$6*(CN12&gt;0)</f>
        <v>-0</v>
      </c>
      <c r="CO93" s="46" t="n">
        <f aca="false">-In_Commitment_Fee*($I88-SUM($J88:CO88)+CO88)*CO$6*(CO12&gt;0)</f>
        <v>-0</v>
      </c>
      <c r="CP93" s="46" t="n">
        <f aca="false">-In_Commitment_Fee*($I88-SUM($J88:CP88)+CP88)*CP$6*(CP12&gt;0)</f>
        <v>-0</v>
      </c>
      <c r="CQ93" s="46" t="n">
        <f aca="false">-In_Commitment_Fee*($I88-SUM($J88:CQ88)+CQ88)*CQ$6*(CQ12&gt;0)</f>
        <v>-0</v>
      </c>
      <c r="CR93" s="46" t="n">
        <f aca="false">-In_Commitment_Fee*($I88-SUM($J88:CR88)+CR88)*CR$6*(CR12&gt;0)</f>
        <v>-0</v>
      </c>
      <c r="CS93" s="46" t="n">
        <f aca="false">-In_Commitment_Fee*($I88-SUM($J88:CS88)+CS88)*CS$6*(CS12&gt;0)</f>
        <v>-0</v>
      </c>
      <c r="CT93" s="46" t="n">
        <f aca="false">-In_Commitment_Fee*($I88-SUM($J88:CT88)+CT88)*CT$6*(CT12&gt;0)</f>
        <v>-0</v>
      </c>
      <c r="CU93" s="46" t="n">
        <f aca="false">-In_Commitment_Fee*($I88-SUM($J88:CU88)+CU88)*CU$6*(CU12&gt;0)</f>
        <v>-0</v>
      </c>
      <c r="CV93" s="46" t="n">
        <f aca="false">-In_Commitment_Fee*($I88-SUM($J88:CV88)+CV88)*CV$6*(CV12&gt;0)</f>
        <v>-0</v>
      </c>
      <c r="CW93" s="46" t="n">
        <f aca="false">-In_Commitment_Fee*($I88-SUM($J88:CW88)+CW88)*CW$6*(CW12&gt;0)</f>
        <v>-0</v>
      </c>
      <c r="CX93" s="46" t="n">
        <f aca="false">-In_Commitment_Fee*($I88-SUM($J88:CX88)+CX88)*CX$6*(CX12&gt;0)</f>
        <v>-0</v>
      </c>
      <c r="CY93" s="46" t="n">
        <f aca="false">-In_Commitment_Fee*($I88-SUM($J88:CY88)+CY88)*CY$6*(CY12&gt;0)</f>
        <v>-0</v>
      </c>
      <c r="CZ93" s="46" t="n">
        <f aca="false">-In_Commitment_Fee*($I88-SUM($J88:CZ88)+CZ88)*CZ$6*(CZ12&gt;0)</f>
        <v>-0</v>
      </c>
      <c r="DA93" s="46" t="n">
        <f aca="false">-In_Commitment_Fee*($I88-SUM($J88:DA88)+DA88)*DA$6*(DA12&gt;0)</f>
        <v>-0</v>
      </c>
      <c r="DB93" s="46" t="n">
        <f aca="false">-In_Commitment_Fee*($I88-SUM($J88:DB88)+DB88)*DB$6*(DB12&gt;0)</f>
        <v>-0</v>
      </c>
      <c r="DC93" s="46" t="n">
        <f aca="false">-In_Commitment_Fee*($I88-SUM($J88:DC88)+DC88)*DC$6*(DC12&gt;0)</f>
        <v>-0</v>
      </c>
      <c r="DD93" s="46" t="n">
        <f aca="false">-In_Commitment_Fee*($I88-SUM($J88:DD88)+DD88)*DD$6*(DD12&gt;0)</f>
        <v>-0</v>
      </c>
      <c r="DE93" s="46" t="n">
        <f aca="false">-In_Commitment_Fee*($I88-SUM($J88:DE88)+DE88)*DE$6*(DE12&gt;0)</f>
        <v>-0</v>
      </c>
      <c r="DF93" s="46" t="n">
        <f aca="false">-In_Commitment_Fee*($I88-SUM($J88:DF88)+DF88)*DF$6*(DF12&gt;0)</f>
        <v>-0</v>
      </c>
      <c r="DG93" s="46" t="n">
        <f aca="false">-In_Commitment_Fee*($I88-SUM($J88:DG88)+DG88)*DG$6*(DG12&gt;0)</f>
        <v>-0</v>
      </c>
      <c r="DH93" s="46" t="n">
        <f aca="false">-In_Commitment_Fee*($I88-SUM($J88:DH88)+DH88)*DH$6*(DH12&gt;0)</f>
        <v>-0</v>
      </c>
      <c r="DI93" s="46" t="n">
        <f aca="false">-In_Commitment_Fee*($I88-SUM($J88:DI88)+DI88)*DI$6*(DI12&gt;0)</f>
        <v>-0</v>
      </c>
      <c r="DJ93" s="46" t="n">
        <f aca="false">-In_Commitment_Fee*($I88-SUM($J88:DJ88)+DJ88)*DJ$6*(DJ12&gt;0)</f>
        <v>-0</v>
      </c>
      <c r="DK93" s="46" t="n">
        <f aca="false">-In_Commitment_Fee*($I88-SUM($J88:DK88)+DK88)*DK$6*(DK12&gt;0)</f>
        <v>-0</v>
      </c>
      <c r="DL93" s="46" t="n">
        <f aca="false">-In_Commitment_Fee*($I88-SUM($J88:DL88)+DL88)*DL$6*(DL12&gt;0)</f>
        <v>-0</v>
      </c>
      <c r="DM93" s="46" t="n">
        <f aca="false">-In_Commitment_Fee*($I88-SUM($J88:DM88)+DM88)*DM$6*(DM12&gt;0)</f>
        <v>-0</v>
      </c>
      <c r="DN93" s="46" t="n">
        <f aca="false">-In_Commitment_Fee*($I88-SUM($J88:DN88)+DN88)*DN$6*(DN12&gt;0)</f>
        <v>-0</v>
      </c>
      <c r="DO93" s="46" t="n">
        <f aca="false">-In_Commitment_Fee*($I88-SUM($J88:DO88)+DO88)*DO$6*(DO12&gt;0)</f>
        <v>-0</v>
      </c>
      <c r="DP93" s="46" t="n">
        <f aca="false">-In_Commitment_Fee*($I88-SUM($J88:DP88)+DP88)*DP$6*(DP12&gt;0)</f>
        <v>-0</v>
      </c>
      <c r="DQ93" s="46" t="n">
        <f aca="false">-In_Commitment_Fee*($I88-SUM($J88:DQ88)+DQ88)*DQ$6*(DQ12&gt;0)</f>
        <v>-0</v>
      </c>
      <c r="DR93" s="46" t="n">
        <f aca="false">-In_Commitment_Fee*($I88-SUM($J88:DR88)+DR88)*DR$6*(DR12&gt;0)</f>
        <v>-0</v>
      </c>
      <c r="DS93" s="46" t="n">
        <f aca="false">-In_Commitment_Fee*($I88-SUM($J88:DS88)+DS88)*DS$6*(DS12&gt;0)</f>
        <v>-0</v>
      </c>
      <c r="DT93" s="46" t="n">
        <f aca="false">-In_Commitment_Fee*($I88-SUM($J88:DT88)+DT88)*DT$6*(DT12&gt;0)</f>
        <v>-0</v>
      </c>
      <c r="DU93" s="46" t="n">
        <f aca="false">-In_Commitment_Fee*($I88-SUM($J88:DU88)+DU88)*DU$6*(DU12&gt;0)</f>
        <v>-0</v>
      </c>
      <c r="DV93" s="46" t="n">
        <f aca="false">-In_Commitment_Fee*($I88-SUM($J88:DV88)+DV88)*DV$6*(DV12&gt;0)</f>
        <v>-0</v>
      </c>
      <c r="DW93" s="46" t="n">
        <f aca="false">-In_Commitment_Fee*($I88-SUM($J88:DW88)+DW88)*DW$6*(DW12&gt;0)</f>
        <v>-0</v>
      </c>
      <c r="DX93" s="46" t="n">
        <f aca="false">-In_Commitment_Fee*($I88-SUM($J88:DX88)+DX88)*DX$6*(DX12&gt;0)</f>
        <v>-0</v>
      </c>
      <c r="DY93" s="46" t="n">
        <f aca="false">-In_Commitment_Fee*($I88-SUM($J88:DY88)+DY88)*DY$6*(DY12&gt;0)</f>
        <v>-0</v>
      </c>
      <c r="DZ93" s="46" t="n">
        <f aca="false">-In_Commitment_Fee*($I88-SUM($J88:DZ88)+DZ88)*DZ$6*(DZ12&gt;0)</f>
        <v>-0</v>
      </c>
      <c r="EA93" s="46" t="n">
        <f aca="false">-In_Commitment_Fee*($I88-SUM($J88:EA88)+EA88)*EA$6*(EA12&gt;0)</f>
        <v>-0</v>
      </c>
      <c r="EB93" s="46" t="n">
        <f aca="false">-In_Commitment_Fee*($I88-SUM($J88:EB88)+EB88)*EB$6*(EB12&gt;0)</f>
        <v>-0</v>
      </c>
      <c r="EC93" s="46" t="n">
        <f aca="false">-In_Commitment_Fee*($I88-SUM($J88:EC88)+EC88)*EC$6*(EC12&gt;0)</f>
        <v>-0</v>
      </c>
      <c r="ED93" s="46" t="n">
        <f aca="false">-In_Commitment_Fee*($I88-SUM($J88:ED88)+ED88)*ED$6*(ED12&gt;0)</f>
        <v>-0</v>
      </c>
      <c r="EE93" s="46" t="n">
        <f aca="false">-In_Commitment_Fee*($I88-SUM($J88:EE88)+EE88)*EE$6*(EE12&gt;0)</f>
        <v>-0</v>
      </c>
      <c r="EF93" s="46" t="n">
        <f aca="false">-In_Commitment_Fee*($I88-SUM($J88:EF88)+EF88)*EF$6*(EF12&gt;0)</f>
        <v>-0</v>
      </c>
      <c r="EG93" s="46" t="n">
        <f aca="false">-In_Commitment_Fee*($I88-SUM($J88:EG88)+EG88)*EG$6*(EG12&gt;0)</f>
        <v>-0</v>
      </c>
      <c r="EH93" s="46" t="n">
        <f aca="false">-In_Commitment_Fee*($I88-SUM($J88:EH88)+EH88)*EH$6*(EH12&gt;0)</f>
        <v>-0</v>
      </c>
      <c r="EI93" s="46" t="n">
        <f aca="false">-In_Commitment_Fee*($I88-SUM($J88:EI88)+EI88)*EI$6*(EI12&gt;0)</f>
        <v>-0</v>
      </c>
      <c r="EJ93" s="46" t="n">
        <f aca="false">-In_Commitment_Fee*($I88-SUM($J88:EJ88)+EJ88)*EJ$6*(EJ12&gt;0)</f>
        <v>-0</v>
      </c>
      <c r="EK93" s="46" t="n">
        <f aca="false">-In_Commitment_Fee*($I88-SUM($J88:EK88)+EK88)*EK$6*(EK12&gt;0)</f>
        <v>-0</v>
      </c>
      <c r="EL93" s="46" t="n">
        <f aca="false">-In_Commitment_Fee*($I88-SUM($J88:EL88)+EL88)*EL$6*(EL12&gt;0)</f>
        <v>-0</v>
      </c>
      <c r="EM93" s="46" t="n">
        <f aca="false">-In_Commitment_Fee*($I88-SUM($J88:EM88)+EM88)*EM$6*(EM12&gt;0)</f>
        <v>-0</v>
      </c>
      <c r="EN93" s="46" t="n">
        <f aca="false">-In_Commitment_Fee*($I88-SUM($J88:EN88)+EN88)*EN$6*(EN12&gt;0)</f>
        <v>-0</v>
      </c>
      <c r="EO93" s="46" t="n">
        <f aca="false">-In_Commitment_Fee*($I88-SUM($J88:EO88)+EO88)*EO$6*(EO12&gt;0)</f>
        <v>-0</v>
      </c>
    </row>
    <row r="94" customFormat="false" ht="15" hidden="false" customHeight="false" outlineLevel="0" collapsed="false">
      <c r="C94" s="0" t="s">
        <v>419</v>
      </c>
      <c r="D94" s="11" t="s">
        <v>33</v>
      </c>
      <c r="E94" s="46" t="n">
        <f aca="false">-SUMIFS($J86:$EO86,$J$4:$EO$4,"&gt;"&amp;In_COD,$J$4:$EO$4,"&lt;="&amp;EDATE(In_COD,In_DSRA_Months))</f>
        <v>1092.61736463462</v>
      </c>
      <c r="I94" s="46" t="n">
        <f aca="false">SUM(J94:EO94)</f>
        <v>0</v>
      </c>
      <c r="J94" s="46" t="n">
        <f aca="false">$E94*(J18-J14)</f>
        <v>0</v>
      </c>
      <c r="K94" s="46" t="n">
        <f aca="false">$E94*(K18-K14)</f>
        <v>0</v>
      </c>
      <c r="L94" s="46" t="n">
        <f aca="false">$E94*(L18-L14)</f>
        <v>0</v>
      </c>
      <c r="M94" s="46" t="n">
        <f aca="false">$E94*(M18-M14)</f>
        <v>0</v>
      </c>
      <c r="N94" s="46" t="n">
        <f aca="false">$E94*(N18-N14)</f>
        <v>0</v>
      </c>
      <c r="O94" s="46" t="n">
        <f aca="false">$E94*(O18-O14)</f>
        <v>0</v>
      </c>
      <c r="P94" s="46" t="n">
        <f aca="false">$E94*(P18-P14)</f>
        <v>0</v>
      </c>
      <c r="Q94" s="46" t="n">
        <f aca="false">$E94*(Q18-Q14)</f>
        <v>0</v>
      </c>
      <c r="R94" s="46" t="n">
        <f aca="false">$E94*(R18-R14)</f>
        <v>0</v>
      </c>
      <c r="S94" s="46" t="n">
        <f aca="false">$E94*(S18-S14)</f>
        <v>0</v>
      </c>
      <c r="T94" s="46" t="n">
        <f aca="false">$E94*(T18-T14)</f>
        <v>0</v>
      </c>
      <c r="U94" s="46" t="n">
        <f aca="false">$E94*(U18-U14)</f>
        <v>0</v>
      </c>
      <c r="V94" s="46" t="n">
        <f aca="false">$E94*(V18-V14)</f>
        <v>0</v>
      </c>
      <c r="W94" s="46" t="n">
        <f aca="false">$E94*(W18-W14)</f>
        <v>0</v>
      </c>
      <c r="X94" s="46" t="n">
        <f aca="false">$E94*(X18-X14)</f>
        <v>0</v>
      </c>
      <c r="Y94" s="46" t="n">
        <f aca="false">$E94*(Y18-Y14)</f>
        <v>-1092.61736463462</v>
      </c>
      <c r="Z94" s="46" t="n">
        <f aca="false">$E94*(Z18-Z14)</f>
        <v>0</v>
      </c>
      <c r="AA94" s="46" t="n">
        <f aca="false">$E94*(AA18-AA14)</f>
        <v>0</v>
      </c>
      <c r="AB94" s="46" t="n">
        <f aca="false">$E94*(AB18-AB14)</f>
        <v>0</v>
      </c>
      <c r="AC94" s="46" t="n">
        <f aca="false">$E94*(AC18-AC14)</f>
        <v>0</v>
      </c>
      <c r="AD94" s="46" t="n">
        <f aca="false">$E94*(AD18-AD14)</f>
        <v>0</v>
      </c>
      <c r="AE94" s="46" t="n">
        <f aca="false">$E94*(AE18-AE14)</f>
        <v>0</v>
      </c>
      <c r="AF94" s="46" t="n">
        <f aca="false">$E94*(AF18-AF14)</f>
        <v>0</v>
      </c>
      <c r="AG94" s="46" t="n">
        <f aca="false">$E94*(AG18-AG14)</f>
        <v>0</v>
      </c>
      <c r="AH94" s="46" t="n">
        <f aca="false">$E94*(AH18-AH14)</f>
        <v>0</v>
      </c>
      <c r="AI94" s="46" t="n">
        <f aca="false">$E94*(AI18-AI14)</f>
        <v>0</v>
      </c>
      <c r="AJ94" s="46" t="n">
        <f aca="false">$E94*(AJ18-AJ14)</f>
        <v>0</v>
      </c>
      <c r="AK94" s="46" t="n">
        <f aca="false">$E94*(AK18-AK14)</f>
        <v>0</v>
      </c>
      <c r="AL94" s="46" t="n">
        <f aca="false">$E94*(AL18-AL14)</f>
        <v>0</v>
      </c>
      <c r="AM94" s="46" t="n">
        <f aca="false">$E94*(AM18-AM14)</f>
        <v>0</v>
      </c>
      <c r="AN94" s="46" t="n">
        <f aca="false">$E94*(AN18-AN14)</f>
        <v>0</v>
      </c>
      <c r="AO94" s="46" t="n">
        <f aca="false">$E94*(AO18-AO14)</f>
        <v>0</v>
      </c>
      <c r="AP94" s="46" t="n">
        <f aca="false">$E94*(AP18-AP14)</f>
        <v>0</v>
      </c>
      <c r="AQ94" s="46" t="n">
        <f aca="false">$E94*(AQ18-AQ14)</f>
        <v>0</v>
      </c>
      <c r="AR94" s="46" t="n">
        <f aca="false">$E94*(AR18-AR14)</f>
        <v>0</v>
      </c>
      <c r="AS94" s="46" t="n">
        <f aca="false">$E94*(AS18-AS14)</f>
        <v>0</v>
      </c>
      <c r="AT94" s="46" t="n">
        <f aca="false">$E94*(AT18-AT14)</f>
        <v>0</v>
      </c>
      <c r="AU94" s="46" t="n">
        <f aca="false">$E94*(AU18-AU14)</f>
        <v>0</v>
      </c>
      <c r="AV94" s="46" t="n">
        <f aca="false">$E94*(AV18-AV14)</f>
        <v>0</v>
      </c>
      <c r="AW94" s="46" t="n">
        <f aca="false">$E94*(AW18-AW14)</f>
        <v>0</v>
      </c>
      <c r="AX94" s="46" t="n">
        <f aca="false">$E94*(AX18-AX14)</f>
        <v>0</v>
      </c>
      <c r="AY94" s="46" t="n">
        <f aca="false">$E94*(AY18-AY14)</f>
        <v>0</v>
      </c>
      <c r="AZ94" s="46" t="n">
        <f aca="false">$E94*(AZ18-AZ14)</f>
        <v>0</v>
      </c>
      <c r="BA94" s="46" t="n">
        <f aca="false">$E94*(BA18-BA14)</f>
        <v>0</v>
      </c>
      <c r="BB94" s="46" t="n">
        <f aca="false">$E94*(BB18-BB14)</f>
        <v>0</v>
      </c>
      <c r="BC94" s="46" t="n">
        <f aca="false">$E94*(BC18-BC14)</f>
        <v>0</v>
      </c>
      <c r="BD94" s="46" t="n">
        <f aca="false">$E94*(BD18-BD14)</f>
        <v>0</v>
      </c>
      <c r="BE94" s="46" t="n">
        <f aca="false">$E94*(BE18-BE14)</f>
        <v>0</v>
      </c>
      <c r="BF94" s="46" t="n">
        <f aca="false">$E94*(BF18-BF14)</f>
        <v>0</v>
      </c>
      <c r="BG94" s="46" t="n">
        <f aca="false">$E94*(BG18-BG14)</f>
        <v>0</v>
      </c>
      <c r="BH94" s="46" t="n">
        <f aca="false">$E94*(BH18-BH14)</f>
        <v>0</v>
      </c>
      <c r="BI94" s="46" t="n">
        <f aca="false">$E94*(BI18-BI14)</f>
        <v>0</v>
      </c>
      <c r="BJ94" s="46" t="n">
        <f aca="false">$E94*(BJ18-BJ14)</f>
        <v>0</v>
      </c>
      <c r="BK94" s="46" t="n">
        <f aca="false">$E94*(BK18-BK14)</f>
        <v>0</v>
      </c>
      <c r="BL94" s="46" t="n">
        <f aca="false">$E94*(BL18-BL14)</f>
        <v>0</v>
      </c>
      <c r="BM94" s="46" t="n">
        <f aca="false">$E94*(BM18-BM14)</f>
        <v>0</v>
      </c>
      <c r="BN94" s="46" t="n">
        <f aca="false">$E94*(BN18-BN14)</f>
        <v>0</v>
      </c>
      <c r="BO94" s="46" t="n">
        <f aca="false">$E94*(BO18-BO14)</f>
        <v>0</v>
      </c>
      <c r="BP94" s="46" t="n">
        <f aca="false">$E94*(BP18-BP14)</f>
        <v>0</v>
      </c>
      <c r="BQ94" s="46" t="n">
        <f aca="false">$E94*(BQ18-BQ14)</f>
        <v>0</v>
      </c>
      <c r="BR94" s="46" t="n">
        <f aca="false">$E94*(BR18-BR14)</f>
        <v>0</v>
      </c>
      <c r="BS94" s="46" t="n">
        <f aca="false">$E94*(BS18-BS14)</f>
        <v>0</v>
      </c>
      <c r="BT94" s="46" t="n">
        <f aca="false">$E94*(BT18-BT14)</f>
        <v>0</v>
      </c>
      <c r="BU94" s="46" t="n">
        <f aca="false">$E94*(BU18-BU14)</f>
        <v>0</v>
      </c>
      <c r="BV94" s="46" t="n">
        <f aca="false">$E94*(BV18-BV14)</f>
        <v>0</v>
      </c>
      <c r="BW94" s="46" t="n">
        <f aca="false">$E94*(BW18-BW14)</f>
        <v>0</v>
      </c>
      <c r="BX94" s="46" t="n">
        <f aca="false">$E94*(BX18-BX14)</f>
        <v>0</v>
      </c>
      <c r="BY94" s="46" t="n">
        <f aca="false">$E94*(BY18-BY14)</f>
        <v>0</v>
      </c>
      <c r="BZ94" s="46" t="n">
        <f aca="false">$E94*(BZ18-BZ14)</f>
        <v>0</v>
      </c>
      <c r="CA94" s="46" t="n">
        <f aca="false">$E94*(CA18-CA14)</f>
        <v>0</v>
      </c>
      <c r="CB94" s="46" t="n">
        <f aca="false">$E94*(CB18-CB14)</f>
        <v>0</v>
      </c>
      <c r="CC94" s="46" t="n">
        <f aca="false">$E94*(CC18-CC14)</f>
        <v>0</v>
      </c>
      <c r="CD94" s="46" t="n">
        <f aca="false">$E94*(CD18-CD14)</f>
        <v>0</v>
      </c>
      <c r="CE94" s="46" t="n">
        <f aca="false">$E94*(CE18-CE14)</f>
        <v>0</v>
      </c>
      <c r="CF94" s="46" t="n">
        <f aca="false">$E94*(CF18-CF14)</f>
        <v>0</v>
      </c>
      <c r="CG94" s="46" t="n">
        <f aca="false">$E94*(CG18-CG14)</f>
        <v>0</v>
      </c>
      <c r="CH94" s="46" t="n">
        <f aca="false">$E94*(CH18-CH14)</f>
        <v>0</v>
      </c>
      <c r="CI94" s="46" t="n">
        <f aca="false">$E94*(CI18-CI14)</f>
        <v>0</v>
      </c>
      <c r="CJ94" s="46" t="n">
        <f aca="false">$E94*(CJ18-CJ14)</f>
        <v>0</v>
      </c>
      <c r="CK94" s="46" t="n">
        <f aca="false">$E94*(CK18-CK14)</f>
        <v>0</v>
      </c>
      <c r="CL94" s="46" t="n">
        <f aca="false">$E94*(CL18-CL14)</f>
        <v>0</v>
      </c>
      <c r="CM94" s="46" t="n">
        <f aca="false">$E94*(CM18-CM14)</f>
        <v>0</v>
      </c>
      <c r="CN94" s="46" t="n">
        <f aca="false">$E94*(CN18-CN14)</f>
        <v>0</v>
      </c>
      <c r="CO94" s="46" t="n">
        <f aca="false">$E94*(CO18-CO14)</f>
        <v>0</v>
      </c>
      <c r="CP94" s="46" t="n">
        <f aca="false">$E94*(CP18-CP14)</f>
        <v>0</v>
      </c>
      <c r="CQ94" s="46" t="n">
        <f aca="false">$E94*(CQ18-CQ14)</f>
        <v>0</v>
      </c>
      <c r="CR94" s="46" t="n">
        <f aca="false">$E94*(CR18-CR14)</f>
        <v>0</v>
      </c>
      <c r="CS94" s="46" t="n">
        <f aca="false">$E94*(CS18-CS14)</f>
        <v>1092.61736463462</v>
      </c>
      <c r="CT94" s="46" t="n">
        <f aca="false">$E94*(CT18-CT14)</f>
        <v>0</v>
      </c>
      <c r="CU94" s="46" t="n">
        <f aca="false">$E94*(CU18-CU14)</f>
        <v>0</v>
      </c>
      <c r="CV94" s="46" t="n">
        <f aca="false">$E94*(CV18-CV14)</f>
        <v>0</v>
      </c>
      <c r="CW94" s="46" t="n">
        <f aca="false">$E94*(CW18-CW14)</f>
        <v>0</v>
      </c>
      <c r="CX94" s="46" t="n">
        <f aca="false">$E94*(CX18-CX14)</f>
        <v>0</v>
      </c>
      <c r="CY94" s="46" t="n">
        <f aca="false">$E94*(CY18-CY14)</f>
        <v>0</v>
      </c>
      <c r="CZ94" s="46" t="n">
        <f aca="false">$E94*(CZ18-CZ14)</f>
        <v>0</v>
      </c>
      <c r="DA94" s="46" t="n">
        <f aca="false">$E94*(DA18-DA14)</f>
        <v>0</v>
      </c>
      <c r="DB94" s="46" t="n">
        <f aca="false">$E94*(DB18-DB14)</f>
        <v>0</v>
      </c>
      <c r="DC94" s="46" t="n">
        <f aca="false">$E94*(DC18-DC14)</f>
        <v>0</v>
      </c>
      <c r="DD94" s="46" t="n">
        <f aca="false">$E94*(DD18-DD14)</f>
        <v>0</v>
      </c>
      <c r="DE94" s="46" t="n">
        <f aca="false">$E94*(DE18-DE14)</f>
        <v>0</v>
      </c>
      <c r="DF94" s="46" t="n">
        <f aca="false">$E94*(DF18-DF14)</f>
        <v>0</v>
      </c>
      <c r="DG94" s="46" t="n">
        <f aca="false">$E94*(DG18-DG14)</f>
        <v>0</v>
      </c>
      <c r="DH94" s="46" t="n">
        <f aca="false">$E94*(DH18-DH14)</f>
        <v>0</v>
      </c>
      <c r="DI94" s="46" t="n">
        <f aca="false">$E94*(DI18-DI14)</f>
        <v>0</v>
      </c>
      <c r="DJ94" s="46" t="n">
        <f aca="false">$E94*(DJ18-DJ14)</f>
        <v>0</v>
      </c>
      <c r="DK94" s="46" t="n">
        <f aca="false">$E94*(DK18-DK14)</f>
        <v>0</v>
      </c>
      <c r="DL94" s="46" t="n">
        <f aca="false">$E94*(DL18-DL14)</f>
        <v>0</v>
      </c>
      <c r="DM94" s="46" t="n">
        <f aca="false">$E94*(DM18-DM14)</f>
        <v>0</v>
      </c>
      <c r="DN94" s="46" t="n">
        <f aca="false">$E94*(DN18-DN14)</f>
        <v>0</v>
      </c>
      <c r="DO94" s="46" t="n">
        <f aca="false">$E94*(DO18-DO14)</f>
        <v>0</v>
      </c>
      <c r="DP94" s="46" t="n">
        <f aca="false">$E94*(DP18-DP14)</f>
        <v>0</v>
      </c>
      <c r="DQ94" s="46" t="n">
        <f aca="false">$E94*(DQ18-DQ14)</f>
        <v>0</v>
      </c>
      <c r="DR94" s="46" t="n">
        <f aca="false">$E94*(DR18-DR14)</f>
        <v>0</v>
      </c>
      <c r="DS94" s="46" t="n">
        <f aca="false">$E94*(DS18-DS14)</f>
        <v>0</v>
      </c>
      <c r="DT94" s="46" t="n">
        <f aca="false">$E94*(DT18-DT14)</f>
        <v>0</v>
      </c>
      <c r="DU94" s="46" t="n">
        <f aca="false">$E94*(DU18-DU14)</f>
        <v>0</v>
      </c>
      <c r="DV94" s="46" t="n">
        <f aca="false">$E94*(DV18-DV14)</f>
        <v>0</v>
      </c>
      <c r="DW94" s="46" t="n">
        <f aca="false">$E94*(DW18-DW14)</f>
        <v>0</v>
      </c>
      <c r="DX94" s="46" t="n">
        <f aca="false">$E94*(DX18-DX14)</f>
        <v>0</v>
      </c>
      <c r="DY94" s="46" t="n">
        <f aca="false">$E94*(DY18-DY14)</f>
        <v>0</v>
      </c>
      <c r="DZ94" s="46" t="n">
        <f aca="false">$E94*(DZ18-DZ14)</f>
        <v>0</v>
      </c>
      <c r="EA94" s="46" t="n">
        <f aca="false">$E94*(EA18-EA14)</f>
        <v>0</v>
      </c>
      <c r="EB94" s="46" t="n">
        <f aca="false">$E94*(EB18-EB14)</f>
        <v>0</v>
      </c>
      <c r="EC94" s="46" t="n">
        <f aca="false">$E94*(EC18-EC14)</f>
        <v>0</v>
      </c>
      <c r="ED94" s="46" t="n">
        <f aca="false">$E94*(ED18-ED14)</f>
        <v>0</v>
      </c>
      <c r="EE94" s="46" t="n">
        <f aca="false">$E94*(EE18-EE14)</f>
        <v>0</v>
      </c>
      <c r="EF94" s="46" t="n">
        <f aca="false">$E94*(EF18-EF14)</f>
        <v>0</v>
      </c>
      <c r="EG94" s="46" t="n">
        <f aca="false">$E94*(EG18-EG14)</f>
        <v>0</v>
      </c>
      <c r="EH94" s="46" t="n">
        <f aca="false">$E94*(EH18-EH14)</f>
        <v>0</v>
      </c>
      <c r="EI94" s="46" t="n">
        <f aca="false">$E94*(EI18-EI14)</f>
        <v>0</v>
      </c>
      <c r="EJ94" s="46" t="n">
        <f aca="false">$E94*(EJ18-EJ14)</f>
        <v>0</v>
      </c>
      <c r="EK94" s="46" t="n">
        <f aca="false">$E94*(EK18-EK14)</f>
        <v>0</v>
      </c>
      <c r="EL94" s="46" t="n">
        <f aca="false">$E94*(EL18-EL14)</f>
        <v>0</v>
      </c>
      <c r="EM94" s="46" t="n">
        <f aca="false">$E94*(EM18-EM14)</f>
        <v>0</v>
      </c>
      <c r="EN94" s="46" t="n">
        <f aca="false">$E94*(EN18-EN14)</f>
        <v>0</v>
      </c>
      <c r="EO94" s="46" t="n">
        <f aca="false">$E94*(EO18-EO14)</f>
        <v>0</v>
      </c>
    </row>
    <row r="95" customFormat="false" ht="15" hidden="false" customHeight="false" outlineLevel="0" collapsed="false">
      <c r="C95" s="0" t="s">
        <v>420</v>
      </c>
      <c r="D95" s="11" t="s">
        <v>13</v>
      </c>
      <c r="E95" s="52" t="n">
        <f aca="false">MIN($J95:$EO95)</f>
        <v>2.02146020291376</v>
      </c>
      <c r="J95" s="52" t="str">
        <f aca="false">IF(J86&lt;0,J79/-J86,"")</f>
        <v/>
      </c>
      <c r="K95" s="52" t="str">
        <f aca="false">IF(K86&lt;0,K79/-K86,"")</f>
        <v/>
      </c>
      <c r="L95" s="52" t="str">
        <f aca="false">IF(L86&lt;0,L79/-L86,"")</f>
        <v/>
      </c>
      <c r="M95" s="52" t="str">
        <f aca="false">IF(M86&lt;0,M79/-M86,"")</f>
        <v/>
      </c>
      <c r="N95" s="52" t="str">
        <f aca="false">IF(N86&lt;0,N79/-N86,"")</f>
        <v/>
      </c>
      <c r="O95" s="52" t="str">
        <f aca="false">IF(O86&lt;0,O79/-O86,"")</f>
        <v/>
      </c>
      <c r="P95" s="52" t="str">
        <f aca="false">IF(P86&lt;0,P79/-P86,"")</f>
        <v/>
      </c>
      <c r="Q95" s="52" t="str">
        <f aca="false">IF(Q86&lt;0,Q79/-Q86,"")</f>
        <v/>
      </c>
      <c r="R95" s="52" t="str">
        <f aca="false">IF(R86&lt;0,R79/-R86,"")</f>
        <v/>
      </c>
      <c r="S95" s="52" t="str">
        <f aca="false">IF(S86&lt;0,S79/-S86,"")</f>
        <v/>
      </c>
      <c r="T95" s="52" t="str">
        <f aca="false">IF(T86&lt;0,T79/-T86,"")</f>
        <v/>
      </c>
      <c r="U95" s="52" t="str">
        <f aca="false">IF(U86&lt;0,U79/-U86,"")</f>
        <v/>
      </c>
      <c r="V95" s="52" t="str">
        <f aca="false">IF(V86&lt;0,V79/-V86,"")</f>
        <v/>
      </c>
      <c r="W95" s="52" t="str">
        <f aca="false">IF(W86&lt;0,W79/-W86,"")</f>
        <v/>
      </c>
      <c r="X95" s="52" t="str">
        <f aca="false">IF(X86&lt;0,X79/-X86,"")</f>
        <v/>
      </c>
      <c r="Y95" s="52" t="str">
        <f aca="false">IF(Y86&lt;0,Y79/-Y86,"")</f>
        <v/>
      </c>
      <c r="Z95" s="52" t="n">
        <f aca="false">IF(Z86&lt;0,Z79/-Z86,"")</f>
        <v>2.02146020291376</v>
      </c>
      <c r="AA95" s="52" t="n">
        <f aca="false">IF(AA86&lt;0,AA79/-AA86,"")</f>
        <v>2.02146020291376</v>
      </c>
      <c r="AB95" s="52" t="n">
        <f aca="false">IF(AB86&lt;0,AB79/-AB86,"")</f>
        <v>2.02146020291376</v>
      </c>
      <c r="AC95" s="52" t="n">
        <f aca="false">IF(AC86&lt;0,AC79/-AC86,"")</f>
        <v>2.02146020291376</v>
      </c>
      <c r="AD95" s="52" t="n">
        <f aca="false">IF(AD86&lt;0,AD79/-AD86,"")</f>
        <v>2.02146020291376</v>
      </c>
      <c r="AE95" s="52" t="n">
        <f aca="false">IF(AE86&lt;0,AE79/-AE86,"")</f>
        <v>2.02146020291376</v>
      </c>
      <c r="AF95" s="52" t="n">
        <f aca="false">IF(AF86&lt;0,AF79/-AF86,"")</f>
        <v>2.02146020291376</v>
      </c>
      <c r="AG95" s="52" t="n">
        <f aca="false">IF(AG86&lt;0,AG79/-AG86,"")</f>
        <v>2.02146020291376</v>
      </c>
      <c r="AH95" s="52" t="n">
        <f aca="false">IF(AH86&lt;0,AH79/-AH86,"")</f>
        <v>2.02146020291376</v>
      </c>
      <c r="AI95" s="52" t="n">
        <f aca="false">IF(AI86&lt;0,AI79/-AI86,"")</f>
        <v>2.02146020291376</v>
      </c>
      <c r="AJ95" s="52" t="n">
        <f aca="false">IF(AJ86&lt;0,AJ79/-AJ86,"")</f>
        <v>2.02146020291376</v>
      </c>
      <c r="AK95" s="52" t="n">
        <f aca="false">IF(AK86&lt;0,AK79/-AK86,"")</f>
        <v>2.02146020291376</v>
      </c>
      <c r="AL95" s="52" t="n">
        <f aca="false">IF(AL86&lt;0,AL79/-AL86,"")</f>
        <v>2.02146020291376</v>
      </c>
      <c r="AM95" s="52" t="n">
        <f aca="false">IF(AM86&lt;0,AM79/-AM86,"")</f>
        <v>2.02146020291376</v>
      </c>
      <c r="AN95" s="52" t="n">
        <f aca="false">IF(AN86&lt;0,AN79/-AN86,"")</f>
        <v>2.02146020291376</v>
      </c>
      <c r="AO95" s="52" t="n">
        <f aca="false">IF(AO86&lt;0,AO79/-AO86,"")</f>
        <v>2.02146020291376</v>
      </c>
      <c r="AP95" s="52" t="n">
        <f aca="false">IF(AP86&lt;0,AP79/-AP86,"")</f>
        <v>2.02146020291376</v>
      </c>
      <c r="AQ95" s="52" t="n">
        <f aca="false">IF(AQ86&lt;0,AQ79/-AQ86,"")</f>
        <v>2.02146020291376</v>
      </c>
      <c r="AR95" s="52" t="n">
        <f aca="false">IF(AR86&lt;0,AR79/-AR86,"")</f>
        <v>2.02146020291376</v>
      </c>
      <c r="AS95" s="52" t="n">
        <f aca="false">IF(AS86&lt;0,AS79/-AS86,"")</f>
        <v>2.02146020291376</v>
      </c>
      <c r="AT95" s="52" t="n">
        <f aca="false">IF(AT86&lt;0,AT79/-AT86,"")</f>
        <v>2.02146020291376</v>
      </c>
      <c r="AU95" s="52" t="n">
        <f aca="false">IF(AU86&lt;0,AU79/-AU86,"")</f>
        <v>2.02146020291376</v>
      </c>
      <c r="AV95" s="52" t="n">
        <f aca="false">IF(AV86&lt;0,AV79/-AV86,"")</f>
        <v>2.02146020291376</v>
      </c>
      <c r="AW95" s="52" t="n">
        <f aca="false">IF(AW86&lt;0,AW79/-AW86,"")</f>
        <v>2.02146020291376</v>
      </c>
      <c r="AX95" s="52" t="n">
        <f aca="false">IF(AX86&lt;0,AX79/-AX86,"")</f>
        <v>2.02146020291376</v>
      </c>
      <c r="AY95" s="52" t="n">
        <f aca="false">IF(AY86&lt;0,AY79/-AY86,"")</f>
        <v>2.02146020291376</v>
      </c>
      <c r="AZ95" s="52" t="n">
        <f aca="false">IF(AZ86&lt;0,AZ79/-AZ86,"")</f>
        <v>2.02146020291376</v>
      </c>
      <c r="BA95" s="52" t="n">
        <f aca="false">IF(BA86&lt;0,BA79/-BA86,"")</f>
        <v>2.02146020291376</v>
      </c>
      <c r="BB95" s="52" t="n">
        <f aca="false">IF(BB86&lt;0,BB79/-BB86,"")</f>
        <v>2.02146020291376</v>
      </c>
      <c r="BC95" s="52" t="n">
        <f aca="false">IF(BC86&lt;0,BC79/-BC86,"")</f>
        <v>2.02146020291376</v>
      </c>
      <c r="BD95" s="52" t="n">
        <f aca="false">IF(BD86&lt;0,BD79/-BD86,"")</f>
        <v>2.02146020291376</v>
      </c>
      <c r="BE95" s="52" t="n">
        <f aca="false">IF(BE86&lt;0,BE79/-BE86,"")</f>
        <v>2.02146020291376</v>
      </c>
      <c r="BF95" s="52" t="n">
        <f aca="false">IF(BF86&lt;0,BF79/-BF86,"")</f>
        <v>2.02146020291376</v>
      </c>
      <c r="BG95" s="52" t="n">
        <f aca="false">IF(BG86&lt;0,BG79/-BG86,"")</f>
        <v>2.02146020291376</v>
      </c>
      <c r="BH95" s="52" t="n">
        <f aca="false">IF(BH86&lt;0,BH79/-BH86,"")</f>
        <v>2.02146020291376</v>
      </c>
      <c r="BI95" s="52" t="n">
        <f aca="false">IF(BI86&lt;0,BI79/-BI86,"")</f>
        <v>2.02146020291376</v>
      </c>
      <c r="BJ95" s="52" t="n">
        <f aca="false">IF(BJ86&lt;0,BJ79/-BJ86,"")</f>
        <v>2.02146020291376</v>
      </c>
      <c r="BK95" s="52" t="n">
        <f aca="false">IF(BK86&lt;0,BK79/-BK86,"")</f>
        <v>2.02146020291376</v>
      </c>
      <c r="BL95" s="52" t="n">
        <f aca="false">IF(BL86&lt;0,BL79/-BL86,"")</f>
        <v>2.02146020291376</v>
      </c>
      <c r="BM95" s="52" t="n">
        <f aca="false">IF(BM86&lt;0,BM79/-BM86,"")</f>
        <v>2.02146020291376</v>
      </c>
      <c r="BN95" s="52" t="n">
        <f aca="false">IF(BN86&lt;0,BN79/-BN86,"")</f>
        <v>2.02146020291376</v>
      </c>
      <c r="BO95" s="52" t="n">
        <f aca="false">IF(BO86&lt;0,BO79/-BO86,"")</f>
        <v>2.02146020291376</v>
      </c>
      <c r="BP95" s="52" t="n">
        <f aca="false">IF(BP86&lt;0,BP79/-BP86,"")</f>
        <v>2.02146020291376</v>
      </c>
      <c r="BQ95" s="52" t="n">
        <f aca="false">IF(BQ86&lt;0,BQ79/-BQ86,"")</f>
        <v>2.02146020291376</v>
      </c>
      <c r="BR95" s="52" t="n">
        <f aca="false">IF(BR86&lt;0,BR79/-BR86,"")</f>
        <v>2.02146020291376</v>
      </c>
      <c r="BS95" s="52" t="n">
        <f aca="false">IF(BS86&lt;0,BS79/-BS86,"")</f>
        <v>2.02146020291376</v>
      </c>
      <c r="BT95" s="52" t="n">
        <f aca="false">IF(BT86&lt;0,BT79/-BT86,"")</f>
        <v>2.02146020291376</v>
      </c>
      <c r="BU95" s="52" t="n">
        <f aca="false">IF(BU86&lt;0,BU79/-BU86,"")</f>
        <v>2.02146020291376</v>
      </c>
      <c r="BV95" s="52" t="n">
        <f aca="false">IF(BV86&lt;0,BV79/-BV86,"")</f>
        <v>2.02146020291376</v>
      </c>
      <c r="BW95" s="52" t="n">
        <f aca="false">IF(BW86&lt;0,BW79/-BW86,"")</f>
        <v>2.02146020291376</v>
      </c>
      <c r="BX95" s="52" t="n">
        <f aca="false">IF(BX86&lt;0,BX79/-BX86,"")</f>
        <v>2.02146020291376</v>
      </c>
      <c r="BY95" s="52" t="n">
        <f aca="false">IF(BY86&lt;0,BY79/-BY86,"")</f>
        <v>2.02146020291376</v>
      </c>
      <c r="BZ95" s="52" t="n">
        <f aca="false">IF(BZ86&lt;0,BZ79/-BZ86,"")</f>
        <v>2.02146020291376</v>
      </c>
      <c r="CA95" s="52" t="n">
        <f aca="false">IF(CA86&lt;0,CA79/-CA86,"")</f>
        <v>2.02146020291376</v>
      </c>
      <c r="CB95" s="52" t="n">
        <f aca="false">IF(CB86&lt;0,CB79/-CB86,"")</f>
        <v>2.02146020291376</v>
      </c>
      <c r="CC95" s="52" t="n">
        <f aca="false">IF(CC86&lt;0,CC79/-CC86,"")</f>
        <v>2.02146020291376</v>
      </c>
      <c r="CD95" s="52" t="n">
        <f aca="false">IF(CD86&lt;0,CD79/-CD86,"")</f>
        <v>2.02146020291376</v>
      </c>
      <c r="CE95" s="52" t="n">
        <f aca="false">IF(CE86&lt;0,CE79/-CE86,"")</f>
        <v>2.02146020291376</v>
      </c>
      <c r="CF95" s="52" t="n">
        <f aca="false">IF(CF86&lt;0,CF79/-CF86,"")</f>
        <v>2.02146020291376</v>
      </c>
      <c r="CG95" s="52" t="n">
        <f aca="false">IF(CG86&lt;0,CG79/-CG86,"")</f>
        <v>2.02146020291376</v>
      </c>
      <c r="CH95" s="52" t="n">
        <f aca="false">IF(CH86&lt;0,CH79/-CH86,"")</f>
        <v>2.02146020291376</v>
      </c>
      <c r="CI95" s="52" t="n">
        <f aca="false">IF(CI86&lt;0,CI79/-CI86,"")</f>
        <v>2.02146020291376</v>
      </c>
      <c r="CJ95" s="52" t="n">
        <f aca="false">IF(CJ86&lt;0,CJ79/-CJ86,"")</f>
        <v>2.02146020291376</v>
      </c>
      <c r="CK95" s="52" t="n">
        <f aca="false">IF(CK86&lt;0,CK79/-CK86,"")</f>
        <v>2.02146020291376</v>
      </c>
      <c r="CL95" s="52" t="n">
        <f aca="false">IF(CL86&lt;0,CL79/-CL86,"")</f>
        <v>2.02146020291376</v>
      </c>
      <c r="CM95" s="52" t="n">
        <f aca="false">IF(CM86&lt;0,CM79/-CM86,"")</f>
        <v>2.02146020291376</v>
      </c>
      <c r="CN95" s="52" t="n">
        <f aca="false">IF(CN86&lt;0,CN79/-CN86,"")</f>
        <v>2.02146020291376</v>
      </c>
      <c r="CO95" s="52" t="n">
        <f aca="false">IF(CO86&lt;0,CO79/-CO86,"")</f>
        <v>2.02146020291376</v>
      </c>
      <c r="CP95" s="52" t="n">
        <f aca="false">IF(CP86&lt;0,CP79/-CP86,"")</f>
        <v>2.02146020291376</v>
      </c>
      <c r="CQ95" s="52" t="n">
        <f aca="false">IF(CQ86&lt;0,CQ79/-CQ86,"")</f>
        <v>2.02146020291376</v>
      </c>
      <c r="CR95" s="52" t="n">
        <f aca="false">IF(CR86&lt;0,CR79/-CR86,"")</f>
        <v>2.02146020291376</v>
      </c>
      <c r="CS95" s="52" t="n">
        <f aca="false">IF(CS86&lt;0,CS79/-CS86,"")</f>
        <v>2.02146020291376</v>
      </c>
      <c r="CT95" s="52" t="str">
        <f aca="false">IF(CT86&lt;0,CT79/-CT86,"")</f>
        <v/>
      </c>
      <c r="CU95" s="52" t="str">
        <f aca="false">IF(CU86&lt;0,CU79/-CU86,"")</f>
        <v/>
      </c>
      <c r="CV95" s="52" t="str">
        <f aca="false">IF(CV86&lt;0,CV79/-CV86,"")</f>
        <v/>
      </c>
      <c r="CW95" s="52" t="str">
        <f aca="false">IF(CW86&lt;0,CW79/-CW86,"")</f>
        <v/>
      </c>
      <c r="CX95" s="52" t="str">
        <f aca="false">IF(CX86&lt;0,CX79/-CX86,"")</f>
        <v/>
      </c>
      <c r="CY95" s="52" t="str">
        <f aca="false">IF(CY86&lt;0,CY79/-CY86,"")</f>
        <v/>
      </c>
      <c r="CZ95" s="52" t="str">
        <f aca="false">IF(CZ86&lt;0,CZ79/-CZ86,"")</f>
        <v/>
      </c>
      <c r="DA95" s="52" t="str">
        <f aca="false">IF(DA86&lt;0,DA79/-DA86,"")</f>
        <v/>
      </c>
      <c r="DB95" s="52" t="str">
        <f aca="false">IF(DB86&lt;0,DB79/-DB86,"")</f>
        <v/>
      </c>
      <c r="DC95" s="52" t="str">
        <f aca="false">IF(DC86&lt;0,DC79/-DC86,"")</f>
        <v/>
      </c>
      <c r="DD95" s="52" t="str">
        <f aca="false">IF(DD86&lt;0,DD79/-DD86,"")</f>
        <v/>
      </c>
      <c r="DE95" s="52" t="str">
        <f aca="false">IF(DE86&lt;0,DE79/-DE86,"")</f>
        <v/>
      </c>
      <c r="DF95" s="52" t="str">
        <f aca="false">IF(DF86&lt;0,DF79/-DF86,"")</f>
        <v/>
      </c>
      <c r="DG95" s="52" t="str">
        <f aca="false">IF(DG86&lt;0,DG79/-DG86,"")</f>
        <v/>
      </c>
      <c r="DH95" s="52" t="str">
        <f aca="false">IF(DH86&lt;0,DH79/-DH86,"")</f>
        <v/>
      </c>
      <c r="DI95" s="52" t="str">
        <f aca="false">IF(DI86&lt;0,DI79/-DI86,"")</f>
        <v/>
      </c>
      <c r="DJ95" s="52" t="str">
        <f aca="false">IF(DJ86&lt;0,DJ79/-DJ86,"")</f>
        <v/>
      </c>
      <c r="DK95" s="52" t="str">
        <f aca="false">IF(DK86&lt;0,DK79/-DK86,"")</f>
        <v/>
      </c>
      <c r="DL95" s="52" t="str">
        <f aca="false">IF(DL86&lt;0,DL79/-DL86,"")</f>
        <v/>
      </c>
      <c r="DM95" s="52" t="str">
        <f aca="false">IF(DM86&lt;0,DM79/-DM86,"")</f>
        <v/>
      </c>
      <c r="DN95" s="52" t="str">
        <f aca="false">IF(DN86&lt;0,DN79/-DN86,"")</f>
        <v/>
      </c>
      <c r="DO95" s="52" t="str">
        <f aca="false">IF(DO86&lt;0,DO79/-DO86,"")</f>
        <v/>
      </c>
      <c r="DP95" s="52" t="str">
        <f aca="false">IF(DP86&lt;0,DP79/-DP86,"")</f>
        <v/>
      </c>
      <c r="DQ95" s="52" t="str">
        <f aca="false">IF(DQ86&lt;0,DQ79/-DQ86,"")</f>
        <v/>
      </c>
      <c r="DR95" s="52" t="str">
        <f aca="false">IF(DR86&lt;0,DR79/-DR86,"")</f>
        <v/>
      </c>
      <c r="DS95" s="52" t="str">
        <f aca="false">IF(DS86&lt;0,DS79/-DS86,"")</f>
        <v/>
      </c>
      <c r="DT95" s="52" t="str">
        <f aca="false">IF(DT86&lt;0,DT79/-DT86,"")</f>
        <v/>
      </c>
      <c r="DU95" s="52" t="str">
        <f aca="false">IF(DU86&lt;0,DU79/-DU86,"")</f>
        <v/>
      </c>
      <c r="DV95" s="52" t="str">
        <f aca="false">IF(DV86&lt;0,DV79/-DV86,"")</f>
        <v/>
      </c>
      <c r="DW95" s="52" t="str">
        <f aca="false">IF(DW86&lt;0,DW79/-DW86,"")</f>
        <v/>
      </c>
      <c r="DX95" s="52" t="str">
        <f aca="false">IF(DX86&lt;0,DX79/-DX86,"")</f>
        <v/>
      </c>
      <c r="DY95" s="52" t="str">
        <f aca="false">IF(DY86&lt;0,DY79/-DY86,"")</f>
        <v/>
      </c>
      <c r="DZ95" s="52" t="str">
        <f aca="false">IF(DZ86&lt;0,DZ79/-DZ86,"")</f>
        <v/>
      </c>
      <c r="EA95" s="52" t="str">
        <f aca="false">IF(EA86&lt;0,EA79/-EA86,"")</f>
        <v/>
      </c>
      <c r="EB95" s="52" t="str">
        <f aca="false">IF(EB86&lt;0,EB79/-EB86,"")</f>
        <v/>
      </c>
      <c r="EC95" s="52" t="str">
        <f aca="false">IF(EC86&lt;0,EC79/-EC86,"")</f>
        <v/>
      </c>
      <c r="ED95" s="52" t="str">
        <f aca="false">IF(ED86&lt;0,ED79/-ED86,"")</f>
        <v/>
      </c>
      <c r="EE95" s="52" t="str">
        <f aca="false">IF(EE86&lt;0,EE79/-EE86,"")</f>
        <v/>
      </c>
      <c r="EF95" s="52" t="str">
        <f aca="false">IF(EF86&lt;0,EF79/-EF86,"")</f>
        <v/>
      </c>
      <c r="EG95" s="52" t="str">
        <f aca="false">IF(EG86&lt;0,EG79/-EG86,"")</f>
        <v/>
      </c>
      <c r="EH95" s="52" t="str">
        <f aca="false">IF(EH86&lt;0,EH79/-EH86,"")</f>
        <v/>
      </c>
      <c r="EI95" s="52" t="str">
        <f aca="false">IF(EI86&lt;0,EI79/-EI86,"")</f>
        <v/>
      </c>
      <c r="EJ95" s="52" t="str">
        <f aca="false">IF(EJ86&lt;0,EJ79/-EJ86,"")</f>
        <v/>
      </c>
      <c r="EK95" s="52" t="str">
        <f aca="false">IF(EK86&lt;0,EK79/-EK86,"")</f>
        <v/>
      </c>
      <c r="EL95" s="52" t="str">
        <f aca="false">IF(EL86&lt;0,EL79/-EL86,"")</f>
        <v/>
      </c>
      <c r="EM95" s="52" t="str">
        <f aca="false">IF(EM86&lt;0,EM79/-EM86,"")</f>
        <v/>
      </c>
      <c r="EN95" s="52" t="str">
        <f aca="false">IF(EN86&lt;0,EN79/-EN86,"")</f>
        <v/>
      </c>
      <c r="EO95" s="52" t="str">
        <f aca="false">IF(EO86&lt;0,EO79/-EO86,"")</f>
        <v/>
      </c>
    </row>
    <row r="97" customFormat="false" ht="15" hidden="false" customHeight="false" outlineLevel="0" collapsed="false">
      <c r="A97" s="9" t="s">
        <v>13</v>
      </c>
      <c r="B97" s="9"/>
      <c r="C97" s="9" t="s">
        <v>421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</row>
    <row r="98" customFormat="false" ht="15" hidden="false" customHeight="false" outlineLevel="0" collapsed="false">
      <c r="C98" s="0" t="s">
        <v>422</v>
      </c>
      <c r="D98" s="11" t="s">
        <v>33</v>
      </c>
      <c r="E98" s="46" t="n">
        <f aca="false">$I89-($I60+$I51+$I61+$I48+$I41+$I42+$I43)</f>
        <v>78735.1710304777</v>
      </c>
      <c r="I98" s="46" t="n">
        <f aca="false">SUM(J98:EO98)</f>
        <v>-78735.1710304777</v>
      </c>
      <c r="J98" s="46" t="n">
        <f aca="false">-$E98*J19</f>
        <v>-0</v>
      </c>
      <c r="K98" s="46" t="n">
        <f aca="false">-$E98*K19</f>
        <v>-0</v>
      </c>
      <c r="L98" s="46" t="n">
        <f aca="false">-$E98*L19</f>
        <v>-0</v>
      </c>
      <c r="M98" s="46" t="n">
        <f aca="false">-$E98*M19</f>
        <v>-0</v>
      </c>
      <c r="N98" s="46" t="n">
        <f aca="false">-$E98*N19</f>
        <v>-0</v>
      </c>
      <c r="O98" s="46" t="n">
        <f aca="false">-$E98*O19</f>
        <v>-0</v>
      </c>
      <c r="P98" s="46" t="n">
        <f aca="false">-$E98*P19</f>
        <v>-0</v>
      </c>
      <c r="Q98" s="46" t="n">
        <f aca="false">-$E98*Q19</f>
        <v>-0</v>
      </c>
      <c r="R98" s="46" t="n">
        <f aca="false">-$E98*R19</f>
        <v>-0</v>
      </c>
      <c r="S98" s="46" t="n">
        <f aca="false">-$E98*S19</f>
        <v>-0</v>
      </c>
      <c r="T98" s="46" t="n">
        <f aca="false">-$E98*T19</f>
        <v>-0</v>
      </c>
      <c r="U98" s="46" t="n">
        <f aca="false">-$E98*U19</f>
        <v>-0</v>
      </c>
      <c r="V98" s="46" t="n">
        <f aca="false">-$E98*V19</f>
        <v>-0</v>
      </c>
      <c r="W98" s="46" t="n">
        <f aca="false">-$E98*W19</f>
        <v>-0</v>
      </c>
      <c r="X98" s="46" t="n">
        <f aca="false">-$E98*X19</f>
        <v>-0</v>
      </c>
      <c r="Y98" s="46" t="n">
        <f aca="false">-$E98*Y19</f>
        <v>-0</v>
      </c>
      <c r="Z98" s="46" t="n">
        <f aca="false">-$E98*Z19</f>
        <v>-991.599689911561</v>
      </c>
      <c r="AA98" s="46" t="n">
        <f aca="false">-$E98*AA19</f>
        <v>-970.043174913483</v>
      </c>
      <c r="AB98" s="46" t="n">
        <f aca="false">-$E98*AB19</f>
        <v>-980.821432412522</v>
      </c>
      <c r="AC98" s="46" t="n">
        <f aca="false">-$E98*AC19</f>
        <v>-991.599689911561</v>
      </c>
      <c r="AD98" s="46" t="n">
        <f aca="false">-$E98*AD19</f>
        <v>-991.599689911561</v>
      </c>
      <c r="AE98" s="46" t="n">
        <f aca="false">-$E98*AE19</f>
        <v>-980.821432412522</v>
      </c>
      <c r="AF98" s="46" t="n">
        <f aca="false">-$E98*AF19</f>
        <v>-980.821432412522</v>
      </c>
      <c r="AG98" s="46" t="n">
        <f aca="false">-$E98*AG19</f>
        <v>-991.599689911561</v>
      </c>
      <c r="AH98" s="46" t="n">
        <f aca="false">-$E98*AH19</f>
        <v>-991.599689911561</v>
      </c>
      <c r="AI98" s="46" t="n">
        <f aca="false">-$E98*AI19</f>
        <v>-970.043174913483</v>
      </c>
      <c r="AJ98" s="46" t="n">
        <f aca="false">-$E98*AJ19</f>
        <v>-980.821432412522</v>
      </c>
      <c r="AK98" s="46" t="n">
        <f aca="false">-$E98*AK19</f>
        <v>-991.599689911561</v>
      </c>
      <c r="AL98" s="46" t="n">
        <f aca="false">-$E98*AL19</f>
        <v>-991.599689911561</v>
      </c>
      <c r="AM98" s="46" t="n">
        <f aca="false">-$E98*AM19</f>
        <v>-970.043174913483</v>
      </c>
      <c r="AN98" s="46" t="n">
        <f aca="false">-$E98*AN19</f>
        <v>-980.821432412522</v>
      </c>
      <c r="AO98" s="46" t="n">
        <f aca="false">-$E98*AO19</f>
        <v>-991.599689911561</v>
      </c>
      <c r="AP98" s="46" t="n">
        <f aca="false">-$E98*AP19</f>
        <v>-991.599689911561</v>
      </c>
      <c r="AQ98" s="46" t="n">
        <f aca="false">-$E98*AQ19</f>
        <v>-970.043174913483</v>
      </c>
      <c r="AR98" s="46" t="n">
        <f aca="false">-$E98*AR19</f>
        <v>-980.821432412522</v>
      </c>
      <c r="AS98" s="46" t="n">
        <f aca="false">-$E98*AS19</f>
        <v>-991.599689911561</v>
      </c>
      <c r="AT98" s="46" t="n">
        <f aca="false">-$E98*AT19</f>
        <v>-991.599689911561</v>
      </c>
      <c r="AU98" s="46" t="n">
        <f aca="false">-$E98*AU19</f>
        <v>-980.821432412522</v>
      </c>
      <c r="AV98" s="46" t="n">
        <f aca="false">-$E98*AV19</f>
        <v>-980.821432412522</v>
      </c>
      <c r="AW98" s="46" t="n">
        <f aca="false">-$E98*AW19</f>
        <v>-991.599689911561</v>
      </c>
      <c r="AX98" s="46" t="n">
        <f aca="false">-$E98*AX19</f>
        <v>-991.599689911561</v>
      </c>
      <c r="AY98" s="46" t="n">
        <f aca="false">-$E98*AY19</f>
        <v>-970.043174913483</v>
      </c>
      <c r="AZ98" s="46" t="n">
        <f aca="false">-$E98*AZ19</f>
        <v>-980.821432412522</v>
      </c>
      <c r="BA98" s="46" t="n">
        <f aca="false">-$E98*BA19</f>
        <v>-991.599689911561</v>
      </c>
      <c r="BB98" s="46" t="n">
        <f aca="false">-$E98*BB19</f>
        <v>-991.599689911561</v>
      </c>
      <c r="BC98" s="46" t="n">
        <f aca="false">-$E98*BC19</f>
        <v>-970.043174913483</v>
      </c>
      <c r="BD98" s="46" t="n">
        <f aca="false">-$E98*BD19</f>
        <v>-980.821432412522</v>
      </c>
      <c r="BE98" s="46" t="n">
        <f aca="false">-$E98*BE19</f>
        <v>-991.599689911561</v>
      </c>
      <c r="BF98" s="46" t="n">
        <f aca="false">-$E98*BF19</f>
        <v>-991.599689911561</v>
      </c>
      <c r="BG98" s="46" t="n">
        <f aca="false">-$E98*BG19</f>
        <v>-970.043174913483</v>
      </c>
      <c r="BH98" s="46" t="n">
        <f aca="false">-$E98*BH19</f>
        <v>-980.821432412522</v>
      </c>
      <c r="BI98" s="46" t="n">
        <f aca="false">-$E98*BI19</f>
        <v>-991.599689911561</v>
      </c>
      <c r="BJ98" s="46" t="n">
        <f aca="false">-$E98*BJ19</f>
        <v>-991.599689911561</v>
      </c>
      <c r="BK98" s="46" t="n">
        <f aca="false">-$E98*BK19</f>
        <v>-980.821432412522</v>
      </c>
      <c r="BL98" s="46" t="n">
        <f aca="false">-$E98*BL19</f>
        <v>-980.821432412522</v>
      </c>
      <c r="BM98" s="46" t="n">
        <f aca="false">-$E98*BM19</f>
        <v>-991.599689911561</v>
      </c>
      <c r="BN98" s="46" t="n">
        <f aca="false">-$E98*BN19</f>
        <v>-991.599689911561</v>
      </c>
      <c r="BO98" s="46" t="n">
        <f aca="false">-$E98*BO19</f>
        <v>-970.043174913483</v>
      </c>
      <c r="BP98" s="46" t="n">
        <f aca="false">-$E98*BP19</f>
        <v>-980.821432412522</v>
      </c>
      <c r="BQ98" s="46" t="n">
        <f aca="false">-$E98*BQ19</f>
        <v>-991.599689911561</v>
      </c>
      <c r="BR98" s="46" t="n">
        <f aca="false">-$E98*BR19</f>
        <v>-991.599689911561</v>
      </c>
      <c r="BS98" s="46" t="n">
        <f aca="false">-$E98*BS19</f>
        <v>-970.043174913483</v>
      </c>
      <c r="BT98" s="46" t="n">
        <f aca="false">-$E98*BT19</f>
        <v>-980.821432412522</v>
      </c>
      <c r="BU98" s="46" t="n">
        <f aca="false">-$E98*BU19</f>
        <v>-991.599689911561</v>
      </c>
      <c r="BV98" s="46" t="n">
        <f aca="false">-$E98*BV19</f>
        <v>-991.599689911561</v>
      </c>
      <c r="BW98" s="46" t="n">
        <f aca="false">-$E98*BW19</f>
        <v>-970.043174913483</v>
      </c>
      <c r="BX98" s="46" t="n">
        <f aca="false">-$E98*BX19</f>
        <v>-980.821432412522</v>
      </c>
      <c r="BY98" s="46" t="n">
        <f aca="false">-$E98*BY19</f>
        <v>-991.599689911561</v>
      </c>
      <c r="BZ98" s="46" t="n">
        <f aca="false">-$E98*BZ19</f>
        <v>-991.599689911561</v>
      </c>
      <c r="CA98" s="46" t="n">
        <f aca="false">-$E98*CA19</f>
        <v>-980.821432412522</v>
      </c>
      <c r="CB98" s="46" t="n">
        <f aca="false">-$E98*CB19</f>
        <v>-980.821432412522</v>
      </c>
      <c r="CC98" s="46" t="n">
        <f aca="false">-$E98*CC19</f>
        <v>-991.599689911561</v>
      </c>
      <c r="CD98" s="46" t="n">
        <f aca="false">-$E98*CD19</f>
        <v>-991.599689911561</v>
      </c>
      <c r="CE98" s="46" t="n">
        <f aca="false">-$E98*CE19</f>
        <v>-970.043174913483</v>
      </c>
      <c r="CF98" s="46" t="n">
        <f aca="false">-$E98*CF19</f>
        <v>-980.821432412522</v>
      </c>
      <c r="CG98" s="46" t="n">
        <f aca="false">-$E98*CG19</f>
        <v>-991.599689911561</v>
      </c>
      <c r="CH98" s="46" t="n">
        <f aca="false">-$E98*CH19</f>
        <v>-991.599689911561</v>
      </c>
      <c r="CI98" s="46" t="n">
        <f aca="false">-$E98*CI19</f>
        <v>-970.043174913483</v>
      </c>
      <c r="CJ98" s="46" t="n">
        <f aca="false">-$E98*CJ19</f>
        <v>-980.821432412522</v>
      </c>
      <c r="CK98" s="46" t="n">
        <f aca="false">-$E98*CK19</f>
        <v>-991.599689911561</v>
      </c>
      <c r="CL98" s="46" t="n">
        <f aca="false">-$E98*CL19</f>
        <v>-991.599689911561</v>
      </c>
      <c r="CM98" s="46" t="n">
        <f aca="false">-$E98*CM19</f>
        <v>-970.043174913483</v>
      </c>
      <c r="CN98" s="46" t="n">
        <f aca="false">-$E98*CN19</f>
        <v>-980.821432412522</v>
      </c>
      <c r="CO98" s="46" t="n">
        <f aca="false">-$E98*CO19</f>
        <v>-991.599689911561</v>
      </c>
      <c r="CP98" s="46" t="n">
        <f aca="false">-$E98*CP19</f>
        <v>-991.599689911561</v>
      </c>
      <c r="CQ98" s="46" t="n">
        <f aca="false">-$E98*CQ19</f>
        <v>-980.821432412522</v>
      </c>
      <c r="CR98" s="46" t="n">
        <f aca="false">-$E98*CR19</f>
        <v>-980.821432412522</v>
      </c>
      <c r="CS98" s="46" t="n">
        <f aca="false">-$E98*CS19</f>
        <v>-991.599689911561</v>
      </c>
      <c r="CT98" s="46" t="n">
        <f aca="false">-$E98*CT19</f>
        <v>-991.599689911561</v>
      </c>
      <c r="CU98" s="46" t="n">
        <f aca="false">-$E98*CU19</f>
        <v>-970.043174913483</v>
      </c>
      <c r="CV98" s="46" t="n">
        <f aca="false">-$E98*CV19</f>
        <v>-980.821432412522</v>
      </c>
      <c r="CW98" s="46" t="n">
        <f aca="false">-$E98*CW19</f>
        <v>-991.599689911561</v>
      </c>
      <c r="CX98" s="46" t="n">
        <f aca="false">-$E98*CX19</f>
        <v>-991.599689911561</v>
      </c>
      <c r="CY98" s="46" t="n">
        <f aca="false">-$E98*CY19</f>
        <v>-970.043174913483</v>
      </c>
      <c r="CZ98" s="46" t="n">
        <f aca="false">-$E98*CZ19</f>
        <v>-980.821432412522</v>
      </c>
      <c r="DA98" s="46" t="n">
        <f aca="false">-$E98*DA19</f>
        <v>-991.599689911561</v>
      </c>
      <c r="DB98" s="46" t="n">
        <f aca="false">-$E98*DB19</f>
        <v>-0</v>
      </c>
      <c r="DC98" s="46" t="n">
        <f aca="false">-$E98*DC19</f>
        <v>-0</v>
      </c>
      <c r="DD98" s="46" t="n">
        <f aca="false">-$E98*DD19</f>
        <v>-0</v>
      </c>
      <c r="DE98" s="46" t="n">
        <f aca="false">-$E98*DE19</f>
        <v>-0</v>
      </c>
      <c r="DF98" s="46" t="n">
        <f aca="false">-$E98*DF19</f>
        <v>-0</v>
      </c>
      <c r="DG98" s="46" t="n">
        <f aca="false">-$E98*DG19</f>
        <v>-0</v>
      </c>
      <c r="DH98" s="46" t="n">
        <f aca="false">-$E98*DH19</f>
        <v>-0</v>
      </c>
      <c r="DI98" s="46" t="n">
        <f aca="false">-$E98*DI19</f>
        <v>-0</v>
      </c>
      <c r="DJ98" s="46" t="n">
        <f aca="false">-$E98*DJ19</f>
        <v>-0</v>
      </c>
      <c r="DK98" s="46" t="n">
        <f aca="false">-$E98*DK19</f>
        <v>-0</v>
      </c>
      <c r="DL98" s="46" t="n">
        <f aca="false">-$E98*DL19</f>
        <v>-0</v>
      </c>
      <c r="DM98" s="46" t="n">
        <f aca="false">-$E98*DM19</f>
        <v>-0</v>
      </c>
      <c r="DN98" s="46" t="n">
        <f aca="false">-$E98*DN19</f>
        <v>-0</v>
      </c>
      <c r="DO98" s="46" t="n">
        <f aca="false">-$E98*DO19</f>
        <v>-0</v>
      </c>
      <c r="DP98" s="46" t="n">
        <f aca="false">-$E98*DP19</f>
        <v>-0</v>
      </c>
      <c r="DQ98" s="46" t="n">
        <f aca="false">-$E98*DQ19</f>
        <v>-0</v>
      </c>
      <c r="DR98" s="46" t="n">
        <f aca="false">-$E98*DR19</f>
        <v>-0</v>
      </c>
      <c r="DS98" s="46" t="n">
        <f aca="false">-$E98*DS19</f>
        <v>-0</v>
      </c>
      <c r="DT98" s="46" t="n">
        <f aca="false">-$E98*DT19</f>
        <v>-0</v>
      </c>
      <c r="DU98" s="46" t="n">
        <f aca="false">-$E98*DU19</f>
        <v>-0</v>
      </c>
      <c r="DV98" s="46" t="n">
        <f aca="false">-$E98*DV19</f>
        <v>-0</v>
      </c>
      <c r="DW98" s="46" t="n">
        <f aca="false">-$E98*DW19</f>
        <v>-0</v>
      </c>
      <c r="DX98" s="46" t="n">
        <f aca="false">-$E98*DX19</f>
        <v>-0</v>
      </c>
      <c r="DY98" s="46" t="n">
        <f aca="false">-$E98*DY19</f>
        <v>-0</v>
      </c>
      <c r="DZ98" s="46" t="n">
        <f aca="false">-$E98*DZ19</f>
        <v>-0</v>
      </c>
      <c r="EA98" s="46" t="n">
        <f aca="false">-$E98*EA19</f>
        <v>-0</v>
      </c>
      <c r="EB98" s="46" t="n">
        <f aca="false">-$E98*EB19</f>
        <v>-0</v>
      </c>
      <c r="EC98" s="46" t="n">
        <f aca="false">-$E98*EC19</f>
        <v>-0</v>
      </c>
      <c r="ED98" s="46" t="n">
        <f aca="false">-$E98*ED19</f>
        <v>-0</v>
      </c>
      <c r="EE98" s="46" t="n">
        <f aca="false">-$E98*EE19</f>
        <v>-0</v>
      </c>
      <c r="EF98" s="46" t="n">
        <f aca="false">-$E98*EF19</f>
        <v>-0</v>
      </c>
      <c r="EG98" s="46" t="n">
        <f aca="false">-$E98*EG19</f>
        <v>-0</v>
      </c>
      <c r="EH98" s="46" t="n">
        <f aca="false">-$E98*EH19</f>
        <v>-0</v>
      </c>
      <c r="EI98" s="46" t="n">
        <f aca="false">-$E98*EI19</f>
        <v>-0</v>
      </c>
      <c r="EJ98" s="46" t="n">
        <f aca="false">-$E98*EJ19</f>
        <v>-0</v>
      </c>
      <c r="EK98" s="46" t="n">
        <f aca="false">-$E98*EK19</f>
        <v>-0</v>
      </c>
      <c r="EL98" s="46" t="n">
        <f aca="false">-$E98*EL19</f>
        <v>-0</v>
      </c>
      <c r="EM98" s="46" t="n">
        <f aca="false">-$E98*EM19</f>
        <v>-0</v>
      </c>
      <c r="EN98" s="46" t="n">
        <f aca="false">-$E98*EN19</f>
        <v>-0</v>
      </c>
      <c r="EO98" s="46" t="n">
        <f aca="false">-$E98*EO19</f>
        <v>-0</v>
      </c>
    </row>
    <row r="99" customFormat="false" ht="15" hidden="false" customHeight="false" outlineLevel="0" collapsed="false">
      <c r="C99" s="0" t="s">
        <v>423</v>
      </c>
      <c r="D99" s="11" t="s">
        <v>33</v>
      </c>
      <c r="I99" s="46" t="n">
        <f aca="false">SUM(J99:EO99)</f>
        <v>169624.047249802</v>
      </c>
      <c r="J99" s="46" t="n">
        <f aca="false">J75+J98+J85+J92+J93+J45+J52</f>
        <v>-11.6750159504597</v>
      </c>
      <c r="K99" s="46" t="n">
        <f aca="false">K75+K98+K85+K92+K93+K45+K52</f>
        <v>-14.8107337211484</v>
      </c>
      <c r="L99" s="46" t="n">
        <f aca="false">L75+L98+L85+L92+L93+L45+L52</f>
        <v>-24.958829048602</v>
      </c>
      <c r="M99" s="46" t="n">
        <f aca="false">M75+M98+M85+M92+M93+M45+M52</f>
        <v>-25.2331018952899</v>
      </c>
      <c r="N99" s="46" t="n">
        <f aca="false">N75+N98+N85+N92+N93+N45+N52</f>
        <v>-25.2331018952899</v>
      </c>
      <c r="O99" s="46" t="n">
        <f aca="false">O75+O98+O85+O92+O93+O45+O52</f>
        <v>-24.958829048602</v>
      </c>
      <c r="P99" s="46" t="n">
        <f aca="false">P75+P98+P85+P92+P93+P45+P52</f>
        <v>-24.958829048602</v>
      </c>
      <c r="Q99" s="46" t="n">
        <f aca="false">Q75+Q98+Q85+Q92+Q93+Q45+Q52</f>
        <v>-25.2331018952899</v>
      </c>
      <c r="R99" s="46" t="n">
        <f aca="false">R75+R98+R85+R92+R93+R45+R52</f>
        <v>-1085.13198461099</v>
      </c>
      <c r="S99" s="46" t="n">
        <f aca="false">S75+S98+S85+S92+S93+S45+S52</f>
        <v>-164.179652324355</v>
      </c>
      <c r="T99" s="46" t="n">
        <f aca="false">T75+T98+T85+T92+T93+T45+T52</f>
        <v>-141.437748584734</v>
      </c>
      <c r="U99" s="46" t="n">
        <f aca="false">U75+U98+U85+U92+U93+U45+U52</f>
        <v>-130.97326831781</v>
      </c>
      <c r="V99" s="46" t="n">
        <f aca="false">V75+V98+V85+V92+V93+V45+V52</f>
        <v>-118.822452997863</v>
      </c>
      <c r="W99" s="46" t="n">
        <f aca="false">W75+W98+W85+W92+W93+W45+W52</f>
        <v>-105.394620205479</v>
      </c>
      <c r="X99" s="46" t="n">
        <f aca="false">X75+X98+X85+X92+X93+X45+X52</f>
        <v>-94.8082072841997</v>
      </c>
      <c r="Y99" s="46" t="n">
        <f aca="false">Y75+Y98+Y85+Y92+Y93+Y45+Y52</f>
        <v>-83.8313144755114</v>
      </c>
      <c r="Z99" s="46" t="n">
        <f aca="false">Z75+Z98+Z85+Z92+Z93+Z45+Z52</f>
        <v>596.652037273275</v>
      </c>
      <c r="AA99" s="46" t="n">
        <f aca="false">AA75+AA98+AA85+AA92+AA93+AA45+AA52</f>
        <v>589.621159659895</v>
      </c>
      <c r="AB99" s="46" t="n">
        <f aca="false">AB75+AB98+AB85+AB92+AB93+AB45+AB52</f>
        <v>608.729713731041</v>
      </c>
      <c r="AC99" s="46" t="n">
        <f aca="false">AC75+AC98+AC85+AC92+AC93+AC45+AC52</f>
        <v>628.052039331827</v>
      </c>
      <c r="AD99" s="46" t="n">
        <f aca="false">AD75+AD98+AD85+AD92+AD93+AD45+AD52</f>
        <v>625.841584298793</v>
      </c>
      <c r="AE99" s="46" t="n">
        <f aca="false">AE75+AE98+AE85+AE92+AE93+AE45+AE52</f>
        <v>632.591099894797</v>
      </c>
      <c r="AF99" s="46" t="n">
        <f aca="false">AF75+AF98+AF85+AF92+AF93+AF45+AF52</f>
        <v>638.482613985293</v>
      </c>
      <c r="AG99" s="46" t="n">
        <f aca="false">AG75+AG98+AG85+AG92+AG93+AG45+AG52</f>
        <v>658.166390436575</v>
      </c>
      <c r="AH99" s="46" t="n">
        <f aca="false">AH75+AH98+AH85+AH92+AH93+AH45+AH52</f>
        <v>656.048760008905</v>
      </c>
      <c r="AI99" s="46" t="n">
        <f aca="false">AI75+AI98+AI85+AI92+AI93+AI45+AI52</f>
        <v>648.90173184371</v>
      </c>
      <c r="AJ99" s="46" t="n">
        <f aca="false">AJ75+AJ98+AJ85+AJ92+AJ93+AJ45+AJ52</f>
        <v>693.573590871446</v>
      </c>
      <c r="AK99" s="46" t="n">
        <f aca="false">AK75+AK98+AK85+AK92+AK93+AK45+AK52</f>
        <v>713.916127882788</v>
      </c>
      <c r="AL99" s="46" t="n">
        <f aca="false">AL75+AL98+AL85+AL92+AL93+AL45+AL52</f>
        <v>712.213986912146</v>
      </c>
      <c r="AM99" s="46" t="n">
        <f aca="false">AM75+AM98+AM85+AM92+AM93+AM45+AM52</f>
        <v>704.698042941789</v>
      </c>
      <c r="AN99" s="46" t="n">
        <f aca="false">AN75+AN98+AN85+AN92+AN93+AN45+AN52</f>
        <v>725.224640779153</v>
      </c>
      <c r="AO99" s="46" t="n">
        <f aca="false">AO75+AO98+AO85+AO92+AO93+AO45+AO52</f>
        <v>745.973589194296</v>
      </c>
      <c r="AP99" s="46" t="n">
        <f aca="false">AP75+AP98+AP85+AP92+AP93+AP45+AP52</f>
        <v>744.56450594148</v>
      </c>
      <c r="AQ99" s="46" t="n">
        <f aca="false">AQ75+AQ98+AQ85+AQ92+AQ93+AQ45+AQ52</f>
        <v>737.101802588484</v>
      </c>
      <c r="AR99" s="46" t="n">
        <f aca="false">AR75+AR98+AR85+AR92+AR93+AR45+AR52</f>
        <v>758.043206215478</v>
      </c>
      <c r="AS99" s="46" t="n">
        <f aca="false">AS75+AS98+AS85+AS92+AS93+AS45+AS52</f>
        <v>779.211507839458</v>
      </c>
      <c r="AT99" s="46" t="n">
        <f aca="false">AT75+AT98+AT85+AT92+AT93+AT45+AT52</f>
        <v>778.110786635444</v>
      </c>
      <c r="AU99" s="46" t="n">
        <f aca="false">AU75+AU98+AU85+AU92+AU93+AU45+AU52</f>
        <v>785.003445522671</v>
      </c>
      <c r="AV99" s="46" t="n">
        <f aca="false">AV75+AV98+AV85+AV92+AV93+AV45+AV52</f>
        <v>792.230925592463</v>
      </c>
      <c r="AW99" s="46" t="n">
        <f aca="false">AW75+AW98+AW85+AW92+AW93+AW45+AW52</f>
        <v>813.833894691427</v>
      </c>
      <c r="AX99" s="46" t="n">
        <f aca="false">AX75+AX98+AX85+AX92+AX93+AX45+AX52</f>
        <v>813.059328257226</v>
      </c>
      <c r="AY99" s="46" t="n">
        <f aca="false">AY75+AY98+AY85+AY92+AY93+AY45+AY52</f>
        <v>805.744446834992</v>
      </c>
      <c r="AZ99" s="46" t="n">
        <f aca="false">AZ75+AZ98+AZ85+AZ92+AZ93+AZ45+AZ52</f>
        <v>827.55806862733</v>
      </c>
      <c r="BA99" s="46" t="n">
        <f aca="false">BA75+BA98+BA85+BA92+BA93+BA45+BA52</f>
        <v>849.608238937016</v>
      </c>
      <c r="BB99" s="46" t="n">
        <f aca="false">BB75+BB98+BB85+BB92+BB93+BB45+BB52</f>
        <v>849.174896208447</v>
      </c>
      <c r="BC99" s="46" t="n">
        <f aca="false">BC75+BC98+BC85+BC92+BC93+BC45+BC52</f>
        <v>841.954279513301</v>
      </c>
      <c r="BD99" s="46" t="n">
        <f aca="false">BD75+BD98+BD85+BD92+BD93+BD45+BD52</f>
        <v>864.224891112015</v>
      </c>
      <c r="BE99" s="46" t="n">
        <f aca="false">BE75+BE98+BE85+BE92+BE93+BE45+BE52</f>
        <v>886.73715038869</v>
      </c>
      <c r="BF99" s="46" t="n">
        <f aca="false">BF75+BF98+BF85+BF92+BF93+BF45+BF52</f>
        <v>886.662574811547</v>
      </c>
      <c r="BG99" s="46" t="n">
        <f aca="false">BG75+BG98+BG85+BG92+BG93+BG45+BG52</f>
        <v>879.551323753439</v>
      </c>
      <c r="BH99" s="46" t="n">
        <f aca="false">BH75+BH98+BH85+BH92+BH93+BH45+BH52</f>
        <v>902.294324780985</v>
      </c>
      <c r="BI99" s="46" t="n">
        <f aca="false">BI75+BI98+BI85+BI92+BI93+BI45+BI52</f>
        <v>925.284273675576</v>
      </c>
      <c r="BJ99" s="46" t="n">
        <f aca="false">BJ75+BJ98+BJ85+BJ92+BJ93+BJ45+BJ52</f>
        <v>925.586824959261</v>
      </c>
      <c r="BK99" s="46" t="n">
        <f aca="false">BK75+BK98+BK85+BK92+BK93+BK45+BK52</f>
        <v>933.111666002034</v>
      </c>
      <c r="BL99" s="46" t="n">
        <f aca="false">BL75+BL98+BL85+BL92+BL93+BL45+BL52</f>
        <v>941.980657492127</v>
      </c>
      <c r="BM99" s="46" t="n">
        <f aca="false">BM75+BM98+BM85+BM92+BM93+BM45+BM52</f>
        <v>965.466416242943</v>
      </c>
      <c r="BN99" s="46" t="n">
        <f aca="false">BN75+BN98+BN85+BN92+BN93+BN45+BN52</f>
        <v>966.167101173498</v>
      </c>
      <c r="BO99" s="46" t="n">
        <f aca="false">BO75+BO98+BO85+BO92+BO93+BO45+BO52</f>
        <v>959.324875338402</v>
      </c>
      <c r="BP99" s="46" t="n">
        <f aca="false">BP75+BP98+BP85+BP92+BP93+BP45+BP52</f>
        <v>983.063681970489</v>
      </c>
      <c r="BQ99" s="46" t="n">
        <f aca="false">BQ75+BQ98+BQ85+BQ92+BQ93+BQ45+BQ52</f>
        <v>1007.06069997253</v>
      </c>
      <c r="BR99" s="46" t="n">
        <f aca="false">BR75+BR98+BR85+BR92+BR93+BR45+BR52</f>
        <v>1008.17792259568</v>
      </c>
      <c r="BS99" s="46" t="n">
        <f aca="false">BS75+BS98+BS85+BS92+BS93+BS45+BS52</f>
        <v>1001.49531637584</v>
      </c>
      <c r="BT99" s="46" t="n">
        <f aca="false">BT75+BT98+BT85+BT92+BT93+BT45+BT52</f>
        <v>1025.75738281808</v>
      </c>
      <c r="BU99" s="46" t="n">
        <f aca="false">BU75+BU98+BU85+BU92+BU93+BU45+BU52</f>
        <v>1050.2836233048</v>
      </c>
      <c r="BV99" s="46" t="n">
        <f aca="false">BV75+BV98+BV85+BV92+BV93+BV45+BV52</f>
        <v>1051.83843420126</v>
      </c>
      <c r="BW99" s="46" t="n">
        <f aca="false">BW75+BW98+BW85+BW92+BW93+BW45+BW52</f>
        <v>1045.33392781798</v>
      </c>
      <c r="BX99" s="46" t="n">
        <f aca="false">BX75+BX98+BX85+BX92+BX93+BX45+BX52</f>
        <v>1070.13784143741</v>
      </c>
      <c r="BY99" s="46" t="n">
        <f aca="false">BY75+BY98+BY85+BY92+BY93+BY45+BY52</f>
        <v>1095.21213333433</v>
      </c>
      <c r="BZ99" s="46" t="n">
        <f aca="false">BZ75+BZ98+BZ85+BZ92+BZ93+BZ45+BZ52</f>
        <v>1097.2265645258</v>
      </c>
      <c r="CA99" s="46" t="n">
        <f aca="false">CA75+CA98+CA85+CA92+CA93+CA45+CA52</f>
        <v>1105.60569343063</v>
      </c>
      <c r="CB99" s="46" t="n">
        <f aca="false">CB75+CB98+CB85+CB92+CB93+CB45+CB52</f>
        <v>1116.43412168792</v>
      </c>
      <c r="CC99" s="46" t="n">
        <f aca="false">CC75+CC98+CC85+CC92+CC93+CC45+CC52</f>
        <v>1142.0779856233</v>
      </c>
      <c r="CD99" s="46" t="n">
        <f aca="false">CD75+CD98+CD85+CD92+CD93+CD45+CD52</f>
        <v>1144.57690119722</v>
      </c>
      <c r="CE99" s="46" t="n">
        <f aca="false">CE75+CE98+CE85+CE92+CE93+CE45+CE52</f>
        <v>1138.48970128653</v>
      </c>
      <c r="CF99" s="46" t="n">
        <f aca="false">CF75+CF98+CF85+CF92+CF93+CF45+CF52</f>
        <v>1164.4385527798</v>
      </c>
      <c r="CG99" s="46" t="n">
        <f aca="false">CG75+CG98+CG85+CG92+CG93+CG45+CG52</f>
        <v>1190.67098379767</v>
      </c>
      <c r="CH99" s="46" t="n">
        <f aca="false">CH75+CH98+CH85+CH92+CH93+CH45+CH52</f>
        <v>1193.67680318264</v>
      </c>
      <c r="CI99" s="46" t="n">
        <f aca="false">CI75+CI98+CI85+CI92+CI93+CI45+CI52</f>
        <v>1187.82911004387</v>
      </c>
      <c r="CJ99" s="46" t="n">
        <f aca="false">CJ75+CJ98+CJ85+CJ92+CJ93+CJ45+CJ52</f>
        <v>1214.38122483819</v>
      </c>
      <c r="CK99" s="46" t="n">
        <f aca="false">CK75+CK98+CK85+CK92+CK93+CK45+CK52</f>
        <v>1241.22391959539</v>
      </c>
      <c r="CL99" s="46" t="n">
        <f aca="false">CL75+CL98+CL85+CL92+CL93+CL45+CL52</f>
        <v>1244.76191013568</v>
      </c>
      <c r="CM99" s="46" t="n">
        <f aca="false">CM75+CM98+CM85+CM92+CM93+CM45+CM52</f>
        <v>1239.17628727902</v>
      </c>
      <c r="CN99" s="46" t="n">
        <f aca="false">CN75+CN98+CN85+CN92+CN93+CN45+CN52</f>
        <v>1266.35412246443</v>
      </c>
      <c r="CO99" s="46" t="n">
        <f aca="false">CO75+CO98+CO85+CO92+CO93+CO45+CO52</f>
        <v>1293.82982855368</v>
      </c>
      <c r="CP99" s="46" t="n">
        <f aca="false">CP75+CP98+CP85+CP92+CP93+CP45+CP52</f>
        <v>1297.92643813726</v>
      </c>
      <c r="CQ99" s="46" t="n">
        <f aca="false">CQ75+CQ98+CQ85+CQ92+CQ93+CQ45+CQ52</f>
        <v>1307.43499893903</v>
      </c>
      <c r="CR99" s="46" t="n">
        <f aca="false">CR75+CR98+CR85+CR92+CR93+CR45+CR52</f>
        <v>1320.60367499667</v>
      </c>
      <c r="CS99" s="46" t="n">
        <f aca="false">CS75+CS98+CS85+CS92+CS93+CS45+CS52</f>
        <v>1348.73803430501</v>
      </c>
      <c r="CT99" s="46" t="n">
        <f aca="false">CT75+CT98+CT85+CT92+CT93+CT45+CT52</f>
        <v>1353.42275983301</v>
      </c>
      <c r="CU99" s="46" t="n">
        <f aca="false">CU75+CU98+CU85+CU92+CU93+CU45+CU52</f>
        <v>1334.68786605411</v>
      </c>
      <c r="CV99" s="46" t="n">
        <f aca="false">CV75+CV98+CV85+CV92+CV93+CV45+CV52</f>
        <v>1349.51773123248</v>
      </c>
      <c r="CW99" s="46" t="n">
        <f aca="false">CW75+CW98+CW85+CW92+CW93+CW45+CW52</f>
        <v>1364.34759641086</v>
      </c>
      <c r="CX99" s="46" t="n">
        <f aca="false">CX75+CX98+CX85+CX92+CX93+CX45+CX52</f>
        <v>1355.34409576752</v>
      </c>
      <c r="CY99" s="46" t="n">
        <f aca="false">CY75+CY98+CY85+CY92+CY93+CY45+CY52</f>
        <v>1336.269964196</v>
      </c>
      <c r="CZ99" s="46" t="n">
        <f aca="false">CZ75+CZ98+CZ85+CZ92+CZ93+CZ45+CZ52</f>
        <v>1351.11740824262</v>
      </c>
      <c r="DA99" s="46" t="n">
        <f aca="false">DA75+DA98+DA85+DA92+DA93+DA45+DA52</f>
        <v>1365.96485228925</v>
      </c>
      <c r="DB99" s="46" t="n">
        <f aca="false">DB75+DB98+DB85+DB92+DB93+DB45+DB52</f>
        <v>2348.50779832022</v>
      </c>
      <c r="DC99" s="46" t="n">
        <f aca="false">DC75+DC98+DC85+DC92+DC93+DC45+DC52</f>
        <v>2307.53459973025</v>
      </c>
      <c r="DD99" s="46" t="n">
        <f aca="false">DD75+DD98+DD85+DD92+DD93+DD45+DD52</f>
        <v>2333.17387306058</v>
      </c>
      <c r="DE99" s="46" t="n">
        <f aca="false">DE75+DE98+DE85+DE92+DE93+DE45+DE52</f>
        <v>2358.81314639092</v>
      </c>
      <c r="DF99" s="46" t="n">
        <f aca="false">DF75+DF98+DF85+DF92+DF93+DF45+DF52</f>
        <v>2349.70305544141</v>
      </c>
      <c r="DG99" s="46" t="n">
        <f aca="false">DG75+DG98+DG85+DG92+DG93+DG45+DG52</f>
        <v>2334.0326535103</v>
      </c>
      <c r="DH99" s="46" t="n">
        <f aca="false">DH75+DH98+DH85+DH92+DH93+DH45+DH52</f>
        <v>2334.0326535103</v>
      </c>
      <c r="DI99" s="46" t="n">
        <f aca="false">DI75+DI98+DI85+DI92+DI93+DI45+DI52</f>
        <v>2359.68136398844</v>
      </c>
      <c r="DJ99" s="46" t="n">
        <f aca="false">DJ75+DJ98+DJ85+DJ92+DJ93+DJ45+DJ52</f>
        <v>2350.51782709838</v>
      </c>
      <c r="DK99" s="46" t="n">
        <f aca="false">DK75+DK98+DK85+DK92+DK93+DK45+DK52</f>
        <v>2308.84939057629</v>
      </c>
      <c r="DL99" s="46" t="n">
        <f aca="false">DL75+DL98+DL85+DL92+DL93+DL45+DL52</f>
        <v>2334.50327269381</v>
      </c>
      <c r="DM99" s="46" t="n">
        <f aca="false">DM75+DM98+DM85+DM92+DM93+DM45+DM52</f>
        <v>2360.15715481132</v>
      </c>
      <c r="DN99" s="46" t="n">
        <f aca="false">DN75+DN98+DN85+DN92+DN93+DN45+DN52</f>
        <v>2350.94007822884</v>
      </c>
      <c r="DO99" s="46" t="n">
        <f aca="false">DO75+DO98+DO85+DO92+DO93+DO45+DO52</f>
        <v>2308.91885786123</v>
      </c>
      <c r="DP99" s="46" t="n">
        <f aca="false">DP75+DP98+DP85+DP92+DP93+DP45+DP52</f>
        <v>2334.57351183747</v>
      </c>
      <c r="DQ99" s="46" t="n">
        <f aca="false">DQ75+DQ98+DQ85+DQ92+DQ93+DQ45+DQ52</f>
        <v>2360.2281658137</v>
      </c>
      <c r="DR99" s="46" t="n">
        <f aca="false">DR75+DR98+DR85+DR92+DR93+DR45+DR52</f>
        <v>2350.95746107027</v>
      </c>
      <c r="DS99" s="46" t="n">
        <f aca="false">DS75+DS98+DS85+DS92+DS93+DS45+DS52</f>
        <v>2308.57994671947</v>
      </c>
      <c r="DT99" s="46" t="n">
        <f aca="false">DT75+DT98+DT85+DT92+DT93+DT45+DT52</f>
        <v>2334.23083501635</v>
      </c>
      <c r="DU99" s="46" t="n">
        <f aca="false">DU75+DU98+DU85+DU92+DU93+DU45+DU52</f>
        <v>2359.88172331323</v>
      </c>
      <c r="DV99" s="46" t="n">
        <f aca="false">DV75+DV98+DV85+DV92+DV93+DV45+DV52</f>
        <v>2350.55730739115</v>
      </c>
      <c r="DW99" s="46" t="n">
        <f aca="false">DW75+DW98+DW85+DW92+DW93+DW45+DW52</f>
        <v>2333.46238127704</v>
      </c>
      <c r="DX99" s="46" t="n">
        <f aca="false">DX75+DX98+DX85+DX92+DX93+DX45+DX52</f>
        <v>2333.46238127704</v>
      </c>
      <c r="DY99" s="46" t="n">
        <f aca="false">DY75+DY98+DY85+DY92+DY93+DY45+DY52</f>
        <v>2359.10482502734</v>
      </c>
      <c r="DZ99" s="46" t="n">
        <f aca="false">DZ75+DZ98+DZ85+DZ92+DZ93+DZ45+DZ52</f>
        <v>2349.72662053131</v>
      </c>
      <c r="EA99" s="46" t="n">
        <f aca="false">EA75+EA98+EA85+EA92+EA93+EA45+EA52</f>
        <v>2306.6257812199</v>
      </c>
      <c r="EB99" s="46" t="n">
        <f aca="false">EB75+EB98+EB85+EB92+EB93+EB45+EB52</f>
        <v>2332.25495656679</v>
      </c>
      <c r="EC99" s="46" t="n">
        <f aca="false">EC75+EC98+EC85+EC92+EC93+EC45+EC52</f>
        <v>2357.88413191368</v>
      </c>
      <c r="ED99" s="46" t="n">
        <f aca="false">ED75+ED98+ED85+ED92+ED93+ED45+ED52</f>
        <v>2348.45206724646</v>
      </c>
      <c r="EE99" s="46" t="n">
        <f aca="false">EE75+EE98+EE85+EE92+EE93+EE45+EE52</f>
        <v>2304.98409111847</v>
      </c>
      <c r="EF99" s="46" t="n">
        <f aca="false">EF75+EF98+EF85+EF92+EF93+EF45+EF52</f>
        <v>2330.59502546423</v>
      </c>
      <c r="EG99" s="46" t="n">
        <f aca="false">EG75+EG98+EG85+EG92+EG93+EG45+EG52</f>
        <v>2356.20595980999</v>
      </c>
      <c r="EH99" s="46" t="n">
        <f aca="false">EH75+EH98+EH85+EH92+EH93+EH45+EH52</f>
        <v>2346.7199693523</v>
      </c>
      <c r="EI99" s="46" t="n">
        <f aca="false">EI75+EI98+EI85+EI92+EI93+EI45+EI52</f>
        <v>2302.88113454521</v>
      </c>
      <c r="EJ99" s="46" t="n">
        <f aca="false">EJ75+EJ98+EJ85+EJ92+EJ93+EJ45+EJ52</f>
        <v>2328.46870270682</v>
      </c>
      <c r="EK99" s="46" t="n">
        <f aca="false">EK75+EK98+EK85+EK92+EK93+EK45+EK52</f>
        <v>2354.05627086843</v>
      </c>
      <c r="EL99" s="46" t="n">
        <f aca="false">EL75+EL98+EL85+EL92+EL93+EL45+EL52</f>
        <v>2344.51629516311</v>
      </c>
      <c r="EM99" s="46" t="n">
        <f aca="false">EM75+EM98+EM85+EM92+EM93+EM45+EM52</f>
        <v>2325.86174450996</v>
      </c>
      <c r="EN99" s="46" t="n">
        <f aca="false">EN75+EN98+EN85+EN92+EN93+EN45+EN52</f>
        <v>2325.86174450996</v>
      </c>
      <c r="EO99" s="46" t="n">
        <f aca="false">EO75+EO98+EO85+EO92+EO93+EO45+EO52</f>
        <v>2351.4206647793</v>
      </c>
    </row>
    <row r="100" customFormat="false" ht="15" hidden="false" customHeight="false" outlineLevel="0" collapsed="false">
      <c r="C100" s="0" t="s">
        <v>424</v>
      </c>
      <c r="D100" s="11" t="s">
        <v>33</v>
      </c>
      <c r="J100" s="19" t="n">
        <f aca="false">I104</f>
        <v>0</v>
      </c>
      <c r="K100" s="19" t="n">
        <f aca="false">J104</f>
        <v>11.6750159504597</v>
      </c>
      <c r="L100" s="19" t="n">
        <f aca="false">K104</f>
        <v>26.4857496716082</v>
      </c>
      <c r="M100" s="19" t="n">
        <f aca="false">L104</f>
        <v>51.4445787202102</v>
      </c>
      <c r="N100" s="19" t="n">
        <f aca="false">M104</f>
        <v>76.6776806155001</v>
      </c>
      <c r="O100" s="19" t="n">
        <f aca="false">N104</f>
        <v>101.91078251079</v>
      </c>
      <c r="P100" s="19" t="n">
        <f aca="false">O104</f>
        <v>126.869611559392</v>
      </c>
      <c r="Q100" s="19" t="n">
        <f aca="false">P104</f>
        <v>151.828440607994</v>
      </c>
      <c r="R100" s="19" t="n">
        <f aca="false">Q104</f>
        <v>177.061542503284</v>
      </c>
      <c r="S100" s="19" t="n">
        <f aca="false">R104</f>
        <v>1262.19352711427</v>
      </c>
      <c r="T100" s="19" t="n">
        <f aca="false">S104</f>
        <v>1426.37317943863</v>
      </c>
      <c r="U100" s="19" t="n">
        <f aca="false">T104</f>
        <v>1567.81092802336</v>
      </c>
      <c r="V100" s="19" t="n">
        <f aca="false">U104</f>
        <v>1698.78419634117</v>
      </c>
      <c r="W100" s="19" t="n">
        <f aca="false">V104</f>
        <v>1817.60664933903</v>
      </c>
      <c r="X100" s="19" t="n">
        <f aca="false">W104</f>
        <v>1923.00126954451</v>
      </c>
      <c r="Y100" s="19" t="n">
        <f aca="false">X104</f>
        <v>2017.80947682871</v>
      </c>
      <c r="Z100" s="19" t="n">
        <f aca="false">Y104</f>
        <v>2101.64079130422</v>
      </c>
      <c r="AA100" s="19" t="n">
        <f aca="false">Z104</f>
        <v>1803.31477266759</v>
      </c>
      <c r="AB100" s="19" t="n">
        <f aca="false">AA104</f>
        <v>1508.50419283764</v>
      </c>
      <c r="AC100" s="19" t="n">
        <f aca="false">AB104</f>
        <v>1204.13933597212</v>
      </c>
      <c r="AD100" s="19" t="n">
        <f aca="false">AC104</f>
        <v>890.113316306204</v>
      </c>
      <c r="AE100" s="19" t="n">
        <f aca="false">AD104</f>
        <v>577.192524156807</v>
      </c>
      <c r="AF100" s="19" t="n">
        <f aca="false">AE104</f>
        <v>260.896974209409</v>
      </c>
      <c r="AG100" s="19" t="n">
        <f aca="false">AF104</f>
        <v>0</v>
      </c>
      <c r="AH100" s="19" t="n">
        <f aca="false">AG104</f>
        <v>0</v>
      </c>
      <c r="AI100" s="19" t="n">
        <f aca="false">AH104</f>
        <v>0</v>
      </c>
      <c r="AJ100" s="19" t="n">
        <f aca="false">AI104</f>
        <v>0</v>
      </c>
      <c r="AK100" s="19" t="n">
        <f aca="false">AJ104</f>
        <v>0</v>
      </c>
      <c r="AL100" s="19" t="n">
        <f aca="false">AK104</f>
        <v>0</v>
      </c>
      <c r="AM100" s="19" t="n">
        <f aca="false">AL104</f>
        <v>0</v>
      </c>
      <c r="AN100" s="19" t="n">
        <f aca="false">AM104</f>
        <v>0</v>
      </c>
      <c r="AO100" s="19" t="n">
        <f aca="false">AN104</f>
        <v>0</v>
      </c>
      <c r="AP100" s="19" t="n">
        <f aca="false">AO104</f>
        <v>0</v>
      </c>
      <c r="AQ100" s="19" t="n">
        <f aca="false">AP104</f>
        <v>0</v>
      </c>
      <c r="AR100" s="19" t="n">
        <f aca="false">AQ104</f>
        <v>0</v>
      </c>
      <c r="AS100" s="19" t="n">
        <f aca="false">AR104</f>
        <v>0</v>
      </c>
      <c r="AT100" s="19" t="n">
        <f aca="false">AS104</f>
        <v>0</v>
      </c>
      <c r="AU100" s="19" t="n">
        <f aca="false">AT104</f>
        <v>0</v>
      </c>
      <c r="AV100" s="19" t="n">
        <f aca="false">AU104</f>
        <v>0</v>
      </c>
      <c r="AW100" s="19" t="n">
        <f aca="false">AV104</f>
        <v>0</v>
      </c>
      <c r="AX100" s="19" t="n">
        <f aca="false">AW104</f>
        <v>0</v>
      </c>
      <c r="AY100" s="19" t="n">
        <f aca="false">AX104</f>
        <v>0</v>
      </c>
      <c r="AZ100" s="19" t="n">
        <f aca="false">AY104</f>
        <v>0</v>
      </c>
      <c r="BA100" s="19" t="n">
        <f aca="false">AZ104</f>
        <v>0</v>
      </c>
      <c r="BB100" s="19" t="n">
        <f aca="false">BA104</f>
        <v>0</v>
      </c>
      <c r="BC100" s="19" t="n">
        <f aca="false">BB104</f>
        <v>0</v>
      </c>
      <c r="BD100" s="19" t="n">
        <f aca="false">BC104</f>
        <v>0</v>
      </c>
      <c r="BE100" s="19" t="n">
        <f aca="false">BD104</f>
        <v>0</v>
      </c>
      <c r="BF100" s="19" t="n">
        <f aca="false">BE104</f>
        <v>0</v>
      </c>
      <c r="BG100" s="19" t="n">
        <f aca="false">BF104</f>
        <v>0</v>
      </c>
      <c r="BH100" s="19" t="n">
        <f aca="false">BG104</f>
        <v>0</v>
      </c>
      <c r="BI100" s="19" t="n">
        <f aca="false">BH104</f>
        <v>0</v>
      </c>
      <c r="BJ100" s="19" t="n">
        <f aca="false">BI104</f>
        <v>0</v>
      </c>
      <c r="BK100" s="19" t="n">
        <f aca="false">BJ104</f>
        <v>0</v>
      </c>
      <c r="BL100" s="19" t="n">
        <f aca="false">BK104</f>
        <v>0</v>
      </c>
      <c r="BM100" s="19" t="n">
        <f aca="false">BL104</f>
        <v>0</v>
      </c>
      <c r="BN100" s="19" t="n">
        <f aca="false">BM104</f>
        <v>0</v>
      </c>
      <c r="BO100" s="19" t="n">
        <f aca="false">BN104</f>
        <v>0</v>
      </c>
      <c r="BP100" s="19" t="n">
        <f aca="false">BO104</f>
        <v>0</v>
      </c>
      <c r="BQ100" s="19" t="n">
        <f aca="false">BP104</f>
        <v>0</v>
      </c>
      <c r="BR100" s="19" t="n">
        <f aca="false">BQ104</f>
        <v>0</v>
      </c>
      <c r="BS100" s="19" t="n">
        <f aca="false">BR104</f>
        <v>0</v>
      </c>
      <c r="BT100" s="19" t="n">
        <f aca="false">BS104</f>
        <v>0</v>
      </c>
      <c r="BU100" s="19" t="n">
        <f aca="false">BT104</f>
        <v>0</v>
      </c>
      <c r="BV100" s="19" t="n">
        <f aca="false">BU104</f>
        <v>0</v>
      </c>
      <c r="BW100" s="19" t="n">
        <f aca="false">BV104</f>
        <v>0</v>
      </c>
      <c r="BX100" s="19" t="n">
        <f aca="false">BW104</f>
        <v>0</v>
      </c>
      <c r="BY100" s="19" t="n">
        <f aca="false">BX104</f>
        <v>0</v>
      </c>
      <c r="BZ100" s="19" t="n">
        <f aca="false">BY104</f>
        <v>0</v>
      </c>
      <c r="CA100" s="19" t="n">
        <f aca="false">BZ104</f>
        <v>0</v>
      </c>
      <c r="CB100" s="19" t="n">
        <f aca="false">CA104</f>
        <v>0</v>
      </c>
      <c r="CC100" s="19" t="n">
        <f aca="false">CB104</f>
        <v>0</v>
      </c>
      <c r="CD100" s="19" t="n">
        <f aca="false">CC104</f>
        <v>0</v>
      </c>
      <c r="CE100" s="19" t="n">
        <f aca="false">CD104</f>
        <v>0</v>
      </c>
      <c r="CF100" s="19" t="n">
        <f aca="false">CE104</f>
        <v>0</v>
      </c>
      <c r="CG100" s="19" t="n">
        <f aca="false">CF104</f>
        <v>0</v>
      </c>
      <c r="CH100" s="19" t="n">
        <f aca="false">CG104</f>
        <v>0</v>
      </c>
      <c r="CI100" s="19" t="n">
        <f aca="false">CH104</f>
        <v>0</v>
      </c>
      <c r="CJ100" s="19" t="n">
        <f aca="false">CI104</f>
        <v>0</v>
      </c>
      <c r="CK100" s="19" t="n">
        <f aca="false">CJ104</f>
        <v>0</v>
      </c>
      <c r="CL100" s="19" t="n">
        <f aca="false">CK104</f>
        <v>0</v>
      </c>
      <c r="CM100" s="19" t="n">
        <f aca="false">CL104</f>
        <v>0</v>
      </c>
      <c r="CN100" s="19" t="n">
        <f aca="false">CM104</f>
        <v>0</v>
      </c>
      <c r="CO100" s="19" t="n">
        <f aca="false">CN104</f>
        <v>0</v>
      </c>
      <c r="CP100" s="19" t="n">
        <f aca="false">CO104</f>
        <v>0</v>
      </c>
      <c r="CQ100" s="19" t="n">
        <f aca="false">CP104</f>
        <v>0</v>
      </c>
      <c r="CR100" s="19" t="n">
        <f aca="false">CQ104</f>
        <v>0</v>
      </c>
      <c r="CS100" s="19" t="n">
        <f aca="false">CR104</f>
        <v>0</v>
      </c>
      <c r="CT100" s="19" t="n">
        <f aca="false">CS104</f>
        <v>0</v>
      </c>
      <c r="CU100" s="19" t="n">
        <f aca="false">CT104</f>
        <v>0</v>
      </c>
      <c r="CV100" s="19" t="n">
        <f aca="false">CU104</f>
        <v>0</v>
      </c>
      <c r="CW100" s="19" t="n">
        <f aca="false">CV104</f>
        <v>0</v>
      </c>
      <c r="CX100" s="19" t="n">
        <f aca="false">CW104</f>
        <v>0</v>
      </c>
      <c r="CY100" s="19" t="n">
        <f aca="false">CX104</f>
        <v>0</v>
      </c>
      <c r="CZ100" s="19" t="n">
        <f aca="false">CY104</f>
        <v>0</v>
      </c>
      <c r="DA100" s="19" t="n">
        <f aca="false">CZ104</f>
        <v>0</v>
      </c>
      <c r="DB100" s="19" t="n">
        <f aca="false">DA104</f>
        <v>0</v>
      </c>
      <c r="DC100" s="19" t="n">
        <f aca="false">DB104</f>
        <v>0</v>
      </c>
      <c r="DD100" s="19" t="n">
        <f aca="false">DC104</f>
        <v>0</v>
      </c>
      <c r="DE100" s="19" t="n">
        <f aca="false">DD104</f>
        <v>0</v>
      </c>
      <c r="DF100" s="19" t="n">
        <f aca="false">DE104</f>
        <v>0</v>
      </c>
      <c r="DG100" s="19" t="n">
        <f aca="false">DF104</f>
        <v>0</v>
      </c>
      <c r="DH100" s="19" t="n">
        <f aca="false">DG104</f>
        <v>0</v>
      </c>
      <c r="DI100" s="19" t="n">
        <f aca="false">DH104</f>
        <v>0</v>
      </c>
      <c r="DJ100" s="19" t="n">
        <f aca="false">DI104</f>
        <v>0</v>
      </c>
      <c r="DK100" s="19" t="n">
        <f aca="false">DJ104</f>
        <v>0</v>
      </c>
      <c r="DL100" s="19" t="n">
        <f aca="false">DK104</f>
        <v>0</v>
      </c>
      <c r="DM100" s="19" t="n">
        <f aca="false">DL104</f>
        <v>0</v>
      </c>
      <c r="DN100" s="19" t="n">
        <f aca="false">DM104</f>
        <v>0</v>
      </c>
      <c r="DO100" s="19" t="n">
        <f aca="false">DN104</f>
        <v>0</v>
      </c>
      <c r="DP100" s="19" t="n">
        <f aca="false">DO104</f>
        <v>0</v>
      </c>
      <c r="DQ100" s="19" t="n">
        <f aca="false">DP104</f>
        <v>0</v>
      </c>
      <c r="DR100" s="19" t="n">
        <f aca="false">DQ104</f>
        <v>0</v>
      </c>
      <c r="DS100" s="19" t="n">
        <f aca="false">DR104</f>
        <v>0</v>
      </c>
      <c r="DT100" s="19" t="n">
        <f aca="false">DS104</f>
        <v>0</v>
      </c>
      <c r="DU100" s="19" t="n">
        <f aca="false">DT104</f>
        <v>0</v>
      </c>
      <c r="DV100" s="19" t="n">
        <f aca="false">DU104</f>
        <v>0</v>
      </c>
      <c r="DW100" s="19" t="n">
        <f aca="false">DV104</f>
        <v>0</v>
      </c>
      <c r="DX100" s="19" t="n">
        <f aca="false">DW104</f>
        <v>0</v>
      </c>
      <c r="DY100" s="19" t="n">
        <f aca="false">DX104</f>
        <v>0</v>
      </c>
      <c r="DZ100" s="19" t="n">
        <f aca="false">DY104</f>
        <v>0</v>
      </c>
      <c r="EA100" s="19" t="n">
        <f aca="false">DZ104</f>
        <v>0</v>
      </c>
      <c r="EB100" s="19" t="n">
        <f aca="false">EA104</f>
        <v>0</v>
      </c>
      <c r="EC100" s="19" t="n">
        <f aca="false">EB104</f>
        <v>0</v>
      </c>
      <c r="ED100" s="19" t="n">
        <f aca="false">EC104</f>
        <v>0</v>
      </c>
      <c r="EE100" s="19" t="n">
        <f aca="false">ED104</f>
        <v>0</v>
      </c>
      <c r="EF100" s="19" t="n">
        <f aca="false">EE104</f>
        <v>0</v>
      </c>
      <c r="EG100" s="19" t="n">
        <f aca="false">EF104</f>
        <v>0</v>
      </c>
      <c r="EH100" s="19" t="n">
        <f aca="false">EG104</f>
        <v>0</v>
      </c>
      <c r="EI100" s="19" t="n">
        <f aca="false">EH104</f>
        <v>0</v>
      </c>
      <c r="EJ100" s="19" t="n">
        <f aca="false">EI104</f>
        <v>0</v>
      </c>
      <c r="EK100" s="19" t="n">
        <f aca="false">EJ104</f>
        <v>0</v>
      </c>
      <c r="EL100" s="19" t="n">
        <f aca="false">EK104</f>
        <v>0</v>
      </c>
      <c r="EM100" s="19" t="n">
        <f aca="false">EL104</f>
        <v>0</v>
      </c>
      <c r="EN100" s="19" t="n">
        <f aca="false">EM104</f>
        <v>0</v>
      </c>
      <c r="EO100" s="19" t="n">
        <f aca="false">EN104</f>
        <v>0</v>
      </c>
    </row>
    <row r="101" customFormat="false" ht="15" hidden="false" customHeight="false" outlineLevel="0" collapsed="false">
      <c r="C101" s="0" t="s">
        <v>425</v>
      </c>
      <c r="D101" s="11" t="s">
        <v>33</v>
      </c>
      <c r="I101" s="46" t="n">
        <f aca="false">SUM(J101:EO101)</f>
        <v>2101.64079130422</v>
      </c>
      <c r="J101" s="46" t="n">
        <f aca="false">MAX(0,-J99)</f>
        <v>11.6750159504597</v>
      </c>
      <c r="K101" s="46" t="n">
        <f aca="false">MAX(0,-K99)</f>
        <v>14.8107337211484</v>
      </c>
      <c r="L101" s="46" t="n">
        <f aca="false">MAX(0,-L99)</f>
        <v>24.958829048602</v>
      </c>
      <c r="M101" s="46" t="n">
        <f aca="false">MAX(0,-M99)</f>
        <v>25.2331018952899</v>
      </c>
      <c r="N101" s="46" t="n">
        <f aca="false">MAX(0,-N99)</f>
        <v>25.2331018952899</v>
      </c>
      <c r="O101" s="46" t="n">
        <f aca="false">MAX(0,-O99)</f>
        <v>24.958829048602</v>
      </c>
      <c r="P101" s="46" t="n">
        <f aca="false">MAX(0,-P99)</f>
        <v>24.958829048602</v>
      </c>
      <c r="Q101" s="46" t="n">
        <f aca="false">MAX(0,-Q99)</f>
        <v>25.2331018952899</v>
      </c>
      <c r="R101" s="46" t="n">
        <f aca="false">MAX(0,-R99)</f>
        <v>1085.13198461099</v>
      </c>
      <c r="S101" s="46" t="n">
        <f aca="false">MAX(0,-S99)</f>
        <v>164.179652324355</v>
      </c>
      <c r="T101" s="46" t="n">
        <f aca="false">MAX(0,-T99)</f>
        <v>141.437748584734</v>
      </c>
      <c r="U101" s="46" t="n">
        <f aca="false">MAX(0,-U99)</f>
        <v>130.97326831781</v>
      </c>
      <c r="V101" s="46" t="n">
        <f aca="false">MAX(0,-V99)</f>
        <v>118.822452997863</v>
      </c>
      <c r="W101" s="46" t="n">
        <f aca="false">MAX(0,-W99)</f>
        <v>105.394620205479</v>
      </c>
      <c r="X101" s="46" t="n">
        <f aca="false">MAX(0,-X99)</f>
        <v>94.8082072841997</v>
      </c>
      <c r="Y101" s="46" t="n">
        <f aca="false">MAX(0,-Y99)</f>
        <v>83.8313144755114</v>
      </c>
      <c r="Z101" s="46" t="n">
        <f aca="false">MAX(0,-Z99)</f>
        <v>0</v>
      </c>
      <c r="AA101" s="46" t="n">
        <f aca="false">MAX(0,-AA99)</f>
        <v>0</v>
      </c>
      <c r="AB101" s="46" t="n">
        <f aca="false">MAX(0,-AB99)</f>
        <v>0</v>
      </c>
      <c r="AC101" s="46" t="n">
        <f aca="false">MAX(0,-AC99)</f>
        <v>0</v>
      </c>
      <c r="AD101" s="46" t="n">
        <f aca="false">MAX(0,-AD99)</f>
        <v>0</v>
      </c>
      <c r="AE101" s="46" t="n">
        <f aca="false">MAX(0,-AE99)</f>
        <v>0</v>
      </c>
      <c r="AF101" s="46" t="n">
        <f aca="false">MAX(0,-AF99)</f>
        <v>0</v>
      </c>
      <c r="AG101" s="46" t="n">
        <f aca="false">MAX(0,-AG99)</f>
        <v>0</v>
      </c>
      <c r="AH101" s="46" t="n">
        <f aca="false">MAX(0,-AH99)</f>
        <v>0</v>
      </c>
      <c r="AI101" s="46" t="n">
        <f aca="false">MAX(0,-AI99)</f>
        <v>0</v>
      </c>
      <c r="AJ101" s="46" t="n">
        <f aca="false">MAX(0,-AJ99)</f>
        <v>0</v>
      </c>
      <c r="AK101" s="46" t="n">
        <f aca="false">MAX(0,-AK99)</f>
        <v>0</v>
      </c>
      <c r="AL101" s="46" t="n">
        <f aca="false">MAX(0,-AL99)</f>
        <v>0</v>
      </c>
      <c r="AM101" s="46" t="n">
        <f aca="false">MAX(0,-AM99)</f>
        <v>0</v>
      </c>
      <c r="AN101" s="46" t="n">
        <f aca="false">MAX(0,-AN99)</f>
        <v>0</v>
      </c>
      <c r="AO101" s="46" t="n">
        <f aca="false">MAX(0,-AO99)</f>
        <v>0</v>
      </c>
      <c r="AP101" s="46" t="n">
        <f aca="false">MAX(0,-AP99)</f>
        <v>0</v>
      </c>
      <c r="AQ101" s="46" t="n">
        <f aca="false">MAX(0,-AQ99)</f>
        <v>0</v>
      </c>
      <c r="AR101" s="46" t="n">
        <f aca="false">MAX(0,-AR99)</f>
        <v>0</v>
      </c>
      <c r="AS101" s="46" t="n">
        <f aca="false">MAX(0,-AS99)</f>
        <v>0</v>
      </c>
      <c r="AT101" s="46" t="n">
        <f aca="false">MAX(0,-AT99)</f>
        <v>0</v>
      </c>
      <c r="AU101" s="46" t="n">
        <f aca="false">MAX(0,-AU99)</f>
        <v>0</v>
      </c>
      <c r="AV101" s="46" t="n">
        <f aca="false">MAX(0,-AV99)</f>
        <v>0</v>
      </c>
      <c r="AW101" s="46" t="n">
        <f aca="false">MAX(0,-AW99)</f>
        <v>0</v>
      </c>
      <c r="AX101" s="46" t="n">
        <f aca="false">MAX(0,-AX99)</f>
        <v>0</v>
      </c>
      <c r="AY101" s="46" t="n">
        <f aca="false">MAX(0,-AY99)</f>
        <v>0</v>
      </c>
      <c r="AZ101" s="46" t="n">
        <f aca="false">MAX(0,-AZ99)</f>
        <v>0</v>
      </c>
      <c r="BA101" s="46" t="n">
        <f aca="false">MAX(0,-BA99)</f>
        <v>0</v>
      </c>
      <c r="BB101" s="46" t="n">
        <f aca="false">MAX(0,-BB99)</f>
        <v>0</v>
      </c>
      <c r="BC101" s="46" t="n">
        <f aca="false">MAX(0,-BC99)</f>
        <v>0</v>
      </c>
      <c r="BD101" s="46" t="n">
        <f aca="false">MAX(0,-BD99)</f>
        <v>0</v>
      </c>
      <c r="BE101" s="46" t="n">
        <f aca="false">MAX(0,-BE99)</f>
        <v>0</v>
      </c>
      <c r="BF101" s="46" t="n">
        <f aca="false">MAX(0,-BF99)</f>
        <v>0</v>
      </c>
      <c r="BG101" s="46" t="n">
        <f aca="false">MAX(0,-BG99)</f>
        <v>0</v>
      </c>
      <c r="BH101" s="46" t="n">
        <f aca="false">MAX(0,-BH99)</f>
        <v>0</v>
      </c>
      <c r="BI101" s="46" t="n">
        <f aca="false">MAX(0,-BI99)</f>
        <v>0</v>
      </c>
      <c r="BJ101" s="46" t="n">
        <f aca="false">MAX(0,-BJ99)</f>
        <v>0</v>
      </c>
      <c r="BK101" s="46" t="n">
        <f aca="false">MAX(0,-BK99)</f>
        <v>0</v>
      </c>
      <c r="BL101" s="46" t="n">
        <f aca="false">MAX(0,-BL99)</f>
        <v>0</v>
      </c>
      <c r="BM101" s="46" t="n">
        <f aca="false">MAX(0,-BM99)</f>
        <v>0</v>
      </c>
      <c r="BN101" s="46" t="n">
        <f aca="false">MAX(0,-BN99)</f>
        <v>0</v>
      </c>
      <c r="BO101" s="46" t="n">
        <f aca="false">MAX(0,-BO99)</f>
        <v>0</v>
      </c>
      <c r="BP101" s="46" t="n">
        <f aca="false">MAX(0,-BP99)</f>
        <v>0</v>
      </c>
      <c r="BQ101" s="46" t="n">
        <f aca="false">MAX(0,-BQ99)</f>
        <v>0</v>
      </c>
      <c r="BR101" s="46" t="n">
        <f aca="false">MAX(0,-BR99)</f>
        <v>0</v>
      </c>
      <c r="BS101" s="46" t="n">
        <f aca="false">MAX(0,-BS99)</f>
        <v>0</v>
      </c>
      <c r="BT101" s="46" t="n">
        <f aca="false">MAX(0,-BT99)</f>
        <v>0</v>
      </c>
      <c r="BU101" s="46" t="n">
        <f aca="false">MAX(0,-BU99)</f>
        <v>0</v>
      </c>
      <c r="BV101" s="46" t="n">
        <f aca="false">MAX(0,-BV99)</f>
        <v>0</v>
      </c>
      <c r="BW101" s="46" t="n">
        <f aca="false">MAX(0,-BW99)</f>
        <v>0</v>
      </c>
      <c r="BX101" s="46" t="n">
        <f aca="false">MAX(0,-BX99)</f>
        <v>0</v>
      </c>
      <c r="BY101" s="46" t="n">
        <f aca="false">MAX(0,-BY99)</f>
        <v>0</v>
      </c>
      <c r="BZ101" s="46" t="n">
        <f aca="false">MAX(0,-BZ99)</f>
        <v>0</v>
      </c>
      <c r="CA101" s="46" t="n">
        <f aca="false">MAX(0,-CA99)</f>
        <v>0</v>
      </c>
      <c r="CB101" s="46" t="n">
        <f aca="false">MAX(0,-CB99)</f>
        <v>0</v>
      </c>
      <c r="CC101" s="46" t="n">
        <f aca="false">MAX(0,-CC99)</f>
        <v>0</v>
      </c>
      <c r="CD101" s="46" t="n">
        <f aca="false">MAX(0,-CD99)</f>
        <v>0</v>
      </c>
      <c r="CE101" s="46" t="n">
        <f aca="false">MAX(0,-CE99)</f>
        <v>0</v>
      </c>
      <c r="CF101" s="46" t="n">
        <f aca="false">MAX(0,-CF99)</f>
        <v>0</v>
      </c>
      <c r="CG101" s="46" t="n">
        <f aca="false">MAX(0,-CG99)</f>
        <v>0</v>
      </c>
      <c r="CH101" s="46" t="n">
        <f aca="false">MAX(0,-CH99)</f>
        <v>0</v>
      </c>
      <c r="CI101" s="46" t="n">
        <f aca="false">MAX(0,-CI99)</f>
        <v>0</v>
      </c>
      <c r="CJ101" s="46" t="n">
        <f aca="false">MAX(0,-CJ99)</f>
        <v>0</v>
      </c>
      <c r="CK101" s="46" t="n">
        <f aca="false">MAX(0,-CK99)</f>
        <v>0</v>
      </c>
      <c r="CL101" s="46" t="n">
        <f aca="false">MAX(0,-CL99)</f>
        <v>0</v>
      </c>
      <c r="CM101" s="46" t="n">
        <f aca="false">MAX(0,-CM99)</f>
        <v>0</v>
      </c>
      <c r="CN101" s="46" t="n">
        <f aca="false">MAX(0,-CN99)</f>
        <v>0</v>
      </c>
      <c r="CO101" s="46" t="n">
        <f aca="false">MAX(0,-CO99)</f>
        <v>0</v>
      </c>
      <c r="CP101" s="46" t="n">
        <f aca="false">MAX(0,-CP99)</f>
        <v>0</v>
      </c>
      <c r="CQ101" s="46" t="n">
        <f aca="false">MAX(0,-CQ99)</f>
        <v>0</v>
      </c>
      <c r="CR101" s="46" t="n">
        <f aca="false">MAX(0,-CR99)</f>
        <v>0</v>
      </c>
      <c r="CS101" s="46" t="n">
        <f aca="false">MAX(0,-CS99)</f>
        <v>0</v>
      </c>
      <c r="CT101" s="46" t="n">
        <f aca="false">MAX(0,-CT99)</f>
        <v>0</v>
      </c>
      <c r="CU101" s="46" t="n">
        <f aca="false">MAX(0,-CU99)</f>
        <v>0</v>
      </c>
      <c r="CV101" s="46" t="n">
        <f aca="false">MAX(0,-CV99)</f>
        <v>0</v>
      </c>
      <c r="CW101" s="46" t="n">
        <f aca="false">MAX(0,-CW99)</f>
        <v>0</v>
      </c>
      <c r="CX101" s="46" t="n">
        <f aca="false">MAX(0,-CX99)</f>
        <v>0</v>
      </c>
      <c r="CY101" s="46" t="n">
        <f aca="false">MAX(0,-CY99)</f>
        <v>0</v>
      </c>
      <c r="CZ101" s="46" t="n">
        <f aca="false">MAX(0,-CZ99)</f>
        <v>0</v>
      </c>
      <c r="DA101" s="46" t="n">
        <f aca="false">MAX(0,-DA99)</f>
        <v>0</v>
      </c>
      <c r="DB101" s="46" t="n">
        <f aca="false">MAX(0,-DB99)</f>
        <v>0</v>
      </c>
      <c r="DC101" s="46" t="n">
        <f aca="false">MAX(0,-DC99)</f>
        <v>0</v>
      </c>
      <c r="DD101" s="46" t="n">
        <f aca="false">MAX(0,-DD99)</f>
        <v>0</v>
      </c>
      <c r="DE101" s="46" t="n">
        <f aca="false">MAX(0,-DE99)</f>
        <v>0</v>
      </c>
      <c r="DF101" s="46" t="n">
        <f aca="false">MAX(0,-DF99)</f>
        <v>0</v>
      </c>
      <c r="DG101" s="46" t="n">
        <f aca="false">MAX(0,-DG99)</f>
        <v>0</v>
      </c>
      <c r="DH101" s="46" t="n">
        <f aca="false">MAX(0,-DH99)</f>
        <v>0</v>
      </c>
      <c r="DI101" s="46" t="n">
        <f aca="false">MAX(0,-DI99)</f>
        <v>0</v>
      </c>
      <c r="DJ101" s="46" t="n">
        <f aca="false">MAX(0,-DJ99)</f>
        <v>0</v>
      </c>
      <c r="DK101" s="46" t="n">
        <f aca="false">MAX(0,-DK99)</f>
        <v>0</v>
      </c>
      <c r="DL101" s="46" t="n">
        <f aca="false">MAX(0,-DL99)</f>
        <v>0</v>
      </c>
      <c r="DM101" s="46" t="n">
        <f aca="false">MAX(0,-DM99)</f>
        <v>0</v>
      </c>
      <c r="DN101" s="46" t="n">
        <f aca="false">MAX(0,-DN99)</f>
        <v>0</v>
      </c>
      <c r="DO101" s="46" t="n">
        <f aca="false">MAX(0,-DO99)</f>
        <v>0</v>
      </c>
      <c r="DP101" s="46" t="n">
        <f aca="false">MAX(0,-DP99)</f>
        <v>0</v>
      </c>
      <c r="DQ101" s="46" t="n">
        <f aca="false">MAX(0,-DQ99)</f>
        <v>0</v>
      </c>
      <c r="DR101" s="46" t="n">
        <f aca="false">MAX(0,-DR99)</f>
        <v>0</v>
      </c>
      <c r="DS101" s="46" t="n">
        <f aca="false">MAX(0,-DS99)</f>
        <v>0</v>
      </c>
      <c r="DT101" s="46" t="n">
        <f aca="false">MAX(0,-DT99)</f>
        <v>0</v>
      </c>
      <c r="DU101" s="46" t="n">
        <f aca="false">MAX(0,-DU99)</f>
        <v>0</v>
      </c>
      <c r="DV101" s="46" t="n">
        <f aca="false">MAX(0,-DV99)</f>
        <v>0</v>
      </c>
      <c r="DW101" s="46" t="n">
        <f aca="false">MAX(0,-DW99)</f>
        <v>0</v>
      </c>
      <c r="DX101" s="46" t="n">
        <f aca="false">MAX(0,-DX99)</f>
        <v>0</v>
      </c>
      <c r="DY101" s="46" t="n">
        <f aca="false">MAX(0,-DY99)</f>
        <v>0</v>
      </c>
      <c r="DZ101" s="46" t="n">
        <f aca="false">MAX(0,-DZ99)</f>
        <v>0</v>
      </c>
      <c r="EA101" s="46" t="n">
        <f aca="false">MAX(0,-EA99)</f>
        <v>0</v>
      </c>
      <c r="EB101" s="46" t="n">
        <f aca="false">MAX(0,-EB99)</f>
        <v>0</v>
      </c>
      <c r="EC101" s="46" t="n">
        <f aca="false">MAX(0,-EC99)</f>
        <v>0</v>
      </c>
      <c r="ED101" s="46" t="n">
        <f aca="false">MAX(0,-ED99)</f>
        <v>0</v>
      </c>
      <c r="EE101" s="46" t="n">
        <f aca="false">MAX(0,-EE99)</f>
        <v>0</v>
      </c>
      <c r="EF101" s="46" t="n">
        <f aca="false">MAX(0,-EF99)</f>
        <v>0</v>
      </c>
      <c r="EG101" s="46" t="n">
        <f aca="false">MAX(0,-EG99)</f>
        <v>0</v>
      </c>
      <c r="EH101" s="46" t="n">
        <f aca="false">MAX(0,-EH99)</f>
        <v>0</v>
      </c>
      <c r="EI101" s="46" t="n">
        <f aca="false">MAX(0,-EI99)</f>
        <v>0</v>
      </c>
      <c r="EJ101" s="46" t="n">
        <f aca="false">MAX(0,-EJ99)</f>
        <v>0</v>
      </c>
      <c r="EK101" s="46" t="n">
        <f aca="false">MAX(0,-EK99)</f>
        <v>0</v>
      </c>
      <c r="EL101" s="46" t="n">
        <f aca="false">MAX(0,-EL99)</f>
        <v>0</v>
      </c>
      <c r="EM101" s="46" t="n">
        <f aca="false">MAX(0,-EM99)</f>
        <v>0</v>
      </c>
      <c r="EN101" s="46" t="n">
        <f aca="false">MAX(0,-EN99)</f>
        <v>0</v>
      </c>
      <c r="EO101" s="46" t="n">
        <f aca="false">MAX(0,-EO99)</f>
        <v>0</v>
      </c>
    </row>
    <row r="102" customFormat="false" ht="15" hidden="false" customHeight="false" outlineLevel="0" collapsed="false">
      <c r="C102" s="0" t="s">
        <v>426</v>
      </c>
      <c r="D102" s="11" t="s">
        <v>33</v>
      </c>
      <c r="I102" s="46" t="n">
        <f aca="false">SUM(J102:EO102)</f>
        <v>-2101.64079130422</v>
      </c>
      <c r="J102" s="46" t="n">
        <f aca="false">-MIN(J100,In_Loss_Cap*MAX(0,J99))</f>
        <v>-0</v>
      </c>
      <c r="K102" s="46" t="n">
        <f aca="false">-MIN(K100,In_Loss_Cap*MAX(0,K99))</f>
        <v>-0</v>
      </c>
      <c r="L102" s="46" t="n">
        <f aca="false">-MIN(L100,In_Loss_Cap*MAX(0,L99))</f>
        <v>-0</v>
      </c>
      <c r="M102" s="46" t="n">
        <f aca="false">-MIN(M100,In_Loss_Cap*MAX(0,M99))</f>
        <v>-0</v>
      </c>
      <c r="N102" s="46" t="n">
        <f aca="false">-MIN(N100,In_Loss_Cap*MAX(0,N99))</f>
        <v>-0</v>
      </c>
      <c r="O102" s="46" t="n">
        <f aca="false">-MIN(O100,In_Loss_Cap*MAX(0,O99))</f>
        <v>-0</v>
      </c>
      <c r="P102" s="46" t="n">
        <f aca="false">-MIN(P100,In_Loss_Cap*MAX(0,P99))</f>
        <v>-0</v>
      </c>
      <c r="Q102" s="46" t="n">
        <f aca="false">-MIN(Q100,In_Loss_Cap*MAX(0,Q99))</f>
        <v>-0</v>
      </c>
      <c r="R102" s="46" t="n">
        <f aca="false">-MIN(R100,In_Loss_Cap*MAX(0,R99))</f>
        <v>-0</v>
      </c>
      <c r="S102" s="46" t="n">
        <f aca="false">-MIN(S100,In_Loss_Cap*MAX(0,S99))</f>
        <v>-0</v>
      </c>
      <c r="T102" s="46" t="n">
        <f aca="false">-MIN(T100,In_Loss_Cap*MAX(0,T99))</f>
        <v>-0</v>
      </c>
      <c r="U102" s="46" t="n">
        <f aca="false">-MIN(U100,In_Loss_Cap*MAX(0,U99))</f>
        <v>-0</v>
      </c>
      <c r="V102" s="46" t="n">
        <f aca="false">-MIN(V100,In_Loss_Cap*MAX(0,V99))</f>
        <v>-0</v>
      </c>
      <c r="W102" s="46" t="n">
        <f aca="false">-MIN(W100,In_Loss_Cap*MAX(0,W99))</f>
        <v>-0</v>
      </c>
      <c r="X102" s="46" t="n">
        <f aca="false">-MIN(X100,In_Loss_Cap*MAX(0,X99))</f>
        <v>-0</v>
      </c>
      <c r="Y102" s="46" t="n">
        <f aca="false">-MIN(Y100,In_Loss_Cap*MAX(0,Y99))</f>
        <v>-0</v>
      </c>
      <c r="Z102" s="46" t="n">
        <f aca="false">-MIN(Z100,In_Loss_Cap*MAX(0,Z99))</f>
        <v>-298.326018636638</v>
      </c>
      <c r="AA102" s="46" t="n">
        <f aca="false">-MIN(AA100,In_Loss_Cap*MAX(0,AA99))</f>
        <v>-294.810579829948</v>
      </c>
      <c r="AB102" s="46" t="n">
        <f aca="false">-MIN(AB100,In_Loss_Cap*MAX(0,AB99))</f>
        <v>-304.36485686552</v>
      </c>
      <c r="AC102" s="46" t="n">
        <f aca="false">-MIN(AC100,In_Loss_Cap*MAX(0,AC99))</f>
        <v>-314.026019665913</v>
      </c>
      <c r="AD102" s="46" t="n">
        <f aca="false">-MIN(AD100,In_Loss_Cap*MAX(0,AD99))</f>
        <v>-312.920792149397</v>
      </c>
      <c r="AE102" s="46" t="n">
        <f aca="false">-MIN(AE100,In_Loss_Cap*MAX(0,AE99))</f>
        <v>-316.295549947398</v>
      </c>
      <c r="AF102" s="46" t="n">
        <f aca="false">-MIN(AF100,In_Loss_Cap*MAX(0,AF99))</f>
        <v>-260.896974209409</v>
      </c>
      <c r="AG102" s="46" t="n">
        <f aca="false">-MIN(AG100,In_Loss_Cap*MAX(0,AG99))</f>
        <v>-0</v>
      </c>
      <c r="AH102" s="46" t="n">
        <f aca="false">-MIN(AH100,In_Loss_Cap*MAX(0,AH99))</f>
        <v>-0</v>
      </c>
      <c r="AI102" s="46" t="n">
        <f aca="false">-MIN(AI100,In_Loss_Cap*MAX(0,AI99))</f>
        <v>-0</v>
      </c>
      <c r="AJ102" s="46" t="n">
        <f aca="false">-MIN(AJ100,In_Loss_Cap*MAX(0,AJ99))</f>
        <v>-0</v>
      </c>
      <c r="AK102" s="46" t="n">
        <f aca="false">-MIN(AK100,In_Loss_Cap*MAX(0,AK99))</f>
        <v>-0</v>
      </c>
      <c r="AL102" s="46" t="n">
        <f aca="false">-MIN(AL100,In_Loss_Cap*MAX(0,AL99))</f>
        <v>-0</v>
      </c>
      <c r="AM102" s="46" t="n">
        <f aca="false">-MIN(AM100,In_Loss_Cap*MAX(0,AM99))</f>
        <v>-0</v>
      </c>
      <c r="AN102" s="46" t="n">
        <f aca="false">-MIN(AN100,In_Loss_Cap*MAX(0,AN99))</f>
        <v>-0</v>
      </c>
      <c r="AO102" s="46" t="n">
        <f aca="false">-MIN(AO100,In_Loss_Cap*MAX(0,AO99))</f>
        <v>-0</v>
      </c>
      <c r="AP102" s="46" t="n">
        <f aca="false">-MIN(AP100,In_Loss_Cap*MAX(0,AP99))</f>
        <v>-0</v>
      </c>
      <c r="AQ102" s="46" t="n">
        <f aca="false">-MIN(AQ100,In_Loss_Cap*MAX(0,AQ99))</f>
        <v>-0</v>
      </c>
      <c r="AR102" s="46" t="n">
        <f aca="false">-MIN(AR100,In_Loss_Cap*MAX(0,AR99))</f>
        <v>-0</v>
      </c>
      <c r="AS102" s="46" t="n">
        <f aca="false">-MIN(AS100,In_Loss_Cap*MAX(0,AS99))</f>
        <v>-0</v>
      </c>
      <c r="AT102" s="46" t="n">
        <f aca="false">-MIN(AT100,In_Loss_Cap*MAX(0,AT99))</f>
        <v>-0</v>
      </c>
      <c r="AU102" s="46" t="n">
        <f aca="false">-MIN(AU100,In_Loss_Cap*MAX(0,AU99))</f>
        <v>-0</v>
      </c>
      <c r="AV102" s="46" t="n">
        <f aca="false">-MIN(AV100,In_Loss_Cap*MAX(0,AV99))</f>
        <v>-0</v>
      </c>
      <c r="AW102" s="46" t="n">
        <f aca="false">-MIN(AW100,In_Loss_Cap*MAX(0,AW99))</f>
        <v>-0</v>
      </c>
      <c r="AX102" s="46" t="n">
        <f aca="false">-MIN(AX100,In_Loss_Cap*MAX(0,AX99))</f>
        <v>-0</v>
      </c>
      <c r="AY102" s="46" t="n">
        <f aca="false">-MIN(AY100,In_Loss_Cap*MAX(0,AY99))</f>
        <v>-0</v>
      </c>
      <c r="AZ102" s="46" t="n">
        <f aca="false">-MIN(AZ100,In_Loss_Cap*MAX(0,AZ99))</f>
        <v>-0</v>
      </c>
      <c r="BA102" s="46" t="n">
        <f aca="false">-MIN(BA100,In_Loss_Cap*MAX(0,BA99))</f>
        <v>-0</v>
      </c>
      <c r="BB102" s="46" t="n">
        <f aca="false">-MIN(BB100,In_Loss_Cap*MAX(0,BB99))</f>
        <v>-0</v>
      </c>
      <c r="BC102" s="46" t="n">
        <f aca="false">-MIN(BC100,In_Loss_Cap*MAX(0,BC99))</f>
        <v>-0</v>
      </c>
      <c r="BD102" s="46" t="n">
        <f aca="false">-MIN(BD100,In_Loss_Cap*MAX(0,BD99))</f>
        <v>-0</v>
      </c>
      <c r="BE102" s="46" t="n">
        <f aca="false">-MIN(BE100,In_Loss_Cap*MAX(0,BE99))</f>
        <v>-0</v>
      </c>
      <c r="BF102" s="46" t="n">
        <f aca="false">-MIN(BF100,In_Loss_Cap*MAX(0,BF99))</f>
        <v>-0</v>
      </c>
      <c r="BG102" s="46" t="n">
        <f aca="false">-MIN(BG100,In_Loss_Cap*MAX(0,BG99))</f>
        <v>-0</v>
      </c>
      <c r="BH102" s="46" t="n">
        <f aca="false">-MIN(BH100,In_Loss_Cap*MAX(0,BH99))</f>
        <v>-0</v>
      </c>
      <c r="BI102" s="46" t="n">
        <f aca="false">-MIN(BI100,In_Loss_Cap*MAX(0,BI99))</f>
        <v>-0</v>
      </c>
      <c r="BJ102" s="46" t="n">
        <f aca="false">-MIN(BJ100,In_Loss_Cap*MAX(0,BJ99))</f>
        <v>-0</v>
      </c>
      <c r="BK102" s="46" t="n">
        <f aca="false">-MIN(BK100,In_Loss_Cap*MAX(0,BK99))</f>
        <v>-0</v>
      </c>
      <c r="BL102" s="46" t="n">
        <f aca="false">-MIN(BL100,In_Loss_Cap*MAX(0,BL99))</f>
        <v>-0</v>
      </c>
      <c r="BM102" s="46" t="n">
        <f aca="false">-MIN(BM100,In_Loss_Cap*MAX(0,BM99))</f>
        <v>-0</v>
      </c>
      <c r="BN102" s="46" t="n">
        <f aca="false">-MIN(BN100,In_Loss_Cap*MAX(0,BN99))</f>
        <v>-0</v>
      </c>
      <c r="BO102" s="46" t="n">
        <f aca="false">-MIN(BO100,In_Loss_Cap*MAX(0,BO99))</f>
        <v>-0</v>
      </c>
      <c r="BP102" s="46" t="n">
        <f aca="false">-MIN(BP100,In_Loss_Cap*MAX(0,BP99))</f>
        <v>-0</v>
      </c>
      <c r="BQ102" s="46" t="n">
        <f aca="false">-MIN(BQ100,In_Loss_Cap*MAX(0,BQ99))</f>
        <v>-0</v>
      </c>
      <c r="BR102" s="46" t="n">
        <f aca="false">-MIN(BR100,In_Loss_Cap*MAX(0,BR99))</f>
        <v>-0</v>
      </c>
      <c r="BS102" s="46" t="n">
        <f aca="false">-MIN(BS100,In_Loss_Cap*MAX(0,BS99))</f>
        <v>-0</v>
      </c>
      <c r="BT102" s="46" t="n">
        <f aca="false">-MIN(BT100,In_Loss_Cap*MAX(0,BT99))</f>
        <v>-0</v>
      </c>
      <c r="BU102" s="46" t="n">
        <f aca="false">-MIN(BU100,In_Loss_Cap*MAX(0,BU99))</f>
        <v>-0</v>
      </c>
      <c r="BV102" s="46" t="n">
        <f aca="false">-MIN(BV100,In_Loss_Cap*MAX(0,BV99))</f>
        <v>-0</v>
      </c>
      <c r="BW102" s="46" t="n">
        <f aca="false">-MIN(BW100,In_Loss_Cap*MAX(0,BW99))</f>
        <v>-0</v>
      </c>
      <c r="BX102" s="46" t="n">
        <f aca="false">-MIN(BX100,In_Loss_Cap*MAX(0,BX99))</f>
        <v>-0</v>
      </c>
      <c r="BY102" s="46" t="n">
        <f aca="false">-MIN(BY100,In_Loss_Cap*MAX(0,BY99))</f>
        <v>-0</v>
      </c>
      <c r="BZ102" s="46" t="n">
        <f aca="false">-MIN(BZ100,In_Loss_Cap*MAX(0,BZ99))</f>
        <v>-0</v>
      </c>
      <c r="CA102" s="46" t="n">
        <f aca="false">-MIN(CA100,In_Loss_Cap*MAX(0,CA99))</f>
        <v>-0</v>
      </c>
      <c r="CB102" s="46" t="n">
        <f aca="false">-MIN(CB100,In_Loss_Cap*MAX(0,CB99))</f>
        <v>-0</v>
      </c>
      <c r="CC102" s="46" t="n">
        <f aca="false">-MIN(CC100,In_Loss_Cap*MAX(0,CC99))</f>
        <v>-0</v>
      </c>
      <c r="CD102" s="46" t="n">
        <f aca="false">-MIN(CD100,In_Loss_Cap*MAX(0,CD99))</f>
        <v>-0</v>
      </c>
      <c r="CE102" s="46" t="n">
        <f aca="false">-MIN(CE100,In_Loss_Cap*MAX(0,CE99))</f>
        <v>-0</v>
      </c>
      <c r="CF102" s="46" t="n">
        <f aca="false">-MIN(CF100,In_Loss_Cap*MAX(0,CF99))</f>
        <v>-0</v>
      </c>
      <c r="CG102" s="46" t="n">
        <f aca="false">-MIN(CG100,In_Loss_Cap*MAX(0,CG99))</f>
        <v>-0</v>
      </c>
      <c r="CH102" s="46" t="n">
        <f aca="false">-MIN(CH100,In_Loss_Cap*MAX(0,CH99))</f>
        <v>-0</v>
      </c>
      <c r="CI102" s="46" t="n">
        <f aca="false">-MIN(CI100,In_Loss_Cap*MAX(0,CI99))</f>
        <v>-0</v>
      </c>
      <c r="CJ102" s="46" t="n">
        <f aca="false">-MIN(CJ100,In_Loss_Cap*MAX(0,CJ99))</f>
        <v>-0</v>
      </c>
      <c r="CK102" s="46" t="n">
        <f aca="false">-MIN(CK100,In_Loss_Cap*MAX(0,CK99))</f>
        <v>-0</v>
      </c>
      <c r="CL102" s="46" t="n">
        <f aca="false">-MIN(CL100,In_Loss_Cap*MAX(0,CL99))</f>
        <v>-0</v>
      </c>
      <c r="CM102" s="46" t="n">
        <f aca="false">-MIN(CM100,In_Loss_Cap*MAX(0,CM99))</f>
        <v>-0</v>
      </c>
      <c r="CN102" s="46" t="n">
        <f aca="false">-MIN(CN100,In_Loss_Cap*MAX(0,CN99))</f>
        <v>-0</v>
      </c>
      <c r="CO102" s="46" t="n">
        <f aca="false">-MIN(CO100,In_Loss_Cap*MAX(0,CO99))</f>
        <v>-0</v>
      </c>
      <c r="CP102" s="46" t="n">
        <f aca="false">-MIN(CP100,In_Loss_Cap*MAX(0,CP99))</f>
        <v>-0</v>
      </c>
      <c r="CQ102" s="46" t="n">
        <f aca="false">-MIN(CQ100,In_Loss_Cap*MAX(0,CQ99))</f>
        <v>-0</v>
      </c>
      <c r="CR102" s="46" t="n">
        <f aca="false">-MIN(CR100,In_Loss_Cap*MAX(0,CR99))</f>
        <v>-0</v>
      </c>
      <c r="CS102" s="46" t="n">
        <f aca="false">-MIN(CS100,In_Loss_Cap*MAX(0,CS99))</f>
        <v>-0</v>
      </c>
      <c r="CT102" s="46" t="n">
        <f aca="false">-MIN(CT100,In_Loss_Cap*MAX(0,CT99))</f>
        <v>-0</v>
      </c>
      <c r="CU102" s="46" t="n">
        <f aca="false">-MIN(CU100,In_Loss_Cap*MAX(0,CU99))</f>
        <v>-0</v>
      </c>
      <c r="CV102" s="46" t="n">
        <f aca="false">-MIN(CV100,In_Loss_Cap*MAX(0,CV99))</f>
        <v>-0</v>
      </c>
      <c r="CW102" s="46" t="n">
        <f aca="false">-MIN(CW100,In_Loss_Cap*MAX(0,CW99))</f>
        <v>-0</v>
      </c>
      <c r="CX102" s="46" t="n">
        <f aca="false">-MIN(CX100,In_Loss_Cap*MAX(0,CX99))</f>
        <v>-0</v>
      </c>
      <c r="CY102" s="46" t="n">
        <f aca="false">-MIN(CY100,In_Loss_Cap*MAX(0,CY99))</f>
        <v>-0</v>
      </c>
      <c r="CZ102" s="46" t="n">
        <f aca="false">-MIN(CZ100,In_Loss_Cap*MAX(0,CZ99))</f>
        <v>-0</v>
      </c>
      <c r="DA102" s="46" t="n">
        <f aca="false">-MIN(DA100,In_Loss_Cap*MAX(0,DA99))</f>
        <v>-0</v>
      </c>
      <c r="DB102" s="46" t="n">
        <f aca="false">-MIN(DB100,In_Loss_Cap*MAX(0,DB99))</f>
        <v>-0</v>
      </c>
      <c r="DC102" s="46" t="n">
        <f aca="false">-MIN(DC100,In_Loss_Cap*MAX(0,DC99))</f>
        <v>-0</v>
      </c>
      <c r="DD102" s="46" t="n">
        <f aca="false">-MIN(DD100,In_Loss_Cap*MAX(0,DD99))</f>
        <v>-0</v>
      </c>
      <c r="DE102" s="46" t="n">
        <f aca="false">-MIN(DE100,In_Loss_Cap*MAX(0,DE99))</f>
        <v>-0</v>
      </c>
      <c r="DF102" s="46" t="n">
        <f aca="false">-MIN(DF100,In_Loss_Cap*MAX(0,DF99))</f>
        <v>-0</v>
      </c>
      <c r="DG102" s="46" t="n">
        <f aca="false">-MIN(DG100,In_Loss_Cap*MAX(0,DG99))</f>
        <v>-0</v>
      </c>
      <c r="DH102" s="46" t="n">
        <f aca="false">-MIN(DH100,In_Loss_Cap*MAX(0,DH99))</f>
        <v>-0</v>
      </c>
      <c r="DI102" s="46" t="n">
        <f aca="false">-MIN(DI100,In_Loss_Cap*MAX(0,DI99))</f>
        <v>-0</v>
      </c>
      <c r="DJ102" s="46" t="n">
        <f aca="false">-MIN(DJ100,In_Loss_Cap*MAX(0,DJ99))</f>
        <v>-0</v>
      </c>
      <c r="DK102" s="46" t="n">
        <f aca="false">-MIN(DK100,In_Loss_Cap*MAX(0,DK99))</f>
        <v>-0</v>
      </c>
      <c r="DL102" s="46" t="n">
        <f aca="false">-MIN(DL100,In_Loss_Cap*MAX(0,DL99))</f>
        <v>-0</v>
      </c>
      <c r="DM102" s="46" t="n">
        <f aca="false">-MIN(DM100,In_Loss_Cap*MAX(0,DM99))</f>
        <v>-0</v>
      </c>
      <c r="DN102" s="46" t="n">
        <f aca="false">-MIN(DN100,In_Loss_Cap*MAX(0,DN99))</f>
        <v>-0</v>
      </c>
      <c r="DO102" s="46" t="n">
        <f aca="false">-MIN(DO100,In_Loss_Cap*MAX(0,DO99))</f>
        <v>-0</v>
      </c>
      <c r="DP102" s="46" t="n">
        <f aca="false">-MIN(DP100,In_Loss_Cap*MAX(0,DP99))</f>
        <v>-0</v>
      </c>
      <c r="DQ102" s="46" t="n">
        <f aca="false">-MIN(DQ100,In_Loss_Cap*MAX(0,DQ99))</f>
        <v>-0</v>
      </c>
      <c r="DR102" s="46" t="n">
        <f aca="false">-MIN(DR100,In_Loss_Cap*MAX(0,DR99))</f>
        <v>-0</v>
      </c>
      <c r="DS102" s="46" t="n">
        <f aca="false">-MIN(DS100,In_Loss_Cap*MAX(0,DS99))</f>
        <v>-0</v>
      </c>
      <c r="DT102" s="46" t="n">
        <f aca="false">-MIN(DT100,In_Loss_Cap*MAX(0,DT99))</f>
        <v>-0</v>
      </c>
      <c r="DU102" s="46" t="n">
        <f aca="false">-MIN(DU100,In_Loss_Cap*MAX(0,DU99))</f>
        <v>-0</v>
      </c>
      <c r="DV102" s="46" t="n">
        <f aca="false">-MIN(DV100,In_Loss_Cap*MAX(0,DV99))</f>
        <v>-0</v>
      </c>
      <c r="DW102" s="46" t="n">
        <f aca="false">-MIN(DW100,In_Loss_Cap*MAX(0,DW99))</f>
        <v>-0</v>
      </c>
      <c r="DX102" s="46" t="n">
        <f aca="false">-MIN(DX100,In_Loss_Cap*MAX(0,DX99))</f>
        <v>-0</v>
      </c>
      <c r="DY102" s="46" t="n">
        <f aca="false">-MIN(DY100,In_Loss_Cap*MAX(0,DY99))</f>
        <v>-0</v>
      </c>
      <c r="DZ102" s="46" t="n">
        <f aca="false">-MIN(DZ100,In_Loss_Cap*MAX(0,DZ99))</f>
        <v>-0</v>
      </c>
      <c r="EA102" s="46" t="n">
        <f aca="false">-MIN(EA100,In_Loss_Cap*MAX(0,EA99))</f>
        <v>-0</v>
      </c>
      <c r="EB102" s="46" t="n">
        <f aca="false">-MIN(EB100,In_Loss_Cap*MAX(0,EB99))</f>
        <v>-0</v>
      </c>
      <c r="EC102" s="46" t="n">
        <f aca="false">-MIN(EC100,In_Loss_Cap*MAX(0,EC99))</f>
        <v>-0</v>
      </c>
      <c r="ED102" s="46" t="n">
        <f aca="false">-MIN(ED100,In_Loss_Cap*MAX(0,ED99))</f>
        <v>-0</v>
      </c>
      <c r="EE102" s="46" t="n">
        <f aca="false">-MIN(EE100,In_Loss_Cap*MAX(0,EE99))</f>
        <v>-0</v>
      </c>
      <c r="EF102" s="46" t="n">
        <f aca="false">-MIN(EF100,In_Loss_Cap*MAX(0,EF99))</f>
        <v>-0</v>
      </c>
      <c r="EG102" s="46" t="n">
        <f aca="false">-MIN(EG100,In_Loss_Cap*MAX(0,EG99))</f>
        <v>-0</v>
      </c>
      <c r="EH102" s="46" t="n">
        <f aca="false">-MIN(EH100,In_Loss_Cap*MAX(0,EH99))</f>
        <v>-0</v>
      </c>
      <c r="EI102" s="46" t="n">
        <f aca="false">-MIN(EI100,In_Loss_Cap*MAX(0,EI99))</f>
        <v>-0</v>
      </c>
      <c r="EJ102" s="46" t="n">
        <f aca="false">-MIN(EJ100,In_Loss_Cap*MAX(0,EJ99))</f>
        <v>-0</v>
      </c>
      <c r="EK102" s="46" t="n">
        <f aca="false">-MIN(EK100,In_Loss_Cap*MAX(0,EK99))</f>
        <v>-0</v>
      </c>
      <c r="EL102" s="46" t="n">
        <f aca="false">-MIN(EL100,In_Loss_Cap*MAX(0,EL99))</f>
        <v>-0</v>
      </c>
      <c r="EM102" s="46" t="n">
        <f aca="false">-MIN(EM100,In_Loss_Cap*MAX(0,EM99))</f>
        <v>-0</v>
      </c>
      <c r="EN102" s="46" t="n">
        <f aca="false">-MIN(EN100,In_Loss_Cap*MAX(0,EN99))</f>
        <v>-0</v>
      </c>
      <c r="EO102" s="46" t="n">
        <f aca="false">-MIN(EO100,In_Loss_Cap*MAX(0,EO99))</f>
        <v>-0</v>
      </c>
    </row>
    <row r="103" customFormat="false" ht="15" hidden="false" customHeight="false" outlineLevel="0" collapsed="false">
      <c r="C103" s="0" t="s">
        <v>427</v>
      </c>
      <c r="D103" s="11" t="s">
        <v>33</v>
      </c>
      <c r="E103" s="44" t="n">
        <f aca="false">EDATE(In_NTP,In_Loss_Years*Months_In_Year)</f>
        <v>48852</v>
      </c>
      <c r="I103" s="46" t="n">
        <f aca="false">SUM(J103:EO103)</f>
        <v>0</v>
      </c>
      <c r="J103" s="46" t="n">
        <f aca="false">-(J100+J101+J102)*N(AND(J$3&lt;=$E103,J$4&gt;=$E103))</f>
        <v>-0</v>
      </c>
      <c r="K103" s="46" t="n">
        <f aca="false">-(K100+K101+K102)*N(AND(K$3&lt;=$E103,K$4&gt;=$E103))</f>
        <v>-0</v>
      </c>
      <c r="L103" s="46" t="n">
        <f aca="false">-(L100+L101+L102)*N(AND(L$3&lt;=$E103,L$4&gt;=$E103))</f>
        <v>-0</v>
      </c>
      <c r="M103" s="46" t="n">
        <f aca="false">-(M100+M101+M102)*N(AND(M$3&lt;=$E103,M$4&gt;=$E103))</f>
        <v>-0</v>
      </c>
      <c r="N103" s="46" t="n">
        <f aca="false">-(N100+N101+N102)*N(AND(N$3&lt;=$E103,N$4&gt;=$E103))</f>
        <v>-0</v>
      </c>
      <c r="O103" s="46" t="n">
        <f aca="false">-(O100+O101+O102)*N(AND(O$3&lt;=$E103,O$4&gt;=$E103))</f>
        <v>-0</v>
      </c>
      <c r="P103" s="46" t="n">
        <f aca="false">-(P100+P101+P102)*N(AND(P$3&lt;=$E103,P$4&gt;=$E103))</f>
        <v>-0</v>
      </c>
      <c r="Q103" s="46" t="n">
        <f aca="false">-(Q100+Q101+Q102)*N(AND(Q$3&lt;=$E103,Q$4&gt;=$E103))</f>
        <v>-0</v>
      </c>
      <c r="R103" s="46" t="n">
        <f aca="false">-(R100+R101+R102)*N(AND(R$3&lt;=$E103,R$4&gt;=$E103))</f>
        <v>-0</v>
      </c>
      <c r="S103" s="46" t="n">
        <f aca="false">-(S100+S101+S102)*N(AND(S$3&lt;=$E103,S$4&gt;=$E103))</f>
        <v>-0</v>
      </c>
      <c r="T103" s="46" t="n">
        <f aca="false">-(T100+T101+T102)*N(AND(T$3&lt;=$E103,T$4&gt;=$E103))</f>
        <v>-0</v>
      </c>
      <c r="U103" s="46" t="n">
        <f aca="false">-(U100+U101+U102)*N(AND(U$3&lt;=$E103,U$4&gt;=$E103))</f>
        <v>-0</v>
      </c>
      <c r="V103" s="46" t="n">
        <f aca="false">-(V100+V101+V102)*N(AND(V$3&lt;=$E103,V$4&gt;=$E103))</f>
        <v>-0</v>
      </c>
      <c r="W103" s="46" t="n">
        <f aca="false">-(W100+W101+W102)*N(AND(W$3&lt;=$E103,W$4&gt;=$E103))</f>
        <v>-0</v>
      </c>
      <c r="X103" s="46" t="n">
        <f aca="false">-(X100+X101+X102)*N(AND(X$3&lt;=$E103,X$4&gt;=$E103))</f>
        <v>-0</v>
      </c>
      <c r="Y103" s="46" t="n">
        <f aca="false">-(Y100+Y101+Y102)*N(AND(Y$3&lt;=$E103,Y$4&gt;=$E103))</f>
        <v>-0</v>
      </c>
      <c r="Z103" s="46" t="n">
        <f aca="false">-(Z100+Z101+Z102)*N(AND(Z$3&lt;=$E103,Z$4&gt;=$E103))</f>
        <v>-0</v>
      </c>
      <c r="AA103" s="46" t="n">
        <f aca="false">-(AA100+AA101+AA102)*N(AND(AA$3&lt;=$E103,AA$4&gt;=$E103))</f>
        <v>-0</v>
      </c>
      <c r="AB103" s="46" t="n">
        <f aca="false">-(AB100+AB101+AB102)*N(AND(AB$3&lt;=$E103,AB$4&gt;=$E103))</f>
        <v>-0</v>
      </c>
      <c r="AC103" s="46" t="n">
        <f aca="false">-(AC100+AC101+AC102)*N(AND(AC$3&lt;=$E103,AC$4&gt;=$E103))</f>
        <v>-0</v>
      </c>
      <c r="AD103" s="46" t="n">
        <f aca="false">-(AD100+AD101+AD102)*N(AND(AD$3&lt;=$E103,AD$4&gt;=$E103))</f>
        <v>-0</v>
      </c>
      <c r="AE103" s="46" t="n">
        <f aca="false">-(AE100+AE101+AE102)*N(AND(AE$3&lt;=$E103,AE$4&gt;=$E103))</f>
        <v>-0</v>
      </c>
      <c r="AF103" s="46" t="n">
        <f aca="false">-(AF100+AF101+AF102)*N(AND(AF$3&lt;=$E103,AF$4&gt;=$E103))</f>
        <v>-0</v>
      </c>
      <c r="AG103" s="46" t="n">
        <f aca="false">-(AG100+AG101+AG102)*N(AND(AG$3&lt;=$E103,AG$4&gt;=$E103))</f>
        <v>-0</v>
      </c>
      <c r="AH103" s="46" t="n">
        <f aca="false">-(AH100+AH101+AH102)*N(AND(AH$3&lt;=$E103,AH$4&gt;=$E103))</f>
        <v>-0</v>
      </c>
      <c r="AI103" s="46" t="n">
        <f aca="false">-(AI100+AI101+AI102)*N(AND(AI$3&lt;=$E103,AI$4&gt;=$E103))</f>
        <v>-0</v>
      </c>
      <c r="AJ103" s="46" t="n">
        <f aca="false">-(AJ100+AJ101+AJ102)*N(AND(AJ$3&lt;=$E103,AJ$4&gt;=$E103))</f>
        <v>-0</v>
      </c>
      <c r="AK103" s="46" t="n">
        <f aca="false">-(AK100+AK101+AK102)*N(AND(AK$3&lt;=$E103,AK$4&gt;=$E103))</f>
        <v>-0</v>
      </c>
      <c r="AL103" s="46" t="n">
        <f aca="false">-(AL100+AL101+AL102)*N(AND(AL$3&lt;=$E103,AL$4&gt;=$E103))</f>
        <v>-0</v>
      </c>
      <c r="AM103" s="46" t="n">
        <f aca="false">-(AM100+AM101+AM102)*N(AND(AM$3&lt;=$E103,AM$4&gt;=$E103))</f>
        <v>-0</v>
      </c>
      <c r="AN103" s="46" t="n">
        <f aca="false">-(AN100+AN101+AN102)*N(AND(AN$3&lt;=$E103,AN$4&gt;=$E103))</f>
        <v>-0</v>
      </c>
      <c r="AO103" s="46" t="n">
        <f aca="false">-(AO100+AO101+AO102)*N(AND(AO$3&lt;=$E103,AO$4&gt;=$E103))</f>
        <v>-0</v>
      </c>
      <c r="AP103" s="46" t="n">
        <f aca="false">-(AP100+AP101+AP102)*N(AND(AP$3&lt;=$E103,AP$4&gt;=$E103))</f>
        <v>-0</v>
      </c>
      <c r="AQ103" s="46" t="n">
        <f aca="false">-(AQ100+AQ101+AQ102)*N(AND(AQ$3&lt;=$E103,AQ$4&gt;=$E103))</f>
        <v>-0</v>
      </c>
      <c r="AR103" s="46" t="n">
        <f aca="false">-(AR100+AR101+AR102)*N(AND(AR$3&lt;=$E103,AR$4&gt;=$E103))</f>
        <v>-0</v>
      </c>
      <c r="AS103" s="46" t="n">
        <f aca="false">-(AS100+AS101+AS102)*N(AND(AS$3&lt;=$E103,AS$4&gt;=$E103))</f>
        <v>-0</v>
      </c>
      <c r="AT103" s="46" t="n">
        <f aca="false">-(AT100+AT101+AT102)*N(AND(AT$3&lt;=$E103,AT$4&gt;=$E103))</f>
        <v>-0</v>
      </c>
      <c r="AU103" s="46" t="n">
        <f aca="false">-(AU100+AU101+AU102)*N(AND(AU$3&lt;=$E103,AU$4&gt;=$E103))</f>
        <v>-0</v>
      </c>
      <c r="AV103" s="46" t="n">
        <f aca="false">-(AV100+AV101+AV102)*N(AND(AV$3&lt;=$E103,AV$4&gt;=$E103))</f>
        <v>-0</v>
      </c>
      <c r="AW103" s="46" t="n">
        <f aca="false">-(AW100+AW101+AW102)*N(AND(AW$3&lt;=$E103,AW$4&gt;=$E103))</f>
        <v>-0</v>
      </c>
      <c r="AX103" s="46" t="n">
        <f aca="false">-(AX100+AX101+AX102)*N(AND(AX$3&lt;=$E103,AX$4&gt;=$E103))</f>
        <v>-0</v>
      </c>
      <c r="AY103" s="46" t="n">
        <f aca="false">-(AY100+AY101+AY102)*N(AND(AY$3&lt;=$E103,AY$4&gt;=$E103))</f>
        <v>-0</v>
      </c>
      <c r="AZ103" s="46" t="n">
        <f aca="false">-(AZ100+AZ101+AZ102)*N(AND(AZ$3&lt;=$E103,AZ$4&gt;=$E103))</f>
        <v>-0</v>
      </c>
      <c r="BA103" s="46" t="n">
        <f aca="false">-(BA100+BA101+BA102)*N(AND(BA$3&lt;=$E103,BA$4&gt;=$E103))</f>
        <v>-0</v>
      </c>
      <c r="BB103" s="46" t="n">
        <f aca="false">-(BB100+BB101+BB102)*N(AND(BB$3&lt;=$E103,BB$4&gt;=$E103))</f>
        <v>-0</v>
      </c>
      <c r="BC103" s="46" t="n">
        <f aca="false">-(BC100+BC101+BC102)*N(AND(BC$3&lt;=$E103,BC$4&gt;=$E103))</f>
        <v>-0</v>
      </c>
      <c r="BD103" s="46" t="n">
        <f aca="false">-(BD100+BD101+BD102)*N(AND(BD$3&lt;=$E103,BD$4&gt;=$E103))</f>
        <v>-0</v>
      </c>
      <c r="BE103" s="46" t="n">
        <f aca="false">-(BE100+BE101+BE102)*N(AND(BE$3&lt;=$E103,BE$4&gt;=$E103))</f>
        <v>-0</v>
      </c>
      <c r="BF103" s="46" t="n">
        <f aca="false">-(BF100+BF101+BF102)*N(AND(BF$3&lt;=$E103,BF$4&gt;=$E103))</f>
        <v>-0</v>
      </c>
      <c r="BG103" s="46" t="n">
        <f aca="false">-(BG100+BG101+BG102)*N(AND(BG$3&lt;=$E103,BG$4&gt;=$E103))</f>
        <v>-0</v>
      </c>
      <c r="BH103" s="46" t="n">
        <f aca="false">-(BH100+BH101+BH102)*N(AND(BH$3&lt;=$E103,BH$4&gt;=$E103))</f>
        <v>-0</v>
      </c>
      <c r="BI103" s="46" t="n">
        <f aca="false">-(BI100+BI101+BI102)*N(AND(BI$3&lt;=$E103,BI$4&gt;=$E103))</f>
        <v>-0</v>
      </c>
      <c r="BJ103" s="46" t="n">
        <f aca="false">-(BJ100+BJ101+BJ102)*N(AND(BJ$3&lt;=$E103,BJ$4&gt;=$E103))</f>
        <v>-0</v>
      </c>
      <c r="BK103" s="46" t="n">
        <f aca="false">-(BK100+BK101+BK102)*N(AND(BK$3&lt;=$E103,BK$4&gt;=$E103))</f>
        <v>-0</v>
      </c>
      <c r="BL103" s="46" t="n">
        <f aca="false">-(BL100+BL101+BL102)*N(AND(BL$3&lt;=$E103,BL$4&gt;=$E103))</f>
        <v>-0</v>
      </c>
      <c r="BM103" s="46" t="n">
        <f aca="false">-(BM100+BM101+BM102)*N(AND(BM$3&lt;=$E103,BM$4&gt;=$E103))</f>
        <v>-0</v>
      </c>
      <c r="BN103" s="46" t="n">
        <f aca="false">-(BN100+BN101+BN102)*N(AND(BN$3&lt;=$E103,BN$4&gt;=$E103))</f>
        <v>-0</v>
      </c>
      <c r="BO103" s="46" t="n">
        <f aca="false">-(BO100+BO101+BO102)*N(AND(BO$3&lt;=$E103,BO$4&gt;=$E103))</f>
        <v>-0</v>
      </c>
      <c r="BP103" s="46" t="n">
        <f aca="false">-(BP100+BP101+BP102)*N(AND(BP$3&lt;=$E103,BP$4&gt;=$E103))</f>
        <v>-0</v>
      </c>
      <c r="BQ103" s="46" t="n">
        <f aca="false">-(BQ100+BQ101+BQ102)*N(AND(BQ$3&lt;=$E103,BQ$4&gt;=$E103))</f>
        <v>-0</v>
      </c>
      <c r="BR103" s="46" t="n">
        <f aca="false">-(BR100+BR101+BR102)*N(AND(BR$3&lt;=$E103,BR$4&gt;=$E103))</f>
        <v>-0</v>
      </c>
      <c r="BS103" s="46" t="n">
        <f aca="false">-(BS100+BS101+BS102)*N(AND(BS$3&lt;=$E103,BS$4&gt;=$E103))</f>
        <v>-0</v>
      </c>
      <c r="BT103" s="46" t="n">
        <f aca="false">-(BT100+BT101+BT102)*N(AND(BT$3&lt;=$E103,BT$4&gt;=$E103))</f>
        <v>-0</v>
      </c>
      <c r="BU103" s="46" t="n">
        <f aca="false">-(BU100+BU101+BU102)*N(AND(BU$3&lt;=$E103,BU$4&gt;=$E103))</f>
        <v>-0</v>
      </c>
      <c r="BV103" s="46" t="n">
        <f aca="false">-(BV100+BV101+BV102)*N(AND(BV$3&lt;=$E103,BV$4&gt;=$E103))</f>
        <v>-0</v>
      </c>
      <c r="BW103" s="46" t="n">
        <f aca="false">-(BW100+BW101+BW102)*N(AND(BW$3&lt;=$E103,BW$4&gt;=$E103))</f>
        <v>-0</v>
      </c>
      <c r="BX103" s="46" t="n">
        <f aca="false">-(BX100+BX101+BX102)*N(AND(BX$3&lt;=$E103,BX$4&gt;=$E103))</f>
        <v>-0</v>
      </c>
      <c r="BY103" s="46" t="n">
        <f aca="false">-(BY100+BY101+BY102)*N(AND(BY$3&lt;=$E103,BY$4&gt;=$E103))</f>
        <v>-0</v>
      </c>
      <c r="BZ103" s="46" t="n">
        <f aca="false">-(BZ100+BZ101+BZ102)*N(AND(BZ$3&lt;=$E103,BZ$4&gt;=$E103))</f>
        <v>-0</v>
      </c>
      <c r="CA103" s="46" t="n">
        <f aca="false">-(CA100+CA101+CA102)*N(AND(CA$3&lt;=$E103,CA$4&gt;=$E103))</f>
        <v>-0</v>
      </c>
      <c r="CB103" s="46" t="n">
        <f aca="false">-(CB100+CB101+CB102)*N(AND(CB$3&lt;=$E103,CB$4&gt;=$E103))</f>
        <v>-0</v>
      </c>
      <c r="CC103" s="46" t="n">
        <f aca="false">-(CC100+CC101+CC102)*N(AND(CC$3&lt;=$E103,CC$4&gt;=$E103))</f>
        <v>-0</v>
      </c>
      <c r="CD103" s="46" t="n">
        <f aca="false">-(CD100+CD101+CD102)*N(AND(CD$3&lt;=$E103,CD$4&gt;=$E103))</f>
        <v>-0</v>
      </c>
      <c r="CE103" s="46" t="n">
        <f aca="false">-(CE100+CE101+CE102)*N(AND(CE$3&lt;=$E103,CE$4&gt;=$E103))</f>
        <v>-0</v>
      </c>
      <c r="CF103" s="46" t="n">
        <f aca="false">-(CF100+CF101+CF102)*N(AND(CF$3&lt;=$E103,CF$4&gt;=$E103))</f>
        <v>-0</v>
      </c>
      <c r="CG103" s="46" t="n">
        <f aca="false">-(CG100+CG101+CG102)*N(AND(CG$3&lt;=$E103,CG$4&gt;=$E103))</f>
        <v>-0</v>
      </c>
      <c r="CH103" s="46" t="n">
        <f aca="false">-(CH100+CH101+CH102)*N(AND(CH$3&lt;=$E103,CH$4&gt;=$E103))</f>
        <v>-0</v>
      </c>
      <c r="CI103" s="46" t="n">
        <f aca="false">-(CI100+CI101+CI102)*N(AND(CI$3&lt;=$E103,CI$4&gt;=$E103))</f>
        <v>-0</v>
      </c>
      <c r="CJ103" s="46" t="n">
        <f aca="false">-(CJ100+CJ101+CJ102)*N(AND(CJ$3&lt;=$E103,CJ$4&gt;=$E103))</f>
        <v>-0</v>
      </c>
      <c r="CK103" s="46" t="n">
        <f aca="false">-(CK100+CK101+CK102)*N(AND(CK$3&lt;=$E103,CK$4&gt;=$E103))</f>
        <v>-0</v>
      </c>
      <c r="CL103" s="46" t="n">
        <f aca="false">-(CL100+CL101+CL102)*N(AND(CL$3&lt;=$E103,CL$4&gt;=$E103))</f>
        <v>-0</v>
      </c>
      <c r="CM103" s="46" t="n">
        <f aca="false">-(CM100+CM101+CM102)*N(AND(CM$3&lt;=$E103,CM$4&gt;=$E103))</f>
        <v>-0</v>
      </c>
      <c r="CN103" s="46" t="n">
        <f aca="false">-(CN100+CN101+CN102)*N(AND(CN$3&lt;=$E103,CN$4&gt;=$E103))</f>
        <v>-0</v>
      </c>
      <c r="CO103" s="46" t="n">
        <f aca="false">-(CO100+CO101+CO102)*N(AND(CO$3&lt;=$E103,CO$4&gt;=$E103))</f>
        <v>-0</v>
      </c>
      <c r="CP103" s="46" t="n">
        <f aca="false">-(CP100+CP101+CP102)*N(AND(CP$3&lt;=$E103,CP$4&gt;=$E103))</f>
        <v>-0</v>
      </c>
      <c r="CQ103" s="46" t="n">
        <f aca="false">-(CQ100+CQ101+CQ102)*N(AND(CQ$3&lt;=$E103,CQ$4&gt;=$E103))</f>
        <v>-0</v>
      </c>
      <c r="CR103" s="46" t="n">
        <f aca="false">-(CR100+CR101+CR102)*N(AND(CR$3&lt;=$E103,CR$4&gt;=$E103))</f>
        <v>-0</v>
      </c>
      <c r="CS103" s="46" t="n">
        <f aca="false">-(CS100+CS101+CS102)*N(AND(CS$3&lt;=$E103,CS$4&gt;=$E103))</f>
        <v>-0</v>
      </c>
      <c r="CT103" s="46" t="n">
        <f aca="false">-(CT100+CT101+CT102)*N(AND(CT$3&lt;=$E103,CT$4&gt;=$E103))</f>
        <v>-0</v>
      </c>
      <c r="CU103" s="46" t="n">
        <f aca="false">-(CU100+CU101+CU102)*N(AND(CU$3&lt;=$E103,CU$4&gt;=$E103))</f>
        <v>-0</v>
      </c>
      <c r="CV103" s="46" t="n">
        <f aca="false">-(CV100+CV101+CV102)*N(AND(CV$3&lt;=$E103,CV$4&gt;=$E103))</f>
        <v>-0</v>
      </c>
      <c r="CW103" s="46" t="n">
        <f aca="false">-(CW100+CW101+CW102)*N(AND(CW$3&lt;=$E103,CW$4&gt;=$E103))</f>
        <v>-0</v>
      </c>
      <c r="CX103" s="46" t="n">
        <f aca="false">-(CX100+CX101+CX102)*N(AND(CX$3&lt;=$E103,CX$4&gt;=$E103))</f>
        <v>-0</v>
      </c>
      <c r="CY103" s="46" t="n">
        <f aca="false">-(CY100+CY101+CY102)*N(AND(CY$3&lt;=$E103,CY$4&gt;=$E103))</f>
        <v>-0</v>
      </c>
      <c r="CZ103" s="46" t="n">
        <f aca="false">-(CZ100+CZ101+CZ102)*N(AND(CZ$3&lt;=$E103,CZ$4&gt;=$E103))</f>
        <v>-0</v>
      </c>
      <c r="DA103" s="46" t="n">
        <f aca="false">-(DA100+DA101+DA102)*N(AND(DA$3&lt;=$E103,DA$4&gt;=$E103))</f>
        <v>-0</v>
      </c>
      <c r="DB103" s="46" t="n">
        <f aca="false">-(DB100+DB101+DB102)*N(AND(DB$3&lt;=$E103,DB$4&gt;=$E103))</f>
        <v>-0</v>
      </c>
      <c r="DC103" s="46" t="n">
        <f aca="false">-(DC100+DC101+DC102)*N(AND(DC$3&lt;=$E103,DC$4&gt;=$E103))</f>
        <v>-0</v>
      </c>
      <c r="DD103" s="46" t="n">
        <f aca="false">-(DD100+DD101+DD102)*N(AND(DD$3&lt;=$E103,DD$4&gt;=$E103))</f>
        <v>-0</v>
      </c>
      <c r="DE103" s="46" t="n">
        <f aca="false">-(DE100+DE101+DE102)*N(AND(DE$3&lt;=$E103,DE$4&gt;=$E103))</f>
        <v>-0</v>
      </c>
      <c r="DF103" s="46" t="n">
        <f aca="false">-(DF100+DF101+DF102)*N(AND(DF$3&lt;=$E103,DF$4&gt;=$E103))</f>
        <v>-0</v>
      </c>
      <c r="DG103" s="46" t="n">
        <f aca="false">-(DG100+DG101+DG102)*N(AND(DG$3&lt;=$E103,DG$4&gt;=$E103))</f>
        <v>-0</v>
      </c>
      <c r="DH103" s="46" t="n">
        <f aca="false">-(DH100+DH101+DH102)*N(AND(DH$3&lt;=$E103,DH$4&gt;=$E103))</f>
        <v>-0</v>
      </c>
      <c r="DI103" s="46" t="n">
        <f aca="false">-(DI100+DI101+DI102)*N(AND(DI$3&lt;=$E103,DI$4&gt;=$E103))</f>
        <v>-0</v>
      </c>
      <c r="DJ103" s="46" t="n">
        <f aca="false">-(DJ100+DJ101+DJ102)*N(AND(DJ$3&lt;=$E103,DJ$4&gt;=$E103))</f>
        <v>-0</v>
      </c>
      <c r="DK103" s="46" t="n">
        <f aca="false">-(DK100+DK101+DK102)*N(AND(DK$3&lt;=$E103,DK$4&gt;=$E103))</f>
        <v>-0</v>
      </c>
      <c r="DL103" s="46" t="n">
        <f aca="false">-(DL100+DL101+DL102)*N(AND(DL$3&lt;=$E103,DL$4&gt;=$E103))</f>
        <v>-0</v>
      </c>
      <c r="DM103" s="46" t="n">
        <f aca="false">-(DM100+DM101+DM102)*N(AND(DM$3&lt;=$E103,DM$4&gt;=$E103))</f>
        <v>-0</v>
      </c>
      <c r="DN103" s="46" t="n">
        <f aca="false">-(DN100+DN101+DN102)*N(AND(DN$3&lt;=$E103,DN$4&gt;=$E103))</f>
        <v>-0</v>
      </c>
      <c r="DO103" s="46" t="n">
        <f aca="false">-(DO100+DO101+DO102)*N(AND(DO$3&lt;=$E103,DO$4&gt;=$E103))</f>
        <v>-0</v>
      </c>
      <c r="DP103" s="46" t="n">
        <f aca="false">-(DP100+DP101+DP102)*N(AND(DP$3&lt;=$E103,DP$4&gt;=$E103))</f>
        <v>-0</v>
      </c>
      <c r="DQ103" s="46" t="n">
        <f aca="false">-(DQ100+DQ101+DQ102)*N(AND(DQ$3&lt;=$E103,DQ$4&gt;=$E103))</f>
        <v>-0</v>
      </c>
      <c r="DR103" s="46" t="n">
        <f aca="false">-(DR100+DR101+DR102)*N(AND(DR$3&lt;=$E103,DR$4&gt;=$E103))</f>
        <v>-0</v>
      </c>
      <c r="DS103" s="46" t="n">
        <f aca="false">-(DS100+DS101+DS102)*N(AND(DS$3&lt;=$E103,DS$4&gt;=$E103))</f>
        <v>-0</v>
      </c>
      <c r="DT103" s="46" t="n">
        <f aca="false">-(DT100+DT101+DT102)*N(AND(DT$3&lt;=$E103,DT$4&gt;=$E103))</f>
        <v>-0</v>
      </c>
      <c r="DU103" s="46" t="n">
        <f aca="false">-(DU100+DU101+DU102)*N(AND(DU$3&lt;=$E103,DU$4&gt;=$E103))</f>
        <v>-0</v>
      </c>
      <c r="DV103" s="46" t="n">
        <f aca="false">-(DV100+DV101+DV102)*N(AND(DV$3&lt;=$E103,DV$4&gt;=$E103))</f>
        <v>-0</v>
      </c>
      <c r="DW103" s="46" t="n">
        <f aca="false">-(DW100+DW101+DW102)*N(AND(DW$3&lt;=$E103,DW$4&gt;=$E103))</f>
        <v>-0</v>
      </c>
      <c r="DX103" s="46" t="n">
        <f aca="false">-(DX100+DX101+DX102)*N(AND(DX$3&lt;=$E103,DX$4&gt;=$E103))</f>
        <v>-0</v>
      </c>
      <c r="DY103" s="46" t="n">
        <f aca="false">-(DY100+DY101+DY102)*N(AND(DY$3&lt;=$E103,DY$4&gt;=$E103))</f>
        <v>-0</v>
      </c>
      <c r="DZ103" s="46" t="n">
        <f aca="false">-(DZ100+DZ101+DZ102)*N(AND(DZ$3&lt;=$E103,DZ$4&gt;=$E103))</f>
        <v>-0</v>
      </c>
      <c r="EA103" s="46" t="n">
        <f aca="false">-(EA100+EA101+EA102)*N(AND(EA$3&lt;=$E103,EA$4&gt;=$E103))</f>
        <v>-0</v>
      </c>
      <c r="EB103" s="46" t="n">
        <f aca="false">-(EB100+EB101+EB102)*N(AND(EB$3&lt;=$E103,EB$4&gt;=$E103))</f>
        <v>-0</v>
      </c>
      <c r="EC103" s="46" t="n">
        <f aca="false">-(EC100+EC101+EC102)*N(AND(EC$3&lt;=$E103,EC$4&gt;=$E103))</f>
        <v>-0</v>
      </c>
      <c r="ED103" s="46" t="n">
        <f aca="false">-(ED100+ED101+ED102)*N(AND(ED$3&lt;=$E103,ED$4&gt;=$E103))</f>
        <v>-0</v>
      </c>
      <c r="EE103" s="46" t="n">
        <f aca="false">-(EE100+EE101+EE102)*N(AND(EE$3&lt;=$E103,EE$4&gt;=$E103))</f>
        <v>-0</v>
      </c>
      <c r="EF103" s="46" t="n">
        <f aca="false">-(EF100+EF101+EF102)*N(AND(EF$3&lt;=$E103,EF$4&gt;=$E103))</f>
        <v>-0</v>
      </c>
      <c r="EG103" s="46" t="n">
        <f aca="false">-(EG100+EG101+EG102)*N(AND(EG$3&lt;=$E103,EG$4&gt;=$E103))</f>
        <v>-0</v>
      </c>
      <c r="EH103" s="46" t="n">
        <f aca="false">-(EH100+EH101+EH102)*N(AND(EH$3&lt;=$E103,EH$4&gt;=$E103))</f>
        <v>-0</v>
      </c>
      <c r="EI103" s="46" t="n">
        <f aca="false">-(EI100+EI101+EI102)*N(AND(EI$3&lt;=$E103,EI$4&gt;=$E103))</f>
        <v>-0</v>
      </c>
      <c r="EJ103" s="46" t="n">
        <f aca="false">-(EJ100+EJ101+EJ102)*N(AND(EJ$3&lt;=$E103,EJ$4&gt;=$E103))</f>
        <v>-0</v>
      </c>
      <c r="EK103" s="46" t="n">
        <f aca="false">-(EK100+EK101+EK102)*N(AND(EK$3&lt;=$E103,EK$4&gt;=$E103))</f>
        <v>-0</v>
      </c>
      <c r="EL103" s="46" t="n">
        <f aca="false">-(EL100+EL101+EL102)*N(AND(EL$3&lt;=$E103,EL$4&gt;=$E103))</f>
        <v>-0</v>
      </c>
      <c r="EM103" s="46" t="n">
        <f aca="false">-(EM100+EM101+EM102)*N(AND(EM$3&lt;=$E103,EM$4&gt;=$E103))</f>
        <v>-0</v>
      </c>
      <c r="EN103" s="46" t="n">
        <f aca="false">-(EN100+EN101+EN102)*N(AND(EN$3&lt;=$E103,EN$4&gt;=$E103))</f>
        <v>-0</v>
      </c>
      <c r="EO103" s="46" t="n">
        <f aca="false">-(EO100+EO101+EO102)*N(AND(EO$3&lt;=$E103,EO$4&gt;=$E103))</f>
        <v>-0</v>
      </c>
    </row>
    <row r="104" customFormat="false" ht="15" hidden="false" customHeight="false" outlineLevel="0" collapsed="false">
      <c r="C104" s="0" t="s">
        <v>428</v>
      </c>
      <c r="D104" s="11" t="s">
        <v>33</v>
      </c>
      <c r="I104" s="58"/>
      <c r="J104" s="46" t="n">
        <f aca="false">SUM(J100:J103)</f>
        <v>11.6750159504597</v>
      </c>
      <c r="K104" s="46" t="n">
        <f aca="false">SUM(K100:K103)</f>
        <v>26.4857496716082</v>
      </c>
      <c r="L104" s="46" t="n">
        <f aca="false">SUM(L100:L103)</f>
        <v>51.4445787202102</v>
      </c>
      <c r="M104" s="46" t="n">
        <f aca="false">SUM(M100:M103)</f>
        <v>76.6776806155001</v>
      </c>
      <c r="N104" s="46" t="n">
        <f aca="false">SUM(N100:N103)</f>
        <v>101.91078251079</v>
      </c>
      <c r="O104" s="46" t="n">
        <f aca="false">SUM(O100:O103)</f>
        <v>126.869611559392</v>
      </c>
      <c r="P104" s="46" t="n">
        <f aca="false">SUM(P100:P103)</f>
        <v>151.828440607994</v>
      </c>
      <c r="Q104" s="46" t="n">
        <f aca="false">SUM(Q100:Q103)</f>
        <v>177.061542503284</v>
      </c>
      <c r="R104" s="46" t="n">
        <f aca="false">SUM(R100:R103)</f>
        <v>1262.19352711427</v>
      </c>
      <c r="S104" s="46" t="n">
        <f aca="false">SUM(S100:S103)</f>
        <v>1426.37317943863</v>
      </c>
      <c r="T104" s="46" t="n">
        <f aca="false">SUM(T100:T103)</f>
        <v>1567.81092802336</v>
      </c>
      <c r="U104" s="46" t="n">
        <f aca="false">SUM(U100:U103)</f>
        <v>1698.78419634117</v>
      </c>
      <c r="V104" s="46" t="n">
        <f aca="false">SUM(V100:V103)</f>
        <v>1817.60664933903</v>
      </c>
      <c r="W104" s="46" t="n">
        <f aca="false">SUM(W100:W103)</f>
        <v>1923.00126954451</v>
      </c>
      <c r="X104" s="46" t="n">
        <f aca="false">SUM(X100:X103)</f>
        <v>2017.80947682871</v>
      </c>
      <c r="Y104" s="46" t="n">
        <f aca="false">SUM(Y100:Y103)</f>
        <v>2101.64079130422</v>
      </c>
      <c r="Z104" s="46" t="n">
        <f aca="false">SUM(Z100:Z103)</f>
        <v>1803.31477266759</v>
      </c>
      <c r="AA104" s="46" t="n">
        <f aca="false">SUM(AA100:AA103)</f>
        <v>1508.50419283764</v>
      </c>
      <c r="AB104" s="46" t="n">
        <f aca="false">SUM(AB100:AB103)</f>
        <v>1204.13933597212</v>
      </c>
      <c r="AC104" s="46" t="n">
        <f aca="false">SUM(AC100:AC103)</f>
        <v>890.113316306204</v>
      </c>
      <c r="AD104" s="46" t="n">
        <f aca="false">SUM(AD100:AD103)</f>
        <v>577.192524156807</v>
      </c>
      <c r="AE104" s="46" t="n">
        <f aca="false">SUM(AE100:AE103)</f>
        <v>260.896974209409</v>
      </c>
      <c r="AF104" s="46" t="n">
        <f aca="false">SUM(AF100:AF103)</f>
        <v>0</v>
      </c>
      <c r="AG104" s="46" t="n">
        <f aca="false">SUM(AG100:AG103)</f>
        <v>0</v>
      </c>
      <c r="AH104" s="46" t="n">
        <f aca="false">SUM(AH100:AH103)</f>
        <v>0</v>
      </c>
      <c r="AI104" s="46" t="n">
        <f aca="false">SUM(AI100:AI103)</f>
        <v>0</v>
      </c>
      <c r="AJ104" s="46" t="n">
        <f aca="false">SUM(AJ100:AJ103)</f>
        <v>0</v>
      </c>
      <c r="AK104" s="46" t="n">
        <f aca="false">SUM(AK100:AK103)</f>
        <v>0</v>
      </c>
      <c r="AL104" s="46" t="n">
        <f aca="false">SUM(AL100:AL103)</f>
        <v>0</v>
      </c>
      <c r="AM104" s="46" t="n">
        <f aca="false">SUM(AM100:AM103)</f>
        <v>0</v>
      </c>
      <c r="AN104" s="46" t="n">
        <f aca="false">SUM(AN100:AN103)</f>
        <v>0</v>
      </c>
      <c r="AO104" s="46" t="n">
        <f aca="false">SUM(AO100:AO103)</f>
        <v>0</v>
      </c>
      <c r="AP104" s="46" t="n">
        <f aca="false">SUM(AP100:AP103)</f>
        <v>0</v>
      </c>
      <c r="AQ104" s="46" t="n">
        <f aca="false">SUM(AQ100:AQ103)</f>
        <v>0</v>
      </c>
      <c r="AR104" s="46" t="n">
        <f aca="false">SUM(AR100:AR103)</f>
        <v>0</v>
      </c>
      <c r="AS104" s="46" t="n">
        <f aca="false">SUM(AS100:AS103)</f>
        <v>0</v>
      </c>
      <c r="AT104" s="46" t="n">
        <f aca="false">SUM(AT100:AT103)</f>
        <v>0</v>
      </c>
      <c r="AU104" s="46" t="n">
        <f aca="false">SUM(AU100:AU103)</f>
        <v>0</v>
      </c>
      <c r="AV104" s="46" t="n">
        <f aca="false">SUM(AV100:AV103)</f>
        <v>0</v>
      </c>
      <c r="AW104" s="46" t="n">
        <f aca="false">SUM(AW100:AW103)</f>
        <v>0</v>
      </c>
      <c r="AX104" s="46" t="n">
        <f aca="false">SUM(AX100:AX103)</f>
        <v>0</v>
      </c>
      <c r="AY104" s="46" t="n">
        <f aca="false">SUM(AY100:AY103)</f>
        <v>0</v>
      </c>
      <c r="AZ104" s="46" t="n">
        <f aca="false">SUM(AZ100:AZ103)</f>
        <v>0</v>
      </c>
      <c r="BA104" s="46" t="n">
        <f aca="false">SUM(BA100:BA103)</f>
        <v>0</v>
      </c>
      <c r="BB104" s="46" t="n">
        <f aca="false">SUM(BB100:BB103)</f>
        <v>0</v>
      </c>
      <c r="BC104" s="46" t="n">
        <f aca="false">SUM(BC100:BC103)</f>
        <v>0</v>
      </c>
      <c r="BD104" s="46" t="n">
        <f aca="false">SUM(BD100:BD103)</f>
        <v>0</v>
      </c>
      <c r="BE104" s="46" t="n">
        <f aca="false">SUM(BE100:BE103)</f>
        <v>0</v>
      </c>
      <c r="BF104" s="46" t="n">
        <f aca="false">SUM(BF100:BF103)</f>
        <v>0</v>
      </c>
      <c r="BG104" s="46" t="n">
        <f aca="false">SUM(BG100:BG103)</f>
        <v>0</v>
      </c>
      <c r="BH104" s="46" t="n">
        <f aca="false">SUM(BH100:BH103)</f>
        <v>0</v>
      </c>
      <c r="BI104" s="46" t="n">
        <f aca="false">SUM(BI100:BI103)</f>
        <v>0</v>
      </c>
      <c r="BJ104" s="46" t="n">
        <f aca="false">SUM(BJ100:BJ103)</f>
        <v>0</v>
      </c>
      <c r="BK104" s="46" t="n">
        <f aca="false">SUM(BK100:BK103)</f>
        <v>0</v>
      </c>
      <c r="BL104" s="46" t="n">
        <f aca="false">SUM(BL100:BL103)</f>
        <v>0</v>
      </c>
      <c r="BM104" s="46" t="n">
        <f aca="false">SUM(BM100:BM103)</f>
        <v>0</v>
      </c>
      <c r="BN104" s="46" t="n">
        <f aca="false">SUM(BN100:BN103)</f>
        <v>0</v>
      </c>
      <c r="BO104" s="46" t="n">
        <f aca="false">SUM(BO100:BO103)</f>
        <v>0</v>
      </c>
      <c r="BP104" s="46" t="n">
        <f aca="false">SUM(BP100:BP103)</f>
        <v>0</v>
      </c>
      <c r="BQ104" s="46" t="n">
        <f aca="false">SUM(BQ100:BQ103)</f>
        <v>0</v>
      </c>
      <c r="BR104" s="46" t="n">
        <f aca="false">SUM(BR100:BR103)</f>
        <v>0</v>
      </c>
      <c r="BS104" s="46" t="n">
        <f aca="false">SUM(BS100:BS103)</f>
        <v>0</v>
      </c>
      <c r="BT104" s="46" t="n">
        <f aca="false">SUM(BT100:BT103)</f>
        <v>0</v>
      </c>
      <c r="BU104" s="46" t="n">
        <f aca="false">SUM(BU100:BU103)</f>
        <v>0</v>
      </c>
      <c r="BV104" s="46" t="n">
        <f aca="false">SUM(BV100:BV103)</f>
        <v>0</v>
      </c>
      <c r="BW104" s="46" t="n">
        <f aca="false">SUM(BW100:BW103)</f>
        <v>0</v>
      </c>
      <c r="BX104" s="46" t="n">
        <f aca="false">SUM(BX100:BX103)</f>
        <v>0</v>
      </c>
      <c r="BY104" s="46" t="n">
        <f aca="false">SUM(BY100:BY103)</f>
        <v>0</v>
      </c>
      <c r="BZ104" s="46" t="n">
        <f aca="false">SUM(BZ100:BZ103)</f>
        <v>0</v>
      </c>
      <c r="CA104" s="46" t="n">
        <f aca="false">SUM(CA100:CA103)</f>
        <v>0</v>
      </c>
      <c r="CB104" s="46" t="n">
        <f aca="false">SUM(CB100:CB103)</f>
        <v>0</v>
      </c>
      <c r="CC104" s="46" t="n">
        <f aca="false">SUM(CC100:CC103)</f>
        <v>0</v>
      </c>
      <c r="CD104" s="46" t="n">
        <f aca="false">SUM(CD100:CD103)</f>
        <v>0</v>
      </c>
      <c r="CE104" s="46" t="n">
        <f aca="false">SUM(CE100:CE103)</f>
        <v>0</v>
      </c>
      <c r="CF104" s="46" t="n">
        <f aca="false">SUM(CF100:CF103)</f>
        <v>0</v>
      </c>
      <c r="CG104" s="46" t="n">
        <f aca="false">SUM(CG100:CG103)</f>
        <v>0</v>
      </c>
      <c r="CH104" s="46" t="n">
        <f aca="false">SUM(CH100:CH103)</f>
        <v>0</v>
      </c>
      <c r="CI104" s="46" t="n">
        <f aca="false">SUM(CI100:CI103)</f>
        <v>0</v>
      </c>
      <c r="CJ104" s="46" t="n">
        <f aca="false">SUM(CJ100:CJ103)</f>
        <v>0</v>
      </c>
      <c r="CK104" s="46" t="n">
        <f aca="false">SUM(CK100:CK103)</f>
        <v>0</v>
      </c>
      <c r="CL104" s="46" t="n">
        <f aca="false">SUM(CL100:CL103)</f>
        <v>0</v>
      </c>
      <c r="CM104" s="46" t="n">
        <f aca="false">SUM(CM100:CM103)</f>
        <v>0</v>
      </c>
      <c r="CN104" s="46" t="n">
        <f aca="false">SUM(CN100:CN103)</f>
        <v>0</v>
      </c>
      <c r="CO104" s="46" t="n">
        <f aca="false">SUM(CO100:CO103)</f>
        <v>0</v>
      </c>
      <c r="CP104" s="46" t="n">
        <f aca="false">SUM(CP100:CP103)</f>
        <v>0</v>
      </c>
      <c r="CQ104" s="46" t="n">
        <f aca="false">SUM(CQ100:CQ103)</f>
        <v>0</v>
      </c>
      <c r="CR104" s="46" t="n">
        <f aca="false">SUM(CR100:CR103)</f>
        <v>0</v>
      </c>
      <c r="CS104" s="46" t="n">
        <f aca="false">SUM(CS100:CS103)</f>
        <v>0</v>
      </c>
      <c r="CT104" s="46" t="n">
        <f aca="false">SUM(CT100:CT103)</f>
        <v>0</v>
      </c>
      <c r="CU104" s="46" t="n">
        <f aca="false">SUM(CU100:CU103)</f>
        <v>0</v>
      </c>
      <c r="CV104" s="46" t="n">
        <f aca="false">SUM(CV100:CV103)</f>
        <v>0</v>
      </c>
      <c r="CW104" s="46" t="n">
        <f aca="false">SUM(CW100:CW103)</f>
        <v>0</v>
      </c>
      <c r="CX104" s="46" t="n">
        <f aca="false">SUM(CX100:CX103)</f>
        <v>0</v>
      </c>
      <c r="CY104" s="46" t="n">
        <f aca="false">SUM(CY100:CY103)</f>
        <v>0</v>
      </c>
      <c r="CZ104" s="46" t="n">
        <f aca="false">SUM(CZ100:CZ103)</f>
        <v>0</v>
      </c>
      <c r="DA104" s="46" t="n">
        <f aca="false">SUM(DA100:DA103)</f>
        <v>0</v>
      </c>
      <c r="DB104" s="46" t="n">
        <f aca="false">SUM(DB100:DB103)</f>
        <v>0</v>
      </c>
      <c r="DC104" s="46" t="n">
        <f aca="false">SUM(DC100:DC103)</f>
        <v>0</v>
      </c>
      <c r="DD104" s="46" t="n">
        <f aca="false">SUM(DD100:DD103)</f>
        <v>0</v>
      </c>
      <c r="DE104" s="46" t="n">
        <f aca="false">SUM(DE100:DE103)</f>
        <v>0</v>
      </c>
      <c r="DF104" s="46" t="n">
        <f aca="false">SUM(DF100:DF103)</f>
        <v>0</v>
      </c>
      <c r="DG104" s="46" t="n">
        <f aca="false">SUM(DG100:DG103)</f>
        <v>0</v>
      </c>
      <c r="DH104" s="46" t="n">
        <f aca="false">SUM(DH100:DH103)</f>
        <v>0</v>
      </c>
      <c r="DI104" s="46" t="n">
        <f aca="false">SUM(DI100:DI103)</f>
        <v>0</v>
      </c>
      <c r="DJ104" s="46" t="n">
        <f aca="false">SUM(DJ100:DJ103)</f>
        <v>0</v>
      </c>
      <c r="DK104" s="46" t="n">
        <f aca="false">SUM(DK100:DK103)</f>
        <v>0</v>
      </c>
      <c r="DL104" s="46" t="n">
        <f aca="false">SUM(DL100:DL103)</f>
        <v>0</v>
      </c>
      <c r="DM104" s="46" t="n">
        <f aca="false">SUM(DM100:DM103)</f>
        <v>0</v>
      </c>
      <c r="DN104" s="46" t="n">
        <f aca="false">SUM(DN100:DN103)</f>
        <v>0</v>
      </c>
      <c r="DO104" s="46" t="n">
        <f aca="false">SUM(DO100:DO103)</f>
        <v>0</v>
      </c>
      <c r="DP104" s="46" t="n">
        <f aca="false">SUM(DP100:DP103)</f>
        <v>0</v>
      </c>
      <c r="DQ104" s="46" t="n">
        <f aca="false">SUM(DQ100:DQ103)</f>
        <v>0</v>
      </c>
      <c r="DR104" s="46" t="n">
        <f aca="false">SUM(DR100:DR103)</f>
        <v>0</v>
      </c>
      <c r="DS104" s="46" t="n">
        <f aca="false">SUM(DS100:DS103)</f>
        <v>0</v>
      </c>
      <c r="DT104" s="46" t="n">
        <f aca="false">SUM(DT100:DT103)</f>
        <v>0</v>
      </c>
      <c r="DU104" s="46" t="n">
        <f aca="false">SUM(DU100:DU103)</f>
        <v>0</v>
      </c>
      <c r="DV104" s="46" t="n">
        <f aca="false">SUM(DV100:DV103)</f>
        <v>0</v>
      </c>
      <c r="DW104" s="46" t="n">
        <f aca="false">SUM(DW100:DW103)</f>
        <v>0</v>
      </c>
      <c r="DX104" s="46" t="n">
        <f aca="false">SUM(DX100:DX103)</f>
        <v>0</v>
      </c>
      <c r="DY104" s="46" t="n">
        <f aca="false">SUM(DY100:DY103)</f>
        <v>0</v>
      </c>
      <c r="DZ104" s="46" t="n">
        <f aca="false">SUM(DZ100:DZ103)</f>
        <v>0</v>
      </c>
      <c r="EA104" s="46" t="n">
        <f aca="false">SUM(EA100:EA103)</f>
        <v>0</v>
      </c>
      <c r="EB104" s="46" t="n">
        <f aca="false">SUM(EB100:EB103)</f>
        <v>0</v>
      </c>
      <c r="EC104" s="46" t="n">
        <f aca="false">SUM(EC100:EC103)</f>
        <v>0</v>
      </c>
      <c r="ED104" s="46" t="n">
        <f aca="false">SUM(ED100:ED103)</f>
        <v>0</v>
      </c>
      <c r="EE104" s="46" t="n">
        <f aca="false">SUM(EE100:EE103)</f>
        <v>0</v>
      </c>
      <c r="EF104" s="46" t="n">
        <f aca="false">SUM(EF100:EF103)</f>
        <v>0</v>
      </c>
      <c r="EG104" s="46" t="n">
        <f aca="false">SUM(EG100:EG103)</f>
        <v>0</v>
      </c>
      <c r="EH104" s="46" t="n">
        <f aca="false">SUM(EH100:EH103)</f>
        <v>0</v>
      </c>
      <c r="EI104" s="46" t="n">
        <f aca="false">SUM(EI100:EI103)</f>
        <v>0</v>
      </c>
      <c r="EJ104" s="46" t="n">
        <f aca="false">SUM(EJ100:EJ103)</f>
        <v>0</v>
      </c>
      <c r="EK104" s="46" t="n">
        <f aca="false">SUM(EK100:EK103)</f>
        <v>0</v>
      </c>
      <c r="EL104" s="46" t="n">
        <f aca="false">SUM(EL100:EL103)</f>
        <v>0</v>
      </c>
      <c r="EM104" s="46" t="n">
        <f aca="false">SUM(EM100:EM103)</f>
        <v>0</v>
      </c>
      <c r="EN104" s="46" t="n">
        <f aca="false">SUM(EN100:EN103)</f>
        <v>0</v>
      </c>
      <c r="EO104" s="46" t="n">
        <f aca="false">SUM(EO100:EO103)</f>
        <v>0</v>
      </c>
    </row>
    <row r="105" customFormat="false" ht="15" hidden="false" customHeight="false" outlineLevel="0" collapsed="false">
      <c r="C105" s="0" t="s">
        <v>429</v>
      </c>
      <c r="D105" s="11" t="s">
        <v>33</v>
      </c>
      <c r="J105" s="46" t="n">
        <f aca="false">-In_CIT*(MAX(0,J99)+J102)</f>
        <v>-0</v>
      </c>
      <c r="K105" s="46" t="n">
        <f aca="false">-In_CIT*(MAX(0,K99)+K102)</f>
        <v>-0</v>
      </c>
      <c r="L105" s="46" t="n">
        <f aca="false">-In_CIT*(MAX(0,L99)+L102)</f>
        <v>-0</v>
      </c>
      <c r="M105" s="46" t="n">
        <f aca="false">-In_CIT*(MAX(0,M99)+M102)</f>
        <v>-0</v>
      </c>
      <c r="N105" s="46" t="n">
        <f aca="false">-In_CIT*(MAX(0,N99)+N102)</f>
        <v>-0</v>
      </c>
      <c r="O105" s="46" t="n">
        <f aca="false">-In_CIT*(MAX(0,O99)+O102)</f>
        <v>-0</v>
      </c>
      <c r="P105" s="46" t="n">
        <f aca="false">-In_CIT*(MAX(0,P99)+P102)</f>
        <v>-0</v>
      </c>
      <c r="Q105" s="46" t="n">
        <f aca="false">-In_CIT*(MAX(0,Q99)+Q102)</f>
        <v>-0</v>
      </c>
      <c r="R105" s="46" t="n">
        <f aca="false">-In_CIT*(MAX(0,R99)+R102)</f>
        <v>-0</v>
      </c>
      <c r="S105" s="46" t="n">
        <f aca="false">-In_CIT*(MAX(0,S99)+S102)</f>
        <v>-0</v>
      </c>
      <c r="T105" s="46" t="n">
        <f aca="false">-In_CIT*(MAX(0,T99)+T102)</f>
        <v>-0</v>
      </c>
      <c r="U105" s="46" t="n">
        <f aca="false">-In_CIT*(MAX(0,U99)+U102)</f>
        <v>-0</v>
      </c>
      <c r="V105" s="46" t="n">
        <f aca="false">-In_CIT*(MAX(0,V99)+V102)</f>
        <v>-0</v>
      </c>
      <c r="W105" s="46" t="n">
        <f aca="false">-In_CIT*(MAX(0,W99)+W102)</f>
        <v>-0</v>
      </c>
      <c r="X105" s="46" t="n">
        <f aca="false">-In_CIT*(MAX(0,X99)+X102)</f>
        <v>-0</v>
      </c>
      <c r="Y105" s="46" t="n">
        <f aca="false">-In_CIT*(MAX(0,Y99)+Y102)</f>
        <v>-0</v>
      </c>
      <c r="Z105" s="46" t="n">
        <f aca="false">-In_CIT*(MAX(0,Z99)+Z102)</f>
        <v>-26.8493416772974</v>
      </c>
      <c r="AA105" s="46" t="n">
        <f aca="false">-In_CIT*(MAX(0,AA99)+AA102)</f>
        <v>-26.5329521846953</v>
      </c>
      <c r="AB105" s="46" t="n">
        <f aca="false">-In_CIT*(MAX(0,AB99)+AB102)</f>
        <v>-27.3928371178968</v>
      </c>
      <c r="AC105" s="46" t="n">
        <f aca="false">-In_CIT*(MAX(0,AC99)+AC102)</f>
        <v>-28.2623417699322</v>
      </c>
      <c r="AD105" s="46" t="n">
        <f aca="false">-In_CIT*(MAX(0,AD99)+AD102)</f>
        <v>-28.1628712934457</v>
      </c>
      <c r="AE105" s="46" t="n">
        <f aca="false">-In_CIT*(MAX(0,AE99)+AE102)</f>
        <v>-28.4665994952658</v>
      </c>
      <c r="AF105" s="46" t="n">
        <f aca="false">-In_CIT*(MAX(0,AF99)+AF102)</f>
        <v>-33.9827075798296</v>
      </c>
      <c r="AG105" s="46" t="n">
        <f aca="false">-In_CIT*(MAX(0,AG99)+AG102)</f>
        <v>-59.2349751392917</v>
      </c>
      <c r="AH105" s="46" t="n">
        <f aca="false">-In_CIT*(MAX(0,AH99)+AH102)</f>
        <v>-59.0443884008015</v>
      </c>
      <c r="AI105" s="46" t="n">
        <f aca="false">-In_CIT*(MAX(0,AI99)+AI102)</f>
        <v>-58.4011558659339</v>
      </c>
      <c r="AJ105" s="46" t="n">
        <f aca="false">-In_CIT*(MAX(0,AJ99)+AJ102)</f>
        <v>-62.4216231784302</v>
      </c>
      <c r="AK105" s="46" t="n">
        <f aca="false">-In_CIT*(MAX(0,AK99)+AK102)</f>
        <v>-64.2524515094509</v>
      </c>
      <c r="AL105" s="46" t="n">
        <f aca="false">-In_CIT*(MAX(0,AL99)+AL102)</f>
        <v>-64.0992588220932</v>
      </c>
      <c r="AM105" s="46" t="n">
        <f aca="false">-In_CIT*(MAX(0,AM99)+AM102)</f>
        <v>-63.422823864761</v>
      </c>
      <c r="AN105" s="46" t="n">
        <f aca="false">-In_CIT*(MAX(0,AN99)+AN102)</f>
        <v>-65.2702176701237</v>
      </c>
      <c r="AO105" s="46" t="n">
        <f aca="false">-In_CIT*(MAX(0,AO99)+AO102)</f>
        <v>-67.1376230274867</v>
      </c>
      <c r="AP105" s="46" t="n">
        <f aca="false">-In_CIT*(MAX(0,AP99)+AP102)</f>
        <v>-67.0108055347332</v>
      </c>
      <c r="AQ105" s="46" t="n">
        <f aca="false">-In_CIT*(MAX(0,AQ99)+AQ102)</f>
        <v>-66.3391622329636</v>
      </c>
      <c r="AR105" s="46" t="n">
        <f aca="false">-In_CIT*(MAX(0,AR99)+AR102)</f>
        <v>-68.223888559393</v>
      </c>
      <c r="AS105" s="46" t="n">
        <f aca="false">-In_CIT*(MAX(0,AS99)+AS102)</f>
        <v>-70.1290357055512</v>
      </c>
      <c r="AT105" s="46" t="n">
        <f aca="false">-In_CIT*(MAX(0,AT99)+AT102)</f>
        <v>-70.02997079719</v>
      </c>
      <c r="AU105" s="46" t="n">
        <f aca="false">-In_CIT*(MAX(0,AU99)+AU102)</f>
        <v>-70.6503100970404</v>
      </c>
      <c r="AV105" s="46" t="n">
        <f aca="false">-In_CIT*(MAX(0,AV99)+AV102)</f>
        <v>-71.3007833033217</v>
      </c>
      <c r="AW105" s="46" t="n">
        <f aca="false">-In_CIT*(MAX(0,AW99)+AW102)</f>
        <v>-73.2450505222284</v>
      </c>
      <c r="AX105" s="46" t="n">
        <f aca="false">-In_CIT*(MAX(0,AX99)+AX102)</f>
        <v>-73.1753395431503</v>
      </c>
      <c r="AY105" s="46" t="n">
        <f aca="false">-In_CIT*(MAX(0,AY99)+AY102)</f>
        <v>-72.5170002151492</v>
      </c>
      <c r="AZ105" s="46" t="n">
        <f aca="false">-In_CIT*(MAX(0,AZ99)+AZ102)</f>
        <v>-74.4802261764597</v>
      </c>
      <c r="BA105" s="46" t="n">
        <f aca="false">-In_CIT*(MAX(0,BA99)+BA102)</f>
        <v>-76.4647415043314</v>
      </c>
      <c r="BB105" s="46" t="n">
        <f aca="false">-In_CIT*(MAX(0,BB99)+BB102)</f>
        <v>-76.4257406587602</v>
      </c>
      <c r="BC105" s="46" t="n">
        <f aca="false">-In_CIT*(MAX(0,BC99)+BC102)</f>
        <v>-75.7758851561971</v>
      </c>
      <c r="BD105" s="46" t="n">
        <f aca="false">-In_CIT*(MAX(0,BD99)+BD102)</f>
        <v>-77.7802402000813</v>
      </c>
      <c r="BE105" s="46" t="n">
        <f aca="false">-In_CIT*(MAX(0,BE99)+BE102)</f>
        <v>-79.8063435349821</v>
      </c>
      <c r="BF105" s="46" t="n">
        <f aca="false">-In_CIT*(MAX(0,BF99)+BF102)</f>
        <v>-79.7996317330392</v>
      </c>
      <c r="BG105" s="46" t="n">
        <f aca="false">-In_CIT*(MAX(0,BG99)+BG102)</f>
        <v>-79.1596191378095</v>
      </c>
      <c r="BH105" s="46" t="n">
        <f aca="false">-In_CIT*(MAX(0,BH99)+BH102)</f>
        <v>-81.2064892302887</v>
      </c>
      <c r="BI105" s="46" t="n">
        <f aca="false">-In_CIT*(MAX(0,BI99)+BI102)</f>
        <v>-83.2755846308019</v>
      </c>
      <c r="BJ105" s="46" t="n">
        <f aca="false">-In_CIT*(MAX(0,BJ99)+BJ102)</f>
        <v>-83.3028142463335</v>
      </c>
      <c r="BK105" s="46" t="n">
        <f aca="false">-In_CIT*(MAX(0,BK99)+BK102)</f>
        <v>-83.980049940183</v>
      </c>
      <c r="BL105" s="46" t="n">
        <f aca="false">-In_CIT*(MAX(0,BL99)+BL102)</f>
        <v>-84.7782591742914</v>
      </c>
      <c r="BM105" s="46" t="n">
        <f aca="false">-In_CIT*(MAX(0,BM99)+BM102)</f>
        <v>-86.8919774618649</v>
      </c>
      <c r="BN105" s="46" t="n">
        <f aca="false">-In_CIT*(MAX(0,BN99)+BN102)</f>
        <v>-86.9550391056148</v>
      </c>
      <c r="BO105" s="46" t="n">
        <f aca="false">-In_CIT*(MAX(0,BO99)+BO102)</f>
        <v>-86.3392387804562</v>
      </c>
      <c r="BP105" s="46" t="n">
        <f aca="false">-In_CIT*(MAX(0,BP99)+BP102)</f>
        <v>-88.475731377344</v>
      </c>
      <c r="BQ105" s="46" t="n">
        <f aca="false">-In_CIT*(MAX(0,BQ99)+BQ102)</f>
        <v>-90.635462997528</v>
      </c>
      <c r="BR105" s="46" t="n">
        <f aca="false">-In_CIT*(MAX(0,BR99)+BR102)</f>
        <v>-90.7360130336115</v>
      </c>
      <c r="BS105" s="46" t="n">
        <f aca="false">-In_CIT*(MAX(0,BS99)+BS102)</f>
        <v>-90.1345784738253</v>
      </c>
      <c r="BT105" s="46" t="n">
        <f aca="false">-In_CIT*(MAX(0,BT99)+BT102)</f>
        <v>-92.318164453627</v>
      </c>
      <c r="BU105" s="46" t="n">
        <f aca="false">-In_CIT*(MAX(0,BU99)+BU102)</f>
        <v>-94.5255260974322</v>
      </c>
      <c r="BV105" s="46" t="n">
        <f aca="false">-In_CIT*(MAX(0,BV99)+BV102)</f>
        <v>-94.6654590781138</v>
      </c>
      <c r="BW105" s="46" t="n">
        <f aca="false">-In_CIT*(MAX(0,BW99)+BW102)</f>
        <v>-94.0800535036186</v>
      </c>
      <c r="BX105" s="46" t="n">
        <f aca="false">-In_CIT*(MAX(0,BX99)+BX102)</f>
        <v>-96.3124057293667</v>
      </c>
      <c r="BY105" s="46" t="n">
        <f aca="false">-In_CIT*(MAX(0,BY99)+BY102)</f>
        <v>-98.5690920000894</v>
      </c>
      <c r="BZ105" s="46" t="n">
        <f aca="false">-In_CIT*(MAX(0,BZ99)+BZ102)</f>
        <v>-98.7503908073223</v>
      </c>
      <c r="CA105" s="46" t="n">
        <f aca="false">-In_CIT*(MAX(0,CA99)+CA102)</f>
        <v>-99.5045124087563</v>
      </c>
      <c r="CB105" s="46" t="n">
        <f aca="false">-In_CIT*(MAX(0,CB99)+CB102)</f>
        <v>-100.479070951912</v>
      </c>
      <c r="CC105" s="46" t="n">
        <f aca="false">-In_CIT*(MAX(0,CC99)+CC102)</f>
        <v>-102.787018706097</v>
      </c>
      <c r="CD105" s="46" t="n">
        <f aca="false">-In_CIT*(MAX(0,CD99)+CD102)</f>
        <v>-103.011921107749</v>
      </c>
      <c r="CE105" s="46" t="n">
        <f aca="false">-In_CIT*(MAX(0,CE99)+CE102)</f>
        <v>-102.464073115788</v>
      </c>
      <c r="CF105" s="46" t="n">
        <f aca="false">-In_CIT*(MAX(0,CF99)+CF102)</f>
        <v>-104.799469750182</v>
      </c>
      <c r="CG105" s="46" t="n">
        <f aca="false">-In_CIT*(MAX(0,CG99)+CG102)</f>
        <v>-107.16038854179</v>
      </c>
      <c r="CH105" s="46" t="n">
        <f aca="false">-In_CIT*(MAX(0,CH99)+CH102)</f>
        <v>-107.430912286437</v>
      </c>
      <c r="CI105" s="46" t="n">
        <f aca="false">-In_CIT*(MAX(0,CI99)+CI102)</f>
        <v>-106.904619903948</v>
      </c>
      <c r="CJ105" s="46" t="n">
        <f aca="false">-In_CIT*(MAX(0,CJ99)+CJ102)</f>
        <v>-109.294310235437</v>
      </c>
      <c r="CK105" s="46" t="n">
        <f aca="false">-In_CIT*(MAX(0,CK99)+CK102)</f>
        <v>-111.710152763585</v>
      </c>
      <c r="CL105" s="46" t="n">
        <f aca="false">-In_CIT*(MAX(0,CL99)+CL102)</f>
        <v>-112.028571912211</v>
      </c>
      <c r="CM105" s="46" t="n">
        <f aca="false">-In_CIT*(MAX(0,CM99)+CM102)</f>
        <v>-111.525865855112</v>
      </c>
      <c r="CN105" s="46" t="n">
        <f aca="false">-In_CIT*(MAX(0,CN99)+CN102)</f>
        <v>-113.971871021799</v>
      </c>
      <c r="CO105" s="46" t="n">
        <f aca="false">-In_CIT*(MAX(0,CO99)+CO102)</f>
        <v>-116.444684569831</v>
      </c>
      <c r="CP105" s="46" t="n">
        <f aca="false">-In_CIT*(MAX(0,CP99)+CP102)</f>
        <v>-116.813379432353</v>
      </c>
      <c r="CQ105" s="46" t="n">
        <f aca="false">-In_CIT*(MAX(0,CQ99)+CQ102)</f>
        <v>-117.669149904512</v>
      </c>
      <c r="CR105" s="46" t="n">
        <f aca="false">-In_CIT*(MAX(0,CR99)+CR102)</f>
        <v>-118.8543307497</v>
      </c>
      <c r="CS105" s="46" t="n">
        <f aca="false">-In_CIT*(MAX(0,CS99)+CS102)</f>
        <v>-121.386423087451</v>
      </c>
      <c r="CT105" s="46" t="n">
        <f aca="false">-In_CIT*(MAX(0,CT99)+CT102)</f>
        <v>-121.808048384971</v>
      </c>
      <c r="CU105" s="46" t="n">
        <f aca="false">-In_CIT*(MAX(0,CU99)+CU102)</f>
        <v>-120.121907944869</v>
      </c>
      <c r="CV105" s="46" t="n">
        <f aca="false">-In_CIT*(MAX(0,CV99)+CV102)</f>
        <v>-121.456595810924</v>
      </c>
      <c r="CW105" s="46" t="n">
        <f aca="false">-In_CIT*(MAX(0,CW99)+CW102)</f>
        <v>-122.791283676978</v>
      </c>
      <c r="CX105" s="46" t="n">
        <f aca="false">-In_CIT*(MAX(0,CX99)+CX102)</f>
        <v>-121.980968619077</v>
      </c>
      <c r="CY105" s="46" t="n">
        <f aca="false">-In_CIT*(MAX(0,CY99)+CY102)</f>
        <v>-120.26429677764</v>
      </c>
      <c r="CZ105" s="46" t="n">
        <f aca="false">-In_CIT*(MAX(0,CZ99)+CZ102)</f>
        <v>-121.600566741836</v>
      </c>
      <c r="DA105" s="46" t="n">
        <f aca="false">-In_CIT*(MAX(0,DA99)+DA102)</f>
        <v>-122.936836706032</v>
      </c>
      <c r="DB105" s="46" t="n">
        <f aca="false">-In_CIT*(MAX(0,DB99)+DB102)</f>
        <v>-211.36570184882</v>
      </c>
      <c r="DC105" s="46" t="n">
        <f aca="false">-In_CIT*(MAX(0,DC99)+DC102)</f>
        <v>-207.678113975722</v>
      </c>
      <c r="DD105" s="46" t="n">
        <f aca="false">-In_CIT*(MAX(0,DD99)+DD102)</f>
        <v>-209.985648575452</v>
      </c>
      <c r="DE105" s="46" t="n">
        <f aca="false">-In_CIT*(MAX(0,DE99)+DE102)</f>
        <v>-212.293183175183</v>
      </c>
      <c r="DF105" s="46" t="n">
        <f aca="false">-In_CIT*(MAX(0,DF99)+DF102)</f>
        <v>-211.473274989727</v>
      </c>
      <c r="DG105" s="46" t="n">
        <f aca="false">-In_CIT*(MAX(0,DG99)+DG102)</f>
        <v>-210.062938815927</v>
      </c>
      <c r="DH105" s="46" t="n">
        <f aca="false">-In_CIT*(MAX(0,DH99)+DH102)</f>
        <v>-210.062938815927</v>
      </c>
      <c r="DI105" s="46" t="n">
        <f aca="false">-In_CIT*(MAX(0,DI99)+DI102)</f>
        <v>-212.371322758959</v>
      </c>
      <c r="DJ105" s="46" t="n">
        <f aca="false">-In_CIT*(MAX(0,DJ99)+DJ102)</f>
        <v>-211.546604438854</v>
      </c>
      <c r="DK105" s="46" t="n">
        <f aca="false">-In_CIT*(MAX(0,DK99)+DK102)</f>
        <v>-207.796445151866</v>
      </c>
      <c r="DL105" s="46" t="n">
        <f aca="false">-In_CIT*(MAX(0,DL99)+DL102)</f>
        <v>-210.105294542443</v>
      </c>
      <c r="DM105" s="46" t="n">
        <f aca="false">-In_CIT*(MAX(0,DM99)+DM102)</f>
        <v>-212.414143933019</v>
      </c>
      <c r="DN105" s="46" t="n">
        <f aca="false">-In_CIT*(MAX(0,DN99)+DN102)</f>
        <v>-211.584607040596</v>
      </c>
      <c r="DO105" s="46" t="n">
        <f aca="false">-In_CIT*(MAX(0,DO99)+DO102)</f>
        <v>-207.802697207511</v>
      </c>
      <c r="DP105" s="46" t="n">
        <f aca="false">-In_CIT*(MAX(0,DP99)+DP102)</f>
        <v>-210.111616065372</v>
      </c>
      <c r="DQ105" s="46" t="n">
        <f aca="false">-In_CIT*(MAX(0,DQ99)+DQ102)</f>
        <v>-212.420534923233</v>
      </c>
      <c r="DR105" s="46" t="n">
        <f aca="false">-In_CIT*(MAX(0,DR99)+DR102)</f>
        <v>-211.586171496324</v>
      </c>
      <c r="DS105" s="46" t="n">
        <f aca="false">-In_CIT*(MAX(0,DS99)+DS102)</f>
        <v>-207.772195204752</v>
      </c>
      <c r="DT105" s="46" t="n">
        <f aca="false">-In_CIT*(MAX(0,DT99)+DT102)</f>
        <v>-210.080775151471</v>
      </c>
      <c r="DU105" s="46" t="n">
        <f aca="false">-In_CIT*(MAX(0,DU99)+DU102)</f>
        <v>-212.389355098191</v>
      </c>
      <c r="DV105" s="46" t="n">
        <f aca="false">-In_CIT*(MAX(0,DV99)+DV102)</f>
        <v>-211.550157665203</v>
      </c>
      <c r="DW105" s="46" t="n">
        <f aca="false">-In_CIT*(MAX(0,DW99)+DW102)</f>
        <v>-210.011614314934</v>
      </c>
      <c r="DX105" s="46" t="n">
        <f aca="false">-In_CIT*(MAX(0,DX99)+DX102)</f>
        <v>-210.011614314934</v>
      </c>
      <c r="DY105" s="46" t="n">
        <f aca="false">-In_CIT*(MAX(0,DY99)+DY102)</f>
        <v>-212.31943425246</v>
      </c>
      <c r="DZ105" s="46" t="n">
        <f aca="false">-In_CIT*(MAX(0,DZ99)+DZ102)</f>
        <v>-211.475395847818</v>
      </c>
      <c r="EA105" s="46" t="n">
        <f aca="false">-In_CIT*(MAX(0,EA99)+EA102)</f>
        <v>-207.596320309791</v>
      </c>
      <c r="EB105" s="46" t="n">
        <f aca="false">-In_CIT*(MAX(0,EB99)+EB102)</f>
        <v>-209.902946091011</v>
      </c>
      <c r="EC105" s="46" t="n">
        <f aca="false">-In_CIT*(MAX(0,EC99)+EC102)</f>
        <v>-212.209571872231</v>
      </c>
      <c r="ED105" s="46" t="n">
        <f aca="false">-In_CIT*(MAX(0,ED99)+ED102)</f>
        <v>-211.360686052182</v>
      </c>
      <c r="EE105" s="46" t="n">
        <f aca="false">-In_CIT*(MAX(0,EE99)+EE102)</f>
        <v>-207.448568200662</v>
      </c>
      <c r="EF105" s="46" t="n">
        <f aca="false">-In_CIT*(MAX(0,EF99)+EF102)</f>
        <v>-209.753552291781</v>
      </c>
      <c r="EG105" s="46" t="n">
        <f aca="false">-In_CIT*(MAX(0,EG99)+EG102)</f>
        <v>-212.058536382899</v>
      </c>
      <c r="EH105" s="46" t="n">
        <f aca="false">-In_CIT*(MAX(0,EH99)+EH102)</f>
        <v>-211.204797241707</v>
      </c>
      <c r="EI105" s="46" t="n">
        <f aca="false">-In_CIT*(MAX(0,EI99)+EI102)</f>
        <v>-207.259302109069</v>
      </c>
      <c r="EJ105" s="46" t="n">
        <f aca="false">-In_CIT*(MAX(0,EJ99)+EJ102)</f>
        <v>-209.562183243614</v>
      </c>
      <c r="EK105" s="46" t="n">
        <f aca="false">-In_CIT*(MAX(0,EK99)+EK102)</f>
        <v>-211.865064378159</v>
      </c>
      <c r="EL105" s="46" t="n">
        <f aca="false">-In_CIT*(MAX(0,EL99)+EL102)</f>
        <v>-211.00646656468</v>
      </c>
      <c r="EM105" s="46" t="n">
        <f aca="false">-In_CIT*(MAX(0,EM99)+EM102)</f>
        <v>-209.327557005897</v>
      </c>
      <c r="EN105" s="46" t="n">
        <f aca="false">-In_CIT*(MAX(0,EN99)+EN102)</f>
        <v>-209.327557005897</v>
      </c>
      <c r="EO105" s="46" t="n">
        <f aca="false">-In_CIT*(MAX(0,EO99)+EO102)</f>
        <v>-211.627859830137</v>
      </c>
    </row>
    <row r="106" customFormat="false" ht="15" hidden="false" customHeight="false" outlineLevel="0" collapsed="false">
      <c r="C106" s="0" t="s">
        <v>430</v>
      </c>
      <c r="D106" s="11" t="s">
        <v>33</v>
      </c>
      <c r="I106" s="46" t="n">
        <f aca="false">SUM(J106:EO106)</f>
        <v>8.83929018868912E-009</v>
      </c>
      <c r="J106" s="46" t="n">
        <f aca="false">ABS(J105-J78)</f>
        <v>0</v>
      </c>
      <c r="K106" s="46" t="n">
        <f aca="false">ABS(K105-K78)</f>
        <v>0</v>
      </c>
      <c r="L106" s="46" t="n">
        <f aca="false">ABS(L105-L78)</f>
        <v>0</v>
      </c>
      <c r="M106" s="46" t="n">
        <f aca="false">ABS(M105-M78)</f>
        <v>0</v>
      </c>
      <c r="N106" s="46" t="n">
        <f aca="false">ABS(N105-N78)</f>
        <v>0</v>
      </c>
      <c r="O106" s="46" t="n">
        <f aca="false">ABS(O105-O78)</f>
        <v>0</v>
      </c>
      <c r="P106" s="46" t="n">
        <f aca="false">ABS(P105-P78)</f>
        <v>0</v>
      </c>
      <c r="Q106" s="46" t="n">
        <f aca="false">ABS(Q105-Q78)</f>
        <v>0</v>
      </c>
      <c r="R106" s="46" t="n">
        <f aca="false">ABS(R105-R78)</f>
        <v>0</v>
      </c>
      <c r="S106" s="46" t="n">
        <f aca="false">ABS(S105-S78)</f>
        <v>0</v>
      </c>
      <c r="T106" s="46" t="n">
        <f aca="false">ABS(T105-T78)</f>
        <v>0</v>
      </c>
      <c r="U106" s="46" t="n">
        <f aca="false">ABS(U105-U78)</f>
        <v>0</v>
      </c>
      <c r="V106" s="46" t="n">
        <f aca="false">ABS(V105-V78)</f>
        <v>0</v>
      </c>
      <c r="W106" s="46" t="n">
        <f aca="false">ABS(W105-W78)</f>
        <v>0</v>
      </c>
      <c r="X106" s="46" t="n">
        <f aca="false">ABS(X105-X78)</f>
        <v>0</v>
      </c>
      <c r="Y106" s="46" t="n">
        <f aca="false">ABS(Y105-Y78)</f>
        <v>0</v>
      </c>
      <c r="Z106" s="46" t="n">
        <f aca="false">ABS(Z105-Z78)</f>
        <v>0</v>
      </c>
      <c r="AA106" s="46" t="n">
        <f aca="false">ABS(AA105-AA78)</f>
        <v>2.1067592115287E-012</v>
      </c>
      <c r="AB106" s="46" t="n">
        <f aca="false">ABS(AB105-AB78)</f>
        <v>4.42312853010662E-012</v>
      </c>
      <c r="AC106" s="46" t="n">
        <f aca="false">ABS(AC105-AC78)</f>
        <v>6.98108237884298E-012</v>
      </c>
      <c r="AD106" s="46" t="n">
        <f aca="false">ABS(AD105-AD78)</f>
        <v>9.80193703981058E-012</v>
      </c>
      <c r="AE106" s="46" t="n">
        <f aca="false">ABS(AE105-AE78)</f>
        <v>1.28430599488638E-011</v>
      </c>
      <c r="AF106" s="46" t="n">
        <f aca="false">ABS(AF105-AF78)</f>
        <v>6.8347105752764E-011</v>
      </c>
      <c r="AG106" s="46" t="n">
        <f aca="false">ABS(AG105-AG78)</f>
        <v>4.75282035949931E-011</v>
      </c>
      <c r="AH106" s="46" t="n">
        <f aca="false">ABS(AH105-AH78)</f>
        <v>5.69713165532448E-011</v>
      </c>
      <c r="AI106" s="46" t="n">
        <f aca="false">ABS(AI105-AI78)</f>
        <v>6.68833877170982E-011</v>
      </c>
      <c r="AJ106" s="46" t="n">
        <f aca="false">ABS(AJ105-AJ78)</f>
        <v>7.71294139667589E-011</v>
      </c>
      <c r="AK106" s="46" t="n">
        <f aca="false">ABS(AK105-AK78)</f>
        <v>8.77520278663724E-011</v>
      </c>
      <c r="AL106" s="46" t="n">
        <f aca="false">ABS(AL105-AL78)</f>
        <v>9.86659642876475E-011</v>
      </c>
      <c r="AM106" s="46" t="n">
        <f aca="false">ABS(AM105-AM78)</f>
        <v>1.09743325538147E-010</v>
      </c>
      <c r="AN106" s="46" t="n">
        <f aca="false">ABS(AN105-AN78)</f>
        <v>1.20849108498078E-010</v>
      </c>
      <c r="AO106" s="46" t="n">
        <f aca="false">ABS(AO105-AO78)</f>
        <v>1.31961996885366E-010</v>
      </c>
      <c r="AP106" s="46" t="n">
        <f aca="false">ABS(AP105-AP78)</f>
        <v>1.43060674417939E-010</v>
      </c>
      <c r="AQ106" s="46" t="n">
        <f aca="false">ABS(AQ105-AQ78)</f>
        <v>1.53988821693929E-010</v>
      </c>
      <c r="AR106" s="46" t="n">
        <f aca="false">ABS(AR105-AR78)</f>
        <v>1.64604330166185E-010</v>
      </c>
      <c r="AS106" s="46" t="n">
        <f aca="false">ABS(AS105-AS78)</f>
        <v>1.74921410689421E-010</v>
      </c>
      <c r="AT106" s="46" t="n">
        <f aca="false">ABS(AT105-AT78)</f>
        <v>1.84883219844778E-010</v>
      </c>
      <c r="AU106" s="46" t="n">
        <f aca="false">ABS(AU105-AU78)</f>
        <v>1.94390281649248E-010</v>
      </c>
      <c r="AV106" s="46" t="n">
        <f aca="false">ABS(AV105-AV78)</f>
        <v>2.03314698410395E-010</v>
      </c>
      <c r="AW106" s="46" t="n">
        <f aca="false">ABS(AW105-AW78)</f>
        <v>2.11656470128219E-010</v>
      </c>
      <c r="AX106" s="46" t="n">
        <f aca="false">ABS(AX105-AX78)</f>
        <v>2.19344542529143E-010</v>
      </c>
      <c r="AY106" s="46" t="n">
        <f aca="false">ABS(AY105-AY78)</f>
        <v>2.26293650484877E-010</v>
      </c>
      <c r="AZ106" s="46" t="n">
        <f aca="false">ABS(AZ105-AZ78)</f>
        <v>2.32390107157698E-010</v>
      </c>
      <c r="BA106" s="46" t="n">
        <f aca="false">ABS(BA105-BA78)</f>
        <v>2.37704966821184E-010</v>
      </c>
      <c r="BB106" s="46" t="n">
        <f aca="false">ABS(BB105-BB78)</f>
        <v>2.42195596911188E-010</v>
      </c>
      <c r="BC106" s="46" t="n">
        <f aca="false">ABS(BC105-BC78)</f>
        <v>2.45748310589988E-010</v>
      </c>
      <c r="BD106" s="46" t="n">
        <f aca="false">ABS(BD105-BD78)</f>
        <v>2.4832047529344E-010</v>
      </c>
      <c r="BE106" s="46" t="n">
        <f aca="false">ABS(BE105-BE78)</f>
        <v>2.49968934440403E-010</v>
      </c>
      <c r="BF106" s="46" t="n">
        <f aca="false">ABS(BF105-BF78)</f>
        <v>2.50679477176163E-010</v>
      </c>
      <c r="BG106" s="46" t="n">
        <f aca="false">ABS(BG105-BG78)</f>
        <v>2.5042368179129E-010</v>
      </c>
      <c r="BH106" s="46" t="n">
        <f aca="false">ABS(BH105-BH78)</f>
        <v>2.49102072302776E-010</v>
      </c>
      <c r="BI106" s="46" t="n">
        <f aca="false">ABS(BI105-BI78)</f>
        <v>2.46856757257774E-010</v>
      </c>
      <c r="BJ106" s="46" t="n">
        <f aca="false">ABS(BJ105-BJ78)</f>
        <v>2.43687736656284E-010</v>
      </c>
      <c r="BK106" s="46" t="n">
        <f aca="false">ABS(BK105-BK78)</f>
        <v>2.39595010498306E-010</v>
      </c>
      <c r="BL106" s="46" t="n">
        <f aca="false">ABS(BL105-BL78)</f>
        <v>2.34564367929124E-010</v>
      </c>
      <c r="BM106" s="46" t="n">
        <f aca="false">ABS(BM105-BM78)</f>
        <v>2.28681074077031E-010</v>
      </c>
      <c r="BN106" s="46" t="n">
        <f aca="false">ABS(BN105-BN78)</f>
        <v>2.21987761506171E-010</v>
      </c>
      <c r="BO106" s="46" t="n">
        <f aca="false">ABS(BO105-BO78)</f>
        <v>2.14541273635405E-010</v>
      </c>
      <c r="BP106" s="46" t="n">
        <f aca="false">ABS(BP105-BP78)</f>
        <v>2.06313188755303E-010</v>
      </c>
      <c r="BQ106" s="46" t="n">
        <f aca="false">ABS(BQ105-BQ78)</f>
        <v>1.97445615413017E-010</v>
      </c>
      <c r="BR106" s="46" t="n">
        <f aca="false">ABS(BR105-BR78)</f>
        <v>1.88066451300983E-010</v>
      </c>
      <c r="BS106" s="46" t="n">
        <f aca="false">ABS(BS105-BS78)</f>
        <v>1.78133063855057E-010</v>
      </c>
      <c r="BT106" s="46" t="n">
        <f aca="false">ABS(BT105-BT78)</f>
        <v>1.67702296494099E-010</v>
      </c>
      <c r="BU106" s="46" t="n">
        <f aca="false">ABS(BU105-BU78)</f>
        <v>1.56973101184121E-010</v>
      </c>
      <c r="BV106" s="46" t="n">
        <f aca="false">ABS(BV105-BV78)</f>
        <v>1.46030743053416E-010</v>
      </c>
      <c r="BW106" s="46" t="n">
        <f aca="false">ABS(BW105-BW78)</f>
        <v>1.34861011247267E-010</v>
      </c>
      <c r="BX106" s="46" t="n">
        <f aca="false">ABS(BX105-BX78)</f>
        <v>1.23520749184536E-010</v>
      </c>
      <c r="BY106" s="46" t="n">
        <f aca="false">ABS(BY105-BY78)</f>
        <v>1.12208908831235E-010</v>
      </c>
      <c r="BZ106" s="46" t="n">
        <f aca="false">ABS(BZ105-BZ78)</f>
        <v>1.01010755315656E-010</v>
      </c>
      <c r="CA106" s="46" t="n">
        <f aca="false">ABS(CA105-CA78)</f>
        <v>8.99689212019439E-011</v>
      </c>
      <c r="CB106" s="46" t="n">
        <f aca="false">ABS(CB105-CB78)</f>
        <v>7.91260390542448E-011</v>
      </c>
      <c r="CC106" s="46" t="n">
        <f aca="false">ABS(CC105-CC78)</f>
        <v>6.86526391291409E-011</v>
      </c>
      <c r="CD106" s="46" t="n">
        <f aca="false">ABS(CD105-CD78)</f>
        <v>5.86055648454931E-011</v>
      </c>
      <c r="CE106" s="46" t="n">
        <f aca="false">ABS(CE105-CE78)</f>
        <v>4.90274487674469E-011</v>
      </c>
      <c r="CF106" s="46" t="n">
        <f aca="false">ABS(CF105-CF78)</f>
        <v>3.99325017497176E-011</v>
      </c>
      <c r="CG106" s="46" t="n">
        <f aca="false">ABS(CG105-CG78)</f>
        <v>3.14912540488876E-011</v>
      </c>
      <c r="CH106" s="46" t="n">
        <f aca="false">ABS(CH105-CH78)</f>
        <v>2.38173925026786E-011</v>
      </c>
      <c r="CI106" s="46" t="n">
        <f aca="false">ABS(CI105-CI78)</f>
        <v>1.68540736922296E-011</v>
      </c>
      <c r="CJ106" s="46" t="n">
        <f aca="false">ABS(CJ105-CJ78)</f>
        <v>1.06297193269711E-011</v>
      </c>
      <c r="CK106" s="46" t="n">
        <f aca="false">ABS(CK105-CK78)</f>
        <v>5.27222709933994E-012</v>
      </c>
      <c r="CL106" s="46" t="n">
        <f aca="false">ABS(CL105-CL78)</f>
        <v>9.09494701772928E-013</v>
      </c>
      <c r="CM106" s="46" t="n">
        <f aca="false">ABS(CM105-CM78)</f>
        <v>2.58637555816676E-012</v>
      </c>
      <c r="CN106" s="46" t="n">
        <f aca="false">ABS(CN105-CN78)</f>
        <v>5.21538368047914E-012</v>
      </c>
      <c r="CO106" s="46" t="n">
        <f aca="false">ABS(CO105-CO78)</f>
        <v>6.79278855386656E-012</v>
      </c>
      <c r="CP106" s="46" t="n">
        <f aca="false">ABS(CP105-CP78)</f>
        <v>7.38964445190504E-012</v>
      </c>
      <c r="CQ106" s="46" t="n">
        <f aca="false">ABS(CQ105-CQ78)</f>
        <v>6.97752966516418E-012</v>
      </c>
      <c r="CR106" s="46" t="n">
        <f aca="false">ABS(CR105-CR78)</f>
        <v>5.59907675778959E-012</v>
      </c>
      <c r="CS106" s="46" t="n">
        <f aca="false">ABS(CS105-CS78)</f>
        <v>3.28270743921166E-012</v>
      </c>
      <c r="CT106" s="46" t="n">
        <f aca="false">ABS(CT105-CT78)</f>
        <v>0</v>
      </c>
      <c r="CU106" s="46" t="n">
        <f aca="false">ABS(CU105-CU78)</f>
        <v>0</v>
      </c>
      <c r="CV106" s="46" t="n">
        <f aca="false">ABS(CV105-CV78)</f>
        <v>0</v>
      </c>
      <c r="CW106" s="46" t="n">
        <f aca="false">ABS(CW105-CW78)</f>
        <v>0</v>
      </c>
      <c r="CX106" s="46" t="n">
        <f aca="false">ABS(CX105-CX78)</f>
        <v>0</v>
      </c>
      <c r="CY106" s="46" t="n">
        <f aca="false">ABS(CY105-CY78)</f>
        <v>0</v>
      </c>
      <c r="CZ106" s="46" t="n">
        <f aca="false">ABS(CZ105-CZ78)</f>
        <v>0</v>
      </c>
      <c r="DA106" s="46" t="n">
        <f aca="false">ABS(DA105-DA78)</f>
        <v>0</v>
      </c>
      <c r="DB106" s="46" t="n">
        <f aca="false">ABS(DB105-DB78)</f>
        <v>0</v>
      </c>
      <c r="DC106" s="46" t="n">
        <f aca="false">ABS(DC105-DC78)</f>
        <v>0</v>
      </c>
      <c r="DD106" s="46" t="n">
        <f aca="false">ABS(DD105-DD78)</f>
        <v>0</v>
      </c>
      <c r="DE106" s="46" t="n">
        <f aca="false">ABS(DE105-DE78)</f>
        <v>0</v>
      </c>
      <c r="DF106" s="46" t="n">
        <f aca="false">ABS(DF105-DF78)</f>
        <v>0</v>
      </c>
      <c r="DG106" s="46" t="n">
        <f aca="false">ABS(DG105-DG78)</f>
        <v>0</v>
      </c>
      <c r="DH106" s="46" t="n">
        <f aca="false">ABS(DH105-DH78)</f>
        <v>0</v>
      </c>
      <c r="DI106" s="46" t="n">
        <f aca="false">ABS(DI105-DI78)</f>
        <v>0</v>
      </c>
      <c r="DJ106" s="46" t="n">
        <f aca="false">ABS(DJ105-DJ78)</f>
        <v>0</v>
      </c>
      <c r="DK106" s="46" t="n">
        <f aca="false">ABS(DK105-DK78)</f>
        <v>0</v>
      </c>
      <c r="DL106" s="46" t="n">
        <f aca="false">ABS(DL105-DL78)</f>
        <v>0</v>
      </c>
      <c r="DM106" s="46" t="n">
        <f aca="false">ABS(DM105-DM78)</f>
        <v>0</v>
      </c>
      <c r="DN106" s="46" t="n">
        <f aca="false">ABS(DN105-DN78)</f>
        <v>0</v>
      </c>
      <c r="DO106" s="46" t="n">
        <f aca="false">ABS(DO105-DO78)</f>
        <v>0</v>
      </c>
      <c r="DP106" s="46" t="n">
        <f aca="false">ABS(DP105-DP78)</f>
        <v>0</v>
      </c>
      <c r="DQ106" s="46" t="n">
        <f aca="false">ABS(DQ105-DQ78)</f>
        <v>0</v>
      </c>
      <c r="DR106" s="46" t="n">
        <f aca="false">ABS(DR105-DR78)</f>
        <v>0</v>
      </c>
      <c r="DS106" s="46" t="n">
        <f aca="false">ABS(DS105-DS78)</f>
        <v>0</v>
      </c>
      <c r="DT106" s="46" t="n">
        <f aca="false">ABS(DT105-DT78)</f>
        <v>0</v>
      </c>
      <c r="DU106" s="46" t="n">
        <f aca="false">ABS(DU105-DU78)</f>
        <v>0</v>
      </c>
      <c r="DV106" s="46" t="n">
        <f aca="false">ABS(DV105-DV78)</f>
        <v>0</v>
      </c>
      <c r="DW106" s="46" t="n">
        <f aca="false">ABS(DW105-DW78)</f>
        <v>0</v>
      </c>
      <c r="DX106" s="46" t="n">
        <f aca="false">ABS(DX105-DX78)</f>
        <v>0</v>
      </c>
      <c r="DY106" s="46" t="n">
        <f aca="false">ABS(DY105-DY78)</f>
        <v>0</v>
      </c>
      <c r="DZ106" s="46" t="n">
        <f aca="false">ABS(DZ105-DZ78)</f>
        <v>0</v>
      </c>
      <c r="EA106" s="46" t="n">
        <f aca="false">ABS(EA105-EA78)</f>
        <v>0</v>
      </c>
      <c r="EB106" s="46" t="n">
        <f aca="false">ABS(EB105-EB78)</f>
        <v>0</v>
      </c>
      <c r="EC106" s="46" t="n">
        <f aca="false">ABS(EC105-EC78)</f>
        <v>0</v>
      </c>
      <c r="ED106" s="46" t="n">
        <f aca="false">ABS(ED105-ED78)</f>
        <v>0</v>
      </c>
      <c r="EE106" s="46" t="n">
        <f aca="false">ABS(EE105-EE78)</f>
        <v>0</v>
      </c>
      <c r="EF106" s="46" t="n">
        <f aca="false">ABS(EF105-EF78)</f>
        <v>0</v>
      </c>
      <c r="EG106" s="46" t="n">
        <f aca="false">ABS(EG105-EG78)</f>
        <v>0</v>
      </c>
      <c r="EH106" s="46" t="n">
        <f aca="false">ABS(EH105-EH78)</f>
        <v>0</v>
      </c>
      <c r="EI106" s="46" t="n">
        <f aca="false">ABS(EI105-EI78)</f>
        <v>0</v>
      </c>
      <c r="EJ106" s="46" t="n">
        <f aca="false">ABS(EJ105-EJ78)</f>
        <v>0</v>
      </c>
      <c r="EK106" s="46" t="n">
        <f aca="false">ABS(EK105-EK78)</f>
        <v>0</v>
      </c>
      <c r="EL106" s="46" t="n">
        <f aca="false">ABS(EL105-EL78)</f>
        <v>0</v>
      </c>
      <c r="EM106" s="46" t="n">
        <f aca="false">ABS(EM105-EM78)</f>
        <v>0</v>
      </c>
      <c r="EN106" s="46" t="n">
        <f aca="false">ABS(EN105-EN78)</f>
        <v>0</v>
      </c>
      <c r="EO106" s="46" t="n">
        <f aca="false">ABS(EO105-EO78)</f>
        <v>0</v>
      </c>
    </row>
    <row r="108" customFormat="false" ht="15" hidden="false" customHeight="false" outlineLevel="0" collapsed="false">
      <c r="A108" s="9" t="s">
        <v>13</v>
      </c>
      <c r="B108" s="9"/>
      <c r="C108" s="9" t="s">
        <v>431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</row>
    <row r="109" customFormat="false" ht="15" hidden="false" customHeight="false" outlineLevel="0" collapsed="false">
      <c r="C109" s="0" t="s">
        <v>84</v>
      </c>
      <c r="D109" s="11" t="s">
        <v>33</v>
      </c>
      <c r="E109" s="46" t="n">
        <f aca="false">-($I41+$I42+$I43)</f>
        <v>5150</v>
      </c>
    </row>
    <row r="110" customFormat="false" ht="15" hidden="false" customHeight="false" outlineLevel="0" collapsed="false">
      <c r="C110" s="0" t="s">
        <v>85</v>
      </c>
      <c r="D110" s="11" t="s">
        <v>33</v>
      </c>
      <c r="E110" s="46" t="n">
        <f aca="false">-($I45+$I48+$E52)</f>
        <v>993.719076749859</v>
      </c>
    </row>
    <row r="111" customFormat="false" ht="15" hidden="false" customHeight="false" outlineLevel="0" collapsed="false">
      <c r="C111" s="0" t="s">
        <v>86</v>
      </c>
      <c r="D111" s="11" t="s">
        <v>33</v>
      </c>
      <c r="E111" s="46" t="n">
        <f aca="false">-$I60</f>
        <v>60716.25</v>
      </c>
    </row>
    <row r="112" customFormat="false" ht="15" hidden="false" customHeight="false" outlineLevel="0" collapsed="false">
      <c r="C112" s="0" t="s">
        <v>87</v>
      </c>
      <c r="D112" s="11" t="s">
        <v>33</v>
      </c>
      <c r="E112" s="46" t="n">
        <f aca="false">-$I51</f>
        <v>8154.82315068493</v>
      </c>
    </row>
    <row r="113" customFormat="false" ht="15" hidden="false" customHeight="false" outlineLevel="0" collapsed="false">
      <c r="C113" s="0" t="s">
        <v>88</v>
      </c>
      <c r="D113" s="11" t="s">
        <v>33</v>
      </c>
      <c r="E113" s="46" t="n">
        <f aca="false">-$I61</f>
        <v>1750</v>
      </c>
    </row>
    <row r="114" customFormat="false" ht="15" hidden="false" customHeight="false" outlineLevel="0" collapsed="false">
      <c r="C114" s="0" t="s">
        <v>89</v>
      </c>
      <c r="D114" s="11" t="s">
        <v>33</v>
      </c>
      <c r="E114" s="46" t="n">
        <f aca="false">$I89-$I92-$I93</f>
        <v>3731.84939681306</v>
      </c>
    </row>
    <row r="115" customFormat="false" ht="15" hidden="false" customHeight="false" outlineLevel="0" collapsed="false">
      <c r="C115" s="0" t="s">
        <v>90</v>
      </c>
      <c r="D115" s="11" t="s">
        <v>33</v>
      </c>
      <c r="E115" s="46" t="n">
        <f aca="false">-SUMIF($J$4:$EO$4,"&lt;="&amp;In_COD,$J75:$EO75)</f>
        <v>340.170197534084</v>
      </c>
    </row>
    <row r="116" customFormat="false" ht="15" hidden="false" customHeight="false" outlineLevel="0" collapsed="false">
      <c r="C116" s="24" t="s">
        <v>91</v>
      </c>
      <c r="D116" s="11" t="s">
        <v>33</v>
      </c>
      <c r="E116" s="56" t="n">
        <f aca="false">SUM($E109:$E115)</f>
        <v>80836.8118217819</v>
      </c>
    </row>
    <row r="117" customFormat="false" ht="15" hidden="false" customHeight="false" outlineLevel="0" collapsed="false">
      <c r="C117" s="0" t="s">
        <v>432</v>
      </c>
      <c r="D117" s="11" t="s">
        <v>33</v>
      </c>
      <c r="E117" s="46" t="n">
        <f aca="false">$E116-$E91</f>
        <v>29054.4010926741</v>
      </c>
      <c r="F117" s="46" t="n">
        <f aca="false">$E117+$E94</f>
        <v>30147.0184573087</v>
      </c>
    </row>
    <row r="118" customFormat="false" ht="15" hidden="false" customHeight="false" outlineLevel="0" collapsed="false">
      <c r="C118" s="0" t="s">
        <v>95</v>
      </c>
      <c r="D118" s="11" t="s">
        <v>27</v>
      </c>
      <c r="E118" s="47" t="n">
        <f aca="false">$E91/$E116</f>
        <v>0.640579577077714</v>
      </c>
    </row>
    <row r="120" customFormat="false" ht="15" hidden="false" customHeight="false" outlineLevel="0" collapsed="false">
      <c r="A120" s="9" t="s">
        <v>13</v>
      </c>
      <c r="B120" s="9"/>
      <c r="C120" s="9" t="s">
        <v>111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433</v>
      </c>
      <c r="D121" s="11" t="s">
        <v>33</v>
      </c>
      <c r="I121" s="46" t="n">
        <f aca="false">SUM(J121:EO121)</f>
        <v>-29054.4010926741</v>
      </c>
      <c r="J121" s="46" t="n">
        <f aca="false">(J55+J62+J88+J92+J93+J75)*(J$4&lt;=In_COD)</f>
        <v>-4661.67501595046</v>
      </c>
      <c r="K121" s="46" t="n">
        <f aca="false">(K55+K62+K88+K92+K93+K75)*(K$4&lt;=In_COD)</f>
        <v>-701.6716250968</v>
      </c>
      <c r="L121" s="46" t="n">
        <f aca="false">(L55+L62+L88+L92+L93+L75)*(L$4&lt;=In_COD)</f>
        <v>-96.1638368733281</v>
      </c>
      <c r="M121" s="46" t="n">
        <f aca="false">(M55+M62+M88+M92+M93+M75)*(M$4&lt;=In_COD)</f>
        <v>-97.2205823334746</v>
      </c>
      <c r="N121" s="46" t="n">
        <f aca="false">(N55+N62+N88+N92+N93+N75)*(N$4&lt;=In_COD)</f>
        <v>-97.2205823334746</v>
      </c>
      <c r="O121" s="46" t="n">
        <f aca="false">(O55+O62+O88+O92+O93+O75)*(O$4&lt;=In_COD)</f>
        <v>-96.1638368733281</v>
      </c>
      <c r="P121" s="46" t="n">
        <f aca="false">(P55+P62+P88+P92+P93+P75)*(P$4&lt;=In_COD)</f>
        <v>-96.1638368733281</v>
      </c>
      <c r="Q121" s="46" t="n">
        <f aca="false">(Q55+Q62+Q88+Q92+Q93+Q75)*(Q$4&lt;=In_COD)</f>
        <v>-97.2205823334746</v>
      </c>
      <c r="R121" s="46" t="n">
        <f aca="false">(R55+R62+R88+R92+R93+R75)*(R$4&lt;=In_COD)</f>
        <v>-3380.70527228222</v>
      </c>
      <c r="S121" s="46" t="n">
        <f aca="false">(S55+S62+S88+S92+S93+S75)*(S$4&lt;=In_COD)</f>
        <v>-4856.29611807778</v>
      </c>
      <c r="T121" s="46" t="n">
        <f aca="false">(T55+T62+T88+T92+T93+T75)*(T$4&lt;=In_COD)</f>
        <v>-2412.05915269432</v>
      </c>
      <c r="U121" s="46" t="n">
        <f aca="false">(U55+U62+U88+U92+U93+U75)*(U$4&lt;=In_COD)</f>
        <v>-2426.54655598904</v>
      </c>
      <c r="V121" s="46" t="n">
        <f aca="false">(V55+V62+V88+V92+V93+V75)*(V$4&lt;=In_COD)</f>
        <v>-2414.3957406691</v>
      </c>
      <c r="W121" s="46" t="n">
        <f aca="false">(W55+W62+W88+W92+W93+W75)*(W$4&lt;=In_COD)</f>
        <v>-2351.06414075343</v>
      </c>
      <c r="X121" s="46" t="n">
        <f aca="false">(X55+X62+X88+X92+X93+X75)*(X$4&lt;=In_COD)</f>
        <v>-2365.42961139379</v>
      </c>
      <c r="Y121" s="46" t="n">
        <f aca="false">(Y55+Y62+Y88+Y92+Y93+Y75)*(Y$4&lt;=In_COD)</f>
        <v>-2904.40460214674</v>
      </c>
      <c r="Z121" s="46" t="n">
        <f aca="false">(Z55+Z62+Z88+Z92+Z93+Z75)*(Z$4&lt;=In_COD)</f>
        <v>0</v>
      </c>
      <c r="AA121" s="46" t="n">
        <f aca="false">(AA55+AA62+AA88+AA92+AA93+AA75)*(AA$4&lt;=In_COD)</f>
        <v>0</v>
      </c>
      <c r="AB121" s="46" t="n">
        <f aca="false">(AB55+AB62+AB88+AB92+AB93+AB75)*(AB$4&lt;=In_COD)</f>
        <v>0</v>
      </c>
      <c r="AC121" s="46" t="n">
        <f aca="false">(AC55+AC62+AC88+AC92+AC93+AC75)*(AC$4&lt;=In_COD)</f>
        <v>0</v>
      </c>
      <c r="AD121" s="46" t="n">
        <f aca="false">(AD55+AD62+AD88+AD92+AD93+AD75)*(AD$4&lt;=In_COD)</f>
        <v>0</v>
      </c>
      <c r="AE121" s="46" t="n">
        <f aca="false">(AE55+AE62+AE88+AE92+AE93+AE75)*(AE$4&lt;=In_COD)</f>
        <v>0</v>
      </c>
      <c r="AF121" s="46" t="n">
        <f aca="false">(AF55+AF62+AF88+AF92+AF93+AF75)*(AF$4&lt;=In_COD)</f>
        <v>0</v>
      </c>
      <c r="AG121" s="46" t="n">
        <f aca="false">(AG55+AG62+AG88+AG92+AG93+AG75)*(AG$4&lt;=In_COD)</f>
        <v>0</v>
      </c>
      <c r="AH121" s="46" t="n">
        <f aca="false">(AH55+AH62+AH88+AH92+AH93+AH75)*(AH$4&lt;=In_COD)</f>
        <v>0</v>
      </c>
      <c r="AI121" s="46" t="n">
        <f aca="false">(AI55+AI62+AI88+AI92+AI93+AI75)*(AI$4&lt;=In_COD)</f>
        <v>0</v>
      </c>
      <c r="AJ121" s="46" t="n">
        <f aca="false">(AJ55+AJ62+AJ88+AJ92+AJ93+AJ75)*(AJ$4&lt;=In_COD)</f>
        <v>0</v>
      </c>
      <c r="AK121" s="46" t="n">
        <f aca="false">(AK55+AK62+AK88+AK92+AK93+AK75)*(AK$4&lt;=In_COD)</f>
        <v>0</v>
      </c>
      <c r="AL121" s="46" t="n">
        <f aca="false">(AL55+AL62+AL88+AL92+AL93+AL75)*(AL$4&lt;=In_COD)</f>
        <v>0</v>
      </c>
      <c r="AM121" s="46" t="n">
        <f aca="false">(AM55+AM62+AM88+AM92+AM93+AM75)*(AM$4&lt;=In_COD)</f>
        <v>0</v>
      </c>
      <c r="AN121" s="46" t="n">
        <f aca="false">(AN55+AN62+AN88+AN92+AN93+AN75)*(AN$4&lt;=In_COD)</f>
        <v>0</v>
      </c>
      <c r="AO121" s="46" t="n">
        <f aca="false">(AO55+AO62+AO88+AO92+AO93+AO75)*(AO$4&lt;=In_COD)</f>
        <v>0</v>
      </c>
      <c r="AP121" s="46" t="n">
        <f aca="false">(AP55+AP62+AP88+AP92+AP93+AP75)*(AP$4&lt;=In_COD)</f>
        <v>0</v>
      </c>
      <c r="AQ121" s="46" t="n">
        <f aca="false">(AQ55+AQ62+AQ88+AQ92+AQ93+AQ75)*(AQ$4&lt;=In_COD)</f>
        <v>0</v>
      </c>
      <c r="AR121" s="46" t="n">
        <f aca="false">(AR55+AR62+AR88+AR92+AR93+AR75)*(AR$4&lt;=In_COD)</f>
        <v>0</v>
      </c>
      <c r="AS121" s="46" t="n">
        <f aca="false">(AS55+AS62+AS88+AS92+AS93+AS75)*(AS$4&lt;=In_COD)</f>
        <v>0</v>
      </c>
      <c r="AT121" s="46" t="n">
        <f aca="false">(AT55+AT62+AT88+AT92+AT93+AT75)*(AT$4&lt;=In_COD)</f>
        <v>0</v>
      </c>
      <c r="AU121" s="46" t="n">
        <f aca="false">(AU55+AU62+AU88+AU92+AU93+AU75)*(AU$4&lt;=In_COD)</f>
        <v>0</v>
      </c>
      <c r="AV121" s="46" t="n">
        <f aca="false">(AV55+AV62+AV88+AV92+AV93+AV75)*(AV$4&lt;=In_COD)</f>
        <v>0</v>
      </c>
      <c r="AW121" s="46" t="n">
        <f aca="false">(AW55+AW62+AW88+AW92+AW93+AW75)*(AW$4&lt;=In_COD)</f>
        <v>0</v>
      </c>
      <c r="AX121" s="46" t="n">
        <f aca="false">(AX55+AX62+AX88+AX92+AX93+AX75)*(AX$4&lt;=In_COD)</f>
        <v>0</v>
      </c>
      <c r="AY121" s="46" t="n">
        <f aca="false">(AY55+AY62+AY88+AY92+AY93+AY75)*(AY$4&lt;=In_COD)</f>
        <v>0</v>
      </c>
      <c r="AZ121" s="46" t="n">
        <f aca="false">(AZ55+AZ62+AZ88+AZ92+AZ93+AZ75)*(AZ$4&lt;=In_COD)</f>
        <v>0</v>
      </c>
      <c r="BA121" s="46" t="n">
        <f aca="false">(BA55+BA62+BA88+BA92+BA93+BA75)*(BA$4&lt;=In_COD)</f>
        <v>0</v>
      </c>
      <c r="BB121" s="46" t="n">
        <f aca="false">(BB55+BB62+BB88+BB92+BB93+BB75)*(BB$4&lt;=In_COD)</f>
        <v>0</v>
      </c>
      <c r="BC121" s="46" t="n">
        <f aca="false">(BC55+BC62+BC88+BC92+BC93+BC75)*(BC$4&lt;=In_COD)</f>
        <v>0</v>
      </c>
      <c r="BD121" s="46" t="n">
        <f aca="false">(BD55+BD62+BD88+BD92+BD93+BD75)*(BD$4&lt;=In_COD)</f>
        <v>0</v>
      </c>
      <c r="BE121" s="46" t="n">
        <f aca="false">(BE55+BE62+BE88+BE92+BE93+BE75)*(BE$4&lt;=In_COD)</f>
        <v>0</v>
      </c>
      <c r="BF121" s="46" t="n">
        <f aca="false">(BF55+BF62+BF88+BF92+BF93+BF75)*(BF$4&lt;=In_COD)</f>
        <v>0</v>
      </c>
      <c r="BG121" s="46" t="n">
        <f aca="false">(BG55+BG62+BG88+BG92+BG93+BG75)*(BG$4&lt;=In_COD)</f>
        <v>0</v>
      </c>
      <c r="BH121" s="46" t="n">
        <f aca="false">(BH55+BH62+BH88+BH92+BH93+BH75)*(BH$4&lt;=In_COD)</f>
        <v>0</v>
      </c>
      <c r="BI121" s="46" t="n">
        <f aca="false">(BI55+BI62+BI88+BI92+BI93+BI75)*(BI$4&lt;=In_COD)</f>
        <v>0</v>
      </c>
      <c r="BJ121" s="46" t="n">
        <f aca="false">(BJ55+BJ62+BJ88+BJ92+BJ93+BJ75)*(BJ$4&lt;=In_COD)</f>
        <v>0</v>
      </c>
      <c r="BK121" s="46" t="n">
        <f aca="false">(BK55+BK62+BK88+BK92+BK93+BK75)*(BK$4&lt;=In_COD)</f>
        <v>0</v>
      </c>
      <c r="BL121" s="46" t="n">
        <f aca="false">(BL55+BL62+BL88+BL92+BL93+BL75)*(BL$4&lt;=In_COD)</f>
        <v>0</v>
      </c>
      <c r="BM121" s="46" t="n">
        <f aca="false">(BM55+BM62+BM88+BM92+BM93+BM75)*(BM$4&lt;=In_COD)</f>
        <v>0</v>
      </c>
      <c r="BN121" s="46" t="n">
        <f aca="false">(BN55+BN62+BN88+BN92+BN93+BN75)*(BN$4&lt;=In_COD)</f>
        <v>0</v>
      </c>
      <c r="BO121" s="46" t="n">
        <f aca="false">(BO55+BO62+BO88+BO92+BO93+BO75)*(BO$4&lt;=In_COD)</f>
        <v>0</v>
      </c>
      <c r="BP121" s="46" t="n">
        <f aca="false">(BP55+BP62+BP88+BP92+BP93+BP75)*(BP$4&lt;=In_COD)</f>
        <v>0</v>
      </c>
      <c r="BQ121" s="46" t="n">
        <f aca="false">(BQ55+BQ62+BQ88+BQ92+BQ93+BQ75)*(BQ$4&lt;=In_COD)</f>
        <v>0</v>
      </c>
      <c r="BR121" s="46" t="n">
        <f aca="false">(BR55+BR62+BR88+BR92+BR93+BR75)*(BR$4&lt;=In_COD)</f>
        <v>0</v>
      </c>
      <c r="BS121" s="46" t="n">
        <f aca="false">(BS55+BS62+BS88+BS92+BS93+BS75)*(BS$4&lt;=In_COD)</f>
        <v>0</v>
      </c>
      <c r="BT121" s="46" t="n">
        <f aca="false">(BT55+BT62+BT88+BT92+BT93+BT75)*(BT$4&lt;=In_COD)</f>
        <v>0</v>
      </c>
      <c r="BU121" s="46" t="n">
        <f aca="false">(BU55+BU62+BU88+BU92+BU93+BU75)*(BU$4&lt;=In_COD)</f>
        <v>0</v>
      </c>
      <c r="BV121" s="46" t="n">
        <f aca="false">(BV55+BV62+BV88+BV92+BV93+BV75)*(BV$4&lt;=In_COD)</f>
        <v>0</v>
      </c>
      <c r="BW121" s="46" t="n">
        <f aca="false">(BW55+BW62+BW88+BW92+BW93+BW75)*(BW$4&lt;=In_COD)</f>
        <v>0</v>
      </c>
      <c r="BX121" s="46" t="n">
        <f aca="false">(BX55+BX62+BX88+BX92+BX93+BX75)*(BX$4&lt;=In_COD)</f>
        <v>0</v>
      </c>
      <c r="BY121" s="46" t="n">
        <f aca="false">(BY55+BY62+BY88+BY92+BY93+BY75)*(BY$4&lt;=In_COD)</f>
        <v>0</v>
      </c>
      <c r="BZ121" s="46" t="n">
        <f aca="false">(BZ55+BZ62+BZ88+BZ92+BZ93+BZ75)*(BZ$4&lt;=In_COD)</f>
        <v>0</v>
      </c>
      <c r="CA121" s="46" t="n">
        <f aca="false">(CA55+CA62+CA88+CA92+CA93+CA75)*(CA$4&lt;=In_COD)</f>
        <v>0</v>
      </c>
      <c r="CB121" s="46" t="n">
        <f aca="false">(CB55+CB62+CB88+CB92+CB93+CB75)*(CB$4&lt;=In_COD)</f>
        <v>0</v>
      </c>
      <c r="CC121" s="46" t="n">
        <f aca="false">(CC55+CC62+CC88+CC92+CC93+CC75)*(CC$4&lt;=In_COD)</f>
        <v>0</v>
      </c>
      <c r="CD121" s="46" t="n">
        <f aca="false">(CD55+CD62+CD88+CD92+CD93+CD75)*(CD$4&lt;=In_COD)</f>
        <v>0</v>
      </c>
      <c r="CE121" s="46" t="n">
        <f aca="false">(CE55+CE62+CE88+CE92+CE93+CE75)*(CE$4&lt;=In_COD)</f>
        <v>0</v>
      </c>
      <c r="CF121" s="46" t="n">
        <f aca="false">(CF55+CF62+CF88+CF92+CF93+CF75)*(CF$4&lt;=In_COD)</f>
        <v>0</v>
      </c>
      <c r="CG121" s="46" t="n">
        <f aca="false">(CG55+CG62+CG88+CG92+CG93+CG75)*(CG$4&lt;=In_COD)</f>
        <v>0</v>
      </c>
      <c r="CH121" s="46" t="n">
        <f aca="false">(CH55+CH62+CH88+CH92+CH93+CH75)*(CH$4&lt;=In_COD)</f>
        <v>0</v>
      </c>
      <c r="CI121" s="46" t="n">
        <f aca="false">(CI55+CI62+CI88+CI92+CI93+CI75)*(CI$4&lt;=In_COD)</f>
        <v>0</v>
      </c>
      <c r="CJ121" s="46" t="n">
        <f aca="false">(CJ55+CJ62+CJ88+CJ92+CJ93+CJ75)*(CJ$4&lt;=In_COD)</f>
        <v>0</v>
      </c>
      <c r="CK121" s="46" t="n">
        <f aca="false">(CK55+CK62+CK88+CK92+CK93+CK75)*(CK$4&lt;=In_COD)</f>
        <v>0</v>
      </c>
      <c r="CL121" s="46" t="n">
        <f aca="false">(CL55+CL62+CL88+CL92+CL93+CL75)*(CL$4&lt;=In_COD)</f>
        <v>0</v>
      </c>
      <c r="CM121" s="46" t="n">
        <f aca="false">(CM55+CM62+CM88+CM92+CM93+CM75)*(CM$4&lt;=In_COD)</f>
        <v>0</v>
      </c>
      <c r="CN121" s="46" t="n">
        <f aca="false">(CN55+CN62+CN88+CN92+CN93+CN75)*(CN$4&lt;=In_COD)</f>
        <v>0</v>
      </c>
      <c r="CO121" s="46" t="n">
        <f aca="false">(CO55+CO62+CO88+CO92+CO93+CO75)*(CO$4&lt;=In_COD)</f>
        <v>0</v>
      </c>
      <c r="CP121" s="46" t="n">
        <f aca="false">(CP55+CP62+CP88+CP92+CP93+CP75)*(CP$4&lt;=In_COD)</f>
        <v>0</v>
      </c>
      <c r="CQ121" s="46" t="n">
        <f aca="false">(CQ55+CQ62+CQ88+CQ92+CQ93+CQ75)*(CQ$4&lt;=In_COD)</f>
        <v>0</v>
      </c>
      <c r="CR121" s="46" t="n">
        <f aca="false">(CR55+CR62+CR88+CR92+CR93+CR75)*(CR$4&lt;=In_COD)</f>
        <v>0</v>
      </c>
      <c r="CS121" s="46" t="n">
        <f aca="false">(CS55+CS62+CS88+CS92+CS93+CS75)*(CS$4&lt;=In_COD)</f>
        <v>0</v>
      </c>
      <c r="CT121" s="46" t="n">
        <f aca="false">(CT55+CT62+CT88+CT92+CT93+CT75)*(CT$4&lt;=In_COD)</f>
        <v>0</v>
      </c>
      <c r="CU121" s="46" t="n">
        <f aca="false">(CU55+CU62+CU88+CU92+CU93+CU75)*(CU$4&lt;=In_COD)</f>
        <v>0</v>
      </c>
      <c r="CV121" s="46" t="n">
        <f aca="false">(CV55+CV62+CV88+CV92+CV93+CV75)*(CV$4&lt;=In_COD)</f>
        <v>0</v>
      </c>
      <c r="CW121" s="46" t="n">
        <f aca="false">(CW55+CW62+CW88+CW92+CW93+CW75)*(CW$4&lt;=In_COD)</f>
        <v>0</v>
      </c>
      <c r="CX121" s="46" t="n">
        <f aca="false">(CX55+CX62+CX88+CX92+CX93+CX75)*(CX$4&lt;=In_COD)</f>
        <v>0</v>
      </c>
      <c r="CY121" s="46" t="n">
        <f aca="false">(CY55+CY62+CY88+CY92+CY93+CY75)*(CY$4&lt;=In_COD)</f>
        <v>0</v>
      </c>
      <c r="CZ121" s="46" t="n">
        <f aca="false">(CZ55+CZ62+CZ88+CZ92+CZ93+CZ75)*(CZ$4&lt;=In_COD)</f>
        <v>0</v>
      </c>
      <c r="DA121" s="46" t="n">
        <f aca="false">(DA55+DA62+DA88+DA92+DA93+DA75)*(DA$4&lt;=In_COD)</f>
        <v>0</v>
      </c>
      <c r="DB121" s="46" t="n">
        <f aca="false">(DB55+DB62+DB88+DB92+DB93+DB75)*(DB$4&lt;=In_COD)</f>
        <v>0</v>
      </c>
      <c r="DC121" s="46" t="n">
        <f aca="false">(DC55+DC62+DC88+DC92+DC93+DC75)*(DC$4&lt;=In_COD)</f>
        <v>0</v>
      </c>
      <c r="DD121" s="46" t="n">
        <f aca="false">(DD55+DD62+DD88+DD92+DD93+DD75)*(DD$4&lt;=In_COD)</f>
        <v>0</v>
      </c>
      <c r="DE121" s="46" t="n">
        <f aca="false">(DE55+DE62+DE88+DE92+DE93+DE75)*(DE$4&lt;=In_COD)</f>
        <v>0</v>
      </c>
      <c r="DF121" s="46" t="n">
        <f aca="false">(DF55+DF62+DF88+DF92+DF93+DF75)*(DF$4&lt;=In_COD)</f>
        <v>0</v>
      </c>
      <c r="DG121" s="46" t="n">
        <f aca="false">(DG55+DG62+DG88+DG92+DG93+DG75)*(DG$4&lt;=In_COD)</f>
        <v>0</v>
      </c>
      <c r="DH121" s="46" t="n">
        <f aca="false">(DH55+DH62+DH88+DH92+DH93+DH75)*(DH$4&lt;=In_COD)</f>
        <v>0</v>
      </c>
      <c r="DI121" s="46" t="n">
        <f aca="false">(DI55+DI62+DI88+DI92+DI93+DI75)*(DI$4&lt;=In_COD)</f>
        <v>0</v>
      </c>
      <c r="DJ121" s="46" t="n">
        <f aca="false">(DJ55+DJ62+DJ88+DJ92+DJ93+DJ75)*(DJ$4&lt;=In_COD)</f>
        <v>0</v>
      </c>
      <c r="DK121" s="46" t="n">
        <f aca="false">(DK55+DK62+DK88+DK92+DK93+DK75)*(DK$4&lt;=In_COD)</f>
        <v>0</v>
      </c>
      <c r="DL121" s="46" t="n">
        <f aca="false">(DL55+DL62+DL88+DL92+DL93+DL75)*(DL$4&lt;=In_COD)</f>
        <v>0</v>
      </c>
      <c r="DM121" s="46" t="n">
        <f aca="false">(DM55+DM62+DM88+DM92+DM93+DM75)*(DM$4&lt;=In_COD)</f>
        <v>0</v>
      </c>
      <c r="DN121" s="46" t="n">
        <f aca="false">(DN55+DN62+DN88+DN92+DN93+DN75)*(DN$4&lt;=In_COD)</f>
        <v>0</v>
      </c>
      <c r="DO121" s="46" t="n">
        <f aca="false">(DO55+DO62+DO88+DO92+DO93+DO75)*(DO$4&lt;=In_COD)</f>
        <v>0</v>
      </c>
      <c r="DP121" s="46" t="n">
        <f aca="false">(DP55+DP62+DP88+DP92+DP93+DP75)*(DP$4&lt;=In_COD)</f>
        <v>0</v>
      </c>
      <c r="DQ121" s="46" t="n">
        <f aca="false">(DQ55+DQ62+DQ88+DQ92+DQ93+DQ75)*(DQ$4&lt;=In_COD)</f>
        <v>0</v>
      </c>
      <c r="DR121" s="46" t="n">
        <f aca="false">(DR55+DR62+DR88+DR92+DR93+DR75)*(DR$4&lt;=In_COD)</f>
        <v>0</v>
      </c>
      <c r="DS121" s="46" t="n">
        <f aca="false">(DS55+DS62+DS88+DS92+DS93+DS75)*(DS$4&lt;=In_COD)</f>
        <v>0</v>
      </c>
      <c r="DT121" s="46" t="n">
        <f aca="false">(DT55+DT62+DT88+DT92+DT93+DT75)*(DT$4&lt;=In_COD)</f>
        <v>0</v>
      </c>
      <c r="DU121" s="46" t="n">
        <f aca="false">(DU55+DU62+DU88+DU92+DU93+DU75)*(DU$4&lt;=In_COD)</f>
        <v>0</v>
      </c>
      <c r="DV121" s="46" t="n">
        <f aca="false">(DV55+DV62+DV88+DV92+DV93+DV75)*(DV$4&lt;=In_COD)</f>
        <v>0</v>
      </c>
      <c r="DW121" s="46" t="n">
        <f aca="false">(DW55+DW62+DW88+DW92+DW93+DW75)*(DW$4&lt;=In_COD)</f>
        <v>0</v>
      </c>
      <c r="DX121" s="46" t="n">
        <f aca="false">(DX55+DX62+DX88+DX92+DX93+DX75)*(DX$4&lt;=In_COD)</f>
        <v>0</v>
      </c>
      <c r="DY121" s="46" t="n">
        <f aca="false">(DY55+DY62+DY88+DY92+DY93+DY75)*(DY$4&lt;=In_COD)</f>
        <v>0</v>
      </c>
      <c r="DZ121" s="46" t="n">
        <f aca="false">(DZ55+DZ62+DZ88+DZ92+DZ93+DZ75)*(DZ$4&lt;=In_COD)</f>
        <v>0</v>
      </c>
      <c r="EA121" s="46" t="n">
        <f aca="false">(EA55+EA62+EA88+EA92+EA93+EA75)*(EA$4&lt;=In_COD)</f>
        <v>0</v>
      </c>
      <c r="EB121" s="46" t="n">
        <f aca="false">(EB55+EB62+EB88+EB92+EB93+EB75)*(EB$4&lt;=In_COD)</f>
        <v>0</v>
      </c>
      <c r="EC121" s="46" t="n">
        <f aca="false">(EC55+EC62+EC88+EC92+EC93+EC75)*(EC$4&lt;=In_COD)</f>
        <v>0</v>
      </c>
      <c r="ED121" s="46" t="n">
        <f aca="false">(ED55+ED62+ED88+ED92+ED93+ED75)*(ED$4&lt;=In_COD)</f>
        <v>0</v>
      </c>
      <c r="EE121" s="46" t="n">
        <f aca="false">(EE55+EE62+EE88+EE92+EE93+EE75)*(EE$4&lt;=In_COD)</f>
        <v>0</v>
      </c>
      <c r="EF121" s="46" t="n">
        <f aca="false">(EF55+EF62+EF88+EF92+EF93+EF75)*(EF$4&lt;=In_COD)</f>
        <v>0</v>
      </c>
      <c r="EG121" s="46" t="n">
        <f aca="false">(EG55+EG62+EG88+EG92+EG93+EG75)*(EG$4&lt;=In_COD)</f>
        <v>0</v>
      </c>
      <c r="EH121" s="46" t="n">
        <f aca="false">(EH55+EH62+EH88+EH92+EH93+EH75)*(EH$4&lt;=In_COD)</f>
        <v>0</v>
      </c>
      <c r="EI121" s="46" t="n">
        <f aca="false">(EI55+EI62+EI88+EI92+EI93+EI75)*(EI$4&lt;=In_COD)</f>
        <v>0</v>
      </c>
      <c r="EJ121" s="46" t="n">
        <f aca="false">(EJ55+EJ62+EJ88+EJ92+EJ93+EJ75)*(EJ$4&lt;=In_COD)</f>
        <v>0</v>
      </c>
      <c r="EK121" s="46" t="n">
        <f aca="false">(EK55+EK62+EK88+EK92+EK93+EK75)*(EK$4&lt;=In_COD)</f>
        <v>0</v>
      </c>
      <c r="EL121" s="46" t="n">
        <f aca="false">(EL55+EL62+EL88+EL92+EL93+EL75)*(EL$4&lt;=In_COD)</f>
        <v>0</v>
      </c>
      <c r="EM121" s="46" t="n">
        <f aca="false">(EM55+EM62+EM88+EM92+EM93+EM75)*(EM$4&lt;=In_COD)</f>
        <v>0</v>
      </c>
      <c r="EN121" s="46" t="n">
        <f aca="false">(EN55+EN62+EN88+EN92+EN93+EN75)*(EN$4&lt;=In_COD)</f>
        <v>0</v>
      </c>
      <c r="EO121" s="46" t="n">
        <f aca="false">(EO55+EO62+EO88+EO92+EO93+EO75)*(EO$4&lt;=In_COD)</f>
        <v>0</v>
      </c>
    </row>
    <row r="122" customFormat="false" ht="15" hidden="false" customHeight="false" outlineLevel="0" collapsed="false">
      <c r="C122" s="0" t="s">
        <v>434</v>
      </c>
      <c r="D122" s="11" t="s">
        <v>33</v>
      </c>
      <c r="E122" s="46" t="n">
        <f aca="false">IF($E35=1,In_COD_Price,In_COD_Price_CN)*$F24*(1-$E25)</f>
        <v>114975</v>
      </c>
    </row>
    <row r="123" customFormat="false" ht="15" hidden="false" customHeight="false" outlineLevel="0" collapsed="false">
      <c r="C123" s="0" t="s">
        <v>435</v>
      </c>
      <c r="D123" s="11" t="s">
        <v>33</v>
      </c>
      <c r="E123" s="46" t="n">
        <f aca="false">$E122+$I54-$E91-In_Sale_Costs</f>
        <v>62692.5892708922</v>
      </c>
    </row>
    <row r="124" customFormat="false" ht="15" hidden="false" customHeight="false" outlineLevel="0" collapsed="false">
      <c r="C124" s="0" t="s">
        <v>114</v>
      </c>
      <c r="D124" s="11" t="s">
        <v>33</v>
      </c>
      <c r="E124" s="46" t="n">
        <f aca="false">-In_CIT*In_Sale_Gain_Taxed*MAX(0,$E123+$I121)</f>
        <v>-0</v>
      </c>
    </row>
    <row r="125" customFormat="false" ht="15" hidden="false" customHeight="false" outlineLevel="0" collapsed="false">
      <c r="C125" s="24" t="s">
        <v>436</v>
      </c>
      <c r="D125" s="11" t="s">
        <v>33</v>
      </c>
      <c r="I125" s="56" t="n">
        <f aca="false">SUM(J125:EO125)</f>
        <v>33638.1881782181</v>
      </c>
      <c r="J125" s="56" t="n">
        <f aca="false">J121+($E123+$E124)*J14</f>
        <v>-4661.67501595046</v>
      </c>
      <c r="K125" s="56" t="n">
        <f aca="false">K121+($E123+$E124)*K14</f>
        <v>-701.6716250968</v>
      </c>
      <c r="L125" s="56" t="n">
        <f aca="false">L121+($E123+$E124)*L14</f>
        <v>-96.1638368733281</v>
      </c>
      <c r="M125" s="56" t="n">
        <f aca="false">M121+($E123+$E124)*M14</f>
        <v>-97.2205823334746</v>
      </c>
      <c r="N125" s="56" t="n">
        <f aca="false">N121+($E123+$E124)*N14</f>
        <v>-97.2205823334746</v>
      </c>
      <c r="O125" s="56" t="n">
        <f aca="false">O121+($E123+$E124)*O14</f>
        <v>-96.1638368733281</v>
      </c>
      <c r="P125" s="56" t="n">
        <f aca="false">P121+($E123+$E124)*P14</f>
        <v>-96.1638368733281</v>
      </c>
      <c r="Q125" s="56" t="n">
        <f aca="false">Q121+($E123+$E124)*Q14</f>
        <v>-97.2205823334746</v>
      </c>
      <c r="R125" s="56" t="n">
        <f aca="false">R121+($E123+$E124)*R14</f>
        <v>-3380.70527228222</v>
      </c>
      <c r="S125" s="56" t="n">
        <f aca="false">S121+($E123+$E124)*S14</f>
        <v>-4856.29611807778</v>
      </c>
      <c r="T125" s="56" t="n">
        <f aca="false">T121+($E123+$E124)*T14</f>
        <v>-2412.05915269432</v>
      </c>
      <c r="U125" s="56" t="n">
        <f aca="false">U121+($E123+$E124)*U14</f>
        <v>-2426.54655598904</v>
      </c>
      <c r="V125" s="56" t="n">
        <f aca="false">V121+($E123+$E124)*V14</f>
        <v>-2414.3957406691</v>
      </c>
      <c r="W125" s="56" t="n">
        <f aca="false">W121+($E123+$E124)*W14</f>
        <v>-2351.06414075343</v>
      </c>
      <c r="X125" s="56" t="n">
        <f aca="false">X121+($E123+$E124)*X14</f>
        <v>-2365.42961139379</v>
      </c>
      <c r="Y125" s="56" t="n">
        <f aca="false">Y121+($E123+$E124)*Y14</f>
        <v>59788.1846687454</v>
      </c>
      <c r="Z125" s="56" t="n">
        <f aca="false">Z121+($E123+$E124)*Z14</f>
        <v>0</v>
      </c>
      <c r="AA125" s="56" t="n">
        <f aca="false">AA121+($E123+$E124)*AA14</f>
        <v>0</v>
      </c>
      <c r="AB125" s="56" t="n">
        <f aca="false">AB121+($E123+$E124)*AB14</f>
        <v>0</v>
      </c>
      <c r="AC125" s="56" t="n">
        <f aca="false">AC121+($E123+$E124)*AC14</f>
        <v>0</v>
      </c>
      <c r="AD125" s="56" t="n">
        <f aca="false">AD121+($E123+$E124)*AD14</f>
        <v>0</v>
      </c>
      <c r="AE125" s="56" t="n">
        <f aca="false">AE121+($E123+$E124)*AE14</f>
        <v>0</v>
      </c>
      <c r="AF125" s="56" t="n">
        <f aca="false">AF121+($E123+$E124)*AF14</f>
        <v>0</v>
      </c>
      <c r="AG125" s="56" t="n">
        <f aca="false">AG121+($E123+$E124)*AG14</f>
        <v>0</v>
      </c>
      <c r="AH125" s="56" t="n">
        <f aca="false">AH121+($E123+$E124)*AH14</f>
        <v>0</v>
      </c>
      <c r="AI125" s="56" t="n">
        <f aca="false">AI121+($E123+$E124)*AI14</f>
        <v>0</v>
      </c>
      <c r="AJ125" s="56" t="n">
        <f aca="false">AJ121+($E123+$E124)*AJ14</f>
        <v>0</v>
      </c>
      <c r="AK125" s="56" t="n">
        <f aca="false">AK121+($E123+$E124)*AK14</f>
        <v>0</v>
      </c>
      <c r="AL125" s="56" t="n">
        <f aca="false">AL121+($E123+$E124)*AL14</f>
        <v>0</v>
      </c>
      <c r="AM125" s="56" t="n">
        <f aca="false">AM121+($E123+$E124)*AM14</f>
        <v>0</v>
      </c>
      <c r="AN125" s="56" t="n">
        <f aca="false">AN121+($E123+$E124)*AN14</f>
        <v>0</v>
      </c>
      <c r="AO125" s="56" t="n">
        <f aca="false">AO121+($E123+$E124)*AO14</f>
        <v>0</v>
      </c>
      <c r="AP125" s="56" t="n">
        <f aca="false">AP121+($E123+$E124)*AP14</f>
        <v>0</v>
      </c>
      <c r="AQ125" s="56" t="n">
        <f aca="false">AQ121+($E123+$E124)*AQ14</f>
        <v>0</v>
      </c>
      <c r="AR125" s="56" t="n">
        <f aca="false">AR121+($E123+$E124)*AR14</f>
        <v>0</v>
      </c>
      <c r="AS125" s="56" t="n">
        <f aca="false">AS121+($E123+$E124)*AS14</f>
        <v>0</v>
      </c>
      <c r="AT125" s="56" t="n">
        <f aca="false">AT121+($E123+$E124)*AT14</f>
        <v>0</v>
      </c>
      <c r="AU125" s="56" t="n">
        <f aca="false">AU121+($E123+$E124)*AU14</f>
        <v>0</v>
      </c>
      <c r="AV125" s="56" t="n">
        <f aca="false">AV121+($E123+$E124)*AV14</f>
        <v>0</v>
      </c>
      <c r="AW125" s="56" t="n">
        <f aca="false">AW121+($E123+$E124)*AW14</f>
        <v>0</v>
      </c>
      <c r="AX125" s="56" t="n">
        <f aca="false">AX121+($E123+$E124)*AX14</f>
        <v>0</v>
      </c>
      <c r="AY125" s="56" t="n">
        <f aca="false">AY121+($E123+$E124)*AY14</f>
        <v>0</v>
      </c>
      <c r="AZ125" s="56" t="n">
        <f aca="false">AZ121+($E123+$E124)*AZ14</f>
        <v>0</v>
      </c>
      <c r="BA125" s="56" t="n">
        <f aca="false">BA121+($E123+$E124)*BA14</f>
        <v>0</v>
      </c>
      <c r="BB125" s="56" t="n">
        <f aca="false">BB121+($E123+$E124)*BB14</f>
        <v>0</v>
      </c>
      <c r="BC125" s="56" t="n">
        <f aca="false">BC121+($E123+$E124)*BC14</f>
        <v>0</v>
      </c>
      <c r="BD125" s="56" t="n">
        <f aca="false">BD121+($E123+$E124)*BD14</f>
        <v>0</v>
      </c>
      <c r="BE125" s="56" t="n">
        <f aca="false">BE121+($E123+$E124)*BE14</f>
        <v>0</v>
      </c>
      <c r="BF125" s="56" t="n">
        <f aca="false">BF121+($E123+$E124)*BF14</f>
        <v>0</v>
      </c>
      <c r="BG125" s="56" t="n">
        <f aca="false">BG121+($E123+$E124)*BG14</f>
        <v>0</v>
      </c>
      <c r="BH125" s="56" t="n">
        <f aca="false">BH121+($E123+$E124)*BH14</f>
        <v>0</v>
      </c>
      <c r="BI125" s="56" t="n">
        <f aca="false">BI121+($E123+$E124)*BI14</f>
        <v>0</v>
      </c>
      <c r="BJ125" s="56" t="n">
        <f aca="false">BJ121+($E123+$E124)*BJ14</f>
        <v>0</v>
      </c>
      <c r="BK125" s="56" t="n">
        <f aca="false">BK121+($E123+$E124)*BK14</f>
        <v>0</v>
      </c>
      <c r="BL125" s="56" t="n">
        <f aca="false">BL121+($E123+$E124)*BL14</f>
        <v>0</v>
      </c>
      <c r="BM125" s="56" t="n">
        <f aca="false">BM121+($E123+$E124)*BM14</f>
        <v>0</v>
      </c>
      <c r="BN125" s="56" t="n">
        <f aca="false">BN121+($E123+$E124)*BN14</f>
        <v>0</v>
      </c>
      <c r="BO125" s="56" t="n">
        <f aca="false">BO121+($E123+$E124)*BO14</f>
        <v>0</v>
      </c>
      <c r="BP125" s="56" t="n">
        <f aca="false">BP121+($E123+$E124)*BP14</f>
        <v>0</v>
      </c>
      <c r="BQ125" s="56" t="n">
        <f aca="false">BQ121+($E123+$E124)*BQ14</f>
        <v>0</v>
      </c>
      <c r="BR125" s="56" t="n">
        <f aca="false">BR121+($E123+$E124)*BR14</f>
        <v>0</v>
      </c>
      <c r="BS125" s="56" t="n">
        <f aca="false">BS121+($E123+$E124)*BS14</f>
        <v>0</v>
      </c>
      <c r="BT125" s="56" t="n">
        <f aca="false">BT121+($E123+$E124)*BT14</f>
        <v>0</v>
      </c>
      <c r="BU125" s="56" t="n">
        <f aca="false">BU121+($E123+$E124)*BU14</f>
        <v>0</v>
      </c>
      <c r="BV125" s="56" t="n">
        <f aca="false">BV121+($E123+$E124)*BV14</f>
        <v>0</v>
      </c>
      <c r="BW125" s="56" t="n">
        <f aca="false">BW121+($E123+$E124)*BW14</f>
        <v>0</v>
      </c>
      <c r="BX125" s="56" t="n">
        <f aca="false">BX121+($E123+$E124)*BX14</f>
        <v>0</v>
      </c>
      <c r="BY125" s="56" t="n">
        <f aca="false">BY121+($E123+$E124)*BY14</f>
        <v>0</v>
      </c>
      <c r="BZ125" s="56" t="n">
        <f aca="false">BZ121+($E123+$E124)*BZ14</f>
        <v>0</v>
      </c>
      <c r="CA125" s="56" t="n">
        <f aca="false">CA121+($E123+$E124)*CA14</f>
        <v>0</v>
      </c>
      <c r="CB125" s="56" t="n">
        <f aca="false">CB121+($E123+$E124)*CB14</f>
        <v>0</v>
      </c>
      <c r="CC125" s="56" t="n">
        <f aca="false">CC121+($E123+$E124)*CC14</f>
        <v>0</v>
      </c>
      <c r="CD125" s="56" t="n">
        <f aca="false">CD121+($E123+$E124)*CD14</f>
        <v>0</v>
      </c>
      <c r="CE125" s="56" t="n">
        <f aca="false">CE121+($E123+$E124)*CE14</f>
        <v>0</v>
      </c>
      <c r="CF125" s="56" t="n">
        <f aca="false">CF121+($E123+$E124)*CF14</f>
        <v>0</v>
      </c>
      <c r="CG125" s="56" t="n">
        <f aca="false">CG121+($E123+$E124)*CG14</f>
        <v>0</v>
      </c>
      <c r="CH125" s="56" t="n">
        <f aca="false">CH121+($E123+$E124)*CH14</f>
        <v>0</v>
      </c>
      <c r="CI125" s="56" t="n">
        <f aca="false">CI121+($E123+$E124)*CI14</f>
        <v>0</v>
      </c>
      <c r="CJ125" s="56" t="n">
        <f aca="false">CJ121+($E123+$E124)*CJ14</f>
        <v>0</v>
      </c>
      <c r="CK125" s="56" t="n">
        <f aca="false">CK121+($E123+$E124)*CK14</f>
        <v>0</v>
      </c>
      <c r="CL125" s="56" t="n">
        <f aca="false">CL121+($E123+$E124)*CL14</f>
        <v>0</v>
      </c>
      <c r="CM125" s="56" t="n">
        <f aca="false">CM121+($E123+$E124)*CM14</f>
        <v>0</v>
      </c>
      <c r="CN125" s="56" t="n">
        <f aca="false">CN121+($E123+$E124)*CN14</f>
        <v>0</v>
      </c>
      <c r="CO125" s="56" t="n">
        <f aca="false">CO121+($E123+$E124)*CO14</f>
        <v>0</v>
      </c>
      <c r="CP125" s="56" t="n">
        <f aca="false">CP121+($E123+$E124)*CP14</f>
        <v>0</v>
      </c>
      <c r="CQ125" s="56" t="n">
        <f aca="false">CQ121+($E123+$E124)*CQ14</f>
        <v>0</v>
      </c>
      <c r="CR125" s="56" t="n">
        <f aca="false">CR121+($E123+$E124)*CR14</f>
        <v>0</v>
      </c>
      <c r="CS125" s="56" t="n">
        <f aca="false">CS121+($E123+$E124)*CS14</f>
        <v>0</v>
      </c>
      <c r="CT125" s="56" t="n">
        <f aca="false">CT121+($E123+$E124)*CT14</f>
        <v>0</v>
      </c>
      <c r="CU125" s="56" t="n">
        <f aca="false">CU121+($E123+$E124)*CU14</f>
        <v>0</v>
      </c>
      <c r="CV125" s="56" t="n">
        <f aca="false">CV121+($E123+$E124)*CV14</f>
        <v>0</v>
      </c>
      <c r="CW125" s="56" t="n">
        <f aca="false">CW121+($E123+$E124)*CW14</f>
        <v>0</v>
      </c>
      <c r="CX125" s="56" t="n">
        <f aca="false">CX121+($E123+$E124)*CX14</f>
        <v>0</v>
      </c>
      <c r="CY125" s="56" t="n">
        <f aca="false">CY121+($E123+$E124)*CY14</f>
        <v>0</v>
      </c>
      <c r="CZ125" s="56" t="n">
        <f aca="false">CZ121+($E123+$E124)*CZ14</f>
        <v>0</v>
      </c>
      <c r="DA125" s="56" t="n">
        <f aca="false">DA121+($E123+$E124)*DA14</f>
        <v>0</v>
      </c>
      <c r="DB125" s="56" t="n">
        <f aca="false">DB121+($E123+$E124)*DB14</f>
        <v>0</v>
      </c>
      <c r="DC125" s="56" t="n">
        <f aca="false">DC121+($E123+$E124)*DC14</f>
        <v>0</v>
      </c>
      <c r="DD125" s="56" t="n">
        <f aca="false">DD121+($E123+$E124)*DD14</f>
        <v>0</v>
      </c>
      <c r="DE125" s="56" t="n">
        <f aca="false">DE121+($E123+$E124)*DE14</f>
        <v>0</v>
      </c>
      <c r="DF125" s="56" t="n">
        <f aca="false">DF121+($E123+$E124)*DF14</f>
        <v>0</v>
      </c>
      <c r="DG125" s="56" t="n">
        <f aca="false">DG121+($E123+$E124)*DG14</f>
        <v>0</v>
      </c>
      <c r="DH125" s="56" t="n">
        <f aca="false">DH121+($E123+$E124)*DH14</f>
        <v>0</v>
      </c>
      <c r="DI125" s="56" t="n">
        <f aca="false">DI121+($E123+$E124)*DI14</f>
        <v>0</v>
      </c>
      <c r="DJ125" s="56" t="n">
        <f aca="false">DJ121+($E123+$E124)*DJ14</f>
        <v>0</v>
      </c>
      <c r="DK125" s="56" t="n">
        <f aca="false">DK121+($E123+$E124)*DK14</f>
        <v>0</v>
      </c>
      <c r="DL125" s="56" t="n">
        <f aca="false">DL121+($E123+$E124)*DL14</f>
        <v>0</v>
      </c>
      <c r="DM125" s="56" t="n">
        <f aca="false">DM121+($E123+$E124)*DM14</f>
        <v>0</v>
      </c>
      <c r="DN125" s="56" t="n">
        <f aca="false">DN121+($E123+$E124)*DN14</f>
        <v>0</v>
      </c>
      <c r="DO125" s="56" t="n">
        <f aca="false">DO121+($E123+$E124)*DO14</f>
        <v>0</v>
      </c>
      <c r="DP125" s="56" t="n">
        <f aca="false">DP121+($E123+$E124)*DP14</f>
        <v>0</v>
      </c>
      <c r="DQ125" s="56" t="n">
        <f aca="false">DQ121+($E123+$E124)*DQ14</f>
        <v>0</v>
      </c>
      <c r="DR125" s="56" t="n">
        <f aca="false">DR121+($E123+$E124)*DR14</f>
        <v>0</v>
      </c>
      <c r="DS125" s="56" t="n">
        <f aca="false">DS121+($E123+$E124)*DS14</f>
        <v>0</v>
      </c>
      <c r="DT125" s="56" t="n">
        <f aca="false">DT121+($E123+$E124)*DT14</f>
        <v>0</v>
      </c>
      <c r="DU125" s="56" t="n">
        <f aca="false">DU121+($E123+$E124)*DU14</f>
        <v>0</v>
      </c>
      <c r="DV125" s="56" t="n">
        <f aca="false">DV121+($E123+$E124)*DV14</f>
        <v>0</v>
      </c>
      <c r="DW125" s="56" t="n">
        <f aca="false">DW121+($E123+$E124)*DW14</f>
        <v>0</v>
      </c>
      <c r="DX125" s="56" t="n">
        <f aca="false">DX121+($E123+$E124)*DX14</f>
        <v>0</v>
      </c>
      <c r="DY125" s="56" t="n">
        <f aca="false">DY121+($E123+$E124)*DY14</f>
        <v>0</v>
      </c>
      <c r="DZ125" s="56" t="n">
        <f aca="false">DZ121+($E123+$E124)*DZ14</f>
        <v>0</v>
      </c>
      <c r="EA125" s="56" t="n">
        <f aca="false">EA121+($E123+$E124)*EA14</f>
        <v>0</v>
      </c>
      <c r="EB125" s="56" t="n">
        <f aca="false">EB121+($E123+$E124)*EB14</f>
        <v>0</v>
      </c>
      <c r="EC125" s="56" t="n">
        <f aca="false">EC121+($E123+$E124)*EC14</f>
        <v>0</v>
      </c>
      <c r="ED125" s="56" t="n">
        <f aca="false">ED121+($E123+$E124)*ED14</f>
        <v>0</v>
      </c>
      <c r="EE125" s="56" t="n">
        <f aca="false">EE121+($E123+$E124)*EE14</f>
        <v>0</v>
      </c>
      <c r="EF125" s="56" t="n">
        <f aca="false">EF121+($E123+$E124)*EF14</f>
        <v>0</v>
      </c>
      <c r="EG125" s="56" t="n">
        <f aca="false">EG121+($E123+$E124)*EG14</f>
        <v>0</v>
      </c>
      <c r="EH125" s="56" t="n">
        <f aca="false">EH121+($E123+$E124)*EH14</f>
        <v>0</v>
      </c>
      <c r="EI125" s="56" t="n">
        <f aca="false">EI121+($E123+$E124)*EI14</f>
        <v>0</v>
      </c>
      <c r="EJ125" s="56" t="n">
        <f aca="false">EJ121+($E123+$E124)*EJ14</f>
        <v>0</v>
      </c>
      <c r="EK125" s="56" t="n">
        <f aca="false">EK121+($E123+$E124)*EK14</f>
        <v>0</v>
      </c>
      <c r="EL125" s="56" t="n">
        <f aca="false">EL121+($E123+$E124)*EL14</f>
        <v>0</v>
      </c>
      <c r="EM125" s="56" t="n">
        <f aca="false">EM121+($E123+$E124)*EM14</f>
        <v>0</v>
      </c>
      <c r="EN125" s="56" t="n">
        <f aca="false">EN121+($E123+$E124)*EN14</f>
        <v>0</v>
      </c>
      <c r="EO125" s="56" t="n">
        <f aca="false">EO121+($E123+$E124)*EO14</f>
        <v>0</v>
      </c>
    </row>
    <row r="126" customFormat="false" ht="15" hidden="false" customHeight="false" outlineLevel="0" collapsed="false">
      <c r="C126" s="24" t="s">
        <v>75</v>
      </c>
      <c r="D126" s="11" t="s">
        <v>27</v>
      </c>
      <c r="E126" s="32" t="n">
        <f aca="false">XIRR($J125:$EO125,$J$4:$EO$4)</f>
        <v>0.518123392285528</v>
      </c>
    </row>
    <row r="127" customFormat="false" ht="15" hidden="false" customHeight="false" outlineLevel="0" collapsed="false">
      <c r="C127" s="24" t="s">
        <v>76</v>
      </c>
      <c r="D127" s="11" t="s">
        <v>13</v>
      </c>
      <c r="E127" s="59" t="n">
        <f aca="false">($E123+$E124)/-$I121</f>
        <v>2.15776567105697</v>
      </c>
    </row>
    <row r="128" customFormat="false" ht="15" hidden="false" customHeight="false" outlineLevel="0" collapsed="false">
      <c r="C128" s="24" t="s">
        <v>77</v>
      </c>
      <c r="D128" s="11" t="s">
        <v>33</v>
      </c>
      <c r="E128" s="56" t="n">
        <f aca="false">XNPV(In_Discount_Rate,$J125:$EO125,$J$4:$EO$4)</f>
        <v>22424.9237379193</v>
      </c>
    </row>
    <row r="130" customFormat="false" ht="15" hidden="false" customHeight="false" outlineLevel="0" collapsed="false">
      <c r="A130" s="9" t="s">
        <v>13</v>
      </c>
      <c r="B130" s="9"/>
      <c r="C130" s="9" t="s">
        <v>437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</row>
    <row r="131" customFormat="false" ht="15" hidden="false" customHeight="false" outlineLevel="0" collapsed="false">
      <c r="C131" s="0" t="s">
        <v>438</v>
      </c>
      <c r="D131" s="11" t="s">
        <v>33</v>
      </c>
      <c r="I131" s="46" t="n">
        <f aca="false">SUM(J131:EO131)</f>
        <v>185207.417273588</v>
      </c>
      <c r="J131" s="46" t="n">
        <f aca="false">J55+J62+J75+J54+J105</f>
        <v>-4661.67501595046</v>
      </c>
      <c r="K131" s="46" t="n">
        <f aca="false">K55+K62+K75+K54+K105</f>
        <v>-701.6716250968</v>
      </c>
      <c r="L131" s="46" t="n">
        <f aca="false">L55+L62+L75+L54+L105</f>
        <v>-96.1638368733281</v>
      </c>
      <c r="M131" s="46" t="n">
        <f aca="false">M55+M62+M75+M54+M105</f>
        <v>-97.2205823334746</v>
      </c>
      <c r="N131" s="46" t="n">
        <f aca="false">N55+N62+N75+N54+N105</f>
        <v>-97.2205823334746</v>
      </c>
      <c r="O131" s="46" t="n">
        <f aca="false">O55+O62+O75+O54+O105</f>
        <v>-96.1638368733281</v>
      </c>
      <c r="P131" s="46" t="n">
        <f aca="false">P55+P62+P75+P54+P105</f>
        <v>-96.1638368733281</v>
      </c>
      <c r="Q131" s="46" t="n">
        <f aca="false">Q55+Q62+Q75+Q54+Q105</f>
        <v>-97.2205823334746</v>
      </c>
      <c r="R131" s="46" t="n">
        <f aca="false">R55+R62+R75+R54+R105</f>
        <v>-7718.70836124027</v>
      </c>
      <c r="S131" s="46" t="n">
        <f aca="false">S55+S62+S75+S54+S105</f>
        <v>-15706.7500222895</v>
      </c>
      <c r="T131" s="46" t="n">
        <f aca="false">T55+T62+T75+T54+T105</f>
        <v>-7635.8371701779</v>
      </c>
      <c r="U131" s="46" t="n">
        <f aca="false">U55+U62+U75+U54+U105</f>
        <v>-7719.74746875129</v>
      </c>
      <c r="V131" s="46" t="n">
        <f aca="false">V55+V62+V75+V54+V105</f>
        <v>-7719.74746875129</v>
      </c>
      <c r="W131" s="46" t="n">
        <f aca="false">W55+W62+W75+W54+W105</f>
        <v>-7552.96880277726</v>
      </c>
      <c r="X131" s="46" t="n">
        <f aca="false">X55+X62+X75+X54+X105</f>
        <v>-7636.89067836367</v>
      </c>
      <c r="Y131" s="46" t="n">
        <f aca="false">Y55+Y62+Y75+Y54+Y105</f>
        <v>-9470.81255395009</v>
      </c>
      <c r="Z131" s="46" t="n">
        <f aca="false">Z55+Z62+Z75+Z54+Z105</f>
        <v>2208.68251962139</v>
      </c>
      <c r="AA131" s="46" t="n">
        <f aca="false">AA55+AA62+AA75+AA54+AA105</f>
        <v>2174.84480112102</v>
      </c>
      <c r="AB131" s="46" t="n">
        <f aca="false">AB55+AB62+AB75+AB54+AB105</f>
        <v>2198.44466900233</v>
      </c>
      <c r="AC131" s="46" t="n">
        <f aca="false">AC55+AC62+AC75+AC54+AC105</f>
        <v>2222.0349171648</v>
      </c>
      <c r="AD131" s="46" t="n">
        <f aca="false">AD55+AD62+AD75+AD54+AD105</f>
        <v>2214.06671813414</v>
      </c>
      <c r="AE131" s="46" t="n">
        <f aca="false">AE55+AE62+AE75+AE54+AE105</f>
        <v>2203.85309091878</v>
      </c>
      <c r="AF131" s="46" t="n">
        <f aca="false">AF55+AF62+AF75+AF54+AF105</f>
        <v>2198.33698283422</v>
      </c>
      <c r="AG131" s="46" t="n">
        <f aca="false">AG55+AG62+AG75+AG54+AG105</f>
        <v>2197.6157008837</v>
      </c>
      <c r="AH131" s="46" t="n">
        <f aca="false">AH55+AH62+AH75+AH54+AH105</f>
        <v>2189.68793090316</v>
      </c>
      <c r="AI131" s="46" t="n">
        <f aca="false">AI55+AI62+AI75+AI54+AI105</f>
        <v>2155.60090745025</v>
      </c>
      <c r="AJ131" s="46" t="n">
        <f aca="false">AJ55+AJ62+AJ75+AJ54+AJ105</f>
        <v>2201.13929211209</v>
      </c>
      <c r="AK131" s="46" t="n">
        <f aca="false">AK55+AK62+AK75+AK54+AK105</f>
        <v>2224.18275955349</v>
      </c>
      <c r="AL131" s="46" t="n">
        <f aca="false">AL55+AL62+AL75+AL54+AL105</f>
        <v>2216.16673858775</v>
      </c>
      <c r="AM131" s="46" t="n">
        <f aca="false">AM55+AM62+AM75+AM54+AM105</f>
        <v>2181.27237174426</v>
      </c>
      <c r="AN131" s="46" t="n">
        <f aca="false">AN55+AN62+AN75+AN54+AN105</f>
        <v>2204.36603566789</v>
      </c>
      <c r="AO131" s="46" t="n">
        <f aca="false">AO55+AO62+AO75+AO54+AO105</f>
        <v>2227.43968803951</v>
      </c>
      <c r="AP131" s="46" t="n">
        <f aca="false">AP55+AP62+AP75+AP54+AP105</f>
        <v>2219.34626787866</v>
      </c>
      <c r="AQ131" s="46" t="n">
        <f aca="false">AQ55+AQ62+AQ75+AQ54+AQ105</f>
        <v>2184.1524458666</v>
      </c>
      <c r="AR131" s="46" t="n">
        <f aca="false">AR55+AR62+AR75+AR54+AR105</f>
        <v>2207.27318185239</v>
      </c>
      <c r="AS131" s="46" t="n">
        <f aca="false">AS55+AS62+AS75+AS54+AS105</f>
        <v>2230.37349701844</v>
      </c>
      <c r="AT131" s="46" t="n">
        <f aca="false">AT55+AT62+AT75+AT54+AT105</f>
        <v>2222.20113596522</v>
      </c>
      <c r="AU131" s="46" t="n">
        <f aca="false">AU55+AU62+AU75+AU54+AU105</f>
        <v>2210.48539449731</v>
      </c>
      <c r="AV131" s="46" t="n">
        <f aca="false">AV55+AV62+AV75+AV54+AV105</f>
        <v>2209.83492129102</v>
      </c>
      <c r="AW131" s="46" t="n">
        <f aca="false">AW55+AW62+AW75+AW54+AW105</f>
        <v>2232.95807939733</v>
      </c>
      <c r="AX131" s="46" t="n">
        <f aca="false">AX55+AX62+AX75+AX54+AX105</f>
        <v>2224.70501466415</v>
      </c>
      <c r="AY131" s="46" t="n">
        <f aca="false">AY55+AY62+AY75+AY54+AY105</f>
        <v>2188.90042973181</v>
      </c>
      <c r="AZ131" s="46" t="n">
        <f aca="false">AZ55+AZ62+AZ75+AZ54+AZ105</f>
        <v>2212.06406410325</v>
      </c>
      <c r="BA131" s="46" t="n">
        <f aca="false">BA55+BA62+BA75+BA54+BA105</f>
        <v>2235.20640910812</v>
      </c>
      <c r="BB131" s="46" t="n">
        <f aca="false">BB55+BB62+BB75+BB54+BB105</f>
        <v>2226.87112602129</v>
      </c>
      <c r="BC131" s="46" t="n">
        <f aca="false">BC55+BC62+BC75+BC54+BC105</f>
        <v>2190.75518932519</v>
      </c>
      <c r="BD131" s="46" t="n">
        <f aca="false">BD55+BD62+BD75+BD54+BD105</f>
        <v>2213.93451288665</v>
      </c>
      <c r="BE131" s="46" t="n">
        <f aca="false">BE55+BE62+BE75+BE54+BE105</f>
        <v>2237.0920881571</v>
      </c>
      <c r="BF131" s="46" t="n">
        <f aca="false">BF55+BF62+BF75+BF54+BF105</f>
        <v>2228.67285242139</v>
      </c>
      <c r="BG131" s="46" t="n">
        <f aca="false">BG55+BG62+BG75+BG54+BG105</f>
        <v>2192.24139644755</v>
      </c>
      <c r="BH131" s="46" t="n">
        <f aca="false">BH55+BH62+BH75+BH54+BH105</f>
        <v>2215.43231541713</v>
      </c>
      <c r="BI131" s="46" t="n">
        <f aca="false">BI55+BI62+BI75+BI54+BI105</f>
        <v>2238.60100907868</v>
      </c>
      <c r="BJ131" s="46" t="n">
        <f aca="false">BJ55+BJ62+BJ75+BJ54+BJ105</f>
        <v>2230.09601613338</v>
      </c>
      <c r="BK131" s="46" t="n">
        <f aca="false">BK55+BK62+BK75+BK54+BK105</f>
        <v>2217.32788732673</v>
      </c>
      <c r="BL131" s="46" t="n">
        <f aca="false">BL55+BL62+BL75+BL54+BL105</f>
        <v>2216.52967809263</v>
      </c>
      <c r="BM131" s="46" t="n">
        <f aca="false">BM55+BM62+BM75+BM54+BM105</f>
        <v>2239.70505801678</v>
      </c>
      <c r="BN131" s="46" t="n">
        <f aca="false">BN55+BN62+BN75+BN54+BN105</f>
        <v>2231.11226837924</v>
      </c>
      <c r="BO131" s="46" t="n">
        <f aca="false">BO55+BO62+BO75+BO54+BO105</f>
        <v>2194.03666957883</v>
      </c>
      <c r="BP131" s="46" t="n">
        <f aca="false">BP55+BP62+BP75+BP54+BP105</f>
        <v>2217.23768707483</v>
      </c>
      <c r="BQ131" s="46" t="n">
        <f aca="false">BQ55+BQ62+BQ75+BQ54+BQ105</f>
        <v>2240.41546554752</v>
      </c>
      <c r="BR131" s="46" t="n">
        <f aca="false">BR55+BR62+BR75+BR54+BR105</f>
        <v>2231.73307741626</v>
      </c>
      <c r="BS131" s="46" t="n">
        <f aca="false">BS55+BS62+BS75+BS54+BS105</f>
        <v>2194.32878061995</v>
      </c>
      <c r="BT131" s="46" t="n">
        <f aca="false">BT55+BT62+BT75+BT54+BT105</f>
        <v>2217.5281208523</v>
      </c>
      <c r="BU131" s="46" t="n">
        <f aca="false">BU55+BU62+BU75+BU54+BU105</f>
        <v>2240.70368542065</v>
      </c>
      <c r="BV131" s="46" t="n">
        <f aca="false">BV55+BV62+BV75+BV54+BV105</f>
        <v>2231.92966236314</v>
      </c>
      <c r="BW131" s="46" t="n">
        <f aca="false">BW55+BW62+BW75+BW54+BW105</f>
        <v>2194.19203979815</v>
      </c>
      <c r="BX131" s="46" t="n">
        <f aca="false">BX55+BX62+BX75+BX54+BX105</f>
        <v>2217.38493305353</v>
      </c>
      <c r="BY131" s="46" t="n">
        <f aca="false">BY55+BY62+BY75+BY54+BY105</f>
        <v>2240.55349226394</v>
      </c>
      <c r="BZ131" s="46" t="n">
        <f aca="false">BZ55+BZ62+BZ75+BZ54+BZ105</f>
        <v>2231.68571320058</v>
      </c>
      <c r="CA131" s="46" t="n">
        <f aca="false">CA55+CA62+CA75+CA54+CA105</f>
        <v>2217.75262539577</v>
      </c>
      <c r="CB131" s="46" t="n">
        <f aca="false">CB55+CB62+CB75+CB54+CB105</f>
        <v>2216.77806685262</v>
      </c>
      <c r="CC131" s="46" t="n">
        <f aca="false">CC55+CC62+CC75+CC54+CC105</f>
        <v>2239.93448325013</v>
      </c>
      <c r="CD131" s="46" t="n">
        <f aca="false">CD55+CD62+CD75+CD54+CD105</f>
        <v>2230.97057602669</v>
      </c>
      <c r="CE131" s="46" t="n">
        <f aca="false">CE55+CE62+CE75+CE54+CE105</f>
        <v>2192.55174436357</v>
      </c>
      <c r="CF131" s="46" t="n">
        <f aca="false">CF55+CF62+CF75+CF54+CF105</f>
        <v>2215.71652347895</v>
      </c>
      <c r="CG131" s="46" t="n">
        <f aca="false">CG55+CG62+CG75+CG54+CG105</f>
        <v>2238.85578043711</v>
      </c>
      <c r="CH131" s="46" t="n">
        <f aca="false">CH55+CH62+CH75+CH54+CH105</f>
        <v>2229.79359686171</v>
      </c>
      <c r="CI131" s="46" t="n">
        <f aca="false">CI55+CI62+CI75+CI54+CI105</f>
        <v>2191.02677076221</v>
      </c>
      <c r="CJ131" s="46" t="n">
        <f aca="false">CJ55+CJ62+CJ75+CJ54+CJ105</f>
        <v>2214.16965143813</v>
      </c>
      <c r="CK131" s="46" t="n">
        <f aca="false">CK55+CK62+CK75+CK54+CK105</f>
        <v>2237.28637991738</v>
      </c>
      <c r="CL131" s="46" t="n">
        <f aca="false">CL55+CL62+CL75+CL54+CL105</f>
        <v>2228.1235195638</v>
      </c>
      <c r="CM131" s="46" t="n">
        <f aca="false">CM55+CM62+CM75+CM54+CM105</f>
        <v>2189.00353553472</v>
      </c>
      <c r="CN131" s="46" t="n">
        <f aca="false">CN55+CN62+CN75+CN54+CN105</f>
        <v>2212.11896816126</v>
      </c>
      <c r="CO131" s="46" t="n">
        <f aca="false">CO55+CO62+CO75+CO54+CO105</f>
        <v>2235.20759240644</v>
      </c>
      <c r="CP131" s="46" t="n">
        <f aca="false">CP55+CP62+CP75+CP54+CP105</f>
        <v>2225.94155281591</v>
      </c>
      <c r="CQ131" s="46" t="n">
        <f aca="false">CQ55+CQ62+CQ75+CQ54+CQ105</f>
        <v>2210.71700484078</v>
      </c>
      <c r="CR131" s="46" t="n">
        <f aca="false">CR55+CR62+CR75+CR54+CR105</f>
        <v>2209.53182399559</v>
      </c>
      <c r="CS131" s="46" t="n">
        <f aca="false">CS55+CS62+CS75+CS54+CS105</f>
        <v>2232.586392699</v>
      </c>
      <c r="CT131" s="46" t="n">
        <f aca="false">CT55+CT62+CT75+CT54+CT105</f>
        <v>2223.21440135961</v>
      </c>
      <c r="CU131" s="46" t="n">
        <f aca="false">CU55+CU62+CU75+CU54+CU105</f>
        <v>2184.60913302272</v>
      </c>
      <c r="CV131" s="46" t="n">
        <f aca="false">CV55+CV62+CV75+CV54+CV105</f>
        <v>2208.88256783409</v>
      </c>
      <c r="CW131" s="46" t="n">
        <f aca="false">CW55+CW62+CW75+CW54+CW105</f>
        <v>2233.15600264545</v>
      </c>
      <c r="CX131" s="46" t="n">
        <f aca="false">CX55+CX62+CX75+CX54+CX105</f>
        <v>2224.96281706001</v>
      </c>
      <c r="CY131" s="46" t="n">
        <f aca="false">CY55+CY62+CY75+CY54+CY105</f>
        <v>2186.04884233185</v>
      </c>
      <c r="CZ131" s="46" t="n">
        <f aca="false">CZ55+CZ62+CZ75+CZ54+CZ105</f>
        <v>2210.33827391331</v>
      </c>
      <c r="DA131" s="46" t="n">
        <f aca="false">DA55+DA62+DA75+DA54+DA105</f>
        <v>2234.62770549478</v>
      </c>
      <c r="DB131" s="46" t="n">
        <f aca="false">DB55+DB62+DB75+DB54+DB105</f>
        <v>2137.1420964714</v>
      </c>
      <c r="DC131" s="46" t="n">
        <f aca="false">DC55+DC62+DC75+DC54+DC105</f>
        <v>2099.85648575453</v>
      </c>
      <c r="DD131" s="46" t="n">
        <f aca="false">DD55+DD62+DD75+DD54+DD105</f>
        <v>2123.18822448513</v>
      </c>
      <c r="DE131" s="46" t="n">
        <f aca="false">DE55+DE62+DE75+DE54+DE105</f>
        <v>2146.51996321574</v>
      </c>
      <c r="DF131" s="46" t="n">
        <f aca="false">DF55+DF62+DF75+DF54+DF105</f>
        <v>2138.22978045169</v>
      </c>
      <c r="DG131" s="46" t="n">
        <f aca="false">DG55+DG62+DG75+DG54+DG105</f>
        <v>2123.96971469438</v>
      </c>
      <c r="DH131" s="46" t="n">
        <f aca="false">DH55+DH62+DH75+DH54+DH105</f>
        <v>2123.96971469438</v>
      </c>
      <c r="DI131" s="46" t="n">
        <f aca="false">DI55+DI62+DI75+DI54+DI105</f>
        <v>2147.31004122948</v>
      </c>
      <c r="DJ131" s="46" t="n">
        <f aca="false">DJ55+DJ62+DJ75+DJ54+DJ105</f>
        <v>2138.97122265953</v>
      </c>
      <c r="DK131" s="46" t="n">
        <f aca="false">DK55+DK62+DK75+DK54+DK105</f>
        <v>2101.05294542443</v>
      </c>
      <c r="DL131" s="46" t="n">
        <f aca="false">DL55+DL62+DL75+DL54+DL105</f>
        <v>2124.39797815137</v>
      </c>
      <c r="DM131" s="46" t="n">
        <f aca="false">DM55+DM62+DM75+DM54+DM105</f>
        <v>2147.74301087831</v>
      </c>
      <c r="DN131" s="46" t="n">
        <f aca="false">DN55+DN62+DN75+DN54+DN105</f>
        <v>2139.35547118825</v>
      </c>
      <c r="DO131" s="46" t="n">
        <f aca="false">DO55+DO62+DO75+DO54+DO105</f>
        <v>2101.11616065373</v>
      </c>
      <c r="DP131" s="46" t="n">
        <f aca="false">DP55+DP62+DP75+DP54+DP105</f>
        <v>2124.4618957721</v>
      </c>
      <c r="DQ131" s="46" t="n">
        <f aca="false">DQ55+DQ62+DQ75+DQ54+DQ105</f>
        <v>2147.80763089048</v>
      </c>
      <c r="DR131" s="46" t="n">
        <f aca="false">DR55+DR62+DR75+DR54+DR105</f>
        <v>2139.37128957395</v>
      </c>
      <c r="DS131" s="46" t="n">
        <f aca="false">DS55+DS62+DS75+DS54+DS105</f>
        <v>2100.80775151472</v>
      </c>
      <c r="DT131" s="46" t="n">
        <f aca="false">DT55+DT62+DT75+DT54+DT105</f>
        <v>2124.15005986488</v>
      </c>
      <c r="DU131" s="46" t="n">
        <f aca="false">DU55+DU62+DU75+DU54+DU105</f>
        <v>2147.49236821505</v>
      </c>
      <c r="DV131" s="46" t="n">
        <f aca="false">DV55+DV62+DV75+DV54+DV105</f>
        <v>2139.00714972595</v>
      </c>
      <c r="DW131" s="46" t="n">
        <f aca="false">DW55+DW62+DW75+DW54+DW105</f>
        <v>2123.45076696211</v>
      </c>
      <c r="DX131" s="46" t="n">
        <f aca="false">DX55+DX62+DX75+DX54+DX105</f>
        <v>2123.45076696211</v>
      </c>
      <c r="DY131" s="46" t="n">
        <f aca="false">DY55+DY62+DY75+DY54+DY105</f>
        <v>2146.78539077488</v>
      </c>
      <c r="DZ131" s="46" t="n">
        <f aca="false">DZ55+DZ62+DZ75+DZ54+DZ105</f>
        <v>2138.25122468349</v>
      </c>
      <c r="EA131" s="46" t="n">
        <f aca="false">EA55+EA62+EA75+EA54+EA105</f>
        <v>2099.02946091011</v>
      </c>
      <c r="EB131" s="46" t="n">
        <f aca="false">EB55+EB62+EB75+EB54+EB105</f>
        <v>2122.35201047578</v>
      </c>
      <c r="EC131" s="46" t="n">
        <f aca="false">EC55+EC62+EC75+EC54+EC105</f>
        <v>2145.67456004145</v>
      </c>
      <c r="ED131" s="46" t="n">
        <f aca="false">ED55+ED62+ED75+ED54+ED105</f>
        <v>2137.09138119429</v>
      </c>
      <c r="EE131" s="46" t="n">
        <f aca="false">EE55+EE62+EE75+EE54+EE105</f>
        <v>2097.53552291781</v>
      </c>
      <c r="EF131" s="46" t="n">
        <f aca="false">EF55+EF62+EF75+EF54+EF105</f>
        <v>2120.84147317245</v>
      </c>
      <c r="EG131" s="46" t="n">
        <f aca="false">EG55+EG62+EG75+EG54+EG105</f>
        <v>2144.1474234271</v>
      </c>
      <c r="EH131" s="46" t="n">
        <f aca="false">EH55+EH62+EH75+EH54+EH105</f>
        <v>2135.5151721106</v>
      </c>
      <c r="EI131" s="46" t="n">
        <f aca="false">EI55+EI62+EI75+EI54+EI105</f>
        <v>2095.62183243614</v>
      </c>
      <c r="EJ131" s="46" t="n">
        <f aca="false">EJ55+EJ62+EJ75+EJ54+EJ105</f>
        <v>2118.90651946321</v>
      </c>
      <c r="EK131" s="46" t="n">
        <f aca="false">EK55+EK62+EK75+EK54+EK105</f>
        <v>2142.19120649028</v>
      </c>
      <c r="EL131" s="46" t="n">
        <f aca="false">EL55+EL62+EL75+EL54+EL105</f>
        <v>2133.50982859844</v>
      </c>
      <c r="EM131" s="46" t="n">
        <f aca="false">EM55+EM62+EM75+EM54+EM105</f>
        <v>2116.53418750407</v>
      </c>
      <c r="EN131" s="46" t="n">
        <f aca="false">EN55+EN62+EN75+EN54+EN105</f>
        <v>2116.53418750407</v>
      </c>
      <c r="EO131" s="46" t="n">
        <f aca="false">EO55+EO62+EO75+EO54+EO105</f>
        <v>2139.79280494917</v>
      </c>
    </row>
    <row r="132" customFormat="false" ht="15" hidden="false" customHeight="false" outlineLevel="0" collapsed="false">
      <c r="C132" s="24" t="s">
        <v>82</v>
      </c>
      <c r="D132" s="11" t="s">
        <v>27</v>
      </c>
      <c r="E132" s="32" t="n">
        <f aca="false">XIRR($J131:$EO131,$J$4:$EO$4)</f>
        <v>0.0998242386406485</v>
      </c>
    </row>
    <row r="133" customFormat="false" ht="15" hidden="false" customHeight="false" outlineLevel="0" collapsed="false">
      <c r="C133" s="24" t="s">
        <v>439</v>
      </c>
      <c r="D133" s="11" t="s">
        <v>33</v>
      </c>
      <c r="I133" s="56" t="n">
        <f aca="false">SUM(J133:EO133)</f>
        <v>154357.882997321</v>
      </c>
      <c r="J133" s="56" t="n">
        <f aca="false">J55+J62+J88+J92+J93+J75+J86+J94+J54+J105</f>
        <v>-4661.67501595046</v>
      </c>
      <c r="K133" s="56" t="n">
        <f aca="false">K55+K62+K88+K92+K93+K75+K86+K94+K54+K105</f>
        <v>-701.6716250968</v>
      </c>
      <c r="L133" s="56" t="n">
        <f aca="false">L55+L62+L88+L92+L93+L75+L86+L94+L54+L105</f>
        <v>-96.1638368733281</v>
      </c>
      <c r="M133" s="56" t="n">
        <f aca="false">M55+M62+M88+M92+M93+M75+M86+M94+M54+M105</f>
        <v>-97.2205823334746</v>
      </c>
      <c r="N133" s="56" t="n">
        <f aca="false">N55+N62+N88+N92+N93+N75+N86+N94+N54+N105</f>
        <v>-97.2205823334746</v>
      </c>
      <c r="O133" s="56" t="n">
        <f aca="false">O55+O62+O88+O92+O93+O75+O86+O94+O54+O105</f>
        <v>-96.1638368733281</v>
      </c>
      <c r="P133" s="56" t="n">
        <f aca="false">P55+P62+P88+P92+P93+P75+P86+P94+P54+P105</f>
        <v>-96.1638368733281</v>
      </c>
      <c r="Q133" s="56" t="n">
        <f aca="false">Q55+Q62+Q88+Q92+Q93+Q75+Q86+Q94+Q54+Q105</f>
        <v>-97.2205823334746</v>
      </c>
      <c r="R133" s="56" t="n">
        <f aca="false">R55+R62+R88+R92+R93+R75+R86+R94+R54+R105</f>
        <v>-3380.70527228222</v>
      </c>
      <c r="S133" s="56" t="n">
        <f aca="false">S55+S62+S88+S92+S93+S75+S86+S94+S54+S105</f>
        <v>-4856.29611807778</v>
      </c>
      <c r="T133" s="56" t="n">
        <f aca="false">T55+T62+T88+T92+T93+T75+T86+T94+T54+T105</f>
        <v>-2412.05915269432</v>
      </c>
      <c r="U133" s="56" t="n">
        <f aca="false">U55+U62+U88+U92+U93+U75+U86+U94+U54+U105</f>
        <v>-2426.54655598904</v>
      </c>
      <c r="V133" s="56" t="n">
        <f aca="false">V55+V62+V88+V92+V93+V75+V86+V94+V54+V105</f>
        <v>-2414.3957406691</v>
      </c>
      <c r="W133" s="56" t="n">
        <f aca="false">W55+W62+W88+W92+W93+W75+W86+W94+W54+W105</f>
        <v>-2351.06414075343</v>
      </c>
      <c r="X133" s="56" t="n">
        <f aca="false">X55+X62+X88+X92+X93+X75+X86+X94+X54+X105</f>
        <v>-2365.42961139379</v>
      </c>
      <c r="Y133" s="56" t="n">
        <f aca="false">Y55+Y62+Y88+Y92+Y93+Y75+Y86+Y94+Y54+Y105</f>
        <v>-3997.02196678136</v>
      </c>
      <c r="Z133" s="56" t="n">
        <f aca="false">Z55+Z62+Z88+Z92+Z93+Z75+Z86+Z94+Z54+Z105</f>
        <v>1116.06515498677</v>
      </c>
      <c r="AA133" s="56" t="n">
        <f aca="false">AA55+AA62+AA88+AA92+AA93+AA75+AA86+AA94+AA54+AA105</f>
        <v>1098.96668193462</v>
      </c>
      <c r="AB133" s="56" t="n">
        <f aca="false">AB55+AB62+AB88+AB92+AB93+AB75+AB86+AB94+AB54+AB105</f>
        <v>1110.89188620034</v>
      </c>
      <c r="AC133" s="56" t="n">
        <f aca="false">AC55+AC62+AC88+AC92+AC93+AC75+AC86+AC94+AC54+AC105</f>
        <v>1122.81222954428</v>
      </c>
      <c r="AD133" s="56" t="n">
        <f aca="false">AD55+AD62+AD88+AD92+AD93+AD75+AD86+AD94+AD54+AD105</f>
        <v>1118.78583407679</v>
      </c>
      <c r="AE133" s="56" t="n">
        <f aca="false">AE55+AE62+AE88+AE92+AE93+AE75+AE86+AE94+AE54+AE105</f>
        <v>1113.62480557233</v>
      </c>
      <c r="AF133" s="56" t="n">
        <f aca="false">AF55+AF62+AF88+AF92+AF93+AF75+AF86+AF94+AF54+AF105</f>
        <v>1110.83747150798</v>
      </c>
      <c r="AG133" s="56" t="n">
        <f aca="false">AG55+AG62+AG88+AG92+AG93+AG75+AG86+AG94+AG54+AG105</f>
        <v>1110.47300190008</v>
      </c>
      <c r="AH133" s="56" t="n">
        <f aca="false">AH55+AH62+AH88+AH92+AH93+AH75+AH86+AH94+AH54+AH105</f>
        <v>1106.46703555887</v>
      </c>
      <c r="AI133" s="56" t="n">
        <f aca="false">AI55+AI62+AI88+AI92+AI93+AI75+AI86+AI94+AI54+AI105</f>
        <v>1089.24258669624</v>
      </c>
      <c r="AJ133" s="56" t="n">
        <f aca="false">AJ55+AJ62+AJ88+AJ92+AJ93+AJ75+AJ86+AJ94+AJ54+AJ105</f>
        <v>1112.25350106893</v>
      </c>
      <c r="AK133" s="56" t="n">
        <f aca="false">AK55+AK62+AK88+AK92+AK93+AK75+AK86+AK94+AK54+AK105</f>
        <v>1123.89755168868</v>
      </c>
      <c r="AL133" s="56" t="n">
        <f aca="false">AL55+AL62+AL88+AL92+AL93+AL75+AL86+AL94+AL54+AL105</f>
        <v>1119.84699141032</v>
      </c>
      <c r="AM133" s="56" t="n">
        <f aca="false">AM55+AM62+AM88+AM92+AM93+AM75+AM86+AM94+AM54+AM105</f>
        <v>1102.21458539752</v>
      </c>
      <c r="AN133" s="56" t="n">
        <f aca="false">AN55+AN62+AN88+AN92+AN93+AN75+AN86+AN94+AN54+AN105</f>
        <v>1113.88400070605</v>
      </c>
      <c r="AO133" s="56" t="n">
        <f aca="false">AO55+AO62+AO88+AO92+AO93+AO75+AO86+AO94+AO54+AO105</f>
        <v>1125.54330401537</v>
      </c>
      <c r="AP133" s="56" t="n">
        <f aca="false">AP55+AP62+AP88+AP92+AP93+AP75+AP86+AP94+AP54+AP105</f>
        <v>1121.45363329722</v>
      </c>
      <c r="AQ133" s="56" t="n">
        <f aca="false">AQ55+AQ62+AQ88+AQ92+AQ93+AQ75+AQ86+AQ94+AQ54+AQ105</f>
        <v>1103.66991016385</v>
      </c>
      <c r="AR133" s="56" t="n">
        <f aca="false">AR55+AR62+AR88+AR92+AR93+AR75+AR86+AR94+AR54+AR105</f>
        <v>1115.35300520452</v>
      </c>
      <c r="AS133" s="56" t="n">
        <f aca="false">AS55+AS62+AS88+AS92+AS93+AS75+AS86+AS94+AS54+AS105</f>
        <v>1127.02578143969</v>
      </c>
      <c r="AT133" s="56" t="n">
        <f aca="false">AT55+AT62+AT88+AT92+AT93+AT75+AT86+AT94+AT54+AT105</f>
        <v>1122.89622124965</v>
      </c>
      <c r="AU133" s="56" t="n">
        <f aca="false">AU55+AU62+AU88+AU92+AU93+AU75+AU86+AU94+AU54+AU105</f>
        <v>1116.97616225475</v>
      </c>
      <c r="AV133" s="56" t="n">
        <f aca="false">AV55+AV62+AV88+AV92+AV93+AV75+AV86+AV94+AV54+AV105</f>
        <v>1116.64747287847</v>
      </c>
      <c r="AW133" s="56" t="n">
        <f aca="false">AW55+AW62+AW88+AW92+AW93+AW75+AW86+AW94+AW54+AW105</f>
        <v>1128.33179183624</v>
      </c>
      <c r="AX133" s="56" t="n">
        <f aca="false">AX55+AX62+AX88+AX92+AX93+AX75+AX86+AX94+AX54+AX105</f>
        <v>1124.16145142347</v>
      </c>
      <c r="AY133" s="56" t="n">
        <f aca="false">AY55+AY62+AY88+AY92+AY93+AY75+AY86+AY94+AY54+AY105</f>
        <v>1106.06910484277</v>
      </c>
      <c r="AZ133" s="56" t="n">
        <f aca="false">AZ55+AZ62+AZ88+AZ92+AZ93+AZ75+AZ86+AZ94+AZ54+AZ105</f>
        <v>1117.77387678493</v>
      </c>
      <c r="BA133" s="56" t="n">
        <f aca="false">BA55+BA62+BA88+BA92+BA93+BA75+BA86+BA94+BA54+BA105</f>
        <v>1129.46789103785</v>
      </c>
      <c r="BB133" s="56" t="n">
        <f aca="false">BB55+BB62+BB88+BB92+BB93+BB75+BB86+BB94+BB54+BB105</f>
        <v>1125.25600502549</v>
      </c>
      <c r="BC133" s="56" t="n">
        <f aca="false">BC55+BC62+BC88+BC92+BC93+BC75+BC86+BC94+BC54+BC105</f>
        <v>1107.00632987836</v>
      </c>
      <c r="BD133" s="56" t="n">
        <f aca="false">BD55+BD62+BD88+BD92+BD93+BD75+BD86+BD94+BD54+BD105</f>
        <v>1118.71902969524</v>
      </c>
      <c r="BE133" s="56" t="n">
        <f aca="false">BE55+BE62+BE88+BE92+BE93+BE75+BE86+BE94+BE54+BE105</f>
        <v>1130.42073992463</v>
      </c>
      <c r="BF133" s="56" t="n">
        <f aca="false">BF55+BF62+BF88+BF92+BF93+BF75+BF86+BF94+BF54+BF105</f>
        <v>1126.16643195924</v>
      </c>
      <c r="BG133" s="56" t="n">
        <f aca="false">BG55+BG62+BG88+BG92+BG93+BG75+BG86+BG94+BG54+BG105</f>
        <v>1107.75732236715</v>
      </c>
      <c r="BH133" s="56" t="n">
        <f aca="false">BH55+BH62+BH88+BH92+BH93+BH75+BH86+BH94+BH54+BH105</f>
        <v>1119.47588143761</v>
      </c>
      <c r="BI133" s="56" t="n">
        <f aca="false">BI55+BI62+BI88+BI92+BI93+BI75+BI86+BI94+BI54+BI105</f>
        <v>1131.18320988002</v>
      </c>
      <c r="BJ133" s="56" t="n">
        <f aca="false">BJ55+BJ62+BJ88+BJ92+BJ93+BJ75+BJ86+BJ94+BJ54+BJ105</f>
        <v>1126.88556810247</v>
      </c>
      <c r="BK133" s="56" t="n">
        <f aca="false">BK55+BK62+BK88+BK92+BK93+BK75+BK86+BK94+BK54+BK105</f>
        <v>1120.43372926693</v>
      </c>
      <c r="BL133" s="56" t="n">
        <f aca="false">BL55+BL62+BL88+BL92+BL93+BL75+BL86+BL94+BL54+BL105</f>
        <v>1120.03038767996</v>
      </c>
      <c r="BM133" s="56" t="n">
        <f aca="false">BM55+BM62+BM88+BM92+BM93+BM75+BM86+BM94+BM54+BM105</f>
        <v>1131.74109474498</v>
      </c>
      <c r="BN133" s="56" t="n">
        <f aca="false">BN55+BN62+BN88+BN92+BN93+BN75+BN86+BN94+BN54+BN105</f>
        <v>1127.39908858818</v>
      </c>
      <c r="BO133" s="56" t="n">
        <f aca="false">BO55+BO62+BO88+BO92+BO93+BO75+BO86+BO94+BO54+BO105</f>
        <v>1108.66448841192</v>
      </c>
      <c r="BP133" s="56" t="n">
        <f aca="false">BP55+BP62+BP88+BP92+BP93+BP75+BP86+BP94+BP54+BP105</f>
        <v>1120.38815034951</v>
      </c>
      <c r="BQ133" s="56" t="n">
        <f aca="false">BQ55+BQ62+BQ88+BQ92+BQ93+BQ75+BQ86+BQ94+BQ54+BQ105</f>
        <v>1132.10006942052</v>
      </c>
      <c r="BR133" s="56" t="n">
        <f aca="false">BR55+BR62+BR88+BR92+BR93+BR75+BR86+BR94+BR54+BR105</f>
        <v>1127.71278841961</v>
      </c>
      <c r="BS133" s="56" t="n">
        <f aca="false">BS55+BS62+BS88+BS92+BS93+BS75+BS86+BS94+BS54+BS105</f>
        <v>1108.81209448542</v>
      </c>
      <c r="BT133" s="56" t="n">
        <f aca="false">BT55+BT62+BT88+BT92+BT93+BT75+BT86+BT94+BT54+BT105</f>
        <v>1120.53490888812</v>
      </c>
      <c r="BU133" s="56" t="n">
        <f aca="false">BU55+BU62+BU88+BU92+BU93+BU75+BU86+BU94+BU54+BU105</f>
        <v>1132.24570925535</v>
      </c>
      <c r="BV133" s="56" t="n">
        <f aca="false">BV55+BV62+BV88+BV92+BV93+BV75+BV86+BV94+BV54+BV105</f>
        <v>1127.81212438447</v>
      </c>
      <c r="BW133" s="56" t="n">
        <f aca="false">BW55+BW62+BW88+BW92+BW93+BW75+BW86+BW94+BW54+BW105</f>
        <v>1108.74299824132</v>
      </c>
      <c r="BX133" s="56" t="n">
        <f aca="false">BX55+BX62+BX88+BX92+BX93+BX75+BX86+BX94+BX54+BX105</f>
        <v>1120.46255493437</v>
      </c>
      <c r="BY133" s="56" t="n">
        <f aca="false">BY55+BY62+BY88+BY92+BY93+BY75+BY86+BY94+BY54+BY105</f>
        <v>1132.16981543752</v>
      </c>
      <c r="BZ133" s="56" t="n">
        <f aca="false">BZ55+BZ62+BZ88+BZ92+BZ93+BZ75+BZ86+BZ94+BZ54+BZ105</f>
        <v>1127.688854898</v>
      </c>
      <c r="CA133" s="56" t="n">
        <f aca="false">CA55+CA62+CA88+CA92+CA93+CA75+CA86+CA94+CA54+CA105</f>
        <v>1120.64835285111</v>
      </c>
      <c r="CB133" s="56" t="n">
        <f aca="false">CB55+CB62+CB88+CB92+CB93+CB75+CB86+CB94+CB54+CB105</f>
        <v>1120.15590053084</v>
      </c>
      <c r="CC133" s="56" t="n">
        <f aca="false">CC55+CC62+CC88+CC92+CC93+CC75+CC86+CC94+CC54+CC105</f>
        <v>1131.85702517236</v>
      </c>
      <c r="CD133" s="56" t="n">
        <f aca="false">CD55+CD62+CD88+CD92+CD93+CD75+CD86+CD94+CD54+CD105</f>
        <v>1127.32749029546</v>
      </c>
      <c r="CE133" s="56" t="n">
        <f aca="false">CE55+CE62+CE88+CE92+CE93+CE75+CE86+CE94+CE54+CE105</f>
        <v>1107.91414368108</v>
      </c>
      <c r="CF133" s="56" t="n">
        <f aca="false">CF55+CF62+CF88+CF92+CF93+CF75+CF86+CF94+CF54+CF105</f>
        <v>1119.61949407162</v>
      </c>
      <c r="CG133" s="56" t="n">
        <f aca="false">CG55+CG62+CG88+CG92+CG93+CG75+CG86+CG94+CG54+CG105</f>
        <v>1131.31194790953</v>
      </c>
      <c r="CH133" s="56" t="n">
        <f aca="false">CH55+CH62+CH88+CH92+CH93+CH75+CH86+CH94+CH54+CH105</f>
        <v>1126.73275319651</v>
      </c>
      <c r="CI133" s="56" t="n">
        <f aca="false">CI55+CI62+CI88+CI92+CI93+CI75+CI86+CI94+CI54+CI105</f>
        <v>1107.14356217665</v>
      </c>
      <c r="CJ133" s="56" t="n">
        <f aca="false">CJ55+CJ62+CJ88+CJ92+CJ93+CJ75+CJ86+CJ94+CJ54+CJ105</f>
        <v>1118.83784710847</v>
      </c>
      <c r="CK133" s="56" t="n">
        <f aca="false">CK55+CK62+CK88+CK92+CK93+CK75+CK86+CK94+CK54+CK105</f>
        <v>1130.51891712364</v>
      </c>
      <c r="CL133" s="56" t="n">
        <f aca="false">CL55+CL62+CL88+CL92+CL93+CL75+CL86+CL94+CL54+CL105</f>
        <v>1125.88884961969</v>
      </c>
      <c r="CM133" s="56" t="n">
        <f aca="false">CM55+CM62+CM88+CM92+CM93+CM75+CM86+CM94+CM54+CM105</f>
        <v>1106.12120503944</v>
      </c>
      <c r="CN133" s="56" t="n">
        <f aca="false">CN55+CN62+CN88+CN92+CN93+CN75+CN86+CN94+CN54+CN105</f>
        <v>1117.80162024974</v>
      </c>
      <c r="CO133" s="56" t="n">
        <f aca="false">CO55+CO62+CO88+CO92+CO93+CO75+CO86+CO94+CO54+CO105</f>
        <v>1129.46848896795</v>
      </c>
      <c r="CP133" s="56" t="n">
        <f aca="false">CP55+CP62+CP88+CP92+CP93+CP75+CP86+CP94+CP54+CP105</f>
        <v>1124.7862841604</v>
      </c>
      <c r="CQ133" s="56" t="n">
        <f aca="false">CQ55+CQ62+CQ88+CQ92+CQ93+CQ75+CQ86+CQ94+CQ54+CQ105</f>
        <v>1117.09319683594</v>
      </c>
      <c r="CR133" s="56" t="n">
        <f aca="false">CR55+CR62+CR88+CR92+CR93+CR75+CR86+CR94+CR54+CR105</f>
        <v>1116.49431536161</v>
      </c>
      <c r="CS133" s="56" t="n">
        <f aca="false">CS55+CS62+CS88+CS92+CS93+CS75+CS86+CS94+CS54+CS105</f>
        <v>2220.76134017352</v>
      </c>
      <c r="CT133" s="56" t="n">
        <f aca="false">CT55+CT62+CT88+CT92+CT93+CT75+CT86+CT94+CT54+CT105</f>
        <v>2223.21440135961</v>
      </c>
      <c r="CU133" s="56" t="n">
        <f aca="false">CU55+CU62+CU88+CU92+CU93+CU75+CU86+CU94+CU54+CU105</f>
        <v>2184.60913302272</v>
      </c>
      <c r="CV133" s="56" t="n">
        <f aca="false">CV55+CV62+CV88+CV92+CV93+CV75+CV86+CV94+CV54+CV105</f>
        <v>2208.88256783409</v>
      </c>
      <c r="CW133" s="56" t="n">
        <f aca="false">CW55+CW62+CW88+CW92+CW93+CW75+CW86+CW94+CW54+CW105</f>
        <v>2233.15600264545</v>
      </c>
      <c r="CX133" s="56" t="n">
        <f aca="false">CX55+CX62+CX88+CX92+CX93+CX75+CX86+CX94+CX54+CX105</f>
        <v>2224.96281706001</v>
      </c>
      <c r="CY133" s="56" t="n">
        <f aca="false">CY55+CY62+CY88+CY92+CY93+CY75+CY86+CY94+CY54+CY105</f>
        <v>2186.04884233185</v>
      </c>
      <c r="CZ133" s="56" t="n">
        <f aca="false">CZ55+CZ62+CZ88+CZ92+CZ93+CZ75+CZ86+CZ94+CZ54+CZ105</f>
        <v>2210.33827391331</v>
      </c>
      <c r="DA133" s="56" t="n">
        <f aca="false">DA55+DA62+DA88+DA92+DA93+DA75+DA86+DA94+DA54+DA105</f>
        <v>2234.62770549478</v>
      </c>
      <c r="DB133" s="56" t="n">
        <f aca="false">DB55+DB62+DB88+DB92+DB93+DB75+DB86+DB94+DB54+DB105</f>
        <v>2137.1420964714</v>
      </c>
      <c r="DC133" s="56" t="n">
        <f aca="false">DC55+DC62+DC88+DC92+DC93+DC75+DC86+DC94+DC54+DC105</f>
        <v>2099.85648575453</v>
      </c>
      <c r="DD133" s="56" t="n">
        <f aca="false">DD55+DD62+DD88+DD92+DD93+DD75+DD86+DD94+DD54+DD105</f>
        <v>2123.18822448513</v>
      </c>
      <c r="DE133" s="56" t="n">
        <f aca="false">DE55+DE62+DE88+DE92+DE93+DE75+DE86+DE94+DE54+DE105</f>
        <v>2146.51996321574</v>
      </c>
      <c r="DF133" s="56" t="n">
        <f aca="false">DF55+DF62+DF88+DF92+DF93+DF75+DF86+DF94+DF54+DF105</f>
        <v>2138.22978045169</v>
      </c>
      <c r="DG133" s="56" t="n">
        <f aca="false">DG55+DG62+DG88+DG92+DG93+DG75+DG86+DG94+DG54+DG105</f>
        <v>2123.96971469438</v>
      </c>
      <c r="DH133" s="56" t="n">
        <f aca="false">DH55+DH62+DH88+DH92+DH93+DH75+DH86+DH94+DH54+DH105</f>
        <v>2123.96971469438</v>
      </c>
      <c r="DI133" s="56" t="n">
        <f aca="false">DI55+DI62+DI88+DI92+DI93+DI75+DI86+DI94+DI54+DI105</f>
        <v>2147.31004122948</v>
      </c>
      <c r="DJ133" s="56" t="n">
        <f aca="false">DJ55+DJ62+DJ88+DJ92+DJ93+DJ75+DJ86+DJ94+DJ54+DJ105</f>
        <v>2138.97122265953</v>
      </c>
      <c r="DK133" s="56" t="n">
        <f aca="false">DK55+DK62+DK88+DK92+DK93+DK75+DK86+DK94+DK54+DK105</f>
        <v>2101.05294542443</v>
      </c>
      <c r="DL133" s="56" t="n">
        <f aca="false">DL55+DL62+DL88+DL92+DL93+DL75+DL86+DL94+DL54+DL105</f>
        <v>2124.39797815137</v>
      </c>
      <c r="DM133" s="56" t="n">
        <f aca="false">DM55+DM62+DM88+DM92+DM93+DM75+DM86+DM94+DM54+DM105</f>
        <v>2147.74301087831</v>
      </c>
      <c r="DN133" s="56" t="n">
        <f aca="false">DN55+DN62+DN88+DN92+DN93+DN75+DN86+DN94+DN54+DN105</f>
        <v>2139.35547118825</v>
      </c>
      <c r="DO133" s="56" t="n">
        <f aca="false">DO55+DO62+DO88+DO92+DO93+DO75+DO86+DO94+DO54+DO105</f>
        <v>2101.11616065373</v>
      </c>
      <c r="DP133" s="56" t="n">
        <f aca="false">DP55+DP62+DP88+DP92+DP93+DP75+DP86+DP94+DP54+DP105</f>
        <v>2124.4618957721</v>
      </c>
      <c r="DQ133" s="56" t="n">
        <f aca="false">DQ55+DQ62+DQ88+DQ92+DQ93+DQ75+DQ86+DQ94+DQ54+DQ105</f>
        <v>2147.80763089048</v>
      </c>
      <c r="DR133" s="56" t="n">
        <f aca="false">DR55+DR62+DR88+DR92+DR93+DR75+DR86+DR94+DR54+DR105</f>
        <v>2139.37128957395</v>
      </c>
      <c r="DS133" s="56" t="n">
        <f aca="false">DS55+DS62+DS88+DS92+DS93+DS75+DS86+DS94+DS54+DS105</f>
        <v>2100.80775151472</v>
      </c>
      <c r="DT133" s="56" t="n">
        <f aca="false">DT55+DT62+DT88+DT92+DT93+DT75+DT86+DT94+DT54+DT105</f>
        <v>2124.15005986488</v>
      </c>
      <c r="DU133" s="56" t="n">
        <f aca="false">DU55+DU62+DU88+DU92+DU93+DU75+DU86+DU94+DU54+DU105</f>
        <v>2147.49236821505</v>
      </c>
      <c r="DV133" s="56" t="n">
        <f aca="false">DV55+DV62+DV88+DV92+DV93+DV75+DV86+DV94+DV54+DV105</f>
        <v>2139.00714972595</v>
      </c>
      <c r="DW133" s="56" t="n">
        <f aca="false">DW55+DW62+DW88+DW92+DW93+DW75+DW86+DW94+DW54+DW105</f>
        <v>2123.45076696211</v>
      </c>
      <c r="DX133" s="56" t="n">
        <f aca="false">DX55+DX62+DX88+DX92+DX93+DX75+DX86+DX94+DX54+DX105</f>
        <v>2123.45076696211</v>
      </c>
      <c r="DY133" s="56" t="n">
        <f aca="false">DY55+DY62+DY88+DY92+DY93+DY75+DY86+DY94+DY54+DY105</f>
        <v>2146.78539077488</v>
      </c>
      <c r="DZ133" s="56" t="n">
        <f aca="false">DZ55+DZ62+DZ88+DZ92+DZ93+DZ75+DZ86+DZ94+DZ54+DZ105</f>
        <v>2138.25122468349</v>
      </c>
      <c r="EA133" s="56" t="n">
        <f aca="false">EA55+EA62+EA88+EA92+EA93+EA75+EA86+EA94+EA54+EA105</f>
        <v>2099.02946091011</v>
      </c>
      <c r="EB133" s="56" t="n">
        <f aca="false">EB55+EB62+EB88+EB92+EB93+EB75+EB86+EB94+EB54+EB105</f>
        <v>2122.35201047578</v>
      </c>
      <c r="EC133" s="56" t="n">
        <f aca="false">EC55+EC62+EC88+EC92+EC93+EC75+EC86+EC94+EC54+EC105</f>
        <v>2145.67456004145</v>
      </c>
      <c r="ED133" s="56" t="n">
        <f aca="false">ED55+ED62+ED88+ED92+ED93+ED75+ED86+ED94+ED54+ED105</f>
        <v>2137.09138119429</v>
      </c>
      <c r="EE133" s="56" t="n">
        <f aca="false">EE55+EE62+EE88+EE92+EE93+EE75+EE86+EE94+EE54+EE105</f>
        <v>2097.53552291781</v>
      </c>
      <c r="EF133" s="56" t="n">
        <f aca="false">EF55+EF62+EF88+EF92+EF93+EF75+EF86+EF94+EF54+EF105</f>
        <v>2120.84147317245</v>
      </c>
      <c r="EG133" s="56" t="n">
        <f aca="false">EG55+EG62+EG88+EG92+EG93+EG75+EG86+EG94+EG54+EG105</f>
        <v>2144.1474234271</v>
      </c>
      <c r="EH133" s="56" t="n">
        <f aca="false">EH55+EH62+EH88+EH92+EH93+EH75+EH86+EH94+EH54+EH105</f>
        <v>2135.5151721106</v>
      </c>
      <c r="EI133" s="56" t="n">
        <f aca="false">EI55+EI62+EI88+EI92+EI93+EI75+EI86+EI94+EI54+EI105</f>
        <v>2095.62183243614</v>
      </c>
      <c r="EJ133" s="56" t="n">
        <f aca="false">EJ55+EJ62+EJ88+EJ92+EJ93+EJ75+EJ86+EJ94+EJ54+EJ105</f>
        <v>2118.90651946321</v>
      </c>
      <c r="EK133" s="56" t="n">
        <f aca="false">EK55+EK62+EK88+EK92+EK93+EK75+EK86+EK94+EK54+EK105</f>
        <v>2142.19120649028</v>
      </c>
      <c r="EL133" s="56" t="n">
        <f aca="false">EL55+EL62+EL88+EL92+EL93+EL75+EL86+EL94+EL54+EL105</f>
        <v>2133.50982859844</v>
      </c>
      <c r="EM133" s="56" t="n">
        <f aca="false">EM55+EM62+EM88+EM92+EM93+EM75+EM86+EM94+EM54+EM105</f>
        <v>2116.53418750407</v>
      </c>
      <c r="EN133" s="56" t="n">
        <f aca="false">EN55+EN62+EN88+EN92+EN93+EN75+EN86+EN94+EN54+EN105</f>
        <v>2116.53418750407</v>
      </c>
      <c r="EO133" s="56" t="n">
        <f aca="false">EO55+EO62+EO88+EO92+EO93+EO75+EO86+EO94+EO54+EO105</f>
        <v>2139.79280494917</v>
      </c>
    </row>
    <row r="134" customFormat="false" ht="15" hidden="false" customHeight="false" outlineLevel="0" collapsed="false">
      <c r="C134" s="24" t="s">
        <v>79</v>
      </c>
      <c r="D134" s="11" t="s">
        <v>27</v>
      </c>
      <c r="E134" s="32" t="n">
        <f aca="false">XIRR($J133:$EO133,$J$4:$EO$4)</f>
        <v>0.134805776932951</v>
      </c>
    </row>
    <row r="135" customFormat="false" ht="15" hidden="false" customHeight="false" outlineLevel="0" collapsed="false">
      <c r="C135" s="24" t="s">
        <v>80</v>
      </c>
      <c r="D135" s="11" t="s">
        <v>13</v>
      </c>
      <c r="E135" s="59" t="n">
        <f aca="false">SUMIF($J133:$EO133,"&gt;0")/-SUMIF($J133:$EO133,"&lt;0")</f>
        <v>6.12017077960487</v>
      </c>
    </row>
    <row r="136" customFormat="false" ht="15" hidden="false" customHeight="false" outlineLevel="0" collapsed="false">
      <c r="C136" s="24" t="s">
        <v>81</v>
      </c>
      <c r="D136" s="11" t="s">
        <v>33</v>
      </c>
      <c r="E136" s="56" t="n">
        <f aca="false">XNPV(In_Discount_Rate,$J133:$EO133,$J$4:$EO$4)</f>
        <v>19636.8251240545</v>
      </c>
    </row>
    <row r="138" customFormat="false" ht="15" hidden="false" customHeight="false" outlineLevel="0" collapsed="false">
      <c r="C138" s="40" t="s">
        <v>149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345</v>
      </c>
      <c r="J4" s="21" t="n">
        <f aca="false">Calc_1!J$4</f>
        <v>46387</v>
      </c>
      <c r="K4" s="21" t="n">
        <f aca="false">Calc_1!K$4</f>
        <v>46477</v>
      </c>
      <c r="L4" s="21" t="n">
        <f aca="false">Calc_1!L$4</f>
        <v>46568</v>
      </c>
      <c r="M4" s="21" t="n">
        <f aca="false">Calc_1!M$4</f>
        <v>46660</v>
      </c>
      <c r="N4" s="21" t="n">
        <f aca="false">Calc_1!N$4</f>
        <v>46752</v>
      </c>
      <c r="O4" s="21" t="n">
        <f aca="false">Calc_1!O$4</f>
        <v>46843</v>
      </c>
      <c r="P4" s="21" t="n">
        <f aca="false">Calc_1!P$4</f>
        <v>46934</v>
      </c>
      <c r="Q4" s="21" t="n">
        <f aca="false">Calc_1!Q$4</f>
        <v>47026</v>
      </c>
      <c r="R4" s="21" t="n">
        <f aca="false">Calc_1!R$4</f>
        <v>47118</v>
      </c>
      <c r="S4" s="21" t="n">
        <f aca="false">Calc_1!S$4</f>
        <v>47208</v>
      </c>
      <c r="T4" s="21" t="n">
        <f aca="false">Calc_1!T$4</f>
        <v>47299</v>
      </c>
      <c r="U4" s="21" t="n">
        <f aca="false">Calc_1!U$4</f>
        <v>47391</v>
      </c>
      <c r="V4" s="21" t="n">
        <f aca="false">Calc_1!V$4</f>
        <v>47483</v>
      </c>
      <c r="W4" s="21" t="n">
        <f aca="false">Calc_1!W$4</f>
        <v>47573</v>
      </c>
      <c r="X4" s="21" t="n">
        <f aca="false">Calc_1!X$4</f>
        <v>47664</v>
      </c>
      <c r="Y4" s="21" t="n">
        <f aca="false">Calc_1!Y$4</f>
        <v>47756</v>
      </c>
      <c r="Z4" s="21" t="n">
        <f aca="false">Calc_1!Z$4</f>
        <v>47848</v>
      </c>
      <c r="AA4" s="21" t="n">
        <f aca="false">Calc_1!AA$4</f>
        <v>47938</v>
      </c>
      <c r="AB4" s="21" t="n">
        <f aca="false">Calc_1!AB$4</f>
        <v>48029</v>
      </c>
      <c r="AC4" s="21" t="n">
        <f aca="false">Calc_1!AC$4</f>
        <v>48121</v>
      </c>
      <c r="AD4" s="21" t="n">
        <f aca="false">Calc_1!AD$4</f>
        <v>48213</v>
      </c>
      <c r="AE4" s="21" t="n">
        <f aca="false">Calc_1!AE$4</f>
        <v>48304</v>
      </c>
      <c r="AF4" s="21" t="n">
        <f aca="false">Calc_1!AF$4</f>
        <v>48395</v>
      </c>
      <c r="AG4" s="21" t="n">
        <f aca="false">Calc_1!AG$4</f>
        <v>48487</v>
      </c>
      <c r="AH4" s="21" t="n">
        <f aca="false">Calc_1!AH$4</f>
        <v>48579</v>
      </c>
      <c r="AI4" s="21" t="n">
        <f aca="false">Calc_1!AI$4</f>
        <v>48669</v>
      </c>
      <c r="AJ4" s="21" t="n">
        <f aca="false">Calc_1!AJ$4</f>
        <v>48760</v>
      </c>
      <c r="AK4" s="21" t="n">
        <f aca="false">Calc_1!AK$4</f>
        <v>48852</v>
      </c>
      <c r="AL4" s="21" t="n">
        <f aca="false">Calc_1!AL$4</f>
        <v>48944</v>
      </c>
      <c r="AM4" s="21" t="n">
        <f aca="false">Calc_1!AM$4</f>
        <v>49034</v>
      </c>
      <c r="AN4" s="21" t="n">
        <f aca="false">Calc_1!AN$4</f>
        <v>49125</v>
      </c>
      <c r="AO4" s="21" t="n">
        <f aca="false">Calc_1!AO$4</f>
        <v>49217</v>
      </c>
      <c r="AP4" s="21" t="n">
        <f aca="false">Calc_1!AP$4</f>
        <v>49309</v>
      </c>
      <c r="AQ4" s="21" t="n">
        <f aca="false">Calc_1!AQ$4</f>
        <v>49399</v>
      </c>
      <c r="AR4" s="21" t="n">
        <f aca="false">Calc_1!AR$4</f>
        <v>49490</v>
      </c>
      <c r="AS4" s="21" t="n">
        <f aca="false">Calc_1!AS$4</f>
        <v>49582</v>
      </c>
      <c r="AT4" s="21" t="n">
        <f aca="false">Calc_1!AT$4</f>
        <v>49674</v>
      </c>
      <c r="AU4" s="21" t="n">
        <f aca="false">Calc_1!AU$4</f>
        <v>49765</v>
      </c>
      <c r="AV4" s="21" t="n">
        <f aca="false">Calc_1!AV$4</f>
        <v>49856</v>
      </c>
      <c r="AW4" s="21" t="n">
        <f aca="false">Calc_1!AW$4</f>
        <v>49948</v>
      </c>
      <c r="AX4" s="21" t="n">
        <f aca="false">Calc_1!AX$4</f>
        <v>50040</v>
      </c>
      <c r="AY4" s="21" t="n">
        <f aca="false">Calc_1!AY$4</f>
        <v>50130</v>
      </c>
      <c r="AZ4" s="21" t="n">
        <f aca="false">Calc_1!AZ$4</f>
        <v>50221</v>
      </c>
      <c r="BA4" s="21" t="n">
        <f aca="false">Calc_1!BA$4</f>
        <v>50313</v>
      </c>
      <c r="BB4" s="21" t="n">
        <f aca="false">Calc_1!BB$4</f>
        <v>50405</v>
      </c>
      <c r="BC4" s="21" t="n">
        <f aca="false">Calc_1!BC$4</f>
        <v>50495</v>
      </c>
      <c r="BD4" s="21" t="n">
        <f aca="false">Calc_1!BD$4</f>
        <v>50586</v>
      </c>
      <c r="BE4" s="21" t="n">
        <f aca="false">Calc_1!BE$4</f>
        <v>50678</v>
      </c>
      <c r="BF4" s="21" t="n">
        <f aca="false">Calc_1!BF$4</f>
        <v>50770</v>
      </c>
      <c r="BG4" s="21" t="n">
        <f aca="false">Calc_1!BG$4</f>
        <v>50860</v>
      </c>
      <c r="BH4" s="21" t="n">
        <f aca="false">Calc_1!BH$4</f>
        <v>50951</v>
      </c>
      <c r="BI4" s="21" t="n">
        <f aca="false">Calc_1!BI$4</f>
        <v>51043</v>
      </c>
      <c r="BJ4" s="21" t="n">
        <f aca="false">Calc_1!BJ$4</f>
        <v>51135</v>
      </c>
      <c r="BK4" s="21" t="n">
        <f aca="false">Calc_1!BK$4</f>
        <v>51226</v>
      </c>
      <c r="BL4" s="21" t="n">
        <f aca="false">Calc_1!BL$4</f>
        <v>51317</v>
      </c>
      <c r="BM4" s="21" t="n">
        <f aca="false">Calc_1!BM$4</f>
        <v>51409</v>
      </c>
      <c r="BN4" s="21" t="n">
        <f aca="false">Calc_1!BN$4</f>
        <v>51501</v>
      </c>
      <c r="BO4" s="21" t="n">
        <f aca="false">Calc_1!BO$4</f>
        <v>51591</v>
      </c>
      <c r="BP4" s="21" t="n">
        <f aca="false">Calc_1!BP$4</f>
        <v>51682</v>
      </c>
      <c r="BQ4" s="21" t="n">
        <f aca="false">Calc_1!BQ$4</f>
        <v>51774</v>
      </c>
      <c r="BR4" s="21" t="n">
        <f aca="false">Calc_1!BR$4</f>
        <v>51866</v>
      </c>
      <c r="BS4" s="21" t="n">
        <f aca="false">Calc_1!BS$4</f>
        <v>51956</v>
      </c>
      <c r="BT4" s="21" t="n">
        <f aca="false">Calc_1!BT$4</f>
        <v>52047</v>
      </c>
      <c r="BU4" s="21" t="n">
        <f aca="false">Calc_1!BU$4</f>
        <v>52139</v>
      </c>
      <c r="BV4" s="21" t="n">
        <f aca="false">Calc_1!BV$4</f>
        <v>52231</v>
      </c>
      <c r="BW4" s="21" t="n">
        <f aca="false">Calc_1!BW$4</f>
        <v>52321</v>
      </c>
      <c r="BX4" s="21" t="n">
        <f aca="false">Calc_1!BX$4</f>
        <v>52412</v>
      </c>
      <c r="BY4" s="21" t="n">
        <f aca="false">Calc_1!BY$4</f>
        <v>52504</v>
      </c>
      <c r="BZ4" s="21" t="n">
        <f aca="false">Calc_1!BZ$4</f>
        <v>52596</v>
      </c>
      <c r="CA4" s="21" t="n">
        <f aca="false">Calc_1!CA$4</f>
        <v>52687</v>
      </c>
      <c r="CB4" s="21" t="n">
        <f aca="false">Calc_1!CB$4</f>
        <v>52778</v>
      </c>
      <c r="CC4" s="21" t="n">
        <f aca="false">Calc_1!CC$4</f>
        <v>52870</v>
      </c>
      <c r="CD4" s="21" t="n">
        <f aca="false">Calc_1!CD$4</f>
        <v>52962</v>
      </c>
      <c r="CE4" s="21" t="n">
        <f aca="false">Calc_1!CE$4</f>
        <v>53052</v>
      </c>
      <c r="CF4" s="21" t="n">
        <f aca="false">Calc_1!CF$4</f>
        <v>53143</v>
      </c>
      <c r="CG4" s="21" t="n">
        <f aca="false">Calc_1!CG$4</f>
        <v>53235</v>
      </c>
      <c r="CH4" s="21" t="n">
        <f aca="false">Calc_1!CH$4</f>
        <v>53327</v>
      </c>
      <c r="CI4" s="21" t="n">
        <f aca="false">Calc_1!CI$4</f>
        <v>53417</v>
      </c>
      <c r="CJ4" s="21" t="n">
        <f aca="false">Calc_1!CJ$4</f>
        <v>53508</v>
      </c>
      <c r="CK4" s="21" t="n">
        <f aca="false">Calc_1!CK$4</f>
        <v>53600</v>
      </c>
      <c r="CL4" s="21" t="n">
        <f aca="false">Calc_1!CL$4</f>
        <v>53692</v>
      </c>
      <c r="CM4" s="21" t="n">
        <f aca="false">Calc_1!CM$4</f>
        <v>53782</v>
      </c>
      <c r="CN4" s="21" t="n">
        <f aca="false">Calc_1!CN$4</f>
        <v>53873</v>
      </c>
      <c r="CO4" s="21" t="n">
        <f aca="false">Calc_1!CO$4</f>
        <v>53965</v>
      </c>
      <c r="CP4" s="21" t="n">
        <f aca="false">Calc_1!CP$4</f>
        <v>54057</v>
      </c>
      <c r="CQ4" s="21" t="n">
        <f aca="false">Calc_1!CQ$4</f>
        <v>54148</v>
      </c>
      <c r="CR4" s="21" t="n">
        <f aca="false">Calc_1!CR$4</f>
        <v>54239</v>
      </c>
      <c r="CS4" s="21" t="n">
        <f aca="false">Calc_1!CS$4</f>
        <v>54331</v>
      </c>
      <c r="CT4" s="21" t="n">
        <f aca="false">Calc_1!CT$4</f>
        <v>54423</v>
      </c>
      <c r="CU4" s="21" t="n">
        <f aca="false">Calc_1!CU$4</f>
        <v>54513</v>
      </c>
      <c r="CV4" s="21" t="n">
        <f aca="false">Calc_1!CV$4</f>
        <v>54604</v>
      </c>
      <c r="CW4" s="21" t="n">
        <f aca="false">Calc_1!CW$4</f>
        <v>54696</v>
      </c>
      <c r="CX4" s="21" t="n">
        <f aca="false">Calc_1!CX$4</f>
        <v>54788</v>
      </c>
      <c r="CY4" s="21" t="n">
        <f aca="false">Calc_1!CY$4</f>
        <v>54878</v>
      </c>
      <c r="CZ4" s="21" t="n">
        <f aca="false">Calc_1!CZ$4</f>
        <v>54969</v>
      </c>
      <c r="DA4" s="21" t="n">
        <f aca="false">Calc_1!DA$4</f>
        <v>55061</v>
      </c>
      <c r="DB4" s="21" t="n">
        <f aca="false">Calc_1!DB$4</f>
        <v>55153</v>
      </c>
      <c r="DC4" s="21" t="n">
        <f aca="false">Calc_1!DC$4</f>
        <v>55243</v>
      </c>
      <c r="DD4" s="21" t="n">
        <f aca="false">Calc_1!DD$4</f>
        <v>55334</v>
      </c>
      <c r="DE4" s="21" t="n">
        <f aca="false">Calc_1!DE$4</f>
        <v>55426</v>
      </c>
      <c r="DF4" s="21" t="n">
        <f aca="false">Calc_1!DF$4</f>
        <v>55518</v>
      </c>
      <c r="DG4" s="21" t="n">
        <f aca="false">Calc_1!DG$4</f>
        <v>55609</v>
      </c>
      <c r="DH4" s="21" t="n">
        <f aca="false">Calc_1!DH$4</f>
        <v>55700</v>
      </c>
      <c r="DI4" s="21" t="n">
        <f aca="false">Calc_1!DI$4</f>
        <v>55792</v>
      </c>
      <c r="DJ4" s="21" t="n">
        <f aca="false">Calc_1!DJ$4</f>
        <v>55884</v>
      </c>
      <c r="DK4" s="21" t="n">
        <f aca="false">Calc_1!DK$4</f>
        <v>55974</v>
      </c>
      <c r="DL4" s="21" t="n">
        <f aca="false">Calc_1!DL$4</f>
        <v>56065</v>
      </c>
      <c r="DM4" s="21" t="n">
        <f aca="false">Calc_1!DM$4</f>
        <v>56157</v>
      </c>
      <c r="DN4" s="21" t="n">
        <f aca="false">Calc_1!DN$4</f>
        <v>56249</v>
      </c>
      <c r="DO4" s="21" t="n">
        <f aca="false">Calc_1!DO$4</f>
        <v>56339</v>
      </c>
      <c r="DP4" s="21" t="n">
        <f aca="false">Calc_1!DP$4</f>
        <v>56430</v>
      </c>
      <c r="DQ4" s="21" t="n">
        <f aca="false">Calc_1!DQ$4</f>
        <v>56522</v>
      </c>
      <c r="DR4" s="21" t="n">
        <f aca="false">Calc_1!DR$4</f>
        <v>56614</v>
      </c>
      <c r="DS4" s="21" t="n">
        <f aca="false">Calc_1!DS$4</f>
        <v>56704</v>
      </c>
      <c r="DT4" s="21" t="n">
        <f aca="false">Calc_1!DT$4</f>
        <v>56795</v>
      </c>
      <c r="DU4" s="21" t="n">
        <f aca="false">Calc_1!DU$4</f>
        <v>56887</v>
      </c>
      <c r="DV4" s="21" t="n">
        <f aca="false">Calc_1!DV$4</f>
        <v>56979</v>
      </c>
      <c r="DW4" s="21" t="n">
        <f aca="false">Calc_1!DW$4</f>
        <v>57070</v>
      </c>
      <c r="DX4" s="21" t="n">
        <f aca="false">Calc_1!DX$4</f>
        <v>57161</v>
      </c>
      <c r="DY4" s="21" t="n">
        <f aca="false">Calc_1!DY$4</f>
        <v>57253</v>
      </c>
      <c r="DZ4" s="21" t="n">
        <f aca="false">Calc_1!DZ$4</f>
        <v>57345</v>
      </c>
      <c r="EA4" s="21" t="n">
        <f aca="false">Calc_1!EA$4</f>
        <v>57435</v>
      </c>
      <c r="EB4" s="21" t="n">
        <f aca="false">Calc_1!EB$4</f>
        <v>57526</v>
      </c>
      <c r="EC4" s="21" t="n">
        <f aca="false">Calc_1!EC$4</f>
        <v>57618</v>
      </c>
      <c r="ED4" s="21" t="n">
        <f aca="false">Calc_1!ED$4</f>
        <v>57710</v>
      </c>
      <c r="EE4" s="21" t="n">
        <f aca="false">Calc_1!EE$4</f>
        <v>57800</v>
      </c>
      <c r="EF4" s="21" t="n">
        <f aca="false">Calc_1!EF$4</f>
        <v>57891</v>
      </c>
      <c r="EG4" s="21" t="n">
        <f aca="false">Calc_1!EG$4</f>
        <v>57983</v>
      </c>
      <c r="EH4" s="21" t="n">
        <f aca="false">Calc_1!EH$4</f>
        <v>58075</v>
      </c>
      <c r="EI4" s="21" t="n">
        <f aca="false">Calc_1!EI$4</f>
        <v>58165</v>
      </c>
      <c r="EJ4" s="21" t="n">
        <f aca="false">Calc_1!EJ$4</f>
        <v>58256</v>
      </c>
      <c r="EK4" s="21" t="n">
        <f aca="false">Calc_1!EK$4</f>
        <v>58348</v>
      </c>
      <c r="EL4" s="21" t="n">
        <f aca="false">Calc_1!EL$4</f>
        <v>58440</v>
      </c>
      <c r="EM4" s="21" t="n">
        <f aca="false">Calc_1!EM$4</f>
        <v>58531</v>
      </c>
      <c r="EN4" s="21" t="n">
        <f aca="false">Calc_1!EN$4</f>
        <v>58622</v>
      </c>
      <c r="EO4" s="21" t="n">
        <f aca="false">Calc_1!EO$4</f>
        <v>58714</v>
      </c>
    </row>
    <row r="9" customFormat="false" ht="15" hidden="false" customHeight="false" outlineLevel="0" collapsed="false">
      <c r="E9" s="8" t="s">
        <v>440</v>
      </c>
      <c r="F9" s="8" t="s">
        <v>441</v>
      </c>
    </row>
    <row r="11" customFormat="false" ht="15" hidden="false" customHeight="false" outlineLevel="0" collapsed="false">
      <c r="A11" s="9" t="s">
        <v>13</v>
      </c>
      <c r="B11" s="9"/>
      <c r="C11" s="9" t="s">
        <v>442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443</v>
      </c>
      <c r="D12" s="11" t="s">
        <v>35</v>
      </c>
      <c r="E12" s="26" t="str">
        <f aca="false">IF(F12=0,"OK","CHECK")</f>
        <v>OK</v>
      </c>
      <c r="F12" s="48" t="n">
        <f aca="false">N(Tax_1_Delta&gt;Tolerance)</f>
        <v>0</v>
      </c>
    </row>
    <row r="13" customFormat="false" ht="15" hidden="false" customHeight="false" outlineLevel="0" collapsed="false">
      <c r="C13" s="0" t="s">
        <v>444</v>
      </c>
      <c r="D13" s="11" t="s">
        <v>35</v>
      </c>
      <c r="E13" s="26" t="str">
        <f aca="false">IF(F13=0,"OK","CHECK")</f>
        <v>OK</v>
      </c>
      <c r="F13" s="48" t="n">
        <f aca="false">N(Tax_2_Delta&gt;Tolerance)</f>
        <v>0</v>
      </c>
    </row>
    <row r="14" customFormat="false" ht="15" hidden="false" customHeight="false" outlineLevel="0" collapsed="false">
      <c r="C14" s="0" t="s">
        <v>445</v>
      </c>
      <c r="D14" s="11" t="s">
        <v>35</v>
      </c>
      <c r="E14" s="26" t="str">
        <f aca="false">IF(F14=0,"OK","CHECK")</f>
        <v>OK</v>
      </c>
      <c r="F14" s="48" t="n">
        <f aca="false">N(Calc_1!$E38+Calc_1!$F38&gt;0)</f>
        <v>0</v>
      </c>
    </row>
    <row r="15" customFormat="false" ht="15" hidden="false" customHeight="false" outlineLevel="0" collapsed="false">
      <c r="C15" s="0" t="s">
        <v>446</v>
      </c>
      <c r="D15" s="11" t="s">
        <v>35</v>
      </c>
      <c r="E15" s="26" t="str">
        <f aca="false">IF(F15=0,"OK","CHECK")</f>
        <v>OK</v>
      </c>
      <c r="F15" s="48" t="n">
        <f aca="false">N(Calc_2!$E38+Calc_2!$F38&gt;0)</f>
        <v>0</v>
      </c>
    </row>
    <row r="16" customFormat="false" ht="15" hidden="false" customHeight="false" outlineLevel="0" collapsed="false">
      <c r="C16" s="0" t="s">
        <v>447</v>
      </c>
      <c r="D16" s="11" t="s">
        <v>35</v>
      </c>
      <c r="E16" s="26" t="str">
        <f aca="false">IF(F16=0,"OK","CHECK")</f>
        <v>OK</v>
      </c>
      <c r="F16" s="48" t="n">
        <f aca="false">N(COUNTIF(Calc_1!$J$4:$EO$4,In_COD)=0)</f>
        <v>0</v>
      </c>
    </row>
    <row r="17" customFormat="false" ht="15" hidden="false" customHeight="false" outlineLevel="0" collapsed="false">
      <c r="C17" s="0" t="s">
        <v>448</v>
      </c>
      <c r="D17" s="11" t="s">
        <v>35</v>
      </c>
      <c r="E17" s="26" t="str">
        <f aca="false">IF(F17=0,"OK","CHECK")</f>
        <v>OK</v>
      </c>
      <c r="F17" s="48" t="n">
        <f aca="false">N(COUNTIF(Calc_2!$J$4:$EO$4,In_COD)=0)</f>
        <v>0</v>
      </c>
    </row>
    <row r="18" customFormat="false" ht="15" hidden="false" customHeight="false" outlineLevel="0" collapsed="false">
      <c r="C18" s="0" t="s">
        <v>449</v>
      </c>
      <c r="D18" s="11" t="s">
        <v>35</v>
      </c>
      <c r="E18" s="26" t="str">
        <f aca="false">IF(F18=0,"OK","CHECK")</f>
        <v>OK</v>
      </c>
      <c r="F18" s="48" t="n">
        <f aca="false">N(Calc_1!$F82&gt;1+Tolerance)</f>
        <v>0</v>
      </c>
    </row>
    <row r="19" customFormat="false" ht="15" hidden="false" customHeight="false" outlineLevel="0" collapsed="false">
      <c r="C19" s="0" t="s">
        <v>450</v>
      </c>
      <c r="D19" s="11" t="s">
        <v>35</v>
      </c>
      <c r="E19" s="26" t="str">
        <f aca="false">IF(F19=0,"OK","CHECK")</f>
        <v>OK</v>
      </c>
      <c r="F19" s="48" t="n">
        <f aca="false">N(Calc_2!$F82&gt;1+Tolerance)</f>
        <v>0</v>
      </c>
    </row>
    <row r="20" customFormat="false" ht="15" hidden="false" customHeight="false" outlineLevel="0" collapsed="false">
      <c r="C20" s="0" t="s">
        <v>451</v>
      </c>
      <c r="D20" s="11" t="s">
        <v>35</v>
      </c>
      <c r="E20" s="26" t="str">
        <f aca="false">IF(F20=0,"OK","CHECK")</f>
        <v>OK</v>
      </c>
      <c r="F20" s="48" t="n">
        <f aca="false">SUM(J20:EO20)</f>
        <v>0</v>
      </c>
      <c r="J20" s="48" t="n">
        <f aca="false">N((Calc_1!J$4&gt;=Calc_1!$F17)*ABS(Calc_1!J91)&gt;Tolerance)</f>
        <v>0</v>
      </c>
      <c r="K20" s="48" t="n">
        <f aca="false">N((Calc_1!K$4&gt;=Calc_1!$F17)*ABS(Calc_1!K91)&gt;Tolerance)</f>
        <v>0</v>
      </c>
      <c r="L20" s="48" t="n">
        <f aca="false">N((Calc_1!L$4&gt;=Calc_1!$F17)*ABS(Calc_1!L91)&gt;Tolerance)</f>
        <v>0</v>
      </c>
      <c r="M20" s="48" t="n">
        <f aca="false">N((Calc_1!M$4&gt;=Calc_1!$F17)*ABS(Calc_1!M91)&gt;Tolerance)</f>
        <v>0</v>
      </c>
      <c r="N20" s="48" t="n">
        <f aca="false">N((Calc_1!N$4&gt;=Calc_1!$F17)*ABS(Calc_1!N91)&gt;Tolerance)</f>
        <v>0</v>
      </c>
      <c r="O20" s="48" t="n">
        <f aca="false">N((Calc_1!O$4&gt;=Calc_1!$F17)*ABS(Calc_1!O91)&gt;Tolerance)</f>
        <v>0</v>
      </c>
      <c r="P20" s="48" t="n">
        <f aca="false">N((Calc_1!P$4&gt;=Calc_1!$F17)*ABS(Calc_1!P91)&gt;Tolerance)</f>
        <v>0</v>
      </c>
      <c r="Q20" s="48" t="n">
        <f aca="false">N((Calc_1!Q$4&gt;=Calc_1!$F17)*ABS(Calc_1!Q91)&gt;Tolerance)</f>
        <v>0</v>
      </c>
      <c r="R20" s="48" t="n">
        <f aca="false">N((Calc_1!R$4&gt;=Calc_1!$F17)*ABS(Calc_1!R91)&gt;Tolerance)</f>
        <v>0</v>
      </c>
      <c r="S20" s="48" t="n">
        <f aca="false">N((Calc_1!S$4&gt;=Calc_1!$F17)*ABS(Calc_1!S91)&gt;Tolerance)</f>
        <v>0</v>
      </c>
      <c r="T20" s="48" t="n">
        <f aca="false">N((Calc_1!T$4&gt;=Calc_1!$F17)*ABS(Calc_1!T91)&gt;Tolerance)</f>
        <v>0</v>
      </c>
      <c r="U20" s="48" t="n">
        <f aca="false">N((Calc_1!U$4&gt;=Calc_1!$F17)*ABS(Calc_1!U91)&gt;Tolerance)</f>
        <v>0</v>
      </c>
      <c r="V20" s="48" t="n">
        <f aca="false">N((Calc_1!V$4&gt;=Calc_1!$F17)*ABS(Calc_1!V91)&gt;Tolerance)</f>
        <v>0</v>
      </c>
      <c r="W20" s="48" t="n">
        <f aca="false">N((Calc_1!W$4&gt;=Calc_1!$F17)*ABS(Calc_1!W91)&gt;Tolerance)</f>
        <v>0</v>
      </c>
      <c r="X20" s="48" t="n">
        <f aca="false">N((Calc_1!X$4&gt;=Calc_1!$F17)*ABS(Calc_1!X91)&gt;Tolerance)</f>
        <v>0</v>
      </c>
      <c r="Y20" s="48" t="n">
        <f aca="false">N((Calc_1!Y$4&gt;=Calc_1!$F17)*ABS(Calc_1!Y91)&gt;Tolerance)</f>
        <v>0</v>
      </c>
      <c r="Z20" s="48" t="n">
        <f aca="false">N((Calc_1!Z$4&gt;=Calc_1!$F17)*ABS(Calc_1!Z91)&gt;Tolerance)</f>
        <v>0</v>
      </c>
      <c r="AA20" s="48" t="n">
        <f aca="false">N((Calc_1!AA$4&gt;=Calc_1!$F17)*ABS(Calc_1!AA91)&gt;Tolerance)</f>
        <v>0</v>
      </c>
      <c r="AB20" s="48" t="n">
        <f aca="false">N((Calc_1!AB$4&gt;=Calc_1!$F17)*ABS(Calc_1!AB91)&gt;Tolerance)</f>
        <v>0</v>
      </c>
      <c r="AC20" s="48" t="n">
        <f aca="false">N((Calc_1!AC$4&gt;=Calc_1!$F17)*ABS(Calc_1!AC91)&gt;Tolerance)</f>
        <v>0</v>
      </c>
      <c r="AD20" s="48" t="n">
        <f aca="false">N((Calc_1!AD$4&gt;=Calc_1!$F17)*ABS(Calc_1!AD91)&gt;Tolerance)</f>
        <v>0</v>
      </c>
      <c r="AE20" s="48" t="n">
        <f aca="false">N((Calc_1!AE$4&gt;=Calc_1!$F17)*ABS(Calc_1!AE91)&gt;Tolerance)</f>
        <v>0</v>
      </c>
      <c r="AF20" s="48" t="n">
        <f aca="false">N((Calc_1!AF$4&gt;=Calc_1!$F17)*ABS(Calc_1!AF91)&gt;Tolerance)</f>
        <v>0</v>
      </c>
      <c r="AG20" s="48" t="n">
        <f aca="false">N((Calc_1!AG$4&gt;=Calc_1!$F17)*ABS(Calc_1!AG91)&gt;Tolerance)</f>
        <v>0</v>
      </c>
      <c r="AH20" s="48" t="n">
        <f aca="false">N((Calc_1!AH$4&gt;=Calc_1!$F17)*ABS(Calc_1!AH91)&gt;Tolerance)</f>
        <v>0</v>
      </c>
      <c r="AI20" s="48" t="n">
        <f aca="false">N((Calc_1!AI$4&gt;=Calc_1!$F17)*ABS(Calc_1!AI91)&gt;Tolerance)</f>
        <v>0</v>
      </c>
      <c r="AJ20" s="48" t="n">
        <f aca="false">N((Calc_1!AJ$4&gt;=Calc_1!$F17)*ABS(Calc_1!AJ91)&gt;Tolerance)</f>
        <v>0</v>
      </c>
      <c r="AK20" s="48" t="n">
        <f aca="false">N((Calc_1!AK$4&gt;=Calc_1!$F17)*ABS(Calc_1!AK91)&gt;Tolerance)</f>
        <v>0</v>
      </c>
      <c r="AL20" s="48" t="n">
        <f aca="false">N((Calc_1!AL$4&gt;=Calc_1!$F17)*ABS(Calc_1!AL91)&gt;Tolerance)</f>
        <v>0</v>
      </c>
      <c r="AM20" s="48" t="n">
        <f aca="false">N((Calc_1!AM$4&gt;=Calc_1!$F17)*ABS(Calc_1!AM91)&gt;Tolerance)</f>
        <v>0</v>
      </c>
      <c r="AN20" s="48" t="n">
        <f aca="false">N((Calc_1!AN$4&gt;=Calc_1!$F17)*ABS(Calc_1!AN91)&gt;Tolerance)</f>
        <v>0</v>
      </c>
      <c r="AO20" s="48" t="n">
        <f aca="false">N((Calc_1!AO$4&gt;=Calc_1!$F17)*ABS(Calc_1!AO91)&gt;Tolerance)</f>
        <v>0</v>
      </c>
      <c r="AP20" s="48" t="n">
        <f aca="false">N((Calc_1!AP$4&gt;=Calc_1!$F17)*ABS(Calc_1!AP91)&gt;Tolerance)</f>
        <v>0</v>
      </c>
      <c r="AQ20" s="48" t="n">
        <f aca="false">N((Calc_1!AQ$4&gt;=Calc_1!$F17)*ABS(Calc_1!AQ91)&gt;Tolerance)</f>
        <v>0</v>
      </c>
      <c r="AR20" s="48" t="n">
        <f aca="false">N((Calc_1!AR$4&gt;=Calc_1!$F17)*ABS(Calc_1!AR91)&gt;Tolerance)</f>
        <v>0</v>
      </c>
      <c r="AS20" s="48" t="n">
        <f aca="false">N((Calc_1!AS$4&gt;=Calc_1!$F17)*ABS(Calc_1!AS91)&gt;Tolerance)</f>
        <v>0</v>
      </c>
      <c r="AT20" s="48" t="n">
        <f aca="false">N((Calc_1!AT$4&gt;=Calc_1!$F17)*ABS(Calc_1!AT91)&gt;Tolerance)</f>
        <v>0</v>
      </c>
      <c r="AU20" s="48" t="n">
        <f aca="false">N((Calc_1!AU$4&gt;=Calc_1!$F17)*ABS(Calc_1!AU91)&gt;Tolerance)</f>
        <v>0</v>
      </c>
      <c r="AV20" s="48" t="n">
        <f aca="false">N((Calc_1!AV$4&gt;=Calc_1!$F17)*ABS(Calc_1!AV91)&gt;Tolerance)</f>
        <v>0</v>
      </c>
      <c r="AW20" s="48" t="n">
        <f aca="false">N((Calc_1!AW$4&gt;=Calc_1!$F17)*ABS(Calc_1!AW91)&gt;Tolerance)</f>
        <v>0</v>
      </c>
      <c r="AX20" s="48" t="n">
        <f aca="false">N((Calc_1!AX$4&gt;=Calc_1!$F17)*ABS(Calc_1!AX91)&gt;Tolerance)</f>
        <v>0</v>
      </c>
      <c r="AY20" s="48" t="n">
        <f aca="false">N((Calc_1!AY$4&gt;=Calc_1!$F17)*ABS(Calc_1!AY91)&gt;Tolerance)</f>
        <v>0</v>
      </c>
      <c r="AZ20" s="48" t="n">
        <f aca="false">N((Calc_1!AZ$4&gt;=Calc_1!$F17)*ABS(Calc_1!AZ91)&gt;Tolerance)</f>
        <v>0</v>
      </c>
      <c r="BA20" s="48" t="n">
        <f aca="false">N((Calc_1!BA$4&gt;=Calc_1!$F17)*ABS(Calc_1!BA91)&gt;Tolerance)</f>
        <v>0</v>
      </c>
      <c r="BB20" s="48" t="n">
        <f aca="false">N((Calc_1!BB$4&gt;=Calc_1!$F17)*ABS(Calc_1!BB91)&gt;Tolerance)</f>
        <v>0</v>
      </c>
      <c r="BC20" s="48" t="n">
        <f aca="false">N((Calc_1!BC$4&gt;=Calc_1!$F17)*ABS(Calc_1!BC91)&gt;Tolerance)</f>
        <v>0</v>
      </c>
      <c r="BD20" s="48" t="n">
        <f aca="false">N((Calc_1!BD$4&gt;=Calc_1!$F17)*ABS(Calc_1!BD91)&gt;Tolerance)</f>
        <v>0</v>
      </c>
      <c r="BE20" s="48" t="n">
        <f aca="false">N((Calc_1!BE$4&gt;=Calc_1!$F17)*ABS(Calc_1!BE91)&gt;Tolerance)</f>
        <v>0</v>
      </c>
      <c r="BF20" s="48" t="n">
        <f aca="false">N((Calc_1!BF$4&gt;=Calc_1!$F17)*ABS(Calc_1!BF91)&gt;Tolerance)</f>
        <v>0</v>
      </c>
      <c r="BG20" s="48" t="n">
        <f aca="false">N((Calc_1!BG$4&gt;=Calc_1!$F17)*ABS(Calc_1!BG91)&gt;Tolerance)</f>
        <v>0</v>
      </c>
      <c r="BH20" s="48" t="n">
        <f aca="false">N((Calc_1!BH$4&gt;=Calc_1!$F17)*ABS(Calc_1!BH91)&gt;Tolerance)</f>
        <v>0</v>
      </c>
      <c r="BI20" s="48" t="n">
        <f aca="false">N((Calc_1!BI$4&gt;=Calc_1!$F17)*ABS(Calc_1!BI91)&gt;Tolerance)</f>
        <v>0</v>
      </c>
      <c r="BJ20" s="48" t="n">
        <f aca="false">N((Calc_1!BJ$4&gt;=Calc_1!$F17)*ABS(Calc_1!BJ91)&gt;Tolerance)</f>
        <v>0</v>
      </c>
      <c r="BK20" s="48" t="n">
        <f aca="false">N((Calc_1!BK$4&gt;=Calc_1!$F17)*ABS(Calc_1!BK91)&gt;Tolerance)</f>
        <v>0</v>
      </c>
      <c r="BL20" s="48" t="n">
        <f aca="false">N((Calc_1!BL$4&gt;=Calc_1!$F17)*ABS(Calc_1!BL91)&gt;Tolerance)</f>
        <v>0</v>
      </c>
      <c r="BM20" s="48" t="n">
        <f aca="false">N((Calc_1!BM$4&gt;=Calc_1!$F17)*ABS(Calc_1!BM91)&gt;Tolerance)</f>
        <v>0</v>
      </c>
      <c r="BN20" s="48" t="n">
        <f aca="false">N((Calc_1!BN$4&gt;=Calc_1!$F17)*ABS(Calc_1!BN91)&gt;Tolerance)</f>
        <v>0</v>
      </c>
      <c r="BO20" s="48" t="n">
        <f aca="false">N((Calc_1!BO$4&gt;=Calc_1!$F17)*ABS(Calc_1!BO91)&gt;Tolerance)</f>
        <v>0</v>
      </c>
      <c r="BP20" s="48" t="n">
        <f aca="false">N((Calc_1!BP$4&gt;=Calc_1!$F17)*ABS(Calc_1!BP91)&gt;Tolerance)</f>
        <v>0</v>
      </c>
      <c r="BQ20" s="48" t="n">
        <f aca="false">N((Calc_1!BQ$4&gt;=Calc_1!$F17)*ABS(Calc_1!BQ91)&gt;Tolerance)</f>
        <v>0</v>
      </c>
      <c r="BR20" s="48" t="n">
        <f aca="false">N((Calc_1!BR$4&gt;=Calc_1!$F17)*ABS(Calc_1!BR91)&gt;Tolerance)</f>
        <v>0</v>
      </c>
      <c r="BS20" s="48" t="n">
        <f aca="false">N((Calc_1!BS$4&gt;=Calc_1!$F17)*ABS(Calc_1!BS91)&gt;Tolerance)</f>
        <v>0</v>
      </c>
      <c r="BT20" s="48" t="n">
        <f aca="false">N((Calc_1!BT$4&gt;=Calc_1!$F17)*ABS(Calc_1!BT91)&gt;Tolerance)</f>
        <v>0</v>
      </c>
      <c r="BU20" s="48" t="n">
        <f aca="false">N((Calc_1!BU$4&gt;=Calc_1!$F17)*ABS(Calc_1!BU91)&gt;Tolerance)</f>
        <v>0</v>
      </c>
      <c r="BV20" s="48" t="n">
        <f aca="false">N((Calc_1!BV$4&gt;=Calc_1!$F17)*ABS(Calc_1!BV91)&gt;Tolerance)</f>
        <v>0</v>
      </c>
      <c r="BW20" s="48" t="n">
        <f aca="false">N((Calc_1!BW$4&gt;=Calc_1!$F17)*ABS(Calc_1!BW91)&gt;Tolerance)</f>
        <v>0</v>
      </c>
      <c r="BX20" s="48" t="n">
        <f aca="false">N((Calc_1!BX$4&gt;=Calc_1!$F17)*ABS(Calc_1!BX91)&gt;Tolerance)</f>
        <v>0</v>
      </c>
      <c r="BY20" s="48" t="n">
        <f aca="false">N((Calc_1!BY$4&gt;=Calc_1!$F17)*ABS(Calc_1!BY91)&gt;Tolerance)</f>
        <v>0</v>
      </c>
      <c r="BZ20" s="48" t="n">
        <f aca="false">N((Calc_1!BZ$4&gt;=Calc_1!$F17)*ABS(Calc_1!BZ91)&gt;Tolerance)</f>
        <v>0</v>
      </c>
      <c r="CA20" s="48" t="n">
        <f aca="false">N((Calc_1!CA$4&gt;=Calc_1!$F17)*ABS(Calc_1!CA91)&gt;Tolerance)</f>
        <v>0</v>
      </c>
      <c r="CB20" s="48" t="n">
        <f aca="false">N((Calc_1!CB$4&gt;=Calc_1!$F17)*ABS(Calc_1!CB91)&gt;Tolerance)</f>
        <v>0</v>
      </c>
      <c r="CC20" s="48" t="n">
        <f aca="false">N((Calc_1!CC$4&gt;=Calc_1!$F17)*ABS(Calc_1!CC91)&gt;Tolerance)</f>
        <v>0</v>
      </c>
      <c r="CD20" s="48" t="n">
        <f aca="false">N((Calc_1!CD$4&gt;=Calc_1!$F17)*ABS(Calc_1!CD91)&gt;Tolerance)</f>
        <v>0</v>
      </c>
      <c r="CE20" s="48" t="n">
        <f aca="false">N((Calc_1!CE$4&gt;=Calc_1!$F17)*ABS(Calc_1!CE91)&gt;Tolerance)</f>
        <v>0</v>
      </c>
      <c r="CF20" s="48" t="n">
        <f aca="false">N((Calc_1!CF$4&gt;=Calc_1!$F17)*ABS(Calc_1!CF91)&gt;Tolerance)</f>
        <v>0</v>
      </c>
      <c r="CG20" s="48" t="n">
        <f aca="false">N((Calc_1!CG$4&gt;=Calc_1!$F17)*ABS(Calc_1!CG91)&gt;Tolerance)</f>
        <v>0</v>
      </c>
      <c r="CH20" s="48" t="n">
        <f aca="false">N((Calc_1!CH$4&gt;=Calc_1!$F17)*ABS(Calc_1!CH91)&gt;Tolerance)</f>
        <v>0</v>
      </c>
      <c r="CI20" s="48" t="n">
        <f aca="false">N((Calc_1!CI$4&gt;=Calc_1!$F17)*ABS(Calc_1!CI91)&gt;Tolerance)</f>
        <v>0</v>
      </c>
      <c r="CJ20" s="48" t="n">
        <f aca="false">N((Calc_1!CJ$4&gt;=Calc_1!$F17)*ABS(Calc_1!CJ91)&gt;Tolerance)</f>
        <v>0</v>
      </c>
      <c r="CK20" s="48" t="n">
        <f aca="false">N((Calc_1!CK$4&gt;=Calc_1!$F17)*ABS(Calc_1!CK91)&gt;Tolerance)</f>
        <v>0</v>
      </c>
      <c r="CL20" s="48" t="n">
        <f aca="false">N((Calc_1!CL$4&gt;=Calc_1!$F17)*ABS(Calc_1!CL91)&gt;Tolerance)</f>
        <v>0</v>
      </c>
      <c r="CM20" s="48" t="n">
        <f aca="false">N((Calc_1!CM$4&gt;=Calc_1!$F17)*ABS(Calc_1!CM91)&gt;Tolerance)</f>
        <v>0</v>
      </c>
      <c r="CN20" s="48" t="n">
        <f aca="false">N((Calc_1!CN$4&gt;=Calc_1!$F17)*ABS(Calc_1!CN91)&gt;Tolerance)</f>
        <v>0</v>
      </c>
      <c r="CO20" s="48" t="n">
        <f aca="false">N((Calc_1!CO$4&gt;=Calc_1!$F17)*ABS(Calc_1!CO91)&gt;Tolerance)</f>
        <v>0</v>
      </c>
      <c r="CP20" s="48" t="n">
        <f aca="false">N((Calc_1!CP$4&gt;=Calc_1!$F17)*ABS(Calc_1!CP91)&gt;Tolerance)</f>
        <v>0</v>
      </c>
      <c r="CQ20" s="48" t="n">
        <f aca="false">N((Calc_1!CQ$4&gt;=Calc_1!$F17)*ABS(Calc_1!CQ91)&gt;Tolerance)</f>
        <v>0</v>
      </c>
      <c r="CR20" s="48" t="n">
        <f aca="false">N((Calc_1!CR$4&gt;=Calc_1!$F17)*ABS(Calc_1!CR91)&gt;Tolerance)</f>
        <v>0</v>
      </c>
      <c r="CS20" s="48" t="n">
        <f aca="false">N((Calc_1!CS$4&gt;=Calc_1!$F17)*ABS(Calc_1!CS91)&gt;Tolerance)</f>
        <v>0</v>
      </c>
      <c r="CT20" s="48" t="n">
        <f aca="false">N((Calc_1!CT$4&gt;=Calc_1!$F17)*ABS(Calc_1!CT91)&gt;Tolerance)</f>
        <v>0</v>
      </c>
      <c r="CU20" s="48" t="n">
        <f aca="false">N((Calc_1!CU$4&gt;=Calc_1!$F17)*ABS(Calc_1!CU91)&gt;Tolerance)</f>
        <v>0</v>
      </c>
      <c r="CV20" s="48" t="n">
        <f aca="false">N((Calc_1!CV$4&gt;=Calc_1!$F17)*ABS(Calc_1!CV91)&gt;Tolerance)</f>
        <v>0</v>
      </c>
      <c r="CW20" s="48" t="n">
        <f aca="false">N((Calc_1!CW$4&gt;=Calc_1!$F17)*ABS(Calc_1!CW91)&gt;Tolerance)</f>
        <v>0</v>
      </c>
      <c r="CX20" s="48" t="n">
        <f aca="false">N((Calc_1!CX$4&gt;=Calc_1!$F17)*ABS(Calc_1!CX91)&gt;Tolerance)</f>
        <v>0</v>
      </c>
      <c r="CY20" s="48" t="n">
        <f aca="false">N((Calc_1!CY$4&gt;=Calc_1!$F17)*ABS(Calc_1!CY91)&gt;Tolerance)</f>
        <v>0</v>
      </c>
      <c r="CZ20" s="48" t="n">
        <f aca="false">N((Calc_1!CZ$4&gt;=Calc_1!$F17)*ABS(Calc_1!CZ91)&gt;Tolerance)</f>
        <v>0</v>
      </c>
      <c r="DA20" s="48" t="n">
        <f aca="false">N((Calc_1!DA$4&gt;=Calc_1!$F17)*ABS(Calc_1!DA91)&gt;Tolerance)</f>
        <v>0</v>
      </c>
      <c r="DB20" s="48" t="n">
        <f aca="false">N((Calc_1!DB$4&gt;=Calc_1!$F17)*ABS(Calc_1!DB91)&gt;Tolerance)</f>
        <v>0</v>
      </c>
      <c r="DC20" s="48" t="n">
        <f aca="false">N((Calc_1!DC$4&gt;=Calc_1!$F17)*ABS(Calc_1!DC91)&gt;Tolerance)</f>
        <v>0</v>
      </c>
      <c r="DD20" s="48" t="n">
        <f aca="false">N((Calc_1!DD$4&gt;=Calc_1!$F17)*ABS(Calc_1!DD91)&gt;Tolerance)</f>
        <v>0</v>
      </c>
      <c r="DE20" s="48" t="n">
        <f aca="false">N((Calc_1!DE$4&gt;=Calc_1!$F17)*ABS(Calc_1!DE91)&gt;Tolerance)</f>
        <v>0</v>
      </c>
      <c r="DF20" s="48" t="n">
        <f aca="false">N((Calc_1!DF$4&gt;=Calc_1!$F17)*ABS(Calc_1!DF91)&gt;Tolerance)</f>
        <v>0</v>
      </c>
      <c r="DG20" s="48" t="n">
        <f aca="false">N((Calc_1!DG$4&gt;=Calc_1!$F17)*ABS(Calc_1!DG91)&gt;Tolerance)</f>
        <v>0</v>
      </c>
      <c r="DH20" s="48" t="n">
        <f aca="false">N((Calc_1!DH$4&gt;=Calc_1!$F17)*ABS(Calc_1!DH91)&gt;Tolerance)</f>
        <v>0</v>
      </c>
      <c r="DI20" s="48" t="n">
        <f aca="false">N((Calc_1!DI$4&gt;=Calc_1!$F17)*ABS(Calc_1!DI91)&gt;Tolerance)</f>
        <v>0</v>
      </c>
      <c r="DJ20" s="48" t="n">
        <f aca="false">N((Calc_1!DJ$4&gt;=Calc_1!$F17)*ABS(Calc_1!DJ91)&gt;Tolerance)</f>
        <v>0</v>
      </c>
      <c r="DK20" s="48" t="n">
        <f aca="false">N((Calc_1!DK$4&gt;=Calc_1!$F17)*ABS(Calc_1!DK91)&gt;Tolerance)</f>
        <v>0</v>
      </c>
      <c r="DL20" s="48" t="n">
        <f aca="false">N((Calc_1!DL$4&gt;=Calc_1!$F17)*ABS(Calc_1!DL91)&gt;Tolerance)</f>
        <v>0</v>
      </c>
      <c r="DM20" s="48" t="n">
        <f aca="false">N((Calc_1!DM$4&gt;=Calc_1!$F17)*ABS(Calc_1!DM91)&gt;Tolerance)</f>
        <v>0</v>
      </c>
      <c r="DN20" s="48" t="n">
        <f aca="false">N((Calc_1!DN$4&gt;=Calc_1!$F17)*ABS(Calc_1!DN91)&gt;Tolerance)</f>
        <v>0</v>
      </c>
      <c r="DO20" s="48" t="n">
        <f aca="false">N((Calc_1!DO$4&gt;=Calc_1!$F17)*ABS(Calc_1!DO91)&gt;Tolerance)</f>
        <v>0</v>
      </c>
      <c r="DP20" s="48" t="n">
        <f aca="false">N((Calc_1!DP$4&gt;=Calc_1!$F17)*ABS(Calc_1!DP91)&gt;Tolerance)</f>
        <v>0</v>
      </c>
      <c r="DQ20" s="48" t="n">
        <f aca="false">N((Calc_1!DQ$4&gt;=Calc_1!$F17)*ABS(Calc_1!DQ91)&gt;Tolerance)</f>
        <v>0</v>
      </c>
      <c r="DR20" s="48" t="n">
        <f aca="false">N((Calc_1!DR$4&gt;=Calc_1!$F17)*ABS(Calc_1!DR91)&gt;Tolerance)</f>
        <v>0</v>
      </c>
      <c r="DS20" s="48" t="n">
        <f aca="false">N((Calc_1!DS$4&gt;=Calc_1!$F17)*ABS(Calc_1!DS91)&gt;Tolerance)</f>
        <v>0</v>
      </c>
      <c r="DT20" s="48" t="n">
        <f aca="false">N((Calc_1!DT$4&gt;=Calc_1!$F17)*ABS(Calc_1!DT91)&gt;Tolerance)</f>
        <v>0</v>
      </c>
      <c r="DU20" s="48" t="n">
        <f aca="false">N((Calc_1!DU$4&gt;=Calc_1!$F17)*ABS(Calc_1!DU91)&gt;Tolerance)</f>
        <v>0</v>
      </c>
      <c r="DV20" s="48" t="n">
        <f aca="false">N((Calc_1!DV$4&gt;=Calc_1!$F17)*ABS(Calc_1!DV91)&gt;Tolerance)</f>
        <v>0</v>
      </c>
      <c r="DW20" s="48" t="n">
        <f aca="false">N((Calc_1!DW$4&gt;=Calc_1!$F17)*ABS(Calc_1!DW91)&gt;Tolerance)</f>
        <v>0</v>
      </c>
      <c r="DX20" s="48" t="n">
        <f aca="false">N((Calc_1!DX$4&gt;=Calc_1!$F17)*ABS(Calc_1!DX91)&gt;Tolerance)</f>
        <v>0</v>
      </c>
      <c r="DY20" s="48" t="n">
        <f aca="false">N((Calc_1!DY$4&gt;=Calc_1!$F17)*ABS(Calc_1!DY91)&gt;Tolerance)</f>
        <v>0</v>
      </c>
      <c r="DZ20" s="48" t="n">
        <f aca="false">N((Calc_1!DZ$4&gt;=Calc_1!$F17)*ABS(Calc_1!DZ91)&gt;Tolerance)</f>
        <v>0</v>
      </c>
      <c r="EA20" s="48" t="n">
        <f aca="false">N((Calc_1!EA$4&gt;=Calc_1!$F17)*ABS(Calc_1!EA91)&gt;Tolerance)</f>
        <v>0</v>
      </c>
      <c r="EB20" s="48" t="n">
        <f aca="false">N((Calc_1!EB$4&gt;=Calc_1!$F17)*ABS(Calc_1!EB91)&gt;Tolerance)</f>
        <v>0</v>
      </c>
      <c r="EC20" s="48" t="n">
        <f aca="false">N((Calc_1!EC$4&gt;=Calc_1!$F17)*ABS(Calc_1!EC91)&gt;Tolerance)</f>
        <v>0</v>
      </c>
      <c r="ED20" s="48" t="n">
        <f aca="false">N((Calc_1!ED$4&gt;=Calc_1!$F17)*ABS(Calc_1!ED91)&gt;Tolerance)</f>
        <v>0</v>
      </c>
      <c r="EE20" s="48" t="n">
        <f aca="false">N((Calc_1!EE$4&gt;=Calc_1!$F17)*ABS(Calc_1!EE91)&gt;Tolerance)</f>
        <v>0</v>
      </c>
      <c r="EF20" s="48" t="n">
        <f aca="false">N((Calc_1!EF$4&gt;=Calc_1!$F17)*ABS(Calc_1!EF91)&gt;Tolerance)</f>
        <v>0</v>
      </c>
      <c r="EG20" s="48" t="n">
        <f aca="false">N((Calc_1!EG$4&gt;=Calc_1!$F17)*ABS(Calc_1!EG91)&gt;Tolerance)</f>
        <v>0</v>
      </c>
      <c r="EH20" s="48" t="n">
        <f aca="false">N((Calc_1!EH$4&gt;=Calc_1!$F17)*ABS(Calc_1!EH91)&gt;Tolerance)</f>
        <v>0</v>
      </c>
      <c r="EI20" s="48" t="n">
        <f aca="false">N((Calc_1!EI$4&gt;=Calc_1!$F17)*ABS(Calc_1!EI91)&gt;Tolerance)</f>
        <v>0</v>
      </c>
      <c r="EJ20" s="48" t="n">
        <f aca="false">N((Calc_1!EJ$4&gt;=Calc_1!$F17)*ABS(Calc_1!EJ91)&gt;Tolerance)</f>
        <v>0</v>
      </c>
      <c r="EK20" s="48" t="n">
        <f aca="false">N((Calc_1!EK$4&gt;=Calc_1!$F17)*ABS(Calc_1!EK91)&gt;Tolerance)</f>
        <v>0</v>
      </c>
      <c r="EL20" s="48" t="n">
        <f aca="false">N((Calc_1!EL$4&gt;=Calc_1!$F17)*ABS(Calc_1!EL91)&gt;Tolerance)</f>
        <v>0</v>
      </c>
      <c r="EM20" s="48" t="n">
        <f aca="false">N((Calc_1!EM$4&gt;=Calc_1!$F17)*ABS(Calc_1!EM91)&gt;Tolerance)</f>
        <v>0</v>
      </c>
      <c r="EN20" s="48" t="n">
        <f aca="false">N((Calc_1!EN$4&gt;=Calc_1!$F17)*ABS(Calc_1!EN91)&gt;Tolerance)</f>
        <v>0</v>
      </c>
      <c r="EO20" s="48" t="n">
        <f aca="false">N((Calc_1!EO$4&gt;=Calc_1!$F17)*ABS(Calc_1!EO91)&gt;Tolerance)</f>
        <v>0</v>
      </c>
    </row>
    <row r="21" customFormat="false" ht="15" hidden="false" customHeight="false" outlineLevel="0" collapsed="false">
      <c r="C21" s="0" t="s">
        <v>452</v>
      </c>
      <c r="D21" s="11" t="s">
        <v>35</v>
      </c>
      <c r="E21" s="26" t="str">
        <f aca="false">IF(F21=0,"OK","CHECK")</f>
        <v>OK</v>
      </c>
      <c r="F21" s="48" t="n">
        <f aca="false">SUM(J21:EO21)</f>
        <v>0</v>
      </c>
      <c r="J21" s="48" t="n">
        <f aca="false">N((Calc_2!J$4&gt;=Calc_2!$F17)*ABS(Calc_2!J91)&gt;Tolerance)</f>
        <v>0</v>
      </c>
      <c r="K21" s="48" t="n">
        <f aca="false">N((Calc_2!K$4&gt;=Calc_2!$F17)*ABS(Calc_2!K91)&gt;Tolerance)</f>
        <v>0</v>
      </c>
      <c r="L21" s="48" t="n">
        <f aca="false">N((Calc_2!L$4&gt;=Calc_2!$F17)*ABS(Calc_2!L91)&gt;Tolerance)</f>
        <v>0</v>
      </c>
      <c r="M21" s="48" t="n">
        <f aca="false">N((Calc_2!M$4&gt;=Calc_2!$F17)*ABS(Calc_2!M91)&gt;Tolerance)</f>
        <v>0</v>
      </c>
      <c r="N21" s="48" t="n">
        <f aca="false">N((Calc_2!N$4&gt;=Calc_2!$F17)*ABS(Calc_2!N91)&gt;Tolerance)</f>
        <v>0</v>
      </c>
      <c r="O21" s="48" t="n">
        <f aca="false">N((Calc_2!O$4&gt;=Calc_2!$F17)*ABS(Calc_2!O91)&gt;Tolerance)</f>
        <v>0</v>
      </c>
      <c r="P21" s="48" t="n">
        <f aca="false">N((Calc_2!P$4&gt;=Calc_2!$F17)*ABS(Calc_2!P91)&gt;Tolerance)</f>
        <v>0</v>
      </c>
      <c r="Q21" s="48" t="n">
        <f aca="false">N((Calc_2!Q$4&gt;=Calc_2!$F17)*ABS(Calc_2!Q91)&gt;Tolerance)</f>
        <v>0</v>
      </c>
      <c r="R21" s="48" t="n">
        <f aca="false">N((Calc_2!R$4&gt;=Calc_2!$F17)*ABS(Calc_2!R91)&gt;Tolerance)</f>
        <v>0</v>
      </c>
      <c r="S21" s="48" t="n">
        <f aca="false">N((Calc_2!S$4&gt;=Calc_2!$F17)*ABS(Calc_2!S91)&gt;Tolerance)</f>
        <v>0</v>
      </c>
      <c r="T21" s="48" t="n">
        <f aca="false">N((Calc_2!T$4&gt;=Calc_2!$F17)*ABS(Calc_2!T91)&gt;Tolerance)</f>
        <v>0</v>
      </c>
      <c r="U21" s="48" t="n">
        <f aca="false">N((Calc_2!U$4&gt;=Calc_2!$F17)*ABS(Calc_2!U91)&gt;Tolerance)</f>
        <v>0</v>
      </c>
      <c r="V21" s="48" t="n">
        <f aca="false">N((Calc_2!V$4&gt;=Calc_2!$F17)*ABS(Calc_2!V91)&gt;Tolerance)</f>
        <v>0</v>
      </c>
      <c r="W21" s="48" t="n">
        <f aca="false">N((Calc_2!W$4&gt;=Calc_2!$F17)*ABS(Calc_2!W91)&gt;Tolerance)</f>
        <v>0</v>
      </c>
      <c r="X21" s="48" t="n">
        <f aca="false">N((Calc_2!X$4&gt;=Calc_2!$F17)*ABS(Calc_2!X91)&gt;Tolerance)</f>
        <v>0</v>
      </c>
      <c r="Y21" s="48" t="n">
        <f aca="false">N((Calc_2!Y$4&gt;=Calc_2!$F17)*ABS(Calc_2!Y91)&gt;Tolerance)</f>
        <v>0</v>
      </c>
      <c r="Z21" s="48" t="n">
        <f aca="false">N((Calc_2!Z$4&gt;=Calc_2!$F17)*ABS(Calc_2!Z91)&gt;Tolerance)</f>
        <v>0</v>
      </c>
      <c r="AA21" s="48" t="n">
        <f aca="false">N((Calc_2!AA$4&gt;=Calc_2!$F17)*ABS(Calc_2!AA91)&gt;Tolerance)</f>
        <v>0</v>
      </c>
      <c r="AB21" s="48" t="n">
        <f aca="false">N((Calc_2!AB$4&gt;=Calc_2!$F17)*ABS(Calc_2!AB91)&gt;Tolerance)</f>
        <v>0</v>
      </c>
      <c r="AC21" s="48" t="n">
        <f aca="false">N((Calc_2!AC$4&gt;=Calc_2!$F17)*ABS(Calc_2!AC91)&gt;Tolerance)</f>
        <v>0</v>
      </c>
      <c r="AD21" s="48" t="n">
        <f aca="false">N((Calc_2!AD$4&gt;=Calc_2!$F17)*ABS(Calc_2!AD91)&gt;Tolerance)</f>
        <v>0</v>
      </c>
      <c r="AE21" s="48" t="n">
        <f aca="false">N((Calc_2!AE$4&gt;=Calc_2!$F17)*ABS(Calc_2!AE91)&gt;Tolerance)</f>
        <v>0</v>
      </c>
      <c r="AF21" s="48" t="n">
        <f aca="false">N((Calc_2!AF$4&gt;=Calc_2!$F17)*ABS(Calc_2!AF91)&gt;Tolerance)</f>
        <v>0</v>
      </c>
      <c r="AG21" s="48" t="n">
        <f aca="false">N((Calc_2!AG$4&gt;=Calc_2!$F17)*ABS(Calc_2!AG91)&gt;Tolerance)</f>
        <v>0</v>
      </c>
      <c r="AH21" s="48" t="n">
        <f aca="false">N((Calc_2!AH$4&gt;=Calc_2!$F17)*ABS(Calc_2!AH91)&gt;Tolerance)</f>
        <v>0</v>
      </c>
      <c r="AI21" s="48" t="n">
        <f aca="false">N((Calc_2!AI$4&gt;=Calc_2!$F17)*ABS(Calc_2!AI91)&gt;Tolerance)</f>
        <v>0</v>
      </c>
      <c r="AJ21" s="48" t="n">
        <f aca="false">N((Calc_2!AJ$4&gt;=Calc_2!$F17)*ABS(Calc_2!AJ91)&gt;Tolerance)</f>
        <v>0</v>
      </c>
      <c r="AK21" s="48" t="n">
        <f aca="false">N((Calc_2!AK$4&gt;=Calc_2!$F17)*ABS(Calc_2!AK91)&gt;Tolerance)</f>
        <v>0</v>
      </c>
      <c r="AL21" s="48" t="n">
        <f aca="false">N((Calc_2!AL$4&gt;=Calc_2!$F17)*ABS(Calc_2!AL91)&gt;Tolerance)</f>
        <v>0</v>
      </c>
      <c r="AM21" s="48" t="n">
        <f aca="false">N((Calc_2!AM$4&gt;=Calc_2!$F17)*ABS(Calc_2!AM91)&gt;Tolerance)</f>
        <v>0</v>
      </c>
      <c r="AN21" s="48" t="n">
        <f aca="false">N((Calc_2!AN$4&gt;=Calc_2!$F17)*ABS(Calc_2!AN91)&gt;Tolerance)</f>
        <v>0</v>
      </c>
      <c r="AO21" s="48" t="n">
        <f aca="false">N((Calc_2!AO$4&gt;=Calc_2!$F17)*ABS(Calc_2!AO91)&gt;Tolerance)</f>
        <v>0</v>
      </c>
      <c r="AP21" s="48" t="n">
        <f aca="false">N((Calc_2!AP$4&gt;=Calc_2!$F17)*ABS(Calc_2!AP91)&gt;Tolerance)</f>
        <v>0</v>
      </c>
      <c r="AQ21" s="48" t="n">
        <f aca="false">N((Calc_2!AQ$4&gt;=Calc_2!$F17)*ABS(Calc_2!AQ91)&gt;Tolerance)</f>
        <v>0</v>
      </c>
      <c r="AR21" s="48" t="n">
        <f aca="false">N((Calc_2!AR$4&gt;=Calc_2!$F17)*ABS(Calc_2!AR91)&gt;Tolerance)</f>
        <v>0</v>
      </c>
      <c r="AS21" s="48" t="n">
        <f aca="false">N((Calc_2!AS$4&gt;=Calc_2!$F17)*ABS(Calc_2!AS91)&gt;Tolerance)</f>
        <v>0</v>
      </c>
      <c r="AT21" s="48" t="n">
        <f aca="false">N((Calc_2!AT$4&gt;=Calc_2!$F17)*ABS(Calc_2!AT91)&gt;Tolerance)</f>
        <v>0</v>
      </c>
      <c r="AU21" s="48" t="n">
        <f aca="false">N((Calc_2!AU$4&gt;=Calc_2!$F17)*ABS(Calc_2!AU91)&gt;Tolerance)</f>
        <v>0</v>
      </c>
      <c r="AV21" s="48" t="n">
        <f aca="false">N((Calc_2!AV$4&gt;=Calc_2!$F17)*ABS(Calc_2!AV91)&gt;Tolerance)</f>
        <v>0</v>
      </c>
      <c r="AW21" s="48" t="n">
        <f aca="false">N((Calc_2!AW$4&gt;=Calc_2!$F17)*ABS(Calc_2!AW91)&gt;Tolerance)</f>
        <v>0</v>
      </c>
      <c r="AX21" s="48" t="n">
        <f aca="false">N((Calc_2!AX$4&gt;=Calc_2!$F17)*ABS(Calc_2!AX91)&gt;Tolerance)</f>
        <v>0</v>
      </c>
      <c r="AY21" s="48" t="n">
        <f aca="false">N((Calc_2!AY$4&gt;=Calc_2!$F17)*ABS(Calc_2!AY91)&gt;Tolerance)</f>
        <v>0</v>
      </c>
      <c r="AZ21" s="48" t="n">
        <f aca="false">N((Calc_2!AZ$4&gt;=Calc_2!$F17)*ABS(Calc_2!AZ91)&gt;Tolerance)</f>
        <v>0</v>
      </c>
      <c r="BA21" s="48" t="n">
        <f aca="false">N((Calc_2!BA$4&gt;=Calc_2!$F17)*ABS(Calc_2!BA91)&gt;Tolerance)</f>
        <v>0</v>
      </c>
      <c r="BB21" s="48" t="n">
        <f aca="false">N((Calc_2!BB$4&gt;=Calc_2!$F17)*ABS(Calc_2!BB91)&gt;Tolerance)</f>
        <v>0</v>
      </c>
      <c r="BC21" s="48" t="n">
        <f aca="false">N((Calc_2!BC$4&gt;=Calc_2!$F17)*ABS(Calc_2!BC91)&gt;Tolerance)</f>
        <v>0</v>
      </c>
      <c r="BD21" s="48" t="n">
        <f aca="false">N((Calc_2!BD$4&gt;=Calc_2!$F17)*ABS(Calc_2!BD91)&gt;Tolerance)</f>
        <v>0</v>
      </c>
      <c r="BE21" s="48" t="n">
        <f aca="false">N((Calc_2!BE$4&gt;=Calc_2!$F17)*ABS(Calc_2!BE91)&gt;Tolerance)</f>
        <v>0</v>
      </c>
      <c r="BF21" s="48" t="n">
        <f aca="false">N((Calc_2!BF$4&gt;=Calc_2!$F17)*ABS(Calc_2!BF91)&gt;Tolerance)</f>
        <v>0</v>
      </c>
      <c r="BG21" s="48" t="n">
        <f aca="false">N((Calc_2!BG$4&gt;=Calc_2!$F17)*ABS(Calc_2!BG91)&gt;Tolerance)</f>
        <v>0</v>
      </c>
      <c r="BH21" s="48" t="n">
        <f aca="false">N((Calc_2!BH$4&gt;=Calc_2!$F17)*ABS(Calc_2!BH91)&gt;Tolerance)</f>
        <v>0</v>
      </c>
      <c r="BI21" s="48" t="n">
        <f aca="false">N((Calc_2!BI$4&gt;=Calc_2!$F17)*ABS(Calc_2!BI91)&gt;Tolerance)</f>
        <v>0</v>
      </c>
      <c r="BJ21" s="48" t="n">
        <f aca="false">N((Calc_2!BJ$4&gt;=Calc_2!$F17)*ABS(Calc_2!BJ91)&gt;Tolerance)</f>
        <v>0</v>
      </c>
      <c r="BK21" s="48" t="n">
        <f aca="false">N((Calc_2!BK$4&gt;=Calc_2!$F17)*ABS(Calc_2!BK91)&gt;Tolerance)</f>
        <v>0</v>
      </c>
      <c r="BL21" s="48" t="n">
        <f aca="false">N((Calc_2!BL$4&gt;=Calc_2!$F17)*ABS(Calc_2!BL91)&gt;Tolerance)</f>
        <v>0</v>
      </c>
      <c r="BM21" s="48" t="n">
        <f aca="false">N((Calc_2!BM$4&gt;=Calc_2!$F17)*ABS(Calc_2!BM91)&gt;Tolerance)</f>
        <v>0</v>
      </c>
      <c r="BN21" s="48" t="n">
        <f aca="false">N((Calc_2!BN$4&gt;=Calc_2!$F17)*ABS(Calc_2!BN91)&gt;Tolerance)</f>
        <v>0</v>
      </c>
      <c r="BO21" s="48" t="n">
        <f aca="false">N((Calc_2!BO$4&gt;=Calc_2!$F17)*ABS(Calc_2!BO91)&gt;Tolerance)</f>
        <v>0</v>
      </c>
      <c r="BP21" s="48" t="n">
        <f aca="false">N((Calc_2!BP$4&gt;=Calc_2!$F17)*ABS(Calc_2!BP91)&gt;Tolerance)</f>
        <v>0</v>
      </c>
      <c r="BQ21" s="48" t="n">
        <f aca="false">N((Calc_2!BQ$4&gt;=Calc_2!$F17)*ABS(Calc_2!BQ91)&gt;Tolerance)</f>
        <v>0</v>
      </c>
      <c r="BR21" s="48" t="n">
        <f aca="false">N((Calc_2!BR$4&gt;=Calc_2!$F17)*ABS(Calc_2!BR91)&gt;Tolerance)</f>
        <v>0</v>
      </c>
      <c r="BS21" s="48" t="n">
        <f aca="false">N((Calc_2!BS$4&gt;=Calc_2!$F17)*ABS(Calc_2!BS91)&gt;Tolerance)</f>
        <v>0</v>
      </c>
      <c r="BT21" s="48" t="n">
        <f aca="false">N((Calc_2!BT$4&gt;=Calc_2!$F17)*ABS(Calc_2!BT91)&gt;Tolerance)</f>
        <v>0</v>
      </c>
      <c r="BU21" s="48" t="n">
        <f aca="false">N((Calc_2!BU$4&gt;=Calc_2!$F17)*ABS(Calc_2!BU91)&gt;Tolerance)</f>
        <v>0</v>
      </c>
      <c r="BV21" s="48" t="n">
        <f aca="false">N((Calc_2!BV$4&gt;=Calc_2!$F17)*ABS(Calc_2!BV91)&gt;Tolerance)</f>
        <v>0</v>
      </c>
      <c r="BW21" s="48" t="n">
        <f aca="false">N((Calc_2!BW$4&gt;=Calc_2!$F17)*ABS(Calc_2!BW91)&gt;Tolerance)</f>
        <v>0</v>
      </c>
      <c r="BX21" s="48" t="n">
        <f aca="false">N((Calc_2!BX$4&gt;=Calc_2!$F17)*ABS(Calc_2!BX91)&gt;Tolerance)</f>
        <v>0</v>
      </c>
      <c r="BY21" s="48" t="n">
        <f aca="false">N((Calc_2!BY$4&gt;=Calc_2!$F17)*ABS(Calc_2!BY91)&gt;Tolerance)</f>
        <v>0</v>
      </c>
      <c r="BZ21" s="48" t="n">
        <f aca="false">N((Calc_2!BZ$4&gt;=Calc_2!$F17)*ABS(Calc_2!BZ91)&gt;Tolerance)</f>
        <v>0</v>
      </c>
      <c r="CA21" s="48" t="n">
        <f aca="false">N((Calc_2!CA$4&gt;=Calc_2!$F17)*ABS(Calc_2!CA91)&gt;Tolerance)</f>
        <v>0</v>
      </c>
      <c r="CB21" s="48" t="n">
        <f aca="false">N((Calc_2!CB$4&gt;=Calc_2!$F17)*ABS(Calc_2!CB91)&gt;Tolerance)</f>
        <v>0</v>
      </c>
      <c r="CC21" s="48" t="n">
        <f aca="false">N((Calc_2!CC$4&gt;=Calc_2!$F17)*ABS(Calc_2!CC91)&gt;Tolerance)</f>
        <v>0</v>
      </c>
      <c r="CD21" s="48" t="n">
        <f aca="false">N((Calc_2!CD$4&gt;=Calc_2!$F17)*ABS(Calc_2!CD91)&gt;Tolerance)</f>
        <v>0</v>
      </c>
      <c r="CE21" s="48" t="n">
        <f aca="false">N((Calc_2!CE$4&gt;=Calc_2!$F17)*ABS(Calc_2!CE91)&gt;Tolerance)</f>
        <v>0</v>
      </c>
      <c r="CF21" s="48" t="n">
        <f aca="false">N((Calc_2!CF$4&gt;=Calc_2!$F17)*ABS(Calc_2!CF91)&gt;Tolerance)</f>
        <v>0</v>
      </c>
      <c r="CG21" s="48" t="n">
        <f aca="false">N((Calc_2!CG$4&gt;=Calc_2!$F17)*ABS(Calc_2!CG91)&gt;Tolerance)</f>
        <v>0</v>
      </c>
      <c r="CH21" s="48" t="n">
        <f aca="false">N((Calc_2!CH$4&gt;=Calc_2!$F17)*ABS(Calc_2!CH91)&gt;Tolerance)</f>
        <v>0</v>
      </c>
      <c r="CI21" s="48" t="n">
        <f aca="false">N((Calc_2!CI$4&gt;=Calc_2!$F17)*ABS(Calc_2!CI91)&gt;Tolerance)</f>
        <v>0</v>
      </c>
      <c r="CJ21" s="48" t="n">
        <f aca="false">N((Calc_2!CJ$4&gt;=Calc_2!$F17)*ABS(Calc_2!CJ91)&gt;Tolerance)</f>
        <v>0</v>
      </c>
      <c r="CK21" s="48" t="n">
        <f aca="false">N((Calc_2!CK$4&gt;=Calc_2!$F17)*ABS(Calc_2!CK91)&gt;Tolerance)</f>
        <v>0</v>
      </c>
      <c r="CL21" s="48" t="n">
        <f aca="false">N((Calc_2!CL$4&gt;=Calc_2!$F17)*ABS(Calc_2!CL91)&gt;Tolerance)</f>
        <v>0</v>
      </c>
      <c r="CM21" s="48" t="n">
        <f aca="false">N((Calc_2!CM$4&gt;=Calc_2!$F17)*ABS(Calc_2!CM91)&gt;Tolerance)</f>
        <v>0</v>
      </c>
      <c r="CN21" s="48" t="n">
        <f aca="false">N((Calc_2!CN$4&gt;=Calc_2!$F17)*ABS(Calc_2!CN91)&gt;Tolerance)</f>
        <v>0</v>
      </c>
      <c r="CO21" s="48" t="n">
        <f aca="false">N((Calc_2!CO$4&gt;=Calc_2!$F17)*ABS(Calc_2!CO91)&gt;Tolerance)</f>
        <v>0</v>
      </c>
      <c r="CP21" s="48" t="n">
        <f aca="false">N((Calc_2!CP$4&gt;=Calc_2!$F17)*ABS(Calc_2!CP91)&gt;Tolerance)</f>
        <v>0</v>
      </c>
      <c r="CQ21" s="48" t="n">
        <f aca="false">N((Calc_2!CQ$4&gt;=Calc_2!$F17)*ABS(Calc_2!CQ91)&gt;Tolerance)</f>
        <v>0</v>
      </c>
      <c r="CR21" s="48" t="n">
        <f aca="false">N((Calc_2!CR$4&gt;=Calc_2!$F17)*ABS(Calc_2!CR91)&gt;Tolerance)</f>
        <v>0</v>
      </c>
      <c r="CS21" s="48" t="n">
        <f aca="false">N((Calc_2!CS$4&gt;=Calc_2!$F17)*ABS(Calc_2!CS91)&gt;Tolerance)</f>
        <v>0</v>
      </c>
      <c r="CT21" s="48" t="n">
        <f aca="false">N((Calc_2!CT$4&gt;=Calc_2!$F17)*ABS(Calc_2!CT91)&gt;Tolerance)</f>
        <v>0</v>
      </c>
      <c r="CU21" s="48" t="n">
        <f aca="false">N((Calc_2!CU$4&gt;=Calc_2!$F17)*ABS(Calc_2!CU91)&gt;Tolerance)</f>
        <v>0</v>
      </c>
      <c r="CV21" s="48" t="n">
        <f aca="false">N((Calc_2!CV$4&gt;=Calc_2!$F17)*ABS(Calc_2!CV91)&gt;Tolerance)</f>
        <v>0</v>
      </c>
      <c r="CW21" s="48" t="n">
        <f aca="false">N((Calc_2!CW$4&gt;=Calc_2!$F17)*ABS(Calc_2!CW91)&gt;Tolerance)</f>
        <v>0</v>
      </c>
      <c r="CX21" s="48" t="n">
        <f aca="false">N((Calc_2!CX$4&gt;=Calc_2!$F17)*ABS(Calc_2!CX91)&gt;Tolerance)</f>
        <v>0</v>
      </c>
      <c r="CY21" s="48" t="n">
        <f aca="false">N((Calc_2!CY$4&gt;=Calc_2!$F17)*ABS(Calc_2!CY91)&gt;Tolerance)</f>
        <v>0</v>
      </c>
      <c r="CZ21" s="48" t="n">
        <f aca="false">N((Calc_2!CZ$4&gt;=Calc_2!$F17)*ABS(Calc_2!CZ91)&gt;Tolerance)</f>
        <v>0</v>
      </c>
      <c r="DA21" s="48" t="n">
        <f aca="false">N((Calc_2!DA$4&gt;=Calc_2!$F17)*ABS(Calc_2!DA91)&gt;Tolerance)</f>
        <v>0</v>
      </c>
      <c r="DB21" s="48" t="n">
        <f aca="false">N((Calc_2!DB$4&gt;=Calc_2!$F17)*ABS(Calc_2!DB91)&gt;Tolerance)</f>
        <v>0</v>
      </c>
      <c r="DC21" s="48" t="n">
        <f aca="false">N((Calc_2!DC$4&gt;=Calc_2!$F17)*ABS(Calc_2!DC91)&gt;Tolerance)</f>
        <v>0</v>
      </c>
      <c r="DD21" s="48" t="n">
        <f aca="false">N((Calc_2!DD$4&gt;=Calc_2!$F17)*ABS(Calc_2!DD91)&gt;Tolerance)</f>
        <v>0</v>
      </c>
      <c r="DE21" s="48" t="n">
        <f aca="false">N((Calc_2!DE$4&gt;=Calc_2!$F17)*ABS(Calc_2!DE91)&gt;Tolerance)</f>
        <v>0</v>
      </c>
      <c r="DF21" s="48" t="n">
        <f aca="false">N((Calc_2!DF$4&gt;=Calc_2!$F17)*ABS(Calc_2!DF91)&gt;Tolerance)</f>
        <v>0</v>
      </c>
      <c r="DG21" s="48" t="n">
        <f aca="false">N((Calc_2!DG$4&gt;=Calc_2!$F17)*ABS(Calc_2!DG91)&gt;Tolerance)</f>
        <v>0</v>
      </c>
      <c r="DH21" s="48" t="n">
        <f aca="false">N((Calc_2!DH$4&gt;=Calc_2!$F17)*ABS(Calc_2!DH91)&gt;Tolerance)</f>
        <v>0</v>
      </c>
      <c r="DI21" s="48" t="n">
        <f aca="false">N((Calc_2!DI$4&gt;=Calc_2!$F17)*ABS(Calc_2!DI91)&gt;Tolerance)</f>
        <v>0</v>
      </c>
      <c r="DJ21" s="48" t="n">
        <f aca="false">N((Calc_2!DJ$4&gt;=Calc_2!$F17)*ABS(Calc_2!DJ91)&gt;Tolerance)</f>
        <v>0</v>
      </c>
      <c r="DK21" s="48" t="n">
        <f aca="false">N((Calc_2!DK$4&gt;=Calc_2!$F17)*ABS(Calc_2!DK91)&gt;Tolerance)</f>
        <v>0</v>
      </c>
      <c r="DL21" s="48" t="n">
        <f aca="false">N((Calc_2!DL$4&gt;=Calc_2!$F17)*ABS(Calc_2!DL91)&gt;Tolerance)</f>
        <v>0</v>
      </c>
      <c r="DM21" s="48" t="n">
        <f aca="false">N((Calc_2!DM$4&gt;=Calc_2!$F17)*ABS(Calc_2!DM91)&gt;Tolerance)</f>
        <v>0</v>
      </c>
      <c r="DN21" s="48" t="n">
        <f aca="false">N((Calc_2!DN$4&gt;=Calc_2!$F17)*ABS(Calc_2!DN91)&gt;Tolerance)</f>
        <v>0</v>
      </c>
      <c r="DO21" s="48" t="n">
        <f aca="false">N((Calc_2!DO$4&gt;=Calc_2!$F17)*ABS(Calc_2!DO91)&gt;Tolerance)</f>
        <v>0</v>
      </c>
      <c r="DP21" s="48" t="n">
        <f aca="false">N((Calc_2!DP$4&gt;=Calc_2!$F17)*ABS(Calc_2!DP91)&gt;Tolerance)</f>
        <v>0</v>
      </c>
      <c r="DQ21" s="48" t="n">
        <f aca="false">N((Calc_2!DQ$4&gt;=Calc_2!$F17)*ABS(Calc_2!DQ91)&gt;Tolerance)</f>
        <v>0</v>
      </c>
      <c r="DR21" s="48" t="n">
        <f aca="false">N((Calc_2!DR$4&gt;=Calc_2!$F17)*ABS(Calc_2!DR91)&gt;Tolerance)</f>
        <v>0</v>
      </c>
      <c r="DS21" s="48" t="n">
        <f aca="false">N((Calc_2!DS$4&gt;=Calc_2!$F17)*ABS(Calc_2!DS91)&gt;Tolerance)</f>
        <v>0</v>
      </c>
      <c r="DT21" s="48" t="n">
        <f aca="false">N((Calc_2!DT$4&gt;=Calc_2!$F17)*ABS(Calc_2!DT91)&gt;Tolerance)</f>
        <v>0</v>
      </c>
      <c r="DU21" s="48" t="n">
        <f aca="false">N((Calc_2!DU$4&gt;=Calc_2!$F17)*ABS(Calc_2!DU91)&gt;Tolerance)</f>
        <v>0</v>
      </c>
      <c r="DV21" s="48" t="n">
        <f aca="false">N((Calc_2!DV$4&gt;=Calc_2!$F17)*ABS(Calc_2!DV91)&gt;Tolerance)</f>
        <v>0</v>
      </c>
      <c r="DW21" s="48" t="n">
        <f aca="false">N((Calc_2!DW$4&gt;=Calc_2!$F17)*ABS(Calc_2!DW91)&gt;Tolerance)</f>
        <v>0</v>
      </c>
      <c r="DX21" s="48" t="n">
        <f aca="false">N((Calc_2!DX$4&gt;=Calc_2!$F17)*ABS(Calc_2!DX91)&gt;Tolerance)</f>
        <v>0</v>
      </c>
      <c r="DY21" s="48" t="n">
        <f aca="false">N((Calc_2!DY$4&gt;=Calc_2!$F17)*ABS(Calc_2!DY91)&gt;Tolerance)</f>
        <v>0</v>
      </c>
      <c r="DZ21" s="48" t="n">
        <f aca="false">N((Calc_2!DZ$4&gt;=Calc_2!$F17)*ABS(Calc_2!DZ91)&gt;Tolerance)</f>
        <v>0</v>
      </c>
      <c r="EA21" s="48" t="n">
        <f aca="false">N((Calc_2!EA$4&gt;=Calc_2!$F17)*ABS(Calc_2!EA91)&gt;Tolerance)</f>
        <v>0</v>
      </c>
      <c r="EB21" s="48" t="n">
        <f aca="false">N((Calc_2!EB$4&gt;=Calc_2!$F17)*ABS(Calc_2!EB91)&gt;Tolerance)</f>
        <v>0</v>
      </c>
      <c r="EC21" s="48" t="n">
        <f aca="false">N((Calc_2!EC$4&gt;=Calc_2!$F17)*ABS(Calc_2!EC91)&gt;Tolerance)</f>
        <v>0</v>
      </c>
      <c r="ED21" s="48" t="n">
        <f aca="false">N((Calc_2!ED$4&gt;=Calc_2!$F17)*ABS(Calc_2!ED91)&gt;Tolerance)</f>
        <v>0</v>
      </c>
      <c r="EE21" s="48" t="n">
        <f aca="false">N((Calc_2!EE$4&gt;=Calc_2!$F17)*ABS(Calc_2!EE91)&gt;Tolerance)</f>
        <v>0</v>
      </c>
      <c r="EF21" s="48" t="n">
        <f aca="false">N((Calc_2!EF$4&gt;=Calc_2!$F17)*ABS(Calc_2!EF91)&gt;Tolerance)</f>
        <v>0</v>
      </c>
      <c r="EG21" s="48" t="n">
        <f aca="false">N((Calc_2!EG$4&gt;=Calc_2!$F17)*ABS(Calc_2!EG91)&gt;Tolerance)</f>
        <v>0</v>
      </c>
      <c r="EH21" s="48" t="n">
        <f aca="false">N((Calc_2!EH$4&gt;=Calc_2!$F17)*ABS(Calc_2!EH91)&gt;Tolerance)</f>
        <v>0</v>
      </c>
      <c r="EI21" s="48" t="n">
        <f aca="false">N((Calc_2!EI$4&gt;=Calc_2!$F17)*ABS(Calc_2!EI91)&gt;Tolerance)</f>
        <v>0</v>
      </c>
      <c r="EJ21" s="48" t="n">
        <f aca="false">N((Calc_2!EJ$4&gt;=Calc_2!$F17)*ABS(Calc_2!EJ91)&gt;Tolerance)</f>
        <v>0</v>
      </c>
      <c r="EK21" s="48" t="n">
        <f aca="false">N((Calc_2!EK$4&gt;=Calc_2!$F17)*ABS(Calc_2!EK91)&gt;Tolerance)</f>
        <v>0</v>
      </c>
      <c r="EL21" s="48" t="n">
        <f aca="false">N((Calc_2!EL$4&gt;=Calc_2!$F17)*ABS(Calc_2!EL91)&gt;Tolerance)</f>
        <v>0</v>
      </c>
      <c r="EM21" s="48" t="n">
        <f aca="false">N((Calc_2!EM$4&gt;=Calc_2!$F17)*ABS(Calc_2!EM91)&gt;Tolerance)</f>
        <v>0</v>
      </c>
      <c r="EN21" s="48" t="n">
        <f aca="false">N((Calc_2!EN$4&gt;=Calc_2!$F17)*ABS(Calc_2!EN91)&gt;Tolerance)</f>
        <v>0</v>
      </c>
      <c r="EO21" s="48" t="n">
        <f aca="false">N((Calc_2!EO$4&gt;=Calc_2!$F17)*ABS(Calc_2!EO91)&gt;Tolerance)</f>
        <v>0</v>
      </c>
    </row>
    <row r="22" customFormat="false" ht="15" hidden="false" customHeight="false" outlineLevel="0" collapsed="false">
      <c r="C22" s="0" t="s">
        <v>453</v>
      </c>
      <c r="D22" s="11" t="s">
        <v>35</v>
      </c>
      <c r="E22" s="26" t="str">
        <f aca="false">IF(F22=0,"OK","CHECK")</f>
        <v>OK</v>
      </c>
      <c r="F22" s="48" t="n">
        <f aca="false">N(Calc_1!$E95&lt;In_DSCR-Tolerance)</f>
        <v>0</v>
      </c>
    </row>
    <row r="23" customFormat="false" ht="15" hidden="false" customHeight="false" outlineLevel="0" collapsed="false">
      <c r="C23" s="0" t="s">
        <v>454</v>
      </c>
      <c r="D23" s="11" t="s">
        <v>35</v>
      </c>
      <c r="E23" s="26" t="str">
        <f aca="false">IF(F23=0,"OK","CHECK")</f>
        <v>OK</v>
      </c>
      <c r="F23" s="48" t="n">
        <f aca="false">N(Calc_2!$E95&lt;In_DSCR-Tolerance)</f>
        <v>0</v>
      </c>
    </row>
    <row r="24" customFormat="false" ht="15" hidden="false" customHeight="false" outlineLevel="0" collapsed="false">
      <c r="C24" s="0" t="s">
        <v>455</v>
      </c>
      <c r="D24" s="11" t="s">
        <v>35</v>
      </c>
      <c r="E24" s="26" t="str">
        <f aca="false">IF(F24=0,"OK","CHECK")</f>
        <v>OK</v>
      </c>
      <c r="F24" s="48" t="n">
        <f aca="false">N(ABS(Calc_1!$E116+Calc_1!$I121-Calc_1!$E91)&gt;Tolerance)</f>
        <v>0</v>
      </c>
    </row>
    <row r="25" customFormat="false" ht="15" hidden="false" customHeight="false" outlineLevel="0" collapsed="false">
      <c r="C25" s="0" t="s">
        <v>456</v>
      </c>
      <c r="D25" s="11" t="s">
        <v>35</v>
      </c>
      <c r="E25" s="26" t="str">
        <f aca="false">IF(F25=0,"OK","CHECK")</f>
        <v>OK</v>
      </c>
      <c r="F25" s="48" t="n">
        <f aca="false">N(ABS(Calc_2!$E116+Calc_2!$I121-Calc_2!$E91)&gt;Tolerance)</f>
        <v>0</v>
      </c>
    </row>
    <row r="26" customFormat="false" ht="15" hidden="false" customHeight="false" outlineLevel="0" collapsed="false">
      <c r="C26" s="0" t="s">
        <v>457</v>
      </c>
      <c r="D26" s="11" t="s">
        <v>35</v>
      </c>
      <c r="E26" s="26" t="str">
        <f aca="false">IF(F26=0,"OK","CHECK")</f>
        <v>OK</v>
      </c>
      <c r="F26" s="48" t="n">
        <f aca="false">N(ISERROR(Calc_1!$E126))+N(ISERROR(Calc_1!$E134))+N(ISERROR(Calc_1!$E132))</f>
        <v>0</v>
      </c>
    </row>
    <row r="27" customFormat="false" ht="15" hidden="false" customHeight="false" outlineLevel="0" collapsed="false">
      <c r="C27" s="0" t="s">
        <v>458</v>
      </c>
      <c r="D27" s="11" t="s">
        <v>35</v>
      </c>
      <c r="E27" s="26" t="str">
        <f aca="false">IF(F27=0,"OK","CHECK")</f>
        <v>OK</v>
      </c>
      <c r="F27" s="48" t="n">
        <f aca="false">N(ISERROR(Calc_2!$E126))+N(ISERROR(Calc_2!$E134))+N(ISERROR(Calc_2!$E132))</f>
        <v>0</v>
      </c>
    </row>
    <row r="28" customFormat="false" ht="15" hidden="false" customHeight="false" outlineLevel="0" collapsed="false">
      <c r="C28" s="0" t="s">
        <v>459</v>
      </c>
      <c r="D28" s="11" t="s">
        <v>35</v>
      </c>
      <c r="E28" s="26" t="str">
        <f aca="false">IF(F28=0,"OK","CHECK")</f>
        <v>OK</v>
      </c>
      <c r="F28" s="48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460</v>
      </c>
      <c r="F30" s="60" t="n">
        <f aca="false">SUMPRODUCT(ABS(F12:F27))</f>
        <v>0</v>
      </c>
    </row>
    <row r="32" customFormat="false" ht="15" hidden="false" customHeight="false" outlineLevel="0" collapsed="false">
      <c r="C32" s="24" t="s">
        <v>6</v>
      </c>
      <c r="E32" s="61" t="str">
        <f aca="false">IF(F32=0,"OK","CHECK")</f>
        <v>OK</v>
      </c>
      <c r="F32" s="60" t="n">
        <f aca="false">SUMPRODUCT(ABS(F12:F28))</f>
        <v>0</v>
      </c>
    </row>
    <row r="34" customFormat="false" ht="15" hidden="false" customHeight="false" outlineLevel="0" collapsed="false">
      <c r="C34" s="40" t="s">
        <v>149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2026-10-13T10:18:12Z</dcterms:created>
  <dc:creator>openpyxl</dc:creator>
  <dc:description/>
  <dc:language>en-US</dc:language>
  <cp:lastModifiedBy/>
  <dcterms:modified xsi:type="dcterms:W3CDTF">2026-10-13T10:18:17Z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