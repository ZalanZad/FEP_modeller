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Dashboard!$H$126:$W$126</definedName>
    <definedName function="false" hidden="false" name="Buyer_IRR_L_2_Stored" vbProcedure="false">Dashboard!$H$127:$W$127</definedName>
    <definedName function="false" hidden="false" name="Buyer_IRR_U_1_Stored" vbProcedure="false">Dashboard!$H$124:$W$124</definedName>
    <definedName function="false" hidden="false" name="Buyer_IRR_U_2_Stored" vbProcedure="false">Dashboard!$H$125:$W$125</definedName>
    <definedName function="false" hidden="false" name="Checks_1_Stored" vbProcedure="false">Dashboard!$H$132:$W$132</definedName>
    <definedName function="false" hidden="false" name="Checks_2_Stored" vbProcedure="false">Dashboard!$H$133:$W$133</definedName>
    <definedName function="false" hidden="false" name="COD_IRR_1_Stored" vbProcedure="false">Dashboard!$H$110:$W$110</definedName>
    <definedName function="false" hidden="false" name="COD_IRR_2_Stored" vbProcedure="false">Dashboard!$H$111:$W$111</definedName>
    <definedName function="false" hidden="false" name="COD_MOIC_1_Stored" vbProcedure="false">Dashboard!$H$112:$W$112</definedName>
    <definedName function="false" hidden="false" name="COD_MOIC_2_Stored" vbProcedure="false">Dashboard!$H$113:$W$113</definedName>
    <definedName function="false" hidden="false" name="COD_Profit_1_Stored" vbProcedure="false">Dashboard!$H$108:$W$108</definedName>
    <definedName function="false" hidden="false" name="COD_Profit_2_Stored" vbProcedure="false">Dashboard!$H$109:$W$109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Dashboard!$H$120:$W$120</definedName>
    <definedName function="false" hidden="false" name="Debt_COD_2_Stored" vbProcedure="false">Dashboard!$H$121:$W$121</definedName>
    <definedName function="false" hidden="false" name="Debt_Share_1_Stored" vbProcedure="false">Dashboard!$H$128:$W$128</definedName>
    <definedName function="false" hidden="false" name="Debt_Share_2_Stored" vbProcedure="false">Dashboard!$H$129:$W$129</definedName>
    <definedName function="false" hidden="false" name="Equity_COD_1_Stored" vbProcedure="false">Dashboard!$H$122:$W$122</definedName>
    <definedName function="false" hidden="false" name="Equity_COD_2_Stored" vbProcedure="false">Dashboard!$H$123:$W$123</definedName>
    <definedName function="false" hidden="false" name="GoalSeek_Topics" vbProcedure="false">Inputs!$F$111</definedName>
    <definedName function="false" hidden="false" name="HTM_IRR_1_Stored" vbProcedure="false">Dashboard!$H$114:$W$114</definedName>
    <definedName function="false" hidden="false" name="HTM_IRR_2_Stored" vbProcedure="false">Dashboard!$H$115:$W$115</definedName>
    <definedName function="false" hidden="false" name="HTM_MOIC_1_Stored" vbProcedure="false">Dashboard!$H$116:$W$116</definedName>
    <definedName function="false" hidden="false" name="HTM_MOIC_2_Stored" vbProcedure="false">Dashboard!$H$117:$W$117</definedName>
    <definedName function="false" hidden="false" name="HTM_NPV_1_Stored" vbProcedure="false">Dashboard!$H$118:$W$118</definedName>
    <definedName function="false" hidden="false" name="HTM_NPV_2_Stored" vbProcedure="false">Dashboard!$H$119:$W$119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Inputs!$F$106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Per_MW" vbProcedure="false">Inputs!$F$98</definedName>
    <definedName function="false" hidden="false" name="In_Debt_Rate" vbProcedure="false">Inputs!$F$104</definedName>
    <definedName function="false" hidden="false" name="In_Debt_Tenor" vbProcedure="false">Inputs!$F$103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Inputs!$F$102</definedName>
    <definedName function="false" hidden="false" name="In_DSCR_Max_High" vbProcedure="false">Inputs!$F$101</definedName>
    <definedName function="false" hidden="false" name="In_DSCR_Max_Low" vbProcedure="false">Inputs!$F$100</definedName>
    <definedName function="false" hidden="false" name="In_DSRA_Months" vbProcedure="false">Inputs!$F$107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Inputs!$F$97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Sweep" vbProcedure="false">Inputs!$F$99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Inputs!$F$105</definedName>
    <definedName function="false" hidden="false" name="In_Var_Opex" vbProcedure="false">Inputs!$F$86</definedName>
    <definedName function="false" hidden="false" name="Live_Results" vbProcedure="false">Dashboard!$E$102:$E$133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Dashboard!$H$130:$W$130</definedName>
    <definedName function="false" hidden="false" name="Min_DSCR_2_Stored" vbProcedure="false">Dashboard!$H$131:$W$131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Dashboard!$H$104:$W$104</definedName>
    <definedName function="false" hidden="false" name="MVA_At_Risk_2_Stored" vbProcedure="false">Dashboard!$H$105:$W$105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Dashboard!$E$78</definedName>
    <definedName function="false" hidden="false" name="Out_Buyer_IRR_L_2" vbProcedure="false">Dashboard!$F$78</definedName>
    <definedName function="false" hidden="false" name="Out_Buyer_IRR_U_1" vbProcedure="false">Dashboard!$E$77</definedName>
    <definedName function="false" hidden="false" name="Out_Buyer_IRR_U_2" vbProcedure="false">Dashboard!$F$77</definedName>
    <definedName function="false" hidden="false" name="Out_Capacity_Used_1" vbProcedure="false">Dashboard!$E$83</definedName>
    <definedName function="false" hidden="false" name="Out_Capacity_Used_2" vbProcedure="false">Dashboard!$F$83</definedName>
    <definedName function="false" hidden="false" name="Out_Checks_1" vbProcedure="false">Dashboard!$E$99</definedName>
    <definedName function="false" hidden="false" name="Out_Checks_2" vbProcedure="false">Dashboard!$F$99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Dashboard!$E$74</definedName>
    <definedName function="false" hidden="false" name="Out_COD_Price_2" vbProcedure="false">Dashboard!$F$74</definedName>
    <definedName function="false" hidden="false" name="Out_COD_Proceeds_1" vbProcedure="false">Dashboard!$E$75</definedName>
    <definedName function="false" hidden="false" name="Out_COD_Proceeds_2" vbProcedure="false">Dashboard!$F$75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Dashboard!$E$76</definedName>
    <definedName function="false" hidden="false" name="Out_COD_Tax_2" vbProcedure="false">Dashboard!$F$76</definedName>
    <definedName function="false" hidden="false" name="Out_Debt_Capacity_1" vbProcedure="false">Dashboard!$E$81</definedName>
    <definedName function="false" hidden="false" name="Out_Debt_Capacity_2" vbProcedure="false">Dashboard!$F$81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Dashboard!$E$88</definedName>
    <definedName function="false" hidden="false" name="Out_Debt_Max_High_2" vbProcedure="false">Dashboard!$F$88</definedName>
    <definedName function="false" hidden="false" name="Out_Debt_Max_High_Pct_1" vbProcedure="false">Dashboard!$E$89</definedName>
    <definedName function="false" hidden="false" name="Out_Debt_Max_High_Pct_2" vbProcedure="false">Dashboard!$F$89</definedName>
    <definedName function="false" hidden="false" name="Out_Debt_Max_Low_1" vbProcedure="false">Dashboard!$E$85</definedName>
    <definedName function="false" hidden="false" name="Out_Debt_Max_Low_2" vbProcedure="false">Dashboard!$F$85</definedName>
    <definedName function="false" hidden="false" name="Out_Debt_Max_Low_Pct_1" vbProcedure="false">Dashboard!$E$86</definedName>
    <definedName function="false" hidden="false" name="Out_Debt_Max_Low_Pct_2" vbProcedure="false">Dashboard!$F$86</definedName>
    <definedName function="false" hidden="false" name="Out_Debt_Per_MW_1" vbProcedure="false">Dashboard!$E$62</definedName>
    <definedName function="false" hidden="false" name="Out_Debt_Per_MW_2" vbProcedure="false">Dashboard!$F$62</definedName>
    <definedName function="false" hidden="false" name="Out_Debt_Share_1" vbProcedure="false">Dashboard!$E$82</definedName>
    <definedName function="false" hidden="false" name="Out_Debt_Share_2" vbProcedure="false">Dashboard!$F$82</definedName>
    <definedName function="false" hidden="false" name="Out_DSCR_Max_High_1" vbProcedure="false">Dashboard!$E$87</definedName>
    <definedName function="false" hidden="false" name="Out_DSCR_Max_High_2" vbProcedure="false">Dashboard!$F$87</definedName>
    <definedName function="false" hidden="false" name="Out_DSCR_Max_Low_1" vbProcedure="false">Dashboard!$E$84</definedName>
    <definedName function="false" hidden="false" name="Out_DSCR_Max_Low_2" vbProcedure="false">Dashboard!$F$84</definedName>
    <definedName function="false" hidden="false" name="Out_DSRA_1" vbProcedure="false">Dashboard!$E$90</definedName>
    <definedName function="false" hidden="false" name="Out_DSRA_2" vbProcedure="false">Dashboard!$F$90</definedName>
    <definedName function="false" hidden="false" name="Out_EBITDA_Life_1" vbProcedure="false">Dashboard!$E$96</definedName>
    <definedName function="false" hidden="false" name="Out_EBITDA_Life_2" vbProcedure="false">Dashboard!$F$96</definedName>
    <definedName function="false" hidden="false" name="Out_EBITDA_Year1_1" vbProcedure="false">Dashboard!$E$94</definedName>
    <definedName function="false" hidden="false" name="Out_EBITDA_Year1_2" vbProcedure="false">Dashboard!$F$94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Dashboard!$E$92</definedName>
    <definedName function="false" hidden="false" name="Out_Gen_Year1_2" vbProcedure="false">Dashboard!$F$92</definedName>
    <definedName function="false" hidden="false" name="Out_Guarantee_Fees_COD_1" vbProcedure="false">Dashboard!$E$71</definedName>
    <definedName function="false" hidden="false" name="Out_Guarantee_Fees_COD_2" vbProcedure="false">Dashboard!$F$71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Dashboard!$E$91</definedName>
    <definedName function="false" hidden="false" name="Out_Min_DSCR_2" vbProcedure="false">Dashboard!$F$91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Dashboard!$E$95</definedName>
    <definedName function="false" hidden="false" name="Out_Revenue_Life_2" vbProcedure="false">Dashboard!$F$95</definedName>
    <definedName function="false" hidden="false" name="Out_Revenue_Year1_1" vbProcedure="false">Dashboard!$E$93</definedName>
    <definedName function="false" hidden="false" name="Out_Revenue_Year1_2" vbProcedure="false">Dashboard!$F$93</definedName>
    <definedName function="false" hidden="false" name="Out_Sec_bid_1" vbProcedure="false">Dashboard!$E$66</definedName>
    <definedName function="false" hidden="false" name="Out_Sec_bid_2" vbProcedure="false">Dashboard!$F$66</definedName>
    <definedName function="false" hidden="false" name="Out_Sec_direct_1" vbProcedure="false">Dashboard!$E$69</definedName>
    <definedName function="false" hidden="false" name="Out_Sec_direct_2" vbProcedure="false">Dashboard!$F$69</definedName>
    <definedName function="false" hidden="false" name="Out_Sec_fee_1" vbProcedure="false">Dashboard!$E$65</definedName>
    <definedName function="false" hidden="false" name="Out_Sec_fee_2" vbProcedure="false">Dashboard!$F$65</definedName>
    <definedName function="false" hidden="false" name="Out_Sec_indirect_1" vbProcedure="false">Dashboard!$E$70</definedName>
    <definedName function="false" hidden="false" name="Out_Sec_indirect_2" vbProcedure="false">Dashboard!$F$70</definedName>
    <definedName function="false" hidden="false" name="Out_Sec_pb_1" vbProcedure="false">Dashboard!$E$67</definedName>
    <definedName function="false" hidden="false" name="Out_Sec_pb_2" vbProcedure="false">Dashboard!$F$67</definedName>
    <definedName function="false" hidden="false" name="Out_Sec_tso_1" vbProcedure="false">Dashboard!$E$68</definedName>
    <definedName function="false" hidden="false" name="Out_Sec_tso_2" vbProcedure="false">Dashboard!$F$68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Dashboard!$E$97</definedName>
    <definedName function="false" hidden="false" name="Out_Tax_Life_2" vbProcedure="false">Dashboard!$F$97</definedName>
    <definedName function="false" hidden="false" name="Out_Tax_Losses_Lapsed_1" vbProcedure="false">Dashboard!$E$98</definedName>
    <definedName function="false" hidden="false" name="Out_Tax_Losses_Lapsed_2" vbProcedure="false">Dashboard!$F$98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Dashboard!$H$106:$W$106</definedName>
    <definedName function="false" hidden="false" name="PB_Call_Applied_2_Stored" vbProcedure="false">Dashboard!$H$107:$W$107</definedName>
    <definedName function="false" hidden="false" name="Points_1_Stored" vbProcedure="false">Dashboard!$H$102:$W$102</definedName>
    <definedName function="false" hidden="false" name="Points_2_Stored" vbProcedure="false">Dashboard!$H$103:$W$103</definedName>
    <definedName function="false" hidden="false" name="Points_Decimals" vbProcedure="false">Inputs!$F$50</definedName>
    <definedName function="false" hidden="false" name="Scenario_Name" vbProcedure="false">Dashboard!$AA$12</definedName>
    <definedName function="false" hidden="false" name="Scenario_Names" vbProcedure="false">Inputs!$H$7:$W$7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Inputs!$F$110</definedName>
    <definedName function="false" hidden="false" name="Stored_Results" vbProcedure="false">Dashboard!$H$102:$W$133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<sst xmlns="http://schemas.openxmlformats.org/spreadsheetml/2006/main" count="1279" uniqueCount="545">
  <si>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</si>
  <si>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</si>
  <si>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</si>
  <si>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</si>
  <si>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</si>
  <si>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</si>
  <si>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</si>
  <si>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</si>
  <si>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</si>
  <si>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</si>
  <si>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</si>
  <si>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</si>
  <si>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</si>
  <si>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</si>
  <si>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</si>
  <si>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</si>
  <si>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</si>
  <si>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</si>
  <si>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</si>
  <si>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</si>
  <si>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</si>
  <si>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</si>
  <si>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</si>
  <si>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</si>
  <si>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</si>
  <si>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</si>
  <si>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</si>
  <si>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</si>
  <si>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</si>
  <si>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</si>
  <si>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</si>
  <si>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</si>
  <si>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</si>
  <si>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</si>
  <si>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</si>
  <si>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</si>
  <si>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</si>
  <si>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</si>
  <si>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</si>
  <si>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</si>
  <si>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</si>
  <si>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</si>
  <si>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</si>
  <si>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</si>
  <si>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</si>
  <si>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</si>
  <si>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</si>
  <si>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</si>
  <si>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</si>
  <si>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</si>
  <si>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</si>
  <si>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</si>
  <si>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</si>
  <si>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</si>
  <si>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</si>
  <si>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</si>
  <si>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</si>
  <si>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</si>
  <si>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</si>
  <si>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</si>
  <si>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</si>
  <si>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</si>
  <si>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</si>
  <si>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</si>
  <si>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</si>
  <si>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</si>
  <si>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</si>
  <si>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</si>
  <si>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</si>
  <si>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</si>
  <si>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</si>
  <si>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</si>
  <si>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</si>
  <si>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</si>
  <si>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</si>
  <si>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</si>
  <si>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</si>
  <si>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</si>
  <si>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</si>
  <si>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</si>
  <si>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</si>
  <si>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</si>
  <si>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</si>
  <si>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</si>
  <si>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</si>
  <si>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</si>
  <si>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</si>
  <si>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</si>
  <si>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</si>
  <si>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</si>
  <si>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</si>
  <si>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</si>
  <si>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</si>
  <si>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</si>
  <si>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</si>
  <si>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</si>
  <si>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</si>
  <si>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</si>
  <si>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</si>
  <si>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</si>
  <si>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</si>
  <si>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</si>
  <si>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</si>
  <si>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</si>
  <si>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</si>
  <si>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</si>
  <si>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</si>
  <si>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</si>
  <si>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Senior debt per built wind MW</t>
  </si>
  <si>
    <t xml:space="preserve">EUR m/MW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</si>
  <si>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</si>
  <si>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</si>
  <si>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</si>
  <si>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</si>
  <si>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</si>
  <si>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</si>
  <si>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</si>
  <si>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</si>
  <si>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</si>
  <si>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</si>
  <si>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</si>
  <si>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</si>
  <si>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</si>
  <si>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</si>
  <si>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</si>
  <si>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</si>
  <si>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</si>
  <si>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</si>
  <si>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</si>
  <si>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</si>
  <si>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</si>
  <si>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</si>
  <si>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</si>
  <si>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</si>
  <si>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</si>
  <si>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</si>
  <si>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</si>
  <si>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</si>
  <si>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</si>
  <si>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</si>
  <si>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</si>
  <si>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</si>
  <si>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</si>
  <si>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</si>
  <si>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</si>
  <si>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</si>
  <si>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</si>
  <si>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</si>
  <si>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</si>
  <si>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</si>
  <si>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</si>
  <si>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</si>
  <si>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</si>
  <si>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</si>
  <si>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</si>
  <si>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</si>
  <si>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</si>
  <si>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</si>
  <si>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</si>
  <si>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</si>
  <si>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</si>
  <si>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</si>
  <si>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</si>
  <si>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</si>
  <si>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</si>
  <si>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</si>
  <si>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</si>
  <si>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</si>
  <si>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</si>
  <si>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</si>
  <si>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</si>
  <si>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</si>
  <si>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</si>
  <si>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</si>
  <si>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</si>
  <si>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</si>
  <si>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</si>
  <si>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</si>
  <si>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</si>
  <si>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</si>
  <si>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</si>
  <si>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</si>
  <si>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</si>
  <si>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</si>
  <si>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</si>
  <si>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</si>
  <si>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</si>
  <si>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</si>
  <si>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</si>
  <si>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</si>
  <si>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</si>
  <si>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</si>
  <si>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</si>
  <si>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</si>
  <si>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</si>
  <si>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</si>
  <si>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</si>
  <si>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</si>
  <si>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</si>
  <si>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</si>
  <si>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</si>
  <si>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</si>
  <si>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</si>
  <si>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</si>
  <si>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</si>
  <si>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Raiffeisen terms</t>
  </si>
  <si>
    <t xml:space="preserve">UniCredit terms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</si>
  <si>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</si>
  <si>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</si>
  <si>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</si>
  <si>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</si>
  <si>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</si>
  <si>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</si>
  <si>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</si>
  <si>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</si>
  <si>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</si>
  <si>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</si>
  <si>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</si>
  <si>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</si>
  <si>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</si>
  <si>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</si>
  <si>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</si>
  <si>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</si>
  <si>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</si>
  <si>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</si>
  <si>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</si>
  <si>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</si>
  <si>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</si>
  <si>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</si>
  <si>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</si>
  <si>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</si>
  <si>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</si>
  <si>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</si>
  <si>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</si>
  <si>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</si>
  <si>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</si>
  <si>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</si>
  <si>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</si>
  <si>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</si>
  <si>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</si>
  <si>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</si>
  <si>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</si>
  <si>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</si>
  <si>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</si>
  <si>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</si>
  <si>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</si>
  <si>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</si>
  <si>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</si>
  <si>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</si>
  <si>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</si>
  <si>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</si>
  <si>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</si>
  <si>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</si>
  <si>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</si>
  <si>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</si>
  <si>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</si>
  <si>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</si>
  <si>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</si>
  <si>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</si>
  <si>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</si>
  <si>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</si>
  <si>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</si>
  <si>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</si>
  <si>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</si>
  <si>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</si>
  <si>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</si>
  <si>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</si>
  <si>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</si>
  <si>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</si>
  <si>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</si>
  <si>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</si>
  <si>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</si>
  <si>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</si>
  <si>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</si>
  <si>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</si>
  <si>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</si>
  <si>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</si>
  <si>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</si>
  <si>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</si>
  <si>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</si>
  <si>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</si>
  <si>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</si>
  <si>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</si>
  <si>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</si>
  <si>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</si>
  <si>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</si>
  <si>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</si>
  <si>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</si>
  <si>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</si>
  <si>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</si>
  <si>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</si>
  <si>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</si>
  <si>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</si>
  <si>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</si>
  <si>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</si>
  <si>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</si>
  <si>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</si>
  <si>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</si>
  <si>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</si>
  <si>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</si>
  <si>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</si>
  <si>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</si>
  <si>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</si>
  <si>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</si>
  <si>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</si>
  <si>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</si>
  <si>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</si>
  <si>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</si>
  <si>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</si>
  <si>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</si>
  <si>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</si>
  <si>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</si>
  <si>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</si>
  <si>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</si>
  <si>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</si>
  <si>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</si>
  <si>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</si>
  <si>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</si>
  <si>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</si>
  <si>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</si>
  <si>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</si>
  <si>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</si>
  <si>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</si>
  <si>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</si>
  <si>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</si>
  <si>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</si>
  <si>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</si>
  <si>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</si>
  <si>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</si>
  <si>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</si>
  <si>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</si>
  <si>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</si>
  <si>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</si>
  <si>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</si>
  <si>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</si>
  <si>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</si>
  <si>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</si>
  <si>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</si>
  <si>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</si>
  <si>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</si>
  <si>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</si>
  <si>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</si>
  <si>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</si>
  <si>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</si>
  <si>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</si>
  <si>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</si>
  <si>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</si>
  <si>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</si>
  <si>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</si>
  <si>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</si>
  <si>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</si>
  <si>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</si>
  <si>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</si>
  <si>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</si>
  <si>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</si>
  <si>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</si>
  <si>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</si>
  <si>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</si>
  <si>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</si>
  <si>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</si>
  <si>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of construction cost (LTC), both routes</t>
  </si>
  <si>
    <t xml:space="preserve">User 14-Oct-26; bank sets: 70 % info cap</t>
  </si>
  <si>
    <t xml:space="preserve">Debt per built wind MW (0 = gearing only)</t>
  </si>
  <si>
    <t xml:space="preserve">Raiffeisen 0.9 M€/MW; UniCredit pro rata 12y/1.30x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</si>
  <si>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</si>
  <si>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</si>
  <si>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</si>
  <si>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</si>
  <si>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</si>
  <si>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</si>
  <si>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</si>
  <si>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</si>
  <si>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</si>
  <si>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</si>
  <si>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</si>
  <si>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</si>
  <si>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</si>
  <si>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</si>
  <si>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</si>
  <si>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</si>
  <si>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</si>
  <si>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</si>
  <si>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</si>
  <si>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</si>
  <si>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</si>
  <si>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</si>
  <si>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</si>
  <si>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</si>
  <si>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</si>
  <si>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</si>
  <si>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</si>
  <si>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</si>
  <si>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</si>
  <si>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</si>
  <si>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</si>
  <si>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</si>
  <si>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</si>
  <si>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</si>
  <si>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</si>
  <si>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</si>
  <si>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</si>
  <si>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</si>
  <si>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</si>
  <si>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</si>
  <si>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</si>
  <si>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</si>
  <si>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</si>
  <si>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</si>
  <si>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</si>
  <si>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</si>
  <si>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</si>
  <si>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</si>
  <si>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</si>
  <si>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</si>
  <si>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</si>
  <si>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</si>
  <si>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</si>
  <si>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</si>
  <si>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</si>
  <si>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</si>
  <si>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</si>
  <si>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</si>
  <si>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</si>
  <si>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</si>
  <si>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</si>
  <si>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</si>
  <si>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</si>
  <si>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</si>
  <si>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</si>
  <si>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</si>
  <si>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</si>
  <si>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</si>
  <si>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</si>
  <si>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</si>
  <si>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</si>
  <si>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</si>
  <si>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</si>
  <si>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</si>
  <si>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</si>
  <si>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</si>
  <si>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</si>
  <si>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</si>
  <si>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</si>
  <si>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</si>
  <si>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</si>
  <si>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</si>
  <si>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</si>
  <si>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</si>
  <si>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</si>
  <si>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</si>
  <si>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</si>
  <si>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</si>
  <si>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</si>
  <si>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</si>
  <si>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</si>
  <si>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</si>
  <si>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</si>
  <si>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</si>
  <si>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</si>
  <si>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</si>
  <si>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</si>
  <si>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</si>
  <si>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</si>
  <si>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</si>
  <si>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</si>
  <si>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</si>
  <si>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</si>
  <si>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</si>
  <si>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</si>
  <si>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</si>
  <si>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</si>
  <si>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</si>
  <si>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</si>
  <si>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</si>
  <si>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</si>
  <si>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</si>
  <si>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</si>
  <si>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</si>
  <si>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</si>
  <si>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</si>
  <si>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</si>
  <si>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</si>
  <si>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 (off: whole cost)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</si>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</sst>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A135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3"/>
    <col collapsed="false" customWidth="true" hidden="false" outlineLevel="0" max="25" min="25" style="0" width="34"/>
    <col collapsed="false" customWidth="true" hidden="false" outlineLevel="0" max="26" min="26" style="0" width="10"/>
    <col collapsed="false" customWidth="true" hidden="false" outlineLevel="0" max="27" min="27" style="0" width="12"/>
    <col collapsed="false" customWidth="false" hidden="true" outlineLevel="1" max="16384" min="28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46310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Y9" s="7" t="s">
        <v>11</v>
      </c>
      <c r="Z9" s="7" t="s">
        <v>8</v>
      </c>
      <c r="AA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Y11" s="9" t="s">
        <v>5</v>
      </c>
      <c r="Z11" s="9"/>
      <c r="AA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Y12" s="13" t="s">
        <v>5</v>
      </c>
      <c r="Z12" s="11" t="s">
        <v>21</v>
      </c>
      <c r="AA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Y14" s="9" t="s">
        <v>29</v>
      </c>
      <c r="Z14" s="9"/>
      <c r="AA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Y15" s="13" t="s">
        <v>32</v>
      </c>
      <c r="Z15" s="11" t="s">
        <v>33</v>
      </c>
      <c r="AA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Y16" s="13" t="s">
        <v>37</v>
      </c>
      <c r="Z16" s="11" t="s">
        <v>38</v>
      </c>
      <c r="AA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Y17" s="13" t="s">
        <v>41</v>
      </c>
      <c r="Z17" s="11" t="s">
        <v>27</v>
      </c>
      <c r="AA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Y18" s="13" t="s">
        <v>45</v>
      </c>
      <c r="Z18" s="11" t="s">
        <v>43</v>
      </c>
      <c r="AA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Y19" s="13" t="s">
        <v>47</v>
      </c>
      <c r="Z19" s="11" t="s">
        <v>19</v>
      </c>
      <c r="AA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Y20" s="13" t="s">
        <v>49</v>
      </c>
      <c r="Z20" s="11" t="s">
        <v>19</v>
      </c>
      <c r="AA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Y21" s="13" t="s">
        <v>51</v>
      </c>
      <c r="Z21" s="11" t="s">
        <v>19</v>
      </c>
      <c r="AA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Y22" s="13" t="s">
        <v>54</v>
      </c>
      <c r="Z22" s="11" t="s">
        <v>19</v>
      </c>
      <c r="AA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Y23" s="13" t="s">
        <v>56</v>
      </c>
      <c r="Z23" s="11" t="s">
        <v>57</v>
      </c>
      <c r="AA23" s="18" t="n">
        <f aca="false">In_P50_Hours</f>
        <v>2600</v>
      </c>
    </row>
    <row r="24" customFormat="false" ht="15" hidden="false" customHeight="false" outlineLevel="0" collapsed="false">
      <c r="Y24" s="0" t="s">
        <v>58</v>
      </c>
      <c r="Z24" s="11" t="s">
        <v>24</v>
      </c>
      <c r="AA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Y25" s="13" t="s">
        <v>60</v>
      </c>
      <c r="Z25" s="11" t="s">
        <v>27</v>
      </c>
      <c r="AA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Y26" s="13" t="s">
        <v>63</v>
      </c>
      <c r="Z26" s="11" t="s">
        <v>13</v>
      </c>
      <c r="AA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Y27" s="13" t="s">
        <v>65</v>
      </c>
      <c r="Z27" s="11" t="s">
        <v>66</v>
      </c>
      <c r="AA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Y28" s="13" t="s">
        <v>68</v>
      </c>
      <c r="Z28" s="11" t="s">
        <v>27</v>
      </c>
      <c r="AA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Y29" s="13" t="s">
        <v>71</v>
      </c>
      <c r="Z29" s="11" t="s">
        <v>27</v>
      </c>
      <c r="AA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Y30" s="13" t="s">
        <v>73</v>
      </c>
      <c r="Z30" s="11" t="s">
        <v>43</v>
      </c>
      <c r="AA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Y31" s="13" t="s">
        <v>75</v>
      </c>
      <c r="Z31" s="11" t="s">
        <v>27</v>
      </c>
      <c r="AA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Y32" s="13" t="s">
        <v>78</v>
      </c>
      <c r="Z32" s="11" t="s">
        <v>79</v>
      </c>
      <c r="AA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20.2080757486889</v>
      </c>
      <c r="F39" s="32" t="n">
        <f aca="false">Calc_2!$I139/Thousand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0.2632612602034</v>
      </c>
      <c r="F40" s="33" t="n">
        <f aca="false">Calc_2!$E140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1.37165010901922</v>
      </c>
      <c r="F41" s="29" t="n">
        <f aca="false">Calc_2!$E141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10.9902192290749</v>
      </c>
      <c r="F42" s="32" t="n">
        <f aca="false">Calc_2!$E142/Thousand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133.102206905504</v>
      </c>
      <c r="F43" s="32" t="n">
        <f aca="false">Calc_2!$I152/Thousand</f>
        <v>162.986544729022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0.0758104971930004</v>
      </c>
      <c r="F44" s="33" t="n">
        <f aca="false">Calc_2!$E153</f>
        <v>0.113692971306157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3.3862485569113</v>
      </c>
      <c r="F45" s="29" t="n">
        <f aca="false">Calc_2!$E154</f>
        <v>4.8152979942002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-2.42756798606144</v>
      </c>
      <c r="F46" s="32" t="n">
        <f aca="false">Calc_2!$E155/Thousand</f>
        <v>15.7371730773708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0.0699903583029334</v>
      </c>
      <c r="F47" s="22" t="n">
        <f aca="false">Calc_2!$E151</f>
        <v>0.0959991268999354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4.20575934932964</v>
      </c>
      <c r="F55" s="32" t="n">
        <f aca="false">Calc_2!$E126/Thousand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113.429424251311</v>
      </c>
      <c r="F57" s="26" t="n">
        <f aca="false">Calc_2!$E128/Thousand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59.0554976513219</v>
      </c>
      <c r="F58" s="32" t="n">
        <f aca="false">Calc_2!$E103/Thousand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54.3739265999892</v>
      </c>
      <c r="F59" s="26" t="n">
        <f aca="false">Calc_2!$E129/Thousand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55.7788527603293</v>
      </c>
      <c r="F60" s="32" t="n">
        <f aca="false">Calc_2!$F129/Thousand</f>
        <v>42.7192174705056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0.520636493053868</v>
      </c>
      <c r="F61" s="22" t="n">
        <f aca="false">Calc_2!$E130</f>
        <v>0.510052041850856</v>
      </c>
    </row>
    <row r="62" customFormat="false" ht="15" hidden="false" customHeight="false" outlineLevel="0" collapsed="false">
      <c r="C62" s="0" t="s">
        <v>108</v>
      </c>
      <c r="D62" s="11" t="s">
        <v>109</v>
      </c>
      <c r="E62" s="32" t="n">
        <f aca="false">(Calc_1!$E103/Calc_1!$F25)/Thousand</f>
        <v>1.07373632093313</v>
      </c>
      <c r="F62" s="32" t="n">
        <f aca="false">(Calc_2!$E103/Calc_2!$F25)/Thousand</f>
        <v>0.789042480519649</v>
      </c>
    </row>
    <row r="64" customFormat="false" ht="15" hidden="false" customHeight="false" outlineLevel="0" collapsed="false">
      <c r="A64" s="9" t="s">
        <v>13</v>
      </c>
      <c r="B64" s="9"/>
      <c r="C64" s="9" t="s">
        <v>110</v>
      </c>
      <c r="D64" s="9"/>
      <c r="E64" s="10" t="s">
        <v>9</v>
      </c>
      <c r="F64" s="10" t="s">
        <v>10</v>
      </c>
      <c r="G64" s="9"/>
      <c r="H64" s="10" t="s">
        <v>111</v>
      </c>
      <c r="I64" s="10" t="s">
        <v>112</v>
      </c>
      <c r="J64" s="10" t="s">
        <v>113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</row>
    <row r="65" customFormat="false" ht="15" hidden="false" customHeight="false" outlineLevel="0" collapsed="false">
      <c r="C65" s="0" t="s">
        <v>114</v>
      </c>
      <c r="D65" s="11" t="s">
        <v>82</v>
      </c>
      <c r="E65" s="34" t="n">
        <f aca="false">Calc_1!$E52/Thousand</f>
        <v>0.00821917808219178</v>
      </c>
      <c r="F65" s="34" t="n">
        <f aca="false">Calc_2!$E52/Thousand</f>
        <v>0.00821917808219178</v>
      </c>
      <c r="H65" s="13" t="s">
        <v>115</v>
      </c>
      <c r="I65" s="20" t="n">
        <f aca="false">In_Bid_Date</f>
        <v>46325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0.443287671232877</v>
      </c>
      <c r="F66" s="34" t="n">
        <f aca="false">Calc_2!$E53/Thousand</f>
        <v>0.443287671232877</v>
      </c>
      <c r="H66" s="13" t="s">
        <v>118</v>
      </c>
      <c r="I66" s="20" t="n">
        <f aca="false">In_Bid_Date</f>
        <v>46325</v>
      </c>
      <c r="J66" s="20" t="n">
        <f aca="false">Calc_1!$F$54</f>
        <v>46433</v>
      </c>
    </row>
    <row r="67" customFormat="false" ht="15" hidden="false" customHeight="false" outlineLevel="0" collapsed="false">
      <c r="C67" s="0" t="s">
        <v>119</v>
      </c>
      <c r="D67" s="11" t="s">
        <v>82</v>
      </c>
      <c r="E67" s="34" t="n">
        <f aca="false">Calc_1!$E54/Thousand</f>
        <v>2.21643835616438</v>
      </c>
      <c r="F67" s="34" t="n">
        <f aca="false">Calc_2!$E54/Thousand</f>
        <v>2.21643835616438</v>
      </c>
      <c r="H67" s="13" t="s">
        <v>118</v>
      </c>
      <c r="I67" s="20" t="n">
        <f aca="false">Calc_1!$F$54</f>
        <v>46433</v>
      </c>
      <c r="J67" s="20" t="n">
        <f aca="false">In_PB_Release</f>
        <v>48669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0.616438356164384</v>
      </c>
      <c r="F68" s="34" t="n">
        <f aca="false">Calc_2!$E55/Thousand</f>
        <v>0.616438356164384</v>
      </c>
      <c r="H68" s="13" t="s">
        <v>115</v>
      </c>
      <c r="I68" s="20" t="n">
        <f aca="false">Calc_1!$F$54</f>
        <v>46433</v>
      </c>
      <c r="J68" s="35" t="s">
        <v>121</v>
      </c>
    </row>
    <row r="69" customFormat="false" ht="15" hidden="false" customHeight="false" outlineLevel="0" collapsed="false">
      <c r="C69" s="0" t="s">
        <v>122</v>
      </c>
      <c r="D69" s="11" t="s">
        <v>82</v>
      </c>
      <c r="E69" s="34" t="n">
        <f aca="false">Calc_1!$E56/Thousand</f>
        <v>1.26027397260274</v>
      </c>
      <c r="F69" s="34" t="n">
        <f aca="false">Calc_2!$E56/Thousand</f>
        <v>1.26027397260274</v>
      </c>
      <c r="H69" s="13" t="s">
        <v>115</v>
      </c>
      <c r="I69" s="20" t="n">
        <f aca="false">In_HCSSZ_Date</f>
        <v>47126</v>
      </c>
      <c r="J69" s="35" t="s">
        <v>116</v>
      </c>
    </row>
    <row r="70" customFormat="false" ht="15" hidden="false" customHeight="false" outlineLevel="0" collapsed="false">
      <c r="C70" s="0" t="s">
        <v>123</v>
      </c>
      <c r="D70" s="11" t="s">
        <v>82</v>
      </c>
      <c r="E70" s="34" t="n">
        <f aca="false">Calc_1!$E57/Thousand</f>
        <v>6.89454917808219</v>
      </c>
      <c r="F70" s="34" t="n">
        <f aca="false">Calc_2!$E57/Thousand</f>
        <v>6.89454917808219</v>
      </c>
      <c r="H70" s="13" t="s">
        <v>115</v>
      </c>
      <c r="I70" s="20" t="n">
        <f aca="false">In_HCSSZ_Date</f>
        <v>47126</v>
      </c>
      <c r="J70" s="35" t="s">
        <v>116</v>
      </c>
    </row>
    <row r="71" customFormat="false" ht="15" hidden="false" customHeight="false" outlineLevel="0" collapsed="false">
      <c r="C71" s="0" t="s">
        <v>124</v>
      </c>
      <c r="D71" s="11" t="s">
        <v>82</v>
      </c>
      <c r="E71" s="34" t="n">
        <f aca="false">(-Calc_1!$E59)/Thousand</f>
        <v>0.490264019515857</v>
      </c>
      <c r="F71" s="34" t="n">
        <f aca="false">(-Calc_2!$E59)/Thousand</f>
        <v>0.490264019515857</v>
      </c>
    </row>
    <row r="73" customFormat="false" ht="15" hidden="false" customHeight="false" outlineLevel="0" collapsed="false">
      <c r="A73" s="9" t="s">
        <v>13</v>
      </c>
      <c r="B73" s="9"/>
      <c r="C73" s="9" t="s">
        <v>125</v>
      </c>
      <c r="D73" s="9"/>
      <c r="E73" s="10" t="s">
        <v>9</v>
      </c>
      <c r="F73" s="10" t="s">
        <v>10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</row>
    <row r="74" customFormat="false" ht="15" hidden="false" customHeight="false" outlineLevel="0" collapsed="false">
      <c r="C74" s="0" t="s">
        <v>126</v>
      </c>
      <c r="D74" s="11" t="s">
        <v>82</v>
      </c>
      <c r="E74" s="32" t="n">
        <f aca="false">Calc_1!$E136/Thousand</f>
        <v>134.1375</v>
      </c>
      <c r="F74" s="32" t="n">
        <f aca="false">Calc_2!$E136/Thousand</f>
        <v>114.975</v>
      </c>
    </row>
    <row r="75" customFormat="false" ht="15" hidden="false" customHeight="false" outlineLevel="0" collapsed="false">
      <c r="C75" s="0" t="s">
        <v>127</v>
      </c>
      <c r="D75" s="11" t="s">
        <v>82</v>
      </c>
      <c r="E75" s="32" t="n">
        <f aca="false">Calc_1!$E137/Thousand</f>
        <v>74.5820023486781</v>
      </c>
      <c r="F75" s="32" t="n">
        <f aca="false">Calc_2!$E137/Thousand</f>
        <v>71.0776635714193</v>
      </c>
    </row>
    <row r="76" customFormat="false" ht="15" hidden="false" customHeight="false" outlineLevel="0" collapsed="false">
      <c r="C76" s="0" t="s">
        <v>128</v>
      </c>
      <c r="D76" s="11" t="s">
        <v>82</v>
      </c>
      <c r="E76" s="32" t="n">
        <f aca="false">Calc_1!$E138/Thousand</f>
        <v>-0</v>
      </c>
      <c r="F76" s="32" t="n">
        <f aca="false">Calc_2!$E138/Thousand</f>
        <v>-0</v>
      </c>
    </row>
    <row r="77" customFormat="false" ht="15" hidden="false" customHeight="false" outlineLevel="0" collapsed="false">
      <c r="C77" s="25" t="s">
        <v>129</v>
      </c>
      <c r="D77" s="11" t="s">
        <v>27</v>
      </c>
      <c r="E77" s="33" t="n">
        <f aca="false">Calc_1!$E145</f>
        <v>0.0566120049273495</v>
      </c>
      <c r="F77" s="33" t="n">
        <f aca="false">Calc_2!$E145</f>
        <v>0.0695907325382153</v>
      </c>
    </row>
    <row r="78" customFormat="false" ht="15" hidden="false" customHeight="false" outlineLevel="0" collapsed="false">
      <c r="C78" s="0" t="s">
        <v>130</v>
      </c>
      <c r="D78" s="11" t="s">
        <v>27</v>
      </c>
      <c r="E78" s="22" t="n">
        <f aca="false">Calc_1!$E147</f>
        <v>0.0578758717662863</v>
      </c>
      <c r="F78" s="22" t="n">
        <f aca="false">Calc_2!$E147</f>
        <v>0.0744377625136832</v>
      </c>
    </row>
    <row r="80" customFormat="false" ht="15" hidden="false" customHeight="false" outlineLevel="0" collapsed="false">
      <c r="A80" s="9" t="s">
        <v>13</v>
      </c>
      <c r="B80" s="9"/>
      <c r="C80" s="9" t="s">
        <v>131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</row>
    <row r="81" customFormat="false" ht="15" hidden="false" customHeight="false" outlineLevel="0" collapsed="false">
      <c r="C81" s="0" t="s">
        <v>132</v>
      </c>
      <c r="D81" s="11" t="s">
        <v>82</v>
      </c>
      <c r="E81" s="32" t="n">
        <f aca="false">Calc_1!$E88/Thousand</f>
        <v>80.1554270382471</v>
      </c>
      <c r="F81" s="32" t="n">
        <f aca="false">Calc_2!$E88/Thousand</f>
        <v>77.608308783464</v>
      </c>
    </row>
    <row r="82" customFormat="false" ht="15" hidden="false" customHeight="false" outlineLevel="0" collapsed="false">
      <c r="C82" s="0" t="s">
        <v>133</v>
      </c>
      <c r="D82" s="11" t="s">
        <v>27</v>
      </c>
      <c r="E82" s="22" t="n">
        <f aca="false">Calc_1!$E90</f>
        <v>0.55</v>
      </c>
      <c r="F82" s="22" t="n">
        <f aca="false">Calc_2!$E90</f>
        <v>0.55</v>
      </c>
    </row>
    <row r="83" customFormat="false" ht="15" hidden="false" customHeight="false" outlineLevel="0" collapsed="false">
      <c r="C83" s="0" t="s">
        <v>134</v>
      </c>
      <c r="D83" s="11" t="s">
        <v>27</v>
      </c>
      <c r="E83" s="22" t="n">
        <f aca="false">Calc_1!$F90</f>
        <v>0.736762310843194</v>
      </c>
      <c r="F83" s="22" t="n">
        <f aca="false">Calc_2!$F90</f>
        <v>0.559184153202774</v>
      </c>
    </row>
    <row r="84" customFormat="false" ht="15" hidden="false" customHeight="false" outlineLevel="0" collapsed="false">
      <c r="C84" s="0" t="s">
        <v>135</v>
      </c>
      <c r="D84" s="11" t="s">
        <v>13</v>
      </c>
      <c r="E84" s="29" t="n">
        <f aca="false">In_DSCR_Max_Low</f>
        <v>1.1</v>
      </c>
      <c r="F84" s="29" t="n">
        <f aca="false">In_DSCR_Max_Low</f>
        <v>1.1</v>
      </c>
    </row>
    <row r="85" customFormat="false" ht="15" hidden="false" customHeight="false" outlineLevel="0" collapsed="false">
      <c r="C85" s="0" t="s">
        <v>136</v>
      </c>
      <c r="D85" s="11" t="s">
        <v>82</v>
      </c>
      <c r="E85" s="32" t="n">
        <f aca="false">Calc_1!$E131/Thousand</f>
        <v>87.4422840417241</v>
      </c>
      <c r="F85" s="32" t="n">
        <f aca="false">Calc_2!$E131/Thousand</f>
        <v>84.6636095819607</v>
      </c>
    </row>
    <row r="86" customFormat="false" ht="15" hidden="false" customHeight="false" outlineLevel="0" collapsed="false">
      <c r="C86" s="0" t="s">
        <v>137</v>
      </c>
      <c r="D86" s="11" t="s">
        <v>27</v>
      </c>
      <c r="E86" s="22" t="n">
        <f aca="false">Calc_1!$E132</f>
        <v>0.770895952429322</v>
      </c>
      <c r="F86" s="22" t="n">
        <f aca="false">Calc_2!$E132</f>
        <v>0.995057542501695</v>
      </c>
    </row>
    <row r="87" customFormat="false" ht="15" hidden="false" customHeight="false" outlineLevel="0" collapsed="false">
      <c r="C87" s="0" t="s">
        <v>138</v>
      </c>
      <c r="D87" s="11" t="s">
        <v>13</v>
      </c>
      <c r="E87" s="29" t="n">
        <f aca="false">In_DSCR_Max_High</f>
        <v>1.2</v>
      </c>
      <c r="F87" s="29" t="n">
        <f aca="false">In_DSCR_Max_High</f>
        <v>1.2</v>
      </c>
    </row>
    <row r="88" customFormat="false" ht="15" hidden="false" customHeight="false" outlineLevel="0" collapsed="false">
      <c r="C88" s="0" t="s">
        <v>139</v>
      </c>
      <c r="D88" s="11" t="s">
        <v>82</v>
      </c>
      <c r="E88" s="32" t="n">
        <f aca="false">Calc_1!$F131/Thousand</f>
        <v>80.1554270382471</v>
      </c>
      <c r="F88" s="32" t="n">
        <f aca="false">Calc_2!$F131/Thousand</f>
        <v>77.608308783464</v>
      </c>
    </row>
    <row r="89" customFormat="false" ht="15" hidden="false" customHeight="false" outlineLevel="0" collapsed="false">
      <c r="C89" s="0" t="s">
        <v>140</v>
      </c>
      <c r="D89" s="11" t="s">
        <v>27</v>
      </c>
      <c r="E89" s="22" t="n">
        <f aca="false">Calc_1!$F132</f>
        <v>0.706654623060211</v>
      </c>
      <c r="F89" s="22" t="n">
        <f aca="false">Calc_2!$F132</f>
        <v>0.912136080626554</v>
      </c>
    </row>
    <row r="90" customFormat="false" ht="15" hidden="false" customHeight="false" outlineLevel="0" collapsed="false">
      <c r="C90" s="0" t="s">
        <v>141</v>
      </c>
      <c r="D90" s="11" t="s">
        <v>82</v>
      </c>
      <c r="E90" s="32" t="n">
        <f aca="false">Calc_1!$E106/Thousand</f>
        <v>1.40492616034007</v>
      </c>
      <c r="F90" s="32" t="n">
        <f aca="false">Calc_2!$E106/Thousand</f>
        <v>1.03241959957012</v>
      </c>
    </row>
    <row r="91" customFormat="false" ht="15" hidden="false" customHeight="false" outlineLevel="0" collapsed="false">
      <c r="C91" s="0" t="s">
        <v>142</v>
      </c>
      <c r="D91" s="11" t="s">
        <v>13</v>
      </c>
      <c r="E91" s="29" t="n">
        <f aca="false">Calc_1!$E107</f>
        <v>1.62874780962486</v>
      </c>
      <c r="F91" s="29" t="n">
        <f aca="false">Calc_2!$E107</f>
        <v>2.14598356038329</v>
      </c>
    </row>
    <row r="92" customFormat="false" ht="15" hidden="false" customHeight="false" outlineLevel="0" collapsed="false">
      <c r="C92" s="0" t="s">
        <v>143</v>
      </c>
      <c r="D92" s="11" t="s">
        <v>144</v>
      </c>
      <c r="E92" s="36" t="n">
        <f aca="false">Calc_1!$E75/Thousand</f>
        <v>139.3975128</v>
      </c>
      <c r="F92" s="36" t="n">
        <f aca="false">Calc_2!$E75/Thousand</f>
        <v>139.3975128</v>
      </c>
    </row>
    <row r="93" customFormat="false" ht="15" hidden="false" customHeight="false" outlineLevel="0" collapsed="false">
      <c r="C93" s="0" t="s">
        <v>145</v>
      </c>
      <c r="D93" s="11" t="s">
        <v>82</v>
      </c>
      <c r="E93" s="32" t="n">
        <f aca="false">Calc_1!$E76/Thousand</f>
        <v>12.67123391352</v>
      </c>
      <c r="F93" s="32" t="n">
        <f aca="false">Calc_2!$E76/Thousand</f>
        <v>12.67123391352</v>
      </c>
    </row>
    <row r="94" customFormat="false" ht="15" hidden="false" customHeight="false" outlineLevel="0" collapsed="false">
      <c r="C94" s="0" t="s">
        <v>146</v>
      </c>
      <c r="D94" s="11" t="s">
        <v>82</v>
      </c>
      <c r="E94" s="32" t="n">
        <f aca="false">Calc_1!$E83/Thousand</f>
        <v>9.55688408374485</v>
      </c>
      <c r="F94" s="32" t="n">
        <f aca="false">Calc_2!$E83/Thousand</f>
        <v>9.55688408374485</v>
      </c>
    </row>
    <row r="95" customFormat="false" ht="15" hidden="false" customHeight="false" outlineLevel="0" collapsed="false">
      <c r="C95" s="0" t="s">
        <v>147</v>
      </c>
      <c r="D95" s="11" t="s">
        <v>82</v>
      </c>
      <c r="E95" s="32" t="n">
        <f aca="false">Calc_1!$I76/Thousand</f>
        <v>420.752711777652</v>
      </c>
      <c r="F95" s="32" t="n">
        <f aca="false">Calc_2!$I76/Thousand</f>
        <v>420.752711777652</v>
      </c>
    </row>
    <row r="96" customFormat="false" ht="15" hidden="false" customHeight="false" outlineLevel="0" collapsed="false">
      <c r="C96" s="0" t="s">
        <v>148</v>
      </c>
      <c r="D96" s="11" t="s">
        <v>82</v>
      </c>
      <c r="E96" s="32" t="n">
        <f aca="false">Calc_1!$I83/Thousand</f>
        <v>295.37332772584</v>
      </c>
      <c r="F96" s="32" t="n">
        <f aca="false">Calc_2!$I83/Thousand</f>
        <v>295.37332772584</v>
      </c>
    </row>
    <row r="97" customFormat="false" ht="15" hidden="false" customHeight="false" outlineLevel="0" collapsed="false">
      <c r="C97" s="0" t="s">
        <v>149</v>
      </c>
      <c r="D97" s="11" t="s">
        <v>82</v>
      </c>
      <c r="E97" s="32" t="n">
        <f aca="false">(SUM(Calc_1!$J117:$EO117))/Thousand</f>
        <v>-23.6091468710364</v>
      </c>
      <c r="F97" s="32" t="n">
        <f aca="false">(SUM(Calc_2!$J117:$EO117))/Thousand</f>
        <v>-28.7623314227686</v>
      </c>
    </row>
    <row r="98" customFormat="false" ht="15" hidden="false" customHeight="false" outlineLevel="0" collapsed="false">
      <c r="C98" s="0" t="s">
        <v>150</v>
      </c>
      <c r="D98" s="11" t="s">
        <v>82</v>
      </c>
      <c r="E98" s="32" t="n">
        <f aca="false">(-Calc_1!$I115)/Thousand</f>
        <v>0.682958697035797</v>
      </c>
      <c r="F98" s="32" t="n">
        <f aca="false">(-Calc_2!$I115)/Thousand</f>
        <v>-0</v>
      </c>
    </row>
    <row r="99" customFormat="false" ht="15" hidden="false" customHeight="false" outlineLevel="0" collapsed="false">
      <c r="C99" s="0" t="s">
        <v>151</v>
      </c>
      <c r="D99" s="11" t="s">
        <v>152</v>
      </c>
      <c r="E99" s="30" t="n">
        <f aca="false">Model_Checks</f>
        <v>0</v>
      </c>
      <c r="F99" s="30" t="n">
        <f aca="false">Model_Checks</f>
        <v>0</v>
      </c>
    </row>
    <row r="101" customFormat="false" ht="15" hidden="false" customHeight="false" outlineLevel="0" collapsed="false">
      <c r="A101" s="9" t="s">
        <v>13</v>
      </c>
      <c r="B101" s="9"/>
      <c r="C101" s="9" t="s">
        <v>153</v>
      </c>
      <c r="D101" s="9"/>
      <c r="E101" s="10" t="s">
        <v>12</v>
      </c>
      <c r="F101" s="10"/>
      <c r="G101" s="9"/>
      <c r="H101" s="10" t="str">
        <f aca="false">Inputs!H$7</f>
        <v>Base</v>
      </c>
      <c r="I101" s="10" t="str">
        <f aca="false">Inputs!I$7</f>
        <v>COD price −10%</v>
      </c>
      <c r="J101" s="10" t="str">
        <f aca="false">Inputs!J$7</f>
        <v>COD price +10%</v>
      </c>
      <c r="K101" s="10" t="str">
        <f aca="false">Inputs!K$7</f>
        <v>Turbine +10%</v>
      </c>
      <c r="L101" s="10" t="str">
        <f aca="false">Inputs!L$7</f>
        <v>Yield −10%</v>
      </c>
      <c r="M101" s="10" t="str">
        <f aca="false">Inputs!M$7</f>
        <v>PPA +10%</v>
      </c>
      <c r="N101" s="10" t="str">
        <f aca="false">Inputs!N$7</f>
        <v>Full PB call</v>
      </c>
      <c r="O101" s="10" t="str">
        <f aca="false">Inputs!O$7</f>
        <v>Rate +1 pp</v>
      </c>
      <c r="P101" s="10" t="str">
        <f aca="false">Inputs!P$7</f>
        <v>Tenor 10 years</v>
      </c>
      <c r="Q101" s="10" t="str">
        <f aca="false">Inputs!Q$7</f>
        <v>Robin Hood 31%</v>
      </c>
      <c r="R101" s="10" t="str">
        <f aca="false">Inputs!R$7</f>
        <v>CIT 9%</v>
      </c>
      <c r="S101" s="10" t="str">
        <f aca="false">Inputs!S$7</f>
        <v>BESS 100 MWh</v>
      </c>
      <c r="T101" s="10" t="str">
        <f aca="false">Inputs!T$7</f>
        <v>Promise all, deliver nothing</v>
      </c>
      <c r="U101" s="10" t="str">
        <f aca="false">Inputs!U$7</f>
        <v>Full cash sweep</v>
      </c>
      <c r="V101" s="10" t="str">
        <f aca="false">Inputs!V$7</f>
        <v>Raiffeisen terms</v>
      </c>
      <c r="W101" s="10" t="str">
        <f aca="false">Inputs!W$7</f>
        <v>UniCredit terms</v>
      </c>
    </row>
    <row r="102" customFormat="false" ht="15" hidden="false" customHeight="false" outlineLevel="0" collapsed="false">
      <c r="C102" s="0" t="s">
        <v>154</v>
      </c>
      <c r="D102" s="11" t="s">
        <v>53</v>
      </c>
      <c r="E102" s="14" t="n">
        <f aca="false">Calc_1!$E43</f>
        <v>59.5</v>
      </c>
      <c r="H102" s="37" t="n">
        <v>59.5</v>
      </c>
      <c r="I102" s="37" t="n">
        <v>59.5</v>
      </c>
      <c r="J102" s="37" t="n">
        <v>59.5</v>
      </c>
      <c r="K102" s="37" t="n">
        <v>59.5</v>
      </c>
      <c r="L102" s="37" t="n">
        <v>59.5</v>
      </c>
      <c r="M102" s="37" t="n">
        <v>59.5</v>
      </c>
      <c r="N102" s="37" t="n">
        <v>59.5</v>
      </c>
      <c r="O102" s="37" t="n">
        <v>59.5</v>
      </c>
      <c r="P102" s="37" t="n">
        <v>59.5</v>
      </c>
      <c r="Q102" s="37" t="n">
        <v>59.5</v>
      </c>
      <c r="R102" s="37" t="n">
        <v>59.5</v>
      </c>
      <c r="S102" s="37" t="n">
        <v>65.5</v>
      </c>
      <c r="T102" s="37" t="n">
        <v>59.5</v>
      </c>
      <c r="U102" s="37" t="n">
        <v>59.5</v>
      </c>
      <c r="V102" s="37" t="n">
        <v>59.5</v>
      </c>
      <c r="W102" s="37" t="n">
        <v>59.5</v>
      </c>
    </row>
    <row r="103" customFormat="false" ht="15" hidden="false" customHeight="false" outlineLevel="0" collapsed="false">
      <c r="C103" s="0" t="s">
        <v>155</v>
      </c>
      <c r="D103" s="11" t="s">
        <v>53</v>
      </c>
      <c r="E103" s="14" t="n">
        <f aca="false">Calc_2!$E43</f>
        <v>47.5</v>
      </c>
      <c r="H103" s="37" t="n">
        <v>47.5</v>
      </c>
      <c r="I103" s="37" t="n">
        <v>47.5</v>
      </c>
      <c r="J103" s="37" t="n">
        <v>47.5</v>
      </c>
      <c r="K103" s="37" t="n">
        <v>47.5</v>
      </c>
      <c r="L103" s="37" t="n">
        <v>47.5</v>
      </c>
      <c r="M103" s="37" t="n">
        <v>47.5</v>
      </c>
      <c r="N103" s="37" t="n">
        <v>47.5</v>
      </c>
      <c r="O103" s="37" t="n">
        <v>47.5</v>
      </c>
      <c r="P103" s="37" t="n">
        <v>47.5</v>
      </c>
      <c r="Q103" s="37" t="n">
        <v>47.5</v>
      </c>
      <c r="R103" s="37" t="n">
        <v>47.5</v>
      </c>
      <c r="S103" s="37" t="n">
        <v>53.5</v>
      </c>
      <c r="T103" s="37" t="n">
        <v>47.5</v>
      </c>
      <c r="U103" s="37" t="n">
        <v>47.5</v>
      </c>
      <c r="V103" s="37" t="n">
        <v>47.5</v>
      </c>
      <c r="W103" s="37" t="n">
        <v>47.5</v>
      </c>
    </row>
    <row r="104" customFormat="false" ht="15" hidden="false" customHeight="false" outlineLevel="0" collapsed="false">
      <c r="C104" s="0" t="s">
        <v>156</v>
      </c>
      <c r="D104" s="11" t="s">
        <v>77</v>
      </c>
      <c r="E104" s="28" t="n">
        <f aca="false">Calc_1!$E31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  <c r="W104" s="38" t="n">
        <v>0</v>
      </c>
    </row>
    <row r="105" customFormat="false" ht="15" hidden="false" customHeight="false" outlineLevel="0" collapsed="false">
      <c r="C105" s="0" t="s">
        <v>157</v>
      </c>
      <c r="D105" s="11" t="s">
        <v>77</v>
      </c>
      <c r="E105" s="28" t="n">
        <f aca="false">Calc_2!$E31</f>
        <v>0</v>
      </c>
      <c r="H105" s="38" t="n">
        <v>0</v>
      </c>
      <c r="I105" s="38" t="n">
        <v>0</v>
      </c>
      <c r="J105" s="38" t="n">
        <v>0</v>
      </c>
      <c r="K105" s="38" t="n">
        <v>0</v>
      </c>
      <c r="L105" s="38" t="n">
        <v>0</v>
      </c>
      <c r="M105" s="38" t="n">
        <v>0</v>
      </c>
      <c r="N105" s="38" t="n">
        <v>0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</row>
    <row r="106" customFormat="false" ht="15" hidden="false" customHeight="false" outlineLevel="0" collapsed="false">
      <c r="C106" s="0" t="s">
        <v>158</v>
      </c>
      <c r="D106" s="11" t="s">
        <v>82</v>
      </c>
      <c r="E106" s="32" t="n">
        <f aca="false">(-Calc_1!$I62)/Thousand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2.21643835616438</v>
      </c>
      <c r="U106" s="37" t="n">
        <v>0</v>
      </c>
      <c r="V106" s="37" t="n">
        <v>0</v>
      </c>
      <c r="W106" s="37" t="n">
        <v>0</v>
      </c>
    </row>
    <row r="107" customFormat="false" ht="15" hidden="false" customHeight="false" outlineLevel="0" collapsed="false">
      <c r="C107" s="0" t="s">
        <v>159</v>
      </c>
      <c r="D107" s="11" t="s">
        <v>82</v>
      </c>
      <c r="E107" s="32" t="n">
        <f aca="false">(-Calc_2!$I62)/Thousand</f>
        <v>-0</v>
      </c>
      <c r="H107" s="37" t="n">
        <v>0</v>
      </c>
      <c r="I107" s="37" t="n">
        <v>0</v>
      </c>
      <c r="J107" s="37" t="n">
        <v>0</v>
      </c>
      <c r="K107" s="37" t="n">
        <v>0</v>
      </c>
      <c r="L107" s="37" t="n">
        <v>0</v>
      </c>
      <c r="M107" s="37" t="n">
        <v>0</v>
      </c>
      <c r="N107" s="37" t="n">
        <v>2.21643835616438</v>
      </c>
      <c r="O107" s="37" t="n">
        <v>0</v>
      </c>
      <c r="P107" s="37" t="n">
        <v>0</v>
      </c>
      <c r="Q107" s="37" t="n">
        <v>0</v>
      </c>
      <c r="R107" s="37" t="n">
        <v>0</v>
      </c>
      <c r="S107" s="37" t="n">
        <v>0</v>
      </c>
      <c r="T107" s="37" t="n">
        <v>2.21643835616438</v>
      </c>
      <c r="U107" s="37" t="n">
        <v>0</v>
      </c>
      <c r="V107" s="37" t="n">
        <v>0</v>
      </c>
      <c r="W107" s="37" t="n">
        <v>0</v>
      </c>
    </row>
    <row r="108" customFormat="false" ht="15" hidden="false" customHeight="false" outlineLevel="0" collapsed="false">
      <c r="C108" s="0" t="s">
        <v>160</v>
      </c>
      <c r="D108" s="11" t="s">
        <v>82</v>
      </c>
      <c r="E108" s="32" t="n">
        <f aca="false">Calc_1!$I139/Thousand</f>
        <v>20.2080757486889</v>
      </c>
      <c r="H108" s="37" t="n">
        <v>20.2080757486889</v>
      </c>
      <c r="I108" s="37" t="n">
        <v>6.7943257486889</v>
      </c>
      <c r="J108" s="37" t="n">
        <v>33.6218257486889</v>
      </c>
      <c r="K108" s="37" t="n">
        <v>14.5007871167764</v>
      </c>
      <c r="L108" s="37" t="n">
        <v>20.2080757486889</v>
      </c>
      <c r="M108" s="37" t="n">
        <v>20.2080757486889</v>
      </c>
      <c r="N108" s="37" t="n">
        <v>17.9916373925245</v>
      </c>
      <c r="O108" s="37" t="n">
        <v>19.6592211724788</v>
      </c>
      <c r="P108" s="37" t="n">
        <v>20.2080757486889</v>
      </c>
      <c r="Q108" s="37" t="n">
        <v>20.2080757486889</v>
      </c>
      <c r="R108" s="37" t="n">
        <v>20.2080757486889</v>
      </c>
      <c r="S108" s="37" t="n">
        <v>13.7845346366834</v>
      </c>
      <c r="T108" s="37" t="n">
        <v>28.6099224618027</v>
      </c>
      <c r="U108" s="37" t="n">
        <v>20.2080757486889</v>
      </c>
      <c r="V108" s="37" t="n">
        <v>20.8885902677913</v>
      </c>
      <c r="W108" s="37" t="n">
        <v>21.6328086208393</v>
      </c>
    </row>
    <row r="109" customFormat="false" ht="15" hidden="false" customHeight="false" outlineLevel="0" collapsed="false">
      <c r="C109" s="0" t="s">
        <v>161</v>
      </c>
      <c r="D109" s="11" t="s">
        <v>82</v>
      </c>
      <c r="E109" s="32" t="n">
        <f aca="false">Calc_2!$I139/Thousand</f>
        <v>29.3908657004839</v>
      </c>
      <c r="H109" s="37" t="n">
        <v>29.3908657004839</v>
      </c>
      <c r="I109" s="37" t="n">
        <v>17.8933657004839</v>
      </c>
      <c r="J109" s="37" t="n">
        <v>40.8883657004839</v>
      </c>
      <c r="K109" s="37" t="n">
        <v>26.3870295784247</v>
      </c>
      <c r="L109" s="37" t="n">
        <v>29.3908657004839</v>
      </c>
      <c r="M109" s="37" t="n">
        <v>29.3908657004839</v>
      </c>
      <c r="N109" s="37" t="n">
        <v>27.1744273443195</v>
      </c>
      <c r="O109" s="37" t="n">
        <v>28.9829131434095</v>
      </c>
      <c r="P109" s="37" t="n">
        <v>29.3908657004839</v>
      </c>
      <c r="Q109" s="37" t="n">
        <v>29.3908657004839</v>
      </c>
      <c r="R109" s="37" t="n">
        <v>29.3908657004839</v>
      </c>
      <c r="S109" s="37" t="n">
        <v>22.9673245884784</v>
      </c>
      <c r="T109" s="37" t="n">
        <v>28.6099224618027</v>
      </c>
      <c r="U109" s="37" t="n">
        <v>29.3908657004839</v>
      </c>
      <c r="V109" s="37" t="n">
        <v>28.9538137248486</v>
      </c>
      <c r="W109" s="37" t="n">
        <v>29.7022071258511</v>
      </c>
    </row>
    <row r="110" customFormat="false" ht="15" hidden="false" customHeight="false" outlineLevel="0" collapsed="false">
      <c r="C110" s="0" t="s">
        <v>162</v>
      </c>
      <c r="D110" s="11" t="s">
        <v>27</v>
      </c>
      <c r="E110" s="22" t="n">
        <f aca="false">Calc_1!$E140</f>
        <v>0.2632612602034</v>
      </c>
      <c r="H110" s="39" t="n">
        <v>0.2632612602034</v>
      </c>
      <c r="I110" s="39" t="n">
        <v>0.0971893034559214</v>
      </c>
      <c r="J110" s="39" t="n">
        <v>0.403564977303025</v>
      </c>
      <c r="K110" s="39" t="n">
        <v>0.190786177934972</v>
      </c>
      <c r="L110" s="39" t="n">
        <v>0.2632612602034</v>
      </c>
      <c r="M110" s="39" t="n">
        <v>0.2632612602034</v>
      </c>
      <c r="N110" s="39" t="n">
        <v>0.237829411719297</v>
      </c>
      <c r="O110" s="39" t="n">
        <v>0.25697697435903</v>
      </c>
      <c r="P110" s="39" t="n">
        <v>0.2632612602034</v>
      </c>
      <c r="Q110" s="39" t="n">
        <v>0.2632612602034</v>
      </c>
      <c r="R110" s="39" t="n">
        <v>0.2632612602034</v>
      </c>
      <c r="S110" s="39" t="n">
        <v>0.180970451878692</v>
      </c>
      <c r="T110" s="39" t="n">
        <v>0.419382679913985</v>
      </c>
      <c r="U110" s="39" t="n">
        <v>0.2632612602034</v>
      </c>
      <c r="V110" s="39" t="n">
        <v>0.248075895436541</v>
      </c>
      <c r="W110" s="39" t="n">
        <v>0.23404236710695</v>
      </c>
    </row>
    <row r="111" customFormat="false" ht="15" hidden="false" customHeight="false" outlineLevel="0" collapsed="false">
      <c r="C111" s="0" t="s">
        <v>163</v>
      </c>
      <c r="D111" s="11" t="s">
        <v>27</v>
      </c>
      <c r="E111" s="22" t="n">
        <f aca="false">Calc_2!$E140</f>
        <v>0.410318082809979</v>
      </c>
      <c r="H111" s="39" t="n">
        <v>0.410318082809979</v>
      </c>
      <c r="I111" s="39" t="n">
        <v>0.273558608993453</v>
      </c>
      <c r="J111" s="39" t="n">
        <v>0.527449012156222</v>
      </c>
      <c r="K111" s="39" t="n">
        <v>0.371364553097074</v>
      </c>
      <c r="L111" s="39" t="n">
        <v>0.410318082809979</v>
      </c>
      <c r="M111" s="39" t="n">
        <v>0.410318082809979</v>
      </c>
      <c r="N111" s="39" t="n">
        <v>0.385684120479278</v>
      </c>
      <c r="O111" s="39" t="n">
        <v>0.405776603823075</v>
      </c>
      <c r="P111" s="39" t="n">
        <v>0.410318082809979</v>
      </c>
      <c r="Q111" s="39" t="n">
        <v>0.410318082809979</v>
      </c>
      <c r="R111" s="39" t="n">
        <v>0.410318082809979</v>
      </c>
      <c r="S111" s="39" t="n">
        <v>0.324971457742521</v>
      </c>
      <c r="T111" s="39" t="n">
        <v>0.419382679913985</v>
      </c>
      <c r="U111" s="39" t="n">
        <v>0.410318082809979</v>
      </c>
      <c r="V111" s="39" t="n">
        <v>0.430590128449621</v>
      </c>
      <c r="W111" s="39" t="n">
        <v>0.397063407929472</v>
      </c>
    </row>
    <row r="112" customFormat="false" ht="15" hidden="false" customHeight="false" outlineLevel="0" collapsed="false">
      <c r="C112" s="0" t="s">
        <v>164</v>
      </c>
      <c r="D112" s="11" t="s">
        <v>13</v>
      </c>
      <c r="E112" s="29" t="n">
        <f aca="false">Calc_1!$E141</f>
        <v>1.37165010901922</v>
      </c>
      <c r="H112" s="40" t="n">
        <v>1.37165010901922</v>
      </c>
      <c r="I112" s="40" t="n">
        <v>1.1249555839267</v>
      </c>
      <c r="J112" s="40" t="n">
        <v>1.61834463411174</v>
      </c>
      <c r="K112" s="40" t="n">
        <v>1.25471945100028</v>
      </c>
      <c r="L112" s="40" t="n">
        <v>1.37165010901922</v>
      </c>
      <c r="M112" s="40" t="n">
        <v>1.37165010901922</v>
      </c>
      <c r="N112" s="40" t="n">
        <v>1.33088721962059</v>
      </c>
      <c r="O112" s="40" t="n">
        <v>1.3614932742964</v>
      </c>
      <c r="P112" s="40" t="n">
        <v>1.37165010901922</v>
      </c>
      <c r="Q112" s="40" t="n">
        <v>1.37165010901922</v>
      </c>
      <c r="R112" s="40" t="n">
        <v>1.37165010901922</v>
      </c>
      <c r="S112" s="40" t="n">
        <v>1.24036022558485</v>
      </c>
      <c r="T112" s="40" t="n">
        <v>1.78320085907633</v>
      </c>
      <c r="U112" s="40" t="n">
        <v>1.37165010901922</v>
      </c>
      <c r="V112" s="40" t="n">
        <v>1.33026008442252</v>
      </c>
      <c r="W112" s="40" t="n">
        <v>1.29652388642711</v>
      </c>
    </row>
    <row r="113" customFormat="false" ht="15" hidden="false" customHeight="false" outlineLevel="0" collapsed="false">
      <c r="C113" s="0" t="s">
        <v>165</v>
      </c>
      <c r="D113" s="11" t="s">
        <v>13</v>
      </c>
      <c r="E113" s="29" t="n">
        <f aca="false">Calc_2!$E141</f>
        <v>1.70504013744302</v>
      </c>
      <c r="H113" s="40" t="n">
        <v>1.70504013744302</v>
      </c>
      <c r="I113" s="40" t="n">
        <v>1.42923339316881</v>
      </c>
      <c r="J113" s="40" t="n">
        <v>1.98084688171724</v>
      </c>
      <c r="K113" s="40" t="n">
        <v>1.61320561834386</v>
      </c>
      <c r="L113" s="40" t="n">
        <v>1.70504013744302</v>
      </c>
      <c r="M113" s="40" t="n">
        <v>1.70504013744302</v>
      </c>
      <c r="N113" s="40" t="n">
        <v>1.65187130535795</v>
      </c>
      <c r="O113" s="40" t="n">
        <v>1.69513700442128</v>
      </c>
      <c r="P113" s="40" t="n">
        <v>1.70504013744302</v>
      </c>
      <c r="Q113" s="40" t="n">
        <v>1.70504013744302</v>
      </c>
      <c r="R113" s="40" t="n">
        <v>1.70504013744302</v>
      </c>
      <c r="S113" s="40" t="n">
        <v>1.51424348395704</v>
      </c>
      <c r="T113" s="40" t="n">
        <v>1.78320085907633</v>
      </c>
      <c r="U113" s="40" t="n">
        <v>1.70504013744302</v>
      </c>
      <c r="V113" s="40" t="n">
        <v>1.80379956128269</v>
      </c>
      <c r="W113" s="40" t="n">
        <v>1.64961489136514</v>
      </c>
    </row>
    <row r="114" customFormat="false" ht="15" hidden="false" customHeight="false" outlineLevel="0" collapsed="false">
      <c r="C114" s="0" t="s">
        <v>166</v>
      </c>
      <c r="D114" s="11" t="s">
        <v>27</v>
      </c>
      <c r="E114" s="22" t="n">
        <f aca="false">Calc_1!$E153</f>
        <v>0.0758104971930004</v>
      </c>
      <c r="H114" s="39" t="n">
        <v>0.0758104971930004</v>
      </c>
      <c r="I114" s="39" t="n">
        <v>0.0758104971930004</v>
      </c>
      <c r="J114" s="39" t="n">
        <v>0.0758104971930004</v>
      </c>
      <c r="K114" s="39" t="n">
        <v>0.0698007446340053</v>
      </c>
      <c r="L114" s="39" t="n">
        <v>0.0599640287033192</v>
      </c>
      <c r="M114" s="39" t="n">
        <v>0.0924461510750482</v>
      </c>
      <c r="N114" s="39" t="n">
        <v>0.0731925154994445</v>
      </c>
      <c r="O114" s="39" t="n">
        <v>0.0715192222296241</v>
      </c>
      <c r="P114" s="39" t="n">
        <v>0.072445462939454</v>
      </c>
      <c r="Q114" s="39" t="n">
        <v>0.0573531991393652</v>
      </c>
      <c r="R114" s="39" t="n">
        <v>0.0787870642948158</v>
      </c>
      <c r="S114" s="39" t="n">
        <v>0.0689114700288455</v>
      </c>
      <c r="T114" s="39" t="n">
        <v>0.12128083270735</v>
      </c>
      <c r="U114" s="39" t="n">
        <v>0.0710122133722594</v>
      </c>
      <c r="V114" s="39" t="n">
        <v>0.0740585134078263</v>
      </c>
      <c r="W114" s="39" t="n">
        <v>0.0712462533399166</v>
      </c>
    </row>
    <row r="115" customFormat="false" ht="15" hidden="false" customHeight="false" outlineLevel="0" collapsed="false">
      <c r="C115" s="0" t="s">
        <v>167</v>
      </c>
      <c r="D115" s="11" t="s">
        <v>27</v>
      </c>
      <c r="E115" s="22" t="n">
        <f aca="false">Calc_2!$E153</f>
        <v>0.113692971306157</v>
      </c>
      <c r="H115" s="39" t="n">
        <v>0.113692971306157</v>
      </c>
      <c r="I115" s="39" t="n">
        <v>0.113692971306157</v>
      </c>
      <c r="J115" s="39" t="n">
        <v>0.113692971306157</v>
      </c>
      <c r="K115" s="39" t="n">
        <v>0.108852199184703</v>
      </c>
      <c r="L115" s="39" t="n">
        <v>0.095332960449999</v>
      </c>
      <c r="M115" s="39" t="n">
        <v>0.133205412421519</v>
      </c>
      <c r="N115" s="39" t="n">
        <v>0.109504322145821</v>
      </c>
      <c r="O115" s="39" t="n">
        <v>0.109606167699749</v>
      </c>
      <c r="P115" s="39" t="n">
        <v>0.10692053599281</v>
      </c>
      <c r="Q115" s="39" t="n">
        <v>0.0853021823000894</v>
      </c>
      <c r="R115" s="39" t="n">
        <v>0.11837992836179</v>
      </c>
      <c r="S115" s="39" t="n">
        <v>0.103378757151849</v>
      </c>
      <c r="T115" s="39" t="n">
        <v>0.12128083270735</v>
      </c>
      <c r="U115" s="39" t="n">
        <v>0.100923053294043</v>
      </c>
      <c r="V115" s="39" t="n">
        <v>0.118465201099218</v>
      </c>
      <c r="W115" s="39" t="n">
        <v>0.107429706179022</v>
      </c>
    </row>
    <row r="116" customFormat="false" ht="15" hidden="false" customHeight="false" outlineLevel="0" collapsed="false">
      <c r="C116" s="0" t="s">
        <v>168</v>
      </c>
      <c r="D116" s="11" t="s">
        <v>13</v>
      </c>
      <c r="E116" s="29" t="n">
        <f aca="false">Calc_1!$E154</f>
        <v>3.3862485569113</v>
      </c>
      <c r="H116" s="40" t="n">
        <v>3.3862485569113</v>
      </c>
      <c r="I116" s="40" t="n">
        <v>3.3862485569113</v>
      </c>
      <c r="J116" s="40" t="n">
        <v>3.3862485569113</v>
      </c>
      <c r="K116" s="40" t="n">
        <v>3.17428290343663</v>
      </c>
      <c r="L116" s="40" t="n">
        <v>2.82164113482565</v>
      </c>
      <c r="M116" s="40" t="n">
        <v>4.01383945995514</v>
      </c>
      <c r="N116" s="40" t="n">
        <v>3.29255919027108</v>
      </c>
      <c r="O116" s="40" t="n">
        <v>3.27963155630265</v>
      </c>
      <c r="P116" s="40" t="n">
        <v>3.50074981963238</v>
      </c>
      <c r="Q116" s="40" t="n">
        <v>2.50179956539531</v>
      </c>
      <c r="R116" s="40" t="n">
        <v>3.55555391693712</v>
      </c>
      <c r="S116" s="40" t="n">
        <v>3.14371744973553</v>
      </c>
      <c r="T116" s="40" t="n">
        <v>5.17001408441604</v>
      </c>
      <c r="U116" s="40" t="n">
        <v>3.58302153738787</v>
      </c>
      <c r="V116" s="40" t="n">
        <v>3.130403587176</v>
      </c>
      <c r="W116" s="40" t="n">
        <v>2.95459584754917</v>
      </c>
    </row>
    <row r="117" customFormat="false" ht="15" hidden="false" customHeight="false" outlineLevel="0" collapsed="false">
      <c r="C117" s="0" t="s">
        <v>169</v>
      </c>
      <c r="D117" s="11" t="s">
        <v>13</v>
      </c>
      <c r="E117" s="29" t="n">
        <f aca="false">Calc_2!$E154</f>
        <v>4.8152979942002</v>
      </c>
      <c r="H117" s="40" t="n">
        <v>4.8152979942002</v>
      </c>
      <c r="I117" s="40" t="n">
        <v>4.8152979942002</v>
      </c>
      <c r="J117" s="40" t="n">
        <v>4.8152979942002</v>
      </c>
      <c r="K117" s="40" t="n">
        <v>4.62401177579296</v>
      </c>
      <c r="L117" s="40" t="n">
        <v>4.08430719824939</v>
      </c>
      <c r="M117" s="40" t="n">
        <v>5.63235080641867</v>
      </c>
      <c r="N117" s="40" t="n">
        <v>4.67897295039107</v>
      </c>
      <c r="O117" s="40" t="n">
        <v>4.71238541245439</v>
      </c>
      <c r="P117" s="40" t="n">
        <v>4.91296426564616</v>
      </c>
      <c r="Q117" s="40" t="n">
        <v>3.40929849541297</v>
      </c>
      <c r="R117" s="40" t="n">
        <v>5.08461314673198</v>
      </c>
      <c r="S117" s="40" t="n">
        <v>4.41153320347352</v>
      </c>
      <c r="T117" s="40" t="n">
        <v>5.17001408441604</v>
      </c>
      <c r="U117" s="40" t="n">
        <v>5.05403715538021</v>
      </c>
      <c r="V117" s="40" t="n">
        <v>5.31191565866826</v>
      </c>
      <c r="W117" s="40" t="n">
        <v>4.58619484083524</v>
      </c>
    </row>
    <row r="118" customFormat="false" ht="15" hidden="false" customHeight="false" outlineLevel="0" collapsed="false">
      <c r="C118" s="0" t="s">
        <v>170</v>
      </c>
      <c r="D118" s="11" t="s">
        <v>82</v>
      </c>
      <c r="E118" s="32" t="n">
        <f aca="false">Calc_1!$E155/Thousand</f>
        <v>-2.42756798606144</v>
      </c>
      <c r="H118" s="37" t="n">
        <v>-2.42756798606144</v>
      </c>
      <c r="I118" s="37" t="n">
        <v>-2.42756798606144</v>
      </c>
      <c r="J118" s="37" t="n">
        <v>-2.42756798606144</v>
      </c>
      <c r="K118" s="37" t="n">
        <v>-6.14080247793174</v>
      </c>
      <c r="L118" s="37" t="n">
        <v>-11.3495668100594</v>
      </c>
      <c r="M118" s="37" t="n">
        <v>7.37741696502265</v>
      </c>
      <c r="N118" s="37" t="n">
        <v>-4.02575496994389</v>
      </c>
      <c r="O118" s="37" t="n">
        <v>-4.96846933081241</v>
      </c>
      <c r="P118" s="37" t="n">
        <v>-4.89468917476368</v>
      </c>
      <c r="Q118" s="37" t="n">
        <v>-11.6187025743664</v>
      </c>
      <c r="R118" s="37" t="n">
        <v>-0.717325491365851</v>
      </c>
      <c r="S118" s="37" t="n">
        <v>-6.72159613562962</v>
      </c>
      <c r="T118" s="37" t="n">
        <v>17.7865149599227</v>
      </c>
      <c r="U118" s="37" t="n">
        <v>-6.14772602532464</v>
      </c>
      <c r="V118" s="37" t="n">
        <v>-3.72609993839986</v>
      </c>
      <c r="W118" s="37" t="n">
        <v>-6.16682786743725</v>
      </c>
    </row>
    <row r="119" customFormat="false" ht="15" hidden="false" customHeight="false" outlineLevel="0" collapsed="false">
      <c r="C119" s="0" t="s">
        <v>171</v>
      </c>
      <c r="D119" s="11" t="s">
        <v>82</v>
      </c>
      <c r="E119" s="32" t="n">
        <f aca="false">Calc_2!$E155/Thousand</f>
        <v>15.7371730773708</v>
      </c>
      <c r="H119" s="37" t="n">
        <v>15.7371730773708</v>
      </c>
      <c r="I119" s="37" t="n">
        <v>15.7371730773708</v>
      </c>
      <c r="J119" s="37" t="n">
        <v>15.7371730773708</v>
      </c>
      <c r="K119" s="37" t="n">
        <v>13.8201570816997</v>
      </c>
      <c r="L119" s="37" t="n">
        <v>6.98643524879082</v>
      </c>
      <c r="M119" s="37" t="n">
        <v>25.467779368533</v>
      </c>
      <c r="N119" s="37" t="n">
        <v>14.1389860934883</v>
      </c>
      <c r="O119" s="37" t="n">
        <v>13.9348747124058</v>
      </c>
      <c r="P119" s="37" t="n">
        <v>13.9098346235766</v>
      </c>
      <c r="Q119" s="37" t="n">
        <v>2.21052968021362</v>
      </c>
      <c r="R119" s="37" t="n">
        <v>18.2703166072689</v>
      </c>
      <c r="S119" s="37" t="n">
        <v>11.5443871780731</v>
      </c>
      <c r="T119" s="37" t="n">
        <v>17.7865149599227</v>
      </c>
      <c r="U119" s="37" t="n">
        <v>12.0263591846603</v>
      </c>
      <c r="V119" s="37" t="n">
        <v>16.6125621146329</v>
      </c>
      <c r="W119" s="37" t="n">
        <v>14.1630576927205</v>
      </c>
    </row>
    <row r="120" customFormat="false" ht="15" hidden="false" customHeight="false" outlineLevel="0" collapsed="false">
      <c r="C120" s="0" t="s">
        <v>172</v>
      </c>
      <c r="D120" s="11" t="s">
        <v>82</v>
      </c>
      <c r="E120" s="32" t="n">
        <f aca="false">Calc_1!$E103/Thousand</f>
        <v>59.0554976513219</v>
      </c>
      <c r="H120" s="37" t="n">
        <v>59.0554976513219</v>
      </c>
      <c r="I120" s="37" t="n">
        <v>59.0554976513219</v>
      </c>
      <c r="J120" s="37" t="n">
        <v>59.0554976513219</v>
      </c>
      <c r="K120" s="37" t="n">
        <v>62.208248803107</v>
      </c>
      <c r="L120" s="37" t="n">
        <v>59.0554976513219</v>
      </c>
      <c r="M120" s="37" t="n">
        <v>59.0554976513219</v>
      </c>
      <c r="N120" s="37" t="n">
        <v>59.0554976513219</v>
      </c>
      <c r="O120" s="37" t="n">
        <v>59.594912468236</v>
      </c>
      <c r="P120" s="37" t="n">
        <v>59.0554976513219</v>
      </c>
      <c r="Q120" s="37" t="n">
        <v>59.0554976513219</v>
      </c>
      <c r="R120" s="37" t="n">
        <v>59.0554976513219</v>
      </c>
      <c r="S120" s="37" t="n">
        <v>62.5034825063159</v>
      </c>
      <c r="T120" s="37" t="n">
        <v>37.1441561889424</v>
      </c>
      <c r="U120" s="37" t="n">
        <v>59.0554976513219</v>
      </c>
      <c r="V120" s="37" t="n">
        <v>49.5</v>
      </c>
      <c r="W120" s="37" t="n">
        <v>39.05</v>
      </c>
    </row>
    <row r="121" customFormat="false" ht="15" hidden="false" customHeight="false" outlineLevel="0" collapsed="false">
      <c r="C121" s="0" t="s">
        <v>173</v>
      </c>
      <c r="D121" s="11" t="s">
        <v>82</v>
      </c>
      <c r="E121" s="32" t="n">
        <f aca="false">Calc_2!$E103/Thousand</f>
        <v>43.3973364285807</v>
      </c>
      <c r="H121" s="37" t="n">
        <v>43.3973364285807</v>
      </c>
      <c r="I121" s="37" t="n">
        <v>43.3973364285807</v>
      </c>
      <c r="J121" s="37" t="n">
        <v>43.3973364285807</v>
      </c>
      <c r="K121" s="37" t="n">
        <v>45.0566791400465</v>
      </c>
      <c r="L121" s="37" t="n">
        <v>43.3973364285807</v>
      </c>
      <c r="M121" s="37" t="n">
        <v>43.3973364285807</v>
      </c>
      <c r="N121" s="37" t="n">
        <v>43.3973364285807</v>
      </c>
      <c r="O121" s="37" t="n">
        <v>43.7982726026096</v>
      </c>
      <c r="P121" s="37" t="n">
        <v>43.3973364285807</v>
      </c>
      <c r="Q121" s="37" t="n">
        <v>43.3973364285807</v>
      </c>
      <c r="R121" s="37" t="n">
        <v>43.3973364285807</v>
      </c>
      <c r="S121" s="37" t="n">
        <v>46.8453212835746</v>
      </c>
      <c r="T121" s="37" t="n">
        <v>37.1441561889424</v>
      </c>
      <c r="U121" s="37" t="n">
        <v>43.3973364285807</v>
      </c>
      <c r="V121" s="37" t="n">
        <v>49.5</v>
      </c>
      <c r="W121" s="37" t="n">
        <v>39.05</v>
      </c>
    </row>
    <row r="122" customFormat="false" ht="15" hidden="false" customHeight="false" outlineLevel="0" collapsed="false">
      <c r="C122" s="0" t="s">
        <v>174</v>
      </c>
      <c r="D122" s="11" t="s">
        <v>82</v>
      </c>
      <c r="E122" s="32" t="n">
        <f aca="false">Calc_1!$E129/Thousand</f>
        <v>54.3739265999892</v>
      </c>
      <c r="H122" s="37" t="n">
        <v>54.3739265999892</v>
      </c>
      <c r="I122" s="37" t="n">
        <v>54.3739265999892</v>
      </c>
      <c r="J122" s="37" t="n">
        <v>54.3739265999892</v>
      </c>
      <c r="K122" s="37" t="n">
        <v>56.9284640801166</v>
      </c>
      <c r="L122" s="37" t="n">
        <v>54.3739265999892</v>
      </c>
      <c r="M122" s="37" t="n">
        <v>54.3739265999892</v>
      </c>
      <c r="N122" s="37" t="n">
        <v>54.3739265999892</v>
      </c>
      <c r="O122" s="37" t="n">
        <v>54.3833663592852</v>
      </c>
      <c r="P122" s="37" t="n">
        <v>54.3739265999892</v>
      </c>
      <c r="Q122" s="37" t="n">
        <v>54.3739265999892</v>
      </c>
      <c r="R122" s="37" t="n">
        <v>54.3739265999892</v>
      </c>
      <c r="S122" s="37" t="n">
        <v>57.3494828570007</v>
      </c>
      <c r="T122" s="37" t="n">
        <v>36.5294829930906</v>
      </c>
      <c r="U122" s="37" t="n">
        <v>54.3739265999892</v>
      </c>
      <c r="V122" s="37" t="n">
        <v>63.2489097322087</v>
      </c>
      <c r="W122" s="37" t="n">
        <v>72.9546913791607</v>
      </c>
    </row>
    <row r="123" customFormat="false" ht="15" hidden="false" customHeight="false" outlineLevel="0" collapsed="false">
      <c r="C123" s="0" t="s">
        <v>175</v>
      </c>
      <c r="D123" s="11" t="s">
        <v>82</v>
      </c>
      <c r="E123" s="32" t="n">
        <f aca="false">Calc_2!$E129/Thousand</f>
        <v>41.6867978709354</v>
      </c>
      <c r="H123" s="37" t="n">
        <v>41.6867978709354</v>
      </c>
      <c r="I123" s="37" t="n">
        <v>41.6867978709354</v>
      </c>
      <c r="J123" s="37" t="n">
        <v>41.6867978709354</v>
      </c>
      <c r="K123" s="37" t="n">
        <v>43.0312912815288</v>
      </c>
      <c r="L123" s="37" t="n">
        <v>41.6867978709354</v>
      </c>
      <c r="M123" s="37" t="n">
        <v>41.6867978709354</v>
      </c>
      <c r="N123" s="37" t="n">
        <v>41.6867978709354</v>
      </c>
      <c r="O123" s="37" t="n">
        <v>41.6938142539809</v>
      </c>
      <c r="P123" s="37" t="n">
        <v>41.6867978709354</v>
      </c>
      <c r="Q123" s="37" t="n">
        <v>41.6867978709354</v>
      </c>
      <c r="R123" s="37" t="n">
        <v>41.6867978709354</v>
      </c>
      <c r="S123" s="37" t="n">
        <v>44.662354127947</v>
      </c>
      <c r="T123" s="37" t="n">
        <v>36.5294829930906</v>
      </c>
      <c r="U123" s="37" t="n">
        <v>41.6867978709354</v>
      </c>
      <c r="V123" s="37" t="n">
        <v>36.0211862751514</v>
      </c>
      <c r="W123" s="37" t="n">
        <v>45.7227928741489</v>
      </c>
    </row>
    <row r="124" customFormat="false" ht="15" hidden="false" customHeight="false" outlineLevel="0" collapsed="false">
      <c r="C124" s="0" t="s">
        <v>176</v>
      </c>
      <c r="D124" s="11" t="s">
        <v>27</v>
      </c>
      <c r="E124" s="22" t="n">
        <f aca="false">Calc_1!$E145</f>
        <v>0.0566120049273495</v>
      </c>
      <c r="H124" s="39" t="n">
        <v>0.0566120049273495</v>
      </c>
      <c r="I124" s="39" t="n">
        <v>0.0671411805789411</v>
      </c>
      <c r="J124" s="39" t="n">
        <v>0.0476677547804962</v>
      </c>
      <c r="K124" s="39" t="n">
        <v>0.0570237800580346</v>
      </c>
      <c r="L124" s="39" t="n">
        <v>0.0454605237208489</v>
      </c>
      <c r="M124" s="39" t="n">
        <v>0.0682349889163248</v>
      </c>
      <c r="N124" s="39" t="n">
        <v>0.0566552895652623</v>
      </c>
      <c r="O124" s="39" t="n">
        <v>0.0570334039740257</v>
      </c>
      <c r="P124" s="39" t="n">
        <v>0.0560328167333232</v>
      </c>
      <c r="Q124" s="39" t="n">
        <v>0.0424945120908968</v>
      </c>
      <c r="R124" s="39" t="n">
        <v>0.0589422098144807</v>
      </c>
      <c r="S124" s="39" t="n">
        <v>0.0569858840117009</v>
      </c>
      <c r="T124" s="39" t="n">
        <v>0.07308242150111</v>
      </c>
      <c r="U124" s="39" t="n">
        <v>0.0557472712009901</v>
      </c>
      <c r="V124" s="39" t="n">
        <v>0.0562961227328924</v>
      </c>
      <c r="W124" s="39" t="n">
        <v>0.0556490264108512</v>
      </c>
    </row>
    <row r="125" customFormat="false" ht="15" hidden="false" customHeight="false" outlineLevel="0" collapsed="false">
      <c r="C125" s="0" t="s">
        <v>177</v>
      </c>
      <c r="D125" s="11" t="s">
        <v>27</v>
      </c>
      <c r="E125" s="22" t="n">
        <f aca="false">Calc_2!$E145</f>
        <v>0.0695907325382153</v>
      </c>
      <c r="H125" s="39" t="n">
        <v>0.0695907325382153</v>
      </c>
      <c r="I125" s="39" t="n">
        <v>0.0809887219405661</v>
      </c>
      <c r="J125" s="39" t="n">
        <v>0.0599553467726889</v>
      </c>
      <c r="K125" s="39" t="n">
        <v>0.0698836141417252</v>
      </c>
      <c r="L125" s="39" t="n">
        <v>0.0575531558303616</v>
      </c>
      <c r="M125" s="39" t="n">
        <v>0.0823144155251495</v>
      </c>
      <c r="N125" s="39" t="n">
        <v>0.0696571641395579</v>
      </c>
      <c r="O125" s="39" t="n">
        <v>0.0700374945791859</v>
      </c>
      <c r="P125" s="39" t="n">
        <v>0.069089421152699</v>
      </c>
      <c r="Q125" s="39" t="n">
        <v>0.0490112141118185</v>
      </c>
      <c r="R125" s="39" t="n">
        <v>0.0730285854119197</v>
      </c>
      <c r="S125" s="39" t="n">
        <v>0.0701340184552324</v>
      </c>
      <c r="T125" s="39" t="n">
        <v>0.07308242150111</v>
      </c>
      <c r="U125" s="39" t="n">
        <v>0.0685735885512311</v>
      </c>
      <c r="V125" s="39" t="n">
        <v>0.0698829968732872</v>
      </c>
      <c r="W125" s="39" t="n">
        <v>0.0691202696015077</v>
      </c>
    </row>
    <row r="126" customFormat="false" ht="15" hidden="false" customHeight="false" outlineLevel="0" collapsed="false">
      <c r="C126" s="0" t="s">
        <v>178</v>
      </c>
      <c r="D126" s="11" t="s">
        <v>27</v>
      </c>
      <c r="E126" s="22" t="n">
        <f aca="false">Calc_1!$E147</f>
        <v>0.0578758717662863</v>
      </c>
      <c r="H126" s="39" t="n">
        <v>0.0578758717662863</v>
      </c>
      <c r="I126" s="39" t="n">
        <v>0.0730555367613808</v>
      </c>
      <c r="J126" s="39" t="n">
        <v>0.0461194197362587</v>
      </c>
      <c r="K126" s="39" t="n">
        <v>0.0585372571513242</v>
      </c>
      <c r="L126" s="39" t="n">
        <v>0.0429746380006849</v>
      </c>
      <c r="M126" s="39" t="n">
        <v>0.0736968781722819</v>
      </c>
      <c r="N126" s="39" t="n">
        <v>0.0579363196871536</v>
      </c>
      <c r="O126" s="39" t="n">
        <v>0.0546522867041186</v>
      </c>
      <c r="P126" s="39" t="n">
        <v>0.0565051088027426</v>
      </c>
      <c r="Q126" s="39" t="n">
        <v>0.038648723865113</v>
      </c>
      <c r="R126" s="39" t="n">
        <v>0.0609869435446431</v>
      </c>
      <c r="S126" s="39" t="n">
        <v>0.0584936795101323</v>
      </c>
      <c r="T126" s="39" t="n">
        <v>0.078539537997737</v>
      </c>
      <c r="U126" s="39" t="n">
        <v>0.0559250693034413</v>
      </c>
      <c r="V126" s="39" t="n">
        <v>0.0572094471619621</v>
      </c>
      <c r="W126" s="39" t="n">
        <v>0.0560106672310367</v>
      </c>
    </row>
    <row r="127" customFormat="false" ht="15" hidden="false" customHeight="false" outlineLevel="0" collapsed="false">
      <c r="C127" s="0" t="s">
        <v>179</v>
      </c>
      <c r="D127" s="11" t="s">
        <v>27</v>
      </c>
      <c r="E127" s="22" t="n">
        <f aca="false">Calc_2!$E147</f>
        <v>0.0744377625136832</v>
      </c>
      <c r="H127" s="39" t="n">
        <v>0.0744377625136832</v>
      </c>
      <c r="I127" s="39" t="n">
        <v>0.090817377458001</v>
      </c>
      <c r="J127" s="39" t="n">
        <v>0.0617041981705023</v>
      </c>
      <c r="K127" s="39" t="n">
        <v>0.0750788395867508</v>
      </c>
      <c r="L127" s="39" t="n">
        <v>0.0588519904848703</v>
      </c>
      <c r="M127" s="39" t="n">
        <v>0.0911917758807902</v>
      </c>
      <c r="N127" s="39" t="n">
        <v>0.0745348031586085</v>
      </c>
      <c r="O127" s="39" t="n">
        <v>0.0718726125802269</v>
      </c>
      <c r="P127" s="39" t="n">
        <v>0.0719729667193003</v>
      </c>
      <c r="Q127" s="39" t="n">
        <v>0.0478411016410151</v>
      </c>
      <c r="R127" s="39" t="n">
        <v>0.0788625315119085</v>
      </c>
      <c r="S127" s="39" t="n">
        <v>0.0756971969563188</v>
      </c>
      <c r="T127" s="39" t="n">
        <v>0.078539537997737</v>
      </c>
      <c r="U127" s="39" t="n">
        <v>0.0698612221421724</v>
      </c>
      <c r="V127" s="39" t="n">
        <v>0.0757916899883517</v>
      </c>
      <c r="W127" s="39" t="n">
        <v>0.0722883003226288</v>
      </c>
    </row>
    <row r="128" customFormat="false" ht="15" hidden="false" customHeight="false" outlineLevel="0" collapsed="false">
      <c r="C128" s="0" t="s">
        <v>180</v>
      </c>
      <c r="D128" s="11" t="s">
        <v>27</v>
      </c>
      <c r="E128" s="22" t="n">
        <f aca="false">Calc_1!$E90</f>
        <v>0.55</v>
      </c>
      <c r="H128" s="39" t="n">
        <v>0.55</v>
      </c>
      <c r="I128" s="39" t="n">
        <v>0.55</v>
      </c>
      <c r="J128" s="39" t="n">
        <v>0.55</v>
      </c>
      <c r="K128" s="39" t="n">
        <v>0.55</v>
      </c>
      <c r="L128" s="39" t="n">
        <v>0.55</v>
      </c>
      <c r="M128" s="39" t="n">
        <v>0.55</v>
      </c>
      <c r="N128" s="39" t="n">
        <v>0.55</v>
      </c>
      <c r="O128" s="39" t="n">
        <v>0.55</v>
      </c>
      <c r="P128" s="39" t="n">
        <v>0.55</v>
      </c>
      <c r="Q128" s="39" t="n">
        <v>0.55</v>
      </c>
      <c r="R128" s="39" t="n">
        <v>0.55</v>
      </c>
      <c r="S128" s="39" t="n">
        <v>0.55</v>
      </c>
      <c r="T128" s="39" t="n">
        <v>0.55</v>
      </c>
      <c r="U128" s="39" t="n">
        <v>0.55</v>
      </c>
      <c r="V128" s="39" t="n">
        <v>0.461007037155847</v>
      </c>
      <c r="W128" s="39" t="n">
        <v>0.363683329311835</v>
      </c>
    </row>
    <row r="129" customFormat="false" ht="15" hidden="false" customHeight="false" outlineLevel="0" collapsed="false">
      <c r="C129" s="0" t="s">
        <v>181</v>
      </c>
      <c r="D129" s="11" t="s">
        <v>27</v>
      </c>
      <c r="E129" s="22" t="n">
        <f aca="false">Calc_2!$E90</f>
        <v>0.55</v>
      </c>
      <c r="H129" s="39" t="n">
        <v>0.55</v>
      </c>
      <c r="I129" s="39" t="n">
        <v>0.55</v>
      </c>
      <c r="J129" s="39" t="n">
        <v>0.55</v>
      </c>
      <c r="K129" s="39" t="n">
        <v>0.55</v>
      </c>
      <c r="L129" s="39" t="n">
        <v>0.55</v>
      </c>
      <c r="M129" s="39" t="n">
        <v>0.55</v>
      </c>
      <c r="N129" s="39" t="n">
        <v>0.55</v>
      </c>
      <c r="O129" s="39" t="n">
        <v>0.55</v>
      </c>
      <c r="P129" s="39" t="n">
        <v>0.55</v>
      </c>
      <c r="Q129" s="39" t="n">
        <v>0.55</v>
      </c>
      <c r="R129" s="39" t="n">
        <v>0.55</v>
      </c>
      <c r="S129" s="39" t="n">
        <v>0.55</v>
      </c>
      <c r="T129" s="39" t="n">
        <v>0.55</v>
      </c>
      <c r="U129" s="39" t="n">
        <v>0.55</v>
      </c>
      <c r="V129" s="39" t="n">
        <v>0.627342649123279</v>
      </c>
      <c r="W129" s="39" t="n">
        <v>0.494903645419476</v>
      </c>
    </row>
    <row r="130" customFormat="false" ht="15" hidden="false" customHeight="false" outlineLevel="0" collapsed="false">
      <c r="C130" s="0" t="s">
        <v>182</v>
      </c>
      <c r="D130" s="11" t="s">
        <v>13</v>
      </c>
      <c r="E130" s="29" t="n">
        <f aca="false">Calc_1!$E107</f>
        <v>1.62874780962486</v>
      </c>
      <c r="H130" s="40" t="n">
        <v>1.62874780962486</v>
      </c>
      <c r="I130" s="40" t="n">
        <v>1.62874780962486</v>
      </c>
      <c r="J130" s="40" t="n">
        <v>1.62874780962486</v>
      </c>
      <c r="K130" s="40" t="n">
        <v>1.55349987393714</v>
      </c>
      <c r="L130" s="40" t="n">
        <v>1.44642630435621</v>
      </c>
      <c r="M130" s="40" t="n">
        <v>1.81958824154493</v>
      </c>
      <c r="N130" s="40" t="n">
        <v>1.62874780962486</v>
      </c>
      <c r="O130" s="40" t="n">
        <v>1.51420415002885</v>
      </c>
      <c r="P130" s="40" t="n">
        <v>1.20884313380793</v>
      </c>
      <c r="Q130" s="40" t="n">
        <v>1.40308144804873</v>
      </c>
      <c r="R130" s="40" t="n">
        <v>1.64813902908934</v>
      </c>
      <c r="S130" s="40" t="n">
        <v>1.5468421321238</v>
      </c>
      <c r="T130" s="40" t="n">
        <v>2.36208528993736</v>
      </c>
      <c r="U130" s="40" t="n">
        <v>1.60704797923433</v>
      </c>
      <c r="V130" s="40" t="n">
        <v>1.94143851704669</v>
      </c>
      <c r="W130" s="40" t="n">
        <v>2.07531644800964</v>
      </c>
    </row>
    <row r="131" customFormat="false" ht="15" hidden="false" customHeight="false" outlineLevel="0" collapsed="false">
      <c r="C131" s="0" t="s">
        <v>183</v>
      </c>
      <c r="D131" s="11" t="s">
        <v>13</v>
      </c>
      <c r="E131" s="29" t="n">
        <f aca="false">Calc_2!$E107</f>
        <v>2.14598356038329</v>
      </c>
      <c r="H131" s="40" t="n">
        <v>2.14598356038329</v>
      </c>
      <c r="I131" s="40" t="n">
        <v>2.14598356038329</v>
      </c>
      <c r="J131" s="40" t="n">
        <v>2.14598356038329</v>
      </c>
      <c r="K131" s="40" t="n">
        <v>2.07464508152011</v>
      </c>
      <c r="L131" s="40" t="n">
        <v>1.91559045786635</v>
      </c>
      <c r="M131" s="40" t="n">
        <v>2.40073719744035</v>
      </c>
      <c r="N131" s="40" t="n">
        <v>2.14598356038329</v>
      </c>
      <c r="O131" s="40" t="n">
        <v>2.00719185698247</v>
      </c>
      <c r="P131" s="40" t="n">
        <v>1.59480765403155</v>
      </c>
      <c r="Q131" s="40" t="n">
        <v>1.74999354649422</v>
      </c>
      <c r="R131" s="40" t="n">
        <v>2.19435405402046</v>
      </c>
      <c r="S131" s="40" t="n">
        <v>1.99413321667496</v>
      </c>
      <c r="T131" s="40" t="n">
        <v>2.36208528993736</v>
      </c>
      <c r="U131" s="40" t="n">
        <v>2.12477393005491</v>
      </c>
      <c r="V131" s="40" t="n">
        <v>1.89052102074728</v>
      </c>
      <c r="W131" s="40" t="n">
        <v>2.02901576168952</v>
      </c>
    </row>
    <row r="132" customFormat="false" ht="15" hidden="false" customHeight="false" outlineLevel="0" collapsed="false">
      <c r="C132" s="0" t="s">
        <v>184</v>
      </c>
      <c r="D132" s="11" t="s">
        <v>152</v>
      </c>
      <c r="E132" s="30" t="n">
        <f aca="false">Model_Checks</f>
        <v>0</v>
      </c>
      <c r="H132" s="41" t="n">
        <v>0</v>
      </c>
      <c r="I132" s="41" t="n">
        <v>0</v>
      </c>
      <c r="J132" s="41" t="n">
        <v>0</v>
      </c>
      <c r="K132" s="41" t="n">
        <v>0</v>
      </c>
      <c r="L132" s="41" t="n">
        <v>0</v>
      </c>
      <c r="M132" s="41" t="n">
        <v>0</v>
      </c>
      <c r="N132" s="41" t="n">
        <v>0</v>
      </c>
      <c r="O132" s="41" t="n">
        <v>0</v>
      </c>
      <c r="P132" s="41" t="n">
        <v>0</v>
      </c>
      <c r="Q132" s="41" t="n">
        <v>0</v>
      </c>
      <c r="R132" s="41" t="n">
        <v>0</v>
      </c>
      <c r="S132" s="41" t="n">
        <v>0</v>
      </c>
      <c r="T132" s="41" t="n">
        <v>0</v>
      </c>
      <c r="U132" s="41" t="n">
        <v>0</v>
      </c>
      <c r="V132" s="41" t="n">
        <v>0</v>
      </c>
      <c r="W132" s="41" t="n">
        <v>0</v>
      </c>
    </row>
    <row r="133" customFormat="false" ht="15" hidden="false" customHeight="false" outlineLevel="0" collapsed="false">
      <c r="C133" s="0" t="s">
        <v>185</v>
      </c>
      <c r="D133" s="11" t="s">
        <v>152</v>
      </c>
      <c r="E133" s="30" t="n">
        <f aca="false">Model_Checks</f>
        <v>0</v>
      </c>
      <c r="H133" s="41" t="n">
        <v>0</v>
      </c>
      <c r="I133" s="41" t="n">
        <v>0</v>
      </c>
      <c r="J133" s="41" t="n">
        <v>0</v>
      </c>
      <c r="K133" s="41" t="n">
        <v>0</v>
      </c>
      <c r="L133" s="41" t="n">
        <v>0</v>
      </c>
      <c r="M133" s="41" t="n">
        <v>0</v>
      </c>
      <c r="N133" s="41" t="n">
        <v>0</v>
      </c>
      <c r="O133" s="41" t="n">
        <v>0</v>
      </c>
      <c r="P133" s="41" t="n">
        <v>0</v>
      </c>
      <c r="Q133" s="41" t="n">
        <v>0</v>
      </c>
      <c r="R133" s="41" t="n">
        <v>0</v>
      </c>
      <c r="S133" s="41" t="n">
        <v>0</v>
      </c>
      <c r="T133" s="41" t="n">
        <v>0</v>
      </c>
      <c r="U133" s="41" t="n">
        <v>0</v>
      </c>
      <c r="V133" s="41" t="n">
        <v>0</v>
      </c>
      <c r="W133" s="41" t="n">
        <v>0</v>
      </c>
    </row>
    <row r="135" customFormat="false" ht="15" hidden="false" customHeight="false" outlineLevel="0" collapsed="false">
      <c r="C135" s="42" t="s">
        <v>186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A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187</v>
      </c>
      <c r="D4" s="0" t="s">
        <v>188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189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190</v>
      </c>
      <c r="C7" s="7" t="s">
        <v>8</v>
      </c>
      <c r="D7" s="7" t="s">
        <v>191</v>
      </c>
      <c r="F7" s="8" t="s">
        <v>12</v>
      </c>
      <c r="H7" s="45" t="s">
        <v>22</v>
      </c>
      <c r="I7" s="45" t="s">
        <v>192</v>
      </c>
      <c r="J7" s="45" t="s">
        <v>193</v>
      </c>
      <c r="K7" s="45" t="s">
        <v>194</v>
      </c>
      <c r="L7" s="45" t="s">
        <v>195</v>
      </c>
      <c r="M7" s="45" t="s">
        <v>196</v>
      </c>
      <c r="N7" s="45" t="s">
        <v>197</v>
      </c>
      <c r="O7" s="45" t="s">
        <v>198</v>
      </c>
      <c r="P7" s="45" t="s">
        <v>199</v>
      </c>
      <c r="Q7" s="45" t="s">
        <v>200</v>
      </c>
      <c r="R7" s="45" t="s">
        <v>201</v>
      </c>
      <c r="S7" s="45" t="s">
        <v>202</v>
      </c>
      <c r="T7" s="45" t="s">
        <v>203</v>
      </c>
      <c r="U7" s="45" t="s">
        <v>204</v>
      </c>
      <c r="V7" s="45" t="s">
        <v>205</v>
      </c>
      <c r="W7" s="45" t="s">
        <v>206</v>
      </c>
    </row>
    <row r="10" customFormat="false" ht="15" hidden="false" customHeight="false" outlineLevel="0" collapsed="false">
      <c r="A10" s="9" t="s">
        <v>13</v>
      </c>
      <c r="B10" s="9"/>
      <c r="C10" s="9" t="s">
        <v>207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208</v>
      </c>
      <c r="C11" s="11" t="s">
        <v>152</v>
      </c>
      <c r="D11" s="13" t="s">
        <v>209</v>
      </c>
      <c r="F11" s="45" t="n">
        <v>1000</v>
      </c>
    </row>
    <row r="12" customFormat="false" ht="15" hidden="false" customHeight="false" outlineLevel="0" collapsed="false">
      <c r="B12" s="0" t="s">
        <v>210</v>
      </c>
      <c r="C12" s="11" t="s">
        <v>152</v>
      </c>
      <c r="D12" s="13" t="s">
        <v>209</v>
      </c>
      <c r="F12" s="45" t="n">
        <v>1000000</v>
      </c>
    </row>
    <row r="13" customFormat="false" ht="15" hidden="false" customHeight="false" outlineLevel="0" collapsed="false">
      <c r="B13" s="0" t="s">
        <v>211</v>
      </c>
      <c r="C13" s="11" t="s">
        <v>212</v>
      </c>
      <c r="D13" s="13" t="s">
        <v>213</v>
      </c>
      <c r="F13" s="45" t="n">
        <v>365</v>
      </c>
    </row>
    <row r="14" customFormat="false" ht="15" hidden="false" customHeight="false" outlineLevel="0" collapsed="false">
      <c r="B14" s="0" t="s">
        <v>214</v>
      </c>
      <c r="C14" s="11" t="s">
        <v>215</v>
      </c>
      <c r="F14" s="45" t="n">
        <v>12</v>
      </c>
    </row>
    <row r="15" customFormat="false" ht="15" hidden="false" customHeight="false" outlineLevel="0" collapsed="false">
      <c r="B15" s="0" t="s">
        <v>216</v>
      </c>
      <c r="C15" s="11" t="s">
        <v>215</v>
      </c>
      <c r="D15" s="13" t="s">
        <v>217</v>
      </c>
      <c r="F15" s="45" t="n">
        <v>3</v>
      </c>
    </row>
    <row r="16" customFormat="false" ht="15" hidden="false" customHeight="false" outlineLevel="0" collapsed="false">
      <c r="B16" s="0" t="s">
        <v>218</v>
      </c>
      <c r="C16" s="11" t="s">
        <v>152</v>
      </c>
      <c r="D16" s="13" t="s">
        <v>219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220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221</v>
      </c>
      <c r="C19" s="11" t="s">
        <v>38</v>
      </c>
      <c r="D19" s="13" t="s">
        <v>222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customFormat="false" ht="15" hidden="false" customHeight="false" outlineLevel="0" collapsed="false">
      <c r="B20" s="0" t="s">
        <v>223</v>
      </c>
      <c r="C20" s="11" t="s">
        <v>27</v>
      </c>
      <c r="D20" s="13" t="s">
        <v>224</v>
      </c>
      <c r="F20" s="45" t="n">
        <v>0.1</v>
      </c>
    </row>
    <row r="21" customFormat="false" ht="15" hidden="false" customHeight="false" outlineLevel="0" collapsed="false">
      <c r="B21" s="0" t="s">
        <v>225</v>
      </c>
      <c r="C21" s="11" t="s">
        <v>38</v>
      </c>
      <c r="D21" s="13" t="s">
        <v>226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customFormat="false" ht="15" hidden="false" customHeight="false" outlineLevel="0" collapsed="false">
      <c r="B22" s="0" t="s">
        <v>227</v>
      </c>
      <c r="C22" s="11" t="s">
        <v>38</v>
      </c>
      <c r="D22" s="13" t="s">
        <v>228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customFormat="false" ht="15" hidden="false" customHeight="false" outlineLevel="0" collapsed="false">
      <c r="B23" s="0" t="s">
        <v>229</v>
      </c>
      <c r="C23" s="11" t="s">
        <v>38</v>
      </c>
      <c r="D23" s="13" t="s">
        <v>230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customFormat="false" ht="15" hidden="false" customHeight="false" outlineLevel="0" collapsed="false">
      <c r="B24" s="0" t="s">
        <v>231</v>
      </c>
      <c r="C24" s="11" t="s">
        <v>212</v>
      </c>
      <c r="D24" s="13" t="s">
        <v>232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customFormat="false" ht="15" hidden="false" customHeight="false" outlineLevel="0" collapsed="false">
      <c r="B25" s="0" t="s">
        <v>233</v>
      </c>
      <c r="C25" s="11" t="s">
        <v>38</v>
      </c>
      <c r="D25" s="13" t="s">
        <v>234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customFormat="false" ht="15" hidden="false" customHeight="false" outlineLevel="0" collapsed="false">
      <c r="B26" s="0" t="s">
        <v>235</v>
      </c>
      <c r="C26" s="11" t="s">
        <v>38</v>
      </c>
      <c r="D26" s="13" t="s">
        <v>236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customFormat="false" ht="15" hidden="false" customHeight="false" outlineLevel="0" collapsed="false">
      <c r="B27" s="0" t="s">
        <v>237</v>
      </c>
      <c r="C27" s="11" t="s">
        <v>38</v>
      </c>
      <c r="D27" s="13" t="s">
        <v>238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customFormat="false" ht="15" hidden="false" customHeight="false" outlineLevel="0" collapsed="false">
      <c r="B28" s="0" t="s">
        <v>239</v>
      </c>
      <c r="C28" s="11" t="s">
        <v>38</v>
      </c>
      <c r="D28" s="13" t="s">
        <v>240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customFormat="false" ht="15" hidden="false" customHeight="false" outlineLevel="0" collapsed="false">
      <c r="B29" s="0" t="s">
        <v>241</v>
      </c>
      <c r="C29" s="11" t="s">
        <v>66</v>
      </c>
      <c r="D29" s="13" t="s">
        <v>242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customFormat="false" ht="15" hidden="false" customHeight="false" outlineLevel="0" collapsed="false">
      <c r="B30" s="0" t="s">
        <v>243</v>
      </c>
      <c r="C30" s="11" t="s">
        <v>38</v>
      </c>
      <c r="D30" s="13" t="s">
        <v>244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2" customFormat="false" ht="15" hidden="false" customHeight="false" outlineLevel="0" collapsed="false">
      <c r="A32" s="9" t="s">
        <v>13</v>
      </c>
      <c r="B32" s="9"/>
      <c r="C32" s="9" t="s">
        <v>245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246</v>
      </c>
      <c r="C33" s="11" t="s">
        <v>79</v>
      </c>
      <c r="D33" s="13" t="s">
        <v>247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customFormat="false" ht="15" hidden="false" customHeight="false" outlineLevel="0" collapsed="false">
      <c r="B34" s="0" t="s">
        <v>248</v>
      </c>
      <c r="C34" s="11" t="s">
        <v>33</v>
      </c>
      <c r="D34" s="13" t="s">
        <v>249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customFormat="false" ht="15" hidden="false" customHeight="false" outlineLevel="0" collapsed="false">
      <c r="B35" s="0" t="s">
        <v>250</v>
      </c>
      <c r="C35" s="11" t="s">
        <v>33</v>
      </c>
      <c r="D35" s="13" t="s">
        <v>251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customFormat="false" ht="15" hidden="false" customHeight="false" outlineLevel="0" collapsed="false">
      <c r="B36" s="0" t="s">
        <v>252</v>
      </c>
      <c r="C36" s="11" t="s">
        <v>33</v>
      </c>
      <c r="D36" s="13" t="s">
        <v>253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customFormat="false" ht="15" hidden="false" customHeight="false" outlineLevel="0" collapsed="false">
      <c r="B37" s="0" t="s">
        <v>254</v>
      </c>
      <c r="C37" s="11" t="s">
        <v>19</v>
      </c>
      <c r="D37" s="13" t="s">
        <v>255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customFormat="false" ht="15" hidden="false" customHeight="false" outlineLevel="0" collapsed="false">
      <c r="B38" s="0" t="s">
        <v>256</v>
      </c>
      <c r="C38" s="11" t="s">
        <v>19</v>
      </c>
      <c r="D38" s="13" t="s">
        <v>257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customFormat="false" ht="15" hidden="false" customHeight="false" outlineLevel="0" collapsed="false">
      <c r="B39" s="0" t="s">
        <v>258</v>
      </c>
      <c r="C39" s="11" t="s">
        <v>33</v>
      </c>
      <c r="D39" s="13" t="s">
        <v>259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customFormat="false" ht="15" hidden="false" customHeight="false" outlineLevel="0" collapsed="false">
      <c r="B40" s="0" t="s">
        <v>260</v>
      </c>
      <c r="C40" s="11" t="s">
        <v>27</v>
      </c>
      <c r="D40" s="13" t="s">
        <v>261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customFormat="false" ht="15" hidden="false" customHeight="false" outlineLevel="0" collapsed="false">
      <c r="B41" s="0" t="s">
        <v>262</v>
      </c>
      <c r="C41" s="11" t="s">
        <v>27</v>
      </c>
      <c r="D41" s="13" t="s">
        <v>263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</row>
    <row r="42" customFormat="false" ht="15" hidden="false" customHeight="false" outlineLevel="0" collapsed="false">
      <c r="B42" s="0" t="s">
        <v>264</v>
      </c>
      <c r="C42" s="11" t="s">
        <v>43</v>
      </c>
      <c r="D42" s="13" t="s">
        <v>265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</row>
    <row r="43" customFormat="false" ht="15" hidden="false" customHeight="false" outlineLevel="0" collapsed="false">
      <c r="B43" s="0" t="s">
        <v>266</v>
      </c>
      <c r="C43" s="11" t="s">
        <v>27</v>
      </c>
      <c r="D43" s="13" t="s">
        <v>267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customFormat="false" ht="15" hidden="false" customHeight="false" outlineLevel="0" collapsed="false">
      <c r="B44" s="0" t="s">
        <v>268</v>
      </c>
      <c r="C44" s="11" t="s">
        <v>43</v>
      </c>
      <c r="D44" s="13" t="s">
        <v>269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</row>
    <row r="45" customFormat="false" ht="15" hidden="false" customHeight="false" outlineLevel="0" collapsed="false">
      <c r="B45" s="0" t="s">
        <v>270</v>
      </c>
      <c r="C45" s="11" t="s">
        <v>66</v>
      </c>
      <c r="D45" s="13" t="s">
        <v>271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</row>
    <row r="46" customFormat="false" ht="15" hidden="false" customHeight="false" outlineLevel="0" collapsed="false">
      <c r="B46" s="0" t="s">
        <v>272</v>
      </c>
      <c r="C46" s="11" t="s">
        <v>27</v>
      </c>
      <c r="D46" s="13" t="s">
        <v>273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customFormat="false" ht="15" hidden="false" customHeight="false" outlineLevel="0" collapsed="false">
      <c r="B47" s="0" t="s">
        <v>274</v>
      </c>
      <c r="C47" s="11" t="s">
        <v>66</v>
      </c>
      <c r="D47" s="13" t="s">
        <v>275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</row>
    <row r="49" customFormat="false" ht="15" hidden="false" customHeight="false" outlineLevel="0" collapsed="false">
      <c r="A49" s="9" t="s">
        <v>13</v>
      </c>
      <c r="B49" s="9"/>
      <c r="C49" s="9" t="s">
        <v>276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277</v>
      </c>
      <c r="C50" s="11" t="s">
        <v>152</v>
      </c>
      <c r="D50" s="13" t="s">
        <v>278</v>
      </c>
      <c r="F50" s="45" t="n">
        <v>2</v>
      </c>
    </row>
    <row r="51" customFormat="false" ht="15" hidden="false" customHeight="false" outlineLevel="0" collapsed="false">
      <c r="B51" s="0" t="s">
        <v>279</v>
      </c>
      <c r="C51" s="11" t="s">
        <v>77</v>
      </c>
      <c r="D51" s="13" t="s">
        <v>280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</row>
    <row r="52" customFormat="false" ht="15" hidden="false" customHeight="false" outlineLevel="0" collapsed="false">
      <c r="B52" s="0" t="s">
        <v>281</v>
      </c>
      <c r="C52" s="11" t="s">
        <v>27</v>
      </c>
      <c r="D52" s="13" t="s">
        <v>224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 t="n">
        <v>0</v>
      </c>
      <c r="U52" s="17"/>
      <c r="V52" s="17"/>
      <c r="W52" s="17"/>
    </row>
    <row r="53" customFormat="false" ht="15" hidden="false" customHeight="false" outlineLevel="0" collapsed="false">
      <c r="B53" s="0" t="s">
        <v>282</v>
      </c>
      <c r="C53" s="11" t="s">
        <v>43</v>
      </c>
      <c r="D53" s="13" t="s">
        <v>283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 t="n">
        <v>0</v>
      </c>
      <c r="U53" s="23"/>
      <c r="V53" s="23"/>
      <c r="W53" s="23"/>
    </row>
    <row r="54" customFormat="false" ht="15" hidden="false" customHeight="false" outlineLevel="0" collapsed="false">
      <c r="B54" s="0" t="s">
        <v>284</v>
      </c>
      <c r="C54" s="11" t="s">
        <v>27</v>
      </c>
      <c r="D54" s="13" t="s">
        <v>285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 t="n">
        <v>0.5</v>
      </c>
      <c r="T54" s="17"/>
      <c r="U54" s="17"/>
      <c r="V54" s="17"/>
      <c r="W54" s="17"/>
    </row>
    <row r="55" customFormat="false" ht="15" hidden="false" customHeight="false" outlineLevel="0" collapsed="false">
      <c r="B55" s="0" t="s">
        <v>286</v>
      </c>
      <c r="C55" s="11" t="s">
        <v>27</v>
      </c>
      <c r="D55" s="13" t="s">
        <v>287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</row>
    <row r="56" customFormat="false" ht="15" hidden="false" customHeight="false" outlineLevel="0" collapsed="false">
      <c r="B56" s="0" t="s">
        <v>288</v>
      </c>
      <c r="C56" s="11" t="s">
        <v>43</v>
      </c>
      <c r="D56" s="13" t="s">
        <v>224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 t="n">
        <v>0</v>
      </c>
      <c r="U56" s="23"/>
      <c r="V56" s="23"/>
      <c r="W56" s="23"/>
    </row>
    <row r="57" customFormat="false" ht="15" hidden="false" customHeight="false" outlineLevel="0" collapsed="false">
      <c r="B57" s="0" t="s">
        <v>289</v>
      </c>
      <c r="C57" s="11" t="s">
        <v>35</v>
      </c>
      <c r="D57" s="13" t="s">
        <v>290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</row>
    <row r="58" customFormat="false" ht="15" hidden="false" customHeight="false" outlineLevel="0" collapsed="false">
      <c r="B58" s="0" t="s">
        <v>291</v>
      </c>
      <c r="C58" s="11" t="s">
        <v>27</v>
      </c>
      <c r="D58" s="13" t="s">
        <v>292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</row>
    <row r="59" customFormat="false" ht="15" hidden="false" customHeight="false" outlineLevel="0" collapsed="false">
      <c r="B59" s="0" t="s">
        <v>293</v>
      </c>
      <c r="C59" s="11" t="s">
        <v>43</v>
      </c>
      <c r="D59" s="13" t="s">
        <v>294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 t="n">
        <v>2</v>
      </c>
      <c r="O59" s="23"/>
      <c r="P59" s="23"/>
      <c r="Q59" s="23"/>
      <c r="R59" s="23"/>
      <c r="S59" s="23"/>
      <c r="T59" s="23" t="n">
        <v>2</v>
      </c>
      <c r="U59" s="23"/>
      <c r="V59" s="23"/>
      <c r="W59" s="23"/>
    </row>
    <row r="60" customFormat="false" ht="15" hidden="false" customHeight="false" outlineLevel="0" collapsed="false">
      <c r="B60" s="0" t="s">
        <v>295</v>
      </c>
      <c r="C60" s="11" t="s">
        <v>215</v>
      </c>
      <c r="D60" s="13" t="s">
        <v>296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</row>
    <row r="61" customFormat="false" ht="15" hidden="false" customHeight="false" outlineLevel="0" collapsed="false">
      <c r="B61" s="0" t="s">
        <v>297</v>
      </c>
      <c r="C61" s="11" t="s">
        <v>298</v>
      </c>
      <c r="D61" s="13" t="s">
        <v>299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</row>
    <row r="62" customFormat="false" ht="15" hidden="false" customHeight="false" outlineLevel="0" collapsed="false">
      <c r="B62" s="0" t="s">
        <v>300</v>
      </c>
      <c r="C62" s="11" t="s">
        <v>301</v>
      </c>
      <c r="D62" s="13" t="s">
        <v>299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</row>
    <row r="63" customFormat="false" ht="15" hidden="false" customHeight="false" outlineLevel="0" collapsed="false">
      <c r="B63" s="0" t="s">
        <v>302</v>
      </c>
      <c r="C63" s="11" t="s">
        <v>303</v>
      </c>
      <c r="D63" s="13" t="s">
        <v>304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customFormat="false" ht="15" hidden="false" customHeight="false" outlineLevel="0" collapsed="false">
      <c r="B64" s="0" t="s">
        <v>305</v>
      </c>
      <c r="C64" s="11" t="s">
        <v>27</v>
      </c>
      <c r="D64" s="13" t="s">
        <v>306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customFormat="false" ht="15" hidden="false" customHeight="false" outlineLevel="0" collapsed="false">
      <c r="B65" s="0" t="s">
        <v>307</v>
      </c>
      <c r="C65" s="11" t="s">
        <v>27</v>
      </c>
      <c r="D65" s="13" t="s">
        <v>308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</row>
    <row r="66" customFormat="false" ht="15" hidden="false" customHeight="false" outlineLevel="0" collapsed="false">
      <c r="B66" s="0" t="s">
        <v>309</v>
      </c>
      <c r="C66" s="11" t="s">
        <v>310</v>
      </c>
      <c r="D66" s="13" t="s">
        <v>311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customFormat="false" ht="15" hidden="false" customHeight="false" outlineLevel="0" collapsed="false">
      <c r="B67" s="0" t="s">
        <v>312</v>
      </c>
      <c r="C67" s="11" t="s">
        <v>303</v>
      </c>
      <c r="D67" s="13" t="s">
        <v>313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</row>
    <row r="68" customFormat="false" ht="15" hidden="false" customHeight="false" outlineLevel="0" collapsed="false">
      <c r="B68" s="0" t="s">
        <v>314</v>
      </c>
      <c r="C68" s="11" t="s">
        <v>310</v>
      </c>
      <c r="D68" s="13" t="s">
        <v>315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</row>
    <row r="69" customFormat="false" ht="15" hidden="false" customHeight="false" outlineLevel="0" collapsed="false">
      <c r="B69" s="0" t="s">
        <v>316</v>
      </c>
      <c r="C69" s="11" t="s">
        <v>27</v>
      </c>
      <c r="D69" s="13" t="s">
        <v>317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</row>
    <row r="71" customFormat="false" ht="15" hidden="false" customHeight="false" outlineLevel="0" collapsed="false">
      <c r="A71" s="9" t="s">
        <v>13</v>
      </c>
      <c r="B71" s="9"/>
      <c r="C71" s="9" t="s">
        <v>318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319</v>
      </c>
      <c r="C72" s="11" t="s">
        <v>19</v>
      </c>
      <c r="D72" s="13" t="s">
        <v>320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 t="n">
        <f aca="false">H72*(1+Sens_Step)</f>
        <v>1045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</row>
    <row r="73" customFormat="false" ht="15" hidden="false" customHeight="false" outlineLevel="0" collapsed="false">
      <c r="B73" s="0" t="s">
        <v>321</v>
      </c>
      <c r="C73" s="11" t="s">
        <v>19</v>
      </c>
      <c r="D73" s="13" t="s">
        <v>322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 t="n">
        <f aca="false">H73*(1+Sens_Step)</f>
        <v>550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</row>
    <row r="74" customFormat="false" ht="15" hidden="false" customHeight="false" outlineLevel="0" collapsed="false">
      <c r="B74" s="0" t="s">
        <v>323</v>
      </c>
      <c r="C74" s="11" t="s">
        <v>19</v>
      </c>
      <c r="D74" s="13" t="s">
        <v>324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</row>
    <row r="75" customFormat="false" ht="15" hidden="false" customHeight="false" outlineLevel="0" collapsed="false">
      <c r="B75" s="0" t="s">
        <v>325</v>
      </c>
      <c r="C75" s="11" t="s">
        <v>33</v>
      </c>
      <c r="D75" s="13" t="s">
        <v>326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</row>
    <row r="76" customFormat="false" ht="15" hidden="false" customHeight="false" outlineLevel="0" collapsed="false">
      <c r="B76" s="0" t="s">
        <v>327</v>
      </c>
      <c r="C76" s="11" t="s">
        <v>33</v>
      </c>
      <c r="D76" s="13" t="s">
        <v>328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</row>
    <row r="77" customFormat="false" ht="15" hidden="false" customHeight="false" outlineLevel="0" collapsed="false">
      <c r="B77" s="0" t="s">
        <v>329</v>
      </c>
      <c r="C77" s="11" t="s">
        <v>27</v>
      </c>
      <c r="D77" s="13" t="s">
        <v>330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</row>
    <row r="78" customFormat="false" ht="15" hidden="false" customHeight="false" outlineLevel="0" collapsed="false">
      <c r="B78" s="0" t="s">
        <v>331</v>
      </c>
      <c r="C78" s="11" t="s">
        <v>332</v>
      </c>
      <c r="D78" s="13" t="s">
        <v>283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</row>
    <row r="80" customFormat="false" ht="15" hidden="false" customHeight="false" outlineLevel="0" collapsed="false">
      <c r="A80" s="9" t="s">
        <v>13</v>
      </c>
      <c r="B80" s="9"/>
      <c r="C80" s="9" t="s">
        <v>333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224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 t="n">
        <f aca="false">H81*(1-Sens_Step)</f>
        <v>2340</v>
      </c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</row>
    <row r="82" customFormat="false" ht="15" hidden="false" customHeight="false" outlineLevel="0" collapsed="false">
      <c r="B82" s="0" t="s">
        <v>334</v>
      </c>
      <c r="C82" s="11" t="s">
        <v>27</v>
      </c>
      <c r="D82" s="13" t="s">
        <v>335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</row>
    <row r="83" customFormat="false" ht="15" hidden="false" customHeight="false" outlineLevel="0" collapsed="false">
      <c r="B83" s="0" t="s">
        <v>336</v>
      </c>
      <c r="C83" s="11" t="s">
        <v>27</v>
      </c>
      <c r="D83" s="13" t="s">
        <v>337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</row>
    <row r="84" customFormat="false" ht="15" hidden="false" customHeight="false" outlineLevel="0" collapsed="false">
      <c r="B84" s="0" t="s">
        <v>338</v>
      </c>
      <c r="C84" s="11" t="s">
        <v>24</v>
      </c>
      <c r="D84" s="13" t="s">
        <v>224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 t="n">
        <v>99</v>
      </c>
      <c r="N84" s="19"/>
      <c r="O84" s="19"/>
      <c r="P84" s="19"/>
      <c r="Q84" s="19"/>
      <c r="R84" s="19"/>
      <c r="S84" s="19"/>
      <c r="T84" s="19"/>
      <c r="U84" s="19"/>
      <c r="V84" s="19"/>
      <c r="W84" s="19"/>
    </row>
    <row r="85" customFormat="false" ht="15" hidden="false" customHeight="false" outlineLevel="0" collapsed="false">
      <c r="B85" s="0" t="s">
        <v>339</v>
      </c>
      <c r="C85" s="11" t="s">
        <v>27</v>
      </c>
      <c r="D85" s="13" t="s">
        <v>340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</row>
    <row r="86" customFormat="false" ht="15" hidden="false" customHeight="false" outlineLevel="0" collapsed="false">
      <c r="B86" s="0" t="s">
        <v>341</v>
      </c>
      <c r="C86" s="11" t="s">
        <v>24</v>
      </c>
      <c r="D86" s="13" t="s">
        <v>342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</row>
    <row r="87" customFormat="false" ht="15" hidden="false" customHeight="false" outlineLevel="0" collapsed="false">
      <c r="B87" s="0" t="s">
        <v>343</v>
      </c>
      <c r="C87" s="11" t="s">
        <v>19</v>
      </c>
      <c r="D87" s="13" t="s">
        <v>344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</row>
    <row r="88" customFormat="false" ht="15" hidden="false" customHeight="false" outlineLevel="0" collapsed="false">
      <c r="B88" s="0" t="s">
        <v>345</v>
      </c>
      <c r="C88" s="11" t="s">
        <v>19</v>
      </c>
      <c r="D88" s="13" t="s">
        <v>346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</row>
    <row r="89" customFormat="false" ht="15" hidden="false" customHeight="false" outlineLevel="0" collapsed="false">
      <c r="B89" s="0" t="s">
        <v>347</v>
      </c>
      <c r="C89" s="11" t="s">
        <v>33</v>
      </c>
      <c r="D89" s="13" t="s">
        <v>348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</row>
    <row r="90" customFormat="false" ht="15" hidden="false" customHeight="false" outlineLevel="0" collapsed="false">
      <c r="B90" s="0" t="s">
        <v>349</v>
      </c>
      <c r="C90" s="11" t="s">
        <v>27</v>
      </c>
      <c r="D90" s="13" t="s">
        <v>350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customFormat="false" ht="15" hidden="false" customHeight="false" outlineLevel="0" collapsed="false">
      <c r="B91" s="0" t="s">
        <v>351</v>
      </c>
      <c r="C91" s="11" t="s">
        <v>27</v>
      </c>
      <c r="D91" s="13" t="s">
        <v>352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</row>
    <row r="92" customFormat="false" ht="15" hidden="false" customHeight="false" outlineLevel="0" collapsed="false">
      <c r="B92" s="0" t="s">
        <v>353</v>
      </c>
      <c r="C92" s="11" t="s">
        <v>27</v>
      </c>
      <c r="D92" s="13" t="s">
        <v>354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</row>
    <row r="93" customFormat="false" ht="15" hidden="false" customHeight="false" outlineLevel="0" collapsed="false">
      <c r="B93" s="0" t="s">
        <v>355</v>
      </c>
      <c r="C93" s="11" t="s">
        <v>27</v>
      </c>
      <c r="D93" s="13" t="s">
        <v>356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</row>
    <row r="94" customFormat="false" ht="15" hidden="false" customHeight="false" outlineLevel="0" collapsed="false">
      <c r="B94" s="0" t="s">
        <v>357</v>
      </c>
      <c r="C94" s="11" t="s">
        <v>27</v>
      </c>
      <c r="D94" s="13" t="s">
        <v>358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</row>
    <row r="96" customFormat="false" ht="15" hidden="false" customHeight="false" outlineLevel="0" collapsed="false">
      <c r="A96" s="9" t="s">
        <v>13</v>
      </c>
      <c r="B96" s="9"/>
      <c r="C96" s="9" t="s">
        <v>359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360</v>
      </c>
      <c r="C97" s="11" t="s">
        <v>27</v>
      </c>
      <c r="D97" s="13" t="s">
        <v>361</v>
      </c>
      <c r="F97" s="49" t="n">
        <f aca="false">IF(INDEX($H97:$W97,1,Scenario_Selected)="",$H97,INDEX($H97:$W97,1,Scenario_Selected))</f>
        <v>0.55</v>
      </c>
      <c r="H97" s="17" t="n">
        <v>0.55</v>
      </c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 t="n">
        <v>0.7</v>
      </c>
      <c r="W97" s="17" t="n">
        <v>0.7</v>
      </c>
    </row>
    <row r="98" customFormat="false" ht="15" hidden="false" customHeight="false" outlineLevel="0" collapsed="false">
      <c r="B98" s="0" t="s">
        <v>362</v>
      </c>
      <c r="C98" s="11" t="s">
        <v>19</v>
      </c>
      <c r="D98" s="13" t="s">
        <v>363</v>
      </c>
      <c r="F98" s="48" t="n">
        <f aca="false">IF(INDEX($H98:$W98,1,Scenario_Selected)="",$H98,INDEX($H98:$W98,1,Scenario_Selected))</f>
        <v>0</v>
      </c>
      <c r="H98" s="12" t="n">
        <v>0</v>
      </c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 t="n">
        <v>900</v>
      </c>
      <c r="W98" s="12" t="n">
        <v>710</v>
      </c>
    </row>
    <row r="99" customFormat="false" ht="15" hidden="false" customHeight="false" outlineLevel="0" collapsed="false">
      <c r="B99" s="0" t="s">
        <v>364</v>
      </c>
      <c r="C99" s="11" t="s">
        <v>27</v>
      </c>
      <c r="D99" s="13" t="s">
        <v>365</v>
      </c>
      <c r="F99" s="49" t="n">
        <f aca="false">IF(INDEX($H99:$W99,1,Scenario_Selected)="",$H99,INDEX($H99:$W99,1,Scenario_Selected))</f>
        <v>0</v>
      </c>
      <c r="H99" s="17" t="n">
        <v>0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 t="n">
        <v>1</v>
      </c>
      <c r="V99" s="17"/>
      <c r="W99" s="17"/>
    </row>
    <row r="100" customFormat="false" ht="15" hidden="false" customHeight="false" outlineLevel="0" collapsed="false">
      <c r="B100" s="0" t="s">
        <v>135</v>
      </c>
      <c r="C100" s="11" t="s">
        <v>13</v>
      </c>
      <c r="D100" s="13" t="s">
        <v>366</v>
      </c>
      <c r="F100" s="53" t="n">
        <f aca="false">IF(INDEX($H100:$W100,1,Scenario_Selected)="",$H100,INDEX($H100:$W100,1,Scenario_Selected))</f>
        <v>1.1</v>
      </c>
      <c r="H100" s="21" t="n">
        <v>1.1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</row>
    <row r="101" customFormat="false" ht="15" hidden="false" customHeight="false" outlineLevel="0" collapsed="false">
      <c r="B101" s="0" t="s">
        <v>138</v>
      </c>
      <c r="C101" s="11" t="s">
        <v>13</v>
      </c>
      <c r="D101" s="13" t="s">
        <v>366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</row>
    <row r="102" customFormat="false" ht="15" hidden="false" customHeight="false" outlineLevel="0" collapsed="false">
      <c r="B102" s="0" t="s">
        <v>367</v>
      </c>
      <c r="C102" s="11" t="s">
        <v>13</v>
      </c>
      <c r="D102" s="13" t="s">
        <v>368</v>
      </c>
      <c r="F102" s="53" t="n">
        <f aca="false">IF(INDEX($H102:$W102,1,Scenario_Selected)="",$H102,INDEX($H102:$W102,1,Scenario_Selected))</f>
        <v>1.2</v>
      </c>
      <c r="H102" s="21" t="n">
        <v>1.2</v>
      </c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 t="n">
        <v>1.3</v>
      </c>
    </row>
    <row r="103" customFormat="false" ht="15" hidden="false" customHeight="false" outlineLevel="0" collapsed="false">
      <c r="B103" s="0" t="s">
        <v>369</v>
      </c>
      <c r="C103" s="11" t="s">
        <v>66</v>
      </c>
      <c r="D103" s="13" t="s">
        <v>370</v>
      </c>
      <c r="F103" s="44" t="n">
        <f aca="false">IF(INDEX($H103:$W103,1,Scenario_Selected)="",$H103,INDEX($H103:$W103,1,Scenario_Selected))</f>
        <v>15</v>
      </c>
      <c r="H103" s="47" t="n">
        <v>15</v>
      </c>
      <c r="I103" s="47"/>
      <c r="J103" s="47"/>
      <c r="K103" s="47"/>
      <c r="L103" s="47"/>
      <c r="M103" s="47"/>
      <c r="N103" s="47"/>
      <c r="O103" s="47"/>
      <c r="P103" s="47" t="n">
        <v>10</v>
      </c>
      <c r="Q103" s="47"/>
      <c r="R103" s="47"/>
      <c r="S103" s="47"/>
      <c r="T103" s="47"/>
      <c r="U103" s="47"/>
      <c r="V103" s="47"/>
      <c r="W103" s="47" t="n">
        <v>12</v>
      </c>
    </row>
    <row r="104" customFormat="false" ht="15" hidden="false" customHeight="false" outlineLevel="0" collapsed="false">
      <c r="B104" s="0" t="s">
        <v>371</v>
      </c>
      <c r="C104" s="11" t="s">
        <v>27</v>
      </c>
      <c r="D104" s="13" t="s">
        <v>372</v>
      </c>
      <c r="F104" s="49" t="n">
        <f aca="false">IF(INDEX($H104:$W104,1,Scenario_Selected)="",$H104,INDEX($H104:$W104,1,Scenario_Selected))</f>
        <v>0.05</v>
      </c>
      <c r="H104" s="17" t="n">
        <v>0.05</v>
      </c>
      <c r="I104" s="17"/>
      <c r="J104" s="17"/>
      <c r="K104" s="17"/>
      <c r="L104" s="17"/>
      <c r="M104" s="17"/>
      <c r="N104" s="17"/>
      <c r="O104" s="17" t="n">
        <v>0.06</v>
      </c>
      <c r="P104" s="17"/>
      <c r="Q104" s="17"/>
      <c r="R104" s="17"/>
      <c r="S104" s="17"/>
      <c r="T104" s="17"/>
      <c r="U104" s="17"/>
      <c r="V104" s="17"/>
      <c r="W104" s="17"/>
    </row>
    <row r="105" customFormat="false" ht="15" hidden="false" customHeight="false" outlineLevel="0" collapsed="false">
      <c r="B105" s="0" t="s">
        <v>373</v>
      </c>
      <c r="C105" s="11" t="s">
        <v>27</v>
      </c>
      <c r="D105" s="13" t="s">
        <v>374</v>
      </c>
      <c r="F105" s="51" t="n">
        <f aca="false">IF(INDEX($H105:$W105,1,Scenario_Selected)="",$H105,INDEX($H105:$W105,1,Scenario_Selected))</f>
        <v>0.0175</v>
      </c>
      <c r="H105" s="52" t="n">
        <v>0.0175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</row>
    <row r="106" customFormat="false" ht="15" hidden="false" customHeight="false" outlineLevel="0" collapsed="false">
      <c r="B106" s="0" t="s">
        <v>375</v>
      </c>
      <c r="C106" s="11" t="s">
        <v>27</v>
      </c>
      <c r="D106" s="13" t="s">
        <v>376</v>
      </c>
      <c r="F106" s="51" t="n">
        <f aca="false">IF(INDEX($H106:$W106,1,Scenario_Selected)="",$H106,INDEX($H106:$W106,1,Scenario_Selected))</f>
        <v>0.009</v>
      </c>
      <c r="H106" s="52" t="n">
        <v>0.009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</row>
    <row r="107" customFormat="false" ht="15" hidden="false" customHeight="false" outlineLevel="0" collapsed="false">
      <c r="B107" s="0" t="s">
        <v>377</v>
      </c>
      <c r="C107" s="11" t="s">
        <v>215</v>
      </c>
      <c r="D107" s="13" t="s">
        <v>378</v>
      </c>
      <c r="F107" s="44" t="n">
        <f aca="false">IF(INDEX($H107:$W107,1,Scenario_Selected)="",$H107,INDEX($H107:$W107,1,Scenario_Selected))</f>
        <v>6</v>
      </c>
      <c r="H107" s="47" t="n">
        <v>6</v>
      </c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</row>
    <row r="109" customFormat="false" ht="15" hidden="false" customHeight="false" outlineLevel="0" collapsed="false">
      <c r="A109" s="9" t="s">
        <v>13</v>
      </c>
      <c r="B109" s="9"/>
      <c r="C109" s="9" t="s">
        <v>379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customFormat="false" ht="15" hidden="false" customHeight="false" outlineLevel="0" collapsed="false">
      <c r="B110" s="0" t="s">
        <v>380</v>
      </c>
      <c r="C110" s="11" t="s">
        <v>21</v>
      </c>
      <c r="D110" s="13" t="s">
        <v>381</v>
      </c>
      <c r="F110" s="3" t="s">
        <v>382</v>
      </c>
    </row>
    <row r="111" customFormat="false" ht="15" hidden="false" customHeight="false" outlineLevel="0" collapsed="false">
      <c r="B111" s="0" t="s">
        <v>383</v>
      </c>
      <c r="C111" s="11" t="s">
        <v>21</v>
      </c>
      <c r="D111" s="13" t="s">
        <v>384</v>
      </c>
      <c r="F111" s="3"/>
    </row>
    <row r="113" customFormat="false" ht="15" hidden="false" customHeight="false" outlineLevel="0" collapsed="false">
      <c r="C113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385</v>
      </c>
      <c r="D5" s="9"/>
      <c r="E5" s="9" t="s">
        <v>386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387</v>
      </c>
      <c r="F6" s="8" t="s">
        <v>388</v>
      </c>
      <c r="J6" s="8" t="s">
        <v>389</v>
      </c>
    </row>
    <row r="7" customFormat="false" ht="15" hidden="false" customHeight="false" outlineLevel="0" collapsed="false">
      <c r="C7" s="0" t="s">
        <v>390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391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392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393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394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395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396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397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398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399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400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401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402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403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404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405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406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407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408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409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410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411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412</v>
      </c>
      <c r="D5" s="11" t="s">
        <v>212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413</v>
      </c>
      <c r="D6" s="11" t="s">
        <v>414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415</v>
      </c>
      <c r="D7" s="11" t="s">
        <v>416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417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419</v>
      </c>
      <c r="D12" s="11" t="s">
        <v>414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420</v>
      </c>
      <c r="D13" s="11" t="s">
        <v>414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421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333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422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423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424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425</v>
      </c>
      <c r="D20" s="11" t="s">
        <v>414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426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427</v>
      </c>
      <c r="D22" s="11" t="s">
        <v>414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428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429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430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431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432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433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434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435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436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437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438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439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440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441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442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443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444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445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446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447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448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250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449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450</v>
      </c>
      <c r="D51" s="11" t="s">
        <v>303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451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452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453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454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455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456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457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458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459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460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461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462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463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464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465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466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467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468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469</v>
      </c>
      <c r="D73" s="11" t="s">
        <v>414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470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471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472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473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474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475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476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349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477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478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479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-16.886293224631</v>
      </c>
      <c r="AA86" s="58" t="n">
        <v>-17.1277997333348</v>
      </c>
      <c r="AB86" s="58" t="n">
        <v>-18.5591998565435</v>
      </c>
      <c r="AC86" s="58" t="n">
        <v>-19.9985109164148</v>
      </c>
      <c r="AD86" s="58" t="n">
        <v>-20.0117519916814</v>
      </c>
      <c r="AE86" s="58" t="n">
        <v>-21.0670957357788</v>
      </c>
      <c r="AF86" s="58" t="n">
        <v>-21.7322126954598</v>
      </c>
      <c r="AG86" s="58" t="n">
        <v>-23.2103381334753</v>
      </c>
      <c r="AH86" s="58" t="n">
        <v>-23.2526025678549</v>
      </c>
      <c r="AI86" s="58" t="n">
        <v>-23.5138143202861</v>
      </c>
      <c r="AJ86" s="58" t="n">
        <v>-27.5101792275379</v>
      </c>
      <c r="AK86" s="58" t="n">
        <v>-29.0559459441161</v>
      </c>
      <c r="AL86" s="58" t="n">
        <v>-58.2578084434224</v>
      </c>
      <c r="AM86" s="58" t="n">
        <v>-58.6950528485274</v>
      </c>
      <c r="AN86" s="58" t="n">
        <v>-61.8520109113284</v>
      </c>
      <c r="AO86" s="58" t="n">
        <v>-65.0273342850702</v>
      </c>
      <c r="AP86" s="58" t="n">
        <v>-65.2381514896335</v>
      </c>
      <c r="AQ86" s="58" t="n">
        <v>-65.7026886400187</v>
      </c>
      <c r="AR86" s="58" t="n">
        <v>-68.9458260067554</v>
      </c>
      <c r="AS86" s="58" t="n">
        <v>-72.2082643113862</v>
      </c>
      <c r="AT86" s="58" t="n">
        <v>-72.4876758802591</v>
      </c>
      <c r="AU86" s="58" t="n">
        <v>-74.6928809254771</v>
      </c>
      <c r="AV86" s="58" t="n">
        <v>-76.3156193797067</v>
      </c>
      <c r="AW86" s="58" t="n">
        <v>-79.6686720496486</v>
      </c>
      <c r="AX86" s="58" t="n">
        <v>-80.0205616527358</v>
      </c>
      <c r="AY86" s="58" t="n">
        <v>-80.5499061181877</v>
      </c>
      <c r="AZ86" s="58" t="n">
        <v>-83.9759386102347</v>
      </c>
      <c r="BA86" s="58" t="n">
        <v>-87.4232887199256</v>
      </c>
      <c r="BB86" s="58" t="n">
        <v>-87.851739653486</v>
      </c>
      <c r="BC86" s="58" t="n">
        <v>-88.4189810244149</v>
      </c>
      <c r="BD86" s="58" t="n">
        <v>-91.9421013106473</v>
      </c>
      <c r="BE86" s="58" t="n">
        <v>-95.4876252477365</v>
      </c>
      <c r="BF86" s="58" t="n">
        <v>-95.9969305980312</v>
      </c>
      <c r="BG86" s="58" t="n">
        <v>-96.6060025489291</v>
      </c>
      <c r="BH86" s="58" t="n">
        <v>-100.230235176909</v>
      </c>
      <c r="BI86" s="58" t="n">
        <v>-103.878012817288</v>
      </c>
      <c r="BJ86" s="58" t="n">
        <v>-104.472686141558</v>
      </c>
      <c r="BK86" s="58" t="n">
        <v>-106.877758422316</v>
      </c>
      <c r="BL86" s="58" t="n">
        <v>-108.857320101286</v>
      </c>
      <c r="BM86" s="58" t="n">
        <v>-112.611645511746</v>
      </c>
      <c r="BN86" s="58" t="n">
        <v>-113.296432062864</v>
      </c>
      <c r="BO86" s="58" t="n">
        <v>-114.001844895059</v>
      </c>
      <c r="BP86" s="58" t="n">
        <v>-117.841232451754</v>
      </c>
      <c r="BQ86" s="58" t="n">
        <v>-121.706625147394</v>
      </c>
      <c r="BR86" s="58" t="n">
        <v>-122.486513669873</v>
      </c>
      <c r="BS86" s="58" t="n">
        <v>-123.246904823717</v>
      </c>
      <c r="BT86" s="58" t="n">
        <v>-127.200791629087</v>
      </c>
      <c r="BU86" s="58" t="n">
        <v>-131.182008413967</v>
      </c>
      <c r="BV86" s="58" t="n">
        <v>-132.062243540421</v>
      </c>
      <c r="BW86" s="58" t="n">
        <v>-132.88248391173</v>
      </c>
      <c r="BX86" s="58" t="n">
        <v>-136.955809018203</v>
      </c>
      <c r="BY86" s="58" t="n">
        <v>-141.0578564392</v>
      </c>
      <c r="BZ86" s="58" t="n">
        <v>-142.043951717838</v>
      </c>
      <c r="CA86" s="58" t="n">
        <v>-144.712292855075</v>
      </c>
      <c r="CB86" s="58" t="n">
        <v>-147.127139456284</v>
      </c>
      <c r="CC86" s="58" t="n">
        <v>-151.35528690165</v>
      </c>
      <c r="CD86" s="58" t="n">
        <v>-152.453038486933</v>
      </c>
      <c r="CE86" s="58" t="n">
        <v>-153.408665267938</v>
      </c>
      <c r="CF86" s="58" t="n">
        <v>-157.736735346471</v>
      </c>
      <c r="CG86" s="58" t="n">
        <v>-162.096528822191</v>
      </c>
      <c r="CH86" s="58" t="n">
        <v>-163.31202986242</v>
      </c>
      <c r="CI86" s="58" t="n">
        <v>-161.70952993943</v>
      </c>
      <c r="CJ86" s="58" t="n">
        <v>-163.506302494313</v>
      </c>
      <c r="CK86" s="58" t="n">
        <v>-165.303075049195</v>
      </c>
      <c r="CL86" s="58" t="n">
        <v>-163.908470441874</v>
      </c>
      <c r="CM86" s="58" t="n">
        <v>-162.253895942466</v>
      </c>
      <c r="CN86" s="58" t="n">
        <v>-164.056717008494</v>
      </c>
      <c r="CO86" s="58" t="n">
        <v>-165.859538074521</v>
      </c>
      <c r="CP86" s="58" t="n">
        <v>-164.456523634598</v>
      </c>
      <c r="CQ86" s="58" t="n">
        <v>-164.557706322342</v>
      </c>
      <c r="CR86" s="58" t="n">
        <v>-164.557706322342</v>
      </c>
      <c r="CS86" s="58" t="n">
        <v>-166.366032765444</v>
      </c>
      <c r="CT86" s="58" t="n">
        <v>-164.954589886834</v>
      </c>
      <c r="CU86" s="58" t="n">
        <v>-163.194375284734</v>
      </c>
      <c r="CV86" s="58" t="n">
        <v>-165.007646121232</v>
      </c>
      <c r="CW86" s="58" t="n">
        <v>-166.820916957729</v>
      </c>
      <c r="CX86" s="58" t="n">
        <v>-165.401027748062</v>
      </c>
      <c r="CY86" s="58" t="n">
        <v>-163.58723366555</v>
      </c>
      <c r="CZ86" s="58" t="n">
        <v>-165.404869595168</v>
      </c>
      <c r="DA86" s="58" t="n">
        <v>-167.222505524785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480</v>
      </c>
      <c r="D87" s="11" t="s">
        <v>33</v>
      </c>
      <c r="I87" s="48" t="n">
        <f aca="false">SUM(J87:EO87)</f>
        <v>271771.703125897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2344.40831738351</v>
      </c>
      <c r="AA87" s="48" t="n">
        <f aca="false">(AA83+AA59+AA86)*(AA$4&gt;In_COD)</f>
        <v>2308.66251795177</v>
      </c>
      <c r="AB87" s="48" t="n">
        <f aca="false">(AB83+AB59+AB86)*(AB$4&gt;In_COD)</f>
        <v>2333.0732324695</v>
      </c>
      <c r="AC87" s="48" t="n">
        <f aca="false">(AC83+AC59+AC86)*(AC$4&gt;In_COD)</f>
        <v>2357.47603605058</v>
      </c>
      <c r="AD87" s="48" t="n">
        <f aca="false">(AD83+AD59+AD86)*(AD$4&gt;In_COD)</f>
        <v>2348.98873340516</v>
      </c>
      <c r="AE87" s="48" t="n">
        <f aca="false">(AE83+AE59+AE86)*(AE$4&gt;In_COD)</f>
        <v>2338.05078562171</v>
      </c>
      <c r="AF87" s="48" t="n">
        <f aca="false">(AF83+AF59+AF86)*(AF$4&gt;In_COD)</f>
        <v>2337.38566866203</v>
      </c>
      <c r="AG87" s="48" t="n">
        <f aca="false">(AG83+AG59+AG86)*(AG$4&gt;In_COD)</f>
        <v>2361.83191554663</v>
      </c>
      <c r="AH87" s="48" t="n">
        <f aca="false">(AH83+AH59+AH86)*(AH$4&gt;In_COD)</f>
        <v>2353.26185946134</v>
      </c>
      <c r="AI87" s="48" t="n">
        <f aca="false">(AI83+AI59+AI86)*(AI$4&gt;In_COD)</f>
        <v>2316.88828795445</v>
      </c>
      <c r="AJ87" s="48" t="n">
        <f aca="false">(AJ83+AJ59+AJ86)*(AJ$4&gt;In_COD)</f>
        <v>2372.05187968493</v>
      </c>
      <c r="AK87" s="48" t="n">
        <f aca="false">(AK83+AK59+AK86)*(AK$4&gt;In_COD)</f>
        <v>2396.87492680256</v>
      </c>
      <c r="AL87" s="48" t="n">
        <f aca="false">(AL83+AL59+AL86)*(AL$4&gt;In_COD)</f>
        <v>2359.09136366511</v>
      </c>
      <c r="AM87" s="48" t="n">
        <f aca="false">(AM83+AM59+AM86)*(AM$4&gt;In_COD)</f>
        <v>2321.50494910752</v>
      </c>
      <c r="AN87" s="48" t="n">
        <f aca="false">(AN83+AN59+AN86)*(AN$4&gt;In_COD)</f>
        <v>2344.79465773312</v>
      </c>
      <c r="AO87" s="48" t="n">
        <f aca="false">(AO83+AO59+AO86)*(AO$4&gt;In_COD)</f>
        <v>2368.06600104778</v>
      </c>
      <c r="AP87" s="48" t="n">
        <f aca="false">(AP83+AP59+AP86)*(AP$4&gt;In_COD)</f>
        <v>2359.21939811681</v>
      </c>
      <c r="AQ87" s="48" t="n">
        <f aca="false">(AQ83+AQ59+AQ86)*(AQ$4&gt;In_COD)</f>
        <v>2321.29480191402</v>
      </c>
      <c r="AR87" s="48" t="n">
        <f aca="false">(AR83+AR59+AR86)*(AR$4&gt;In_COD)</f>
        <v>2344.57385888677</v>
      </c>
      <c r="AS87" s="48" t="n">
        <f aca="false">(AS83+AS59+AS86)*(AS$4&gt;In_COD)</f>
        <v>2367.83361492163</v>
      </c>
      <c r="AT87" s="48" t="n">
        <f aca="false">(AT83+AT59+AT86)*(AT$4&gt;In_COD)</f>
        <v>2358.86415935164</v>
      </c>
      <c r="AU87" s="48" t="n">
        <f aca="false">(AU83+AU59+AU86)*(AU$4&gt;In_COD)</f>
        <v>2345.48051152876</v>
      </c>
      <c r="AV87" s="48" t="n">
        <f aca="false">(AV83+AV59+AV86)*(AV$4&gt;In_COD)</f>
        <v>2343.85777307453</v>
      </c>
      <c r="AW87" s="48" t="n">
        <f aca="false">(AW83+AW59+AW86)*(AW$4&gt;In_COD)</f>
        <v>2367.10003240958</v>
      </c>
      <c r="AX87" s="48" t="n">
        <f aca="false">(AX83+AX59+AX86)*(AX$4&gt;In_COD)</f>
        <v>2358.00367037062</v>
      </c>
      <c r="AY87" s="48" t="n">
        <f aca="false">(AY83+AY59+AY86)*(AY$4&gt;In_COD)</f>
        <v>2319.38403163649</v>
      </c>
      <c r="AZ87" s="48" t="n">
        <f aca="false">(AZ83+AZ59+AZ86)*(AZ$4&gt;In_COD)</f>
        <v>2342.62393178616</v>
      </c>
      <c r="BA87" s="48" t="n">
        <f aca="false">(BA83+BA59+BA86)*(BA$4&gt;In_COD)</f>
        <v>2365.84251431819</v>
      </c>
      <c r="BB87" s="48" t="n">
        <f aca="false">(BB83+BB59+BB86)*(BB$4&gt;In_COD)</f>
        <v>2356.61499549495</v>
      </c>
      <c r="BC87" s="48" t="n">
        <f aca="false">(BC83+BC59+BC86)*(BC$4&gt;In_COD)</f>
        <v>2317.63803901419</v>
      </c>
      <c r="BD87" s="48" t="n">
        <f aca="false">(BD83+BD59+BD86)*(BD$4&gt;In_COD)</f>
        <v>2340.84888561728</v>
      </c>
      <c r="BE87" s="48" t="n">
        <f aca="false">(BE83+BE59+BE86)*(BE$4&gt;In_COD)</f>
        <v>2364.03732856951</v>
      </c>
      <c r="BF87" s="48" t="n">
        <f aca="false">(BF83+BF59+BF86)*(BF$4&gt;In_COD)</f>
        <v>2354.67419611519</v>
      </c>
      <c r="BG87" s="48" t="n">
        <f aca="false">(BG83+BG59+BG86)*(BG$4&gt;In_COD)</f>
        <v>2315.3330685701</v>
      </c>
      <c r="BH87" s="48" t="n">
        <f aca="false">(BH83+BH59+BH86)*(BH$4&gt;In_COD)</f>
        <v>2338.50815895455</v>
      </c>
      <c r="BI87" s="48" t="n">
        <f aca="false">(BI83+BI59+BI86)*(BI$4&gt;In_COD)</f>
        <v>2361.65970432661</v>
      </c>
      <c r="BJ87" s="48" t="n">
        <f aca="false">(BJ83+BJ59+BJ86)*(BJ$4&gt;In_COD)</f>
        <v>2352.15628430227</v>
      </c>
      <c r="BK87" s="48" t="n">
        <f aca="false">(BK83+BK59+BK86)*(BK$4&gt;In_COD)</f>
        <v>2337.55576414916</v>
      </c>
      <c r="BL87" s="48" t="n">
        <f aca="false">(BL83+BL59+BL86)*(BL$4&gt;In_COD)</f>
        <v>2335.57620247019</v>
      </c>
      <c r="BM87" s="48" t="n">
        <f aca="false">(BM83+BM59+BM86)*(BM$4&gt;In_COD)</f>
        <v>2358.68378390117</v>
      </c>
      <c r="BN87" s="48" t="n">
        <f aca="false">(BN83+BN59+BN86)*(BN$4&gt;In_COD)</f>
        <v>2349.03517417446</v>
      </c>
      <c r="BO87" s="48" t="n">
        <f aca="false">(BO83+BO59+BO86)*(BO$4&gt;In_COD)</f>
        <v>2308.94410916204</v>
      </c>
      <c r="BP87" s="48" t="n">
        <f aca="false">(BP83+BP59+BP86)*(BP$4&gt;In_COD)</f>
        <v>2332.02634331709</v>
      </c>
      <c r="BQ87" s="48" t="n">
        <f aca="false">(BQ83+BQ59+BQ86)*(BQ$4&gt;In_COD)</f>
        <v>2355.08257233319</v>
      </c>
      <c r="BR87" s="48" t="n">
        <f aca="false">(BR83+BR59+BR86)*(BR$4&gt;In_COD)</f>
        <v>2345.28363090873</v>
      </c>
      <c r="BS87" s="48" t="n">
        <f aca="false">(BS83+BS59+BS86)*(BS$4&gt;In_COD)</f>
        <v>2304.80625131434</v>
      </c>
      <c r="BT87" s="48" t="n">
        <f aca="false">(BT83+BT59+BT86)*(BT$4&gt;In_COD)</f>
        <v>2327.83073291051</v>
      </c>
      <c r="BU87" s="48" t="n">
        <f aca="false">(BU83+BU59+BU86)*(BU$4&gt;In_COD)</f>
        <v>2350.82788452716</v>
      </c>
      <c r="BV87" s="48" t="n">
        <f aca="false">(BV83+BV59+BV86)*(BV$4&gt;In_COD)</f>
        <v>2340.8732172796</v>
      </c>
      <c r="BW87" s="48" t="n">
        <f aca="false">(BW83+BW59+BW86)*(BW$4&gt;In_COD)</f>
        <v>2300.00157221465</v>
      </c>
      <c r="BX87" s="48" t="n">
        <f aca="false">(BX83+BX59+BX86)*(BX$4&gt;In_COD)</f>
        <v>2322.96029217625</v>
      </c>
      <c r="BY87" s="48" t="n">
        <f aca="false">(BY83+BY59+BY86)*(BY$4&gt;In_COD)</f>
        <v>2345.89028982332</v>
      </c>
      <c r="BZ87" s="48" t="n">
        <f aca="false">(BZ83+BZ59+BZ86)*(BZ$4&gt;In_COD)</f>
        <v>2335.77423760256</v>
      </c>
      <c r="CA87" s="48" t="n">
        <f aca="false">(CA83+CA59+CA86)*(CA$4&gt;In_COD)</f>
        <v>2319.79950074076</v>
      </c>
      <c r="CB87" s="48" t="n">
        <f aca="false">(CB83+CB59+CB86)*(CB$4&gt;In_COD)</f>
        <v>2317.38465413956</v>
      </c>
      <c r="CC87" s="48" t="n">
        <f aca="false">(CC83+CC59+CC86)*(CC$4&gt;In_COD)</f>
        <v>2340.23905387656</v>
      </c>
      <c r="CD87" s="48" t="n">
        <f aca="false">(CD83+CD59+CD86)*(CD$4&gt;In_COD)</f>
        <v>2329.95567895303</v>
      </c>
      <c r="CE87" s="48" t="n">
        <f aca="false">(CE83+CE59+CE86)*(CE$4&gt;In_COD)</f>
        <v>2288.27040633856</v>
      </c>
      <c r="CF87" s="48" t="n">
        <f aca="false">(CF83+CF59+CF86)*(CF$4&gt;In_COD)</f>
        <v>2311.07210372232</v>
      </c>
      <c r="CG87" s="48" t="n">
        <f aca="false">(CG83+CG59+CG86)*(CG$4&gt;In_COD)</f>
        <v>2333.84207770889</v>
      </c>
      <c r="CH87" s="48" t="n">
        <f aca="false">(CH83+CH59+CH86)*(CH$4&gt;In_COD)</f>
        <v>2323.38514952525</v>
      </c>
      <c r="CI87" s="48" t="n">
        <f aca="false">(CI83+CI59+CI86)*(CI$4&gt;In_COD)</f>
        <v>2283.91409241878</v>
      </c>
      <c r="CJ87" s="48" t="n">
        <f aca="false">(CJ83+CJ59+CJ86)*(CJ$4&gt;In_COD)</f>
        <v>2309.29091566788</v>
      </c>
      <c r="CK87" s="48" t="n">
        <f aca="false">(CK83+CK59+CK86)*(CK$4&gt;In_COD)</f>
        <v>2334.66773891698</v>
      </c>
      <c r="CL87" s="48" t="n">
        <f aca="false">(CL83+CL59+CL86)*(CL$4&gt;In_COD)</f>
        <v>2326.76497947549</v>
      </c>
      <c r="CM87" s="48" t="n">
        <f aca="false">(CM83+CM59+CM86)*(CM$4&gt;In_COD)</f>
        <v>2286.99883310266</v>
      </c>
      <c r="CN87" s="48" t="n">
        <f aca="false">(CN83+CN59+CN86)*(CN$4&gt;In_COD)</f>
        <v>2312.40993124824</v>
      </c>
      <c r="CO87" s="48" t="n">
        <f aca="false">(CO83+CO59+CO86)*(CO$4&gt;In_COD)</f>
        <v>2337.82102939383</v>
      </c>
      <c r="CP87" s="48" t="n">
        <f aca="false">(CP83+CP59+CP86)*(CP$4&gt;In_COD)</f>
        <v>2329.87061423426</v>
      </c>
      <c r="CQ87" s="48" t="n">
        <f aca="false">(CQ83+CQ59+CQ86)*(CQ$4&gt;In_COD)</f>
        <v>2315.24887069338</v>
      </c>
      <c r="CR87" s="48" t="n">
        <f aca="false">(CR83+CR59+CR86)*(CR$4&gt;In_COD)</f>
        <v>2315.24887069338</v>
      </c>
      <c r="CS87" s="48" t="n">
        <f aca="false">(CS83+CS59+CS86)*(CS$4&gt;In_COD)</f>
        <v>2340.69116597572</v>
      </c>
      <c r="CT87" s="48" t="n">
        <f aca="false">(CT83+CT59+CT86)*(CT$4&gt;In_COD)</f>
        <v>2332.6929896636</v>
      </c>
      <c r="CU87" s="48" t="n">
        <f aca="false">(CU83+CU59+CU86)*(CU$4&gt;In_COD)</f>
        <v>2292.32821604218</v>
      </c>
      <c r="CV87" s="48" t="n">
        <f aca="false">(CV83+CV59+CV86)*(CV$4&gt;In_COD)</f>
        <v>2317.79852955376</v>
      </c>
      <c r="CW87" s="48" t="n">
        <f aca="false">(CW83+CW59+CW86)*(CW$4&gt;In_COD)</f>
        <v>2343.26884306534</v>
      </c>
      <c r="CX87" s="48" t="n">
        <f aca="false">(CX83+CX59+CX86)*(CX$4&gt;In_COD)</f>
        <v>2335.22280421056</v>
      </c>
      <c r="CY87" s="48" t="n">
        <f aca="false">(CY83+CY59+CY86)*(CY$4&gt;In_COD)</f>
        <v>2294.55441353347</v>
      </c>
      <c r="CZ87" s="48" t="n">
        <f aca="false">(CZ83+CZ59+CZ86)*(CZ$4&gt;In_COD)</f>
        <v>2320.04946257273</v>
      </c>
      <c r="DA87" s="48" t="n">
        <f aca="false">(DA83+DA59+DA86)*(DA$4&gt;In_COD)</f>
        <v>2345.54451161199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481</v>
      </c>
      <c r="D88" s="11" t="s">
        <v>33</v>
      </c>
      <c r="E88" s="48" t="n">
        <f aca="false">PV($F22,In_Debt_Tenor*Months_In_Year/Months_Per_Period,-$F88)</f>
        <v>80155.4270382471</v>
      </c>
      <c r="F88" s="48" t="n">
        <f aca="false">MIN($J88:$EO88)</f>
        <v>1906.89200528213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1953.67359781959</v>
      </c>
      <c r="AA88" s="48" t="n">
        <f aca="false">IF(AA18=1,AA87/In_DSCR,"")</f>
        <v>1923.88543162647</v>
      </c>
      <c r="AB88" s="48" t="n">
        <f aca="false">IF(AB18=1,AB87/In_DSCR,"")</f>
        <v>1944.22769372459</v>
      </c>
      <c r="AC88" s="48" t="n">
        <f aca="false">IF(AC18=1,AC87/In_DSCR,"")</f>
        <v>1964.56336337548</v>
      </c>
      <c r="AD88" s="48" t="n">
        <f aca="false">IF(AD18=1,AD87/In_DSCR,"")</f>
        <v>1957.49061117096</v>
      </c>
      <c r="AE88" s="48" t="n">
        <f aca="false">IF(AE18=1,AE87/In_DSCR,"")</f>
        <v>1948.37565468476</v>
      </c>
      <c r="AF88" s="48" t="n">
        <f aca="false">IF(AF18=1,AF87/In_DSCR,"")</f>
        <v>1947.82139055169</v>
      </c>
      <c r="AG88" s="48" t="n">
        <f aca="false">IF(AG18=1,AG87/In_DSCR,"")</f>
        <v>1968.19326295552</v>
      </c>
      <c r="AH88" s="48" t="n">
        <f aca="false">IF(AH18=1,AH87/In_DSCR,"")</f>
        <v>1961.05154955111</v>
      </c>
      <c r="AI88" s="48" t="n">
        <f aca="false">IF(AI18=1,AI87/In_DSCR,"")</f>
        <v>1930.74023996205</v>
      </c>
      <c r="AJ88" s="48" t="n">
        <f aca="false">IF(AJ18=1,AJ87/In_DSCR,"")</f>
        <v>1976.70989973744</v>
      </c>
      <c r="AK88" s="48" t="n">
        <f aca="false">IF(AK18=1,AK87/In_DSCR,"")</f>
        <v>1997.39577233547</v>
      </c>
      <c r="AL88" s="48" t="n">
        <f aca="false">IF(AL18=1,AL87/In_DSCR,"")</f>
        <v>1965.90946972092</v>
      </c>
      <c r="AM88" s="48" t="n">
        <f aca="false">IF(AM18=1,AM87/In_DSCR,"")</f>
        <v>1934.5874575896</v>
      </c>
      <c r="AN88" s="48" t="n">
        <f aca="false">IF(AN18=1,AN87/In_DSCR,"")</f>
        <v>1953.99554811093</v>
      </c>
      <c r="AO88" s="48" t="n">
        <f aca="false">IF(AO18=1,AO87/In_DSCR,"")</f>
        <v>1973.38833420648</v>
      </c>
      <c r="AP88" s="48" t="n">
        <f aca="false">IF(AP18=1,AP87/In_DSCR,"")</f>
        <v>1966.01616509734</v>
      </c>
      <c r="AQ88" s="48" t="n">
        <f aca="false">IF(AQ18=1,AQ87/In_DSCR,"")</f>
        <v>1934.41233492835</v>
      </c>
      <c r="AR88" s="48" t="n">
        <f aca="false">IF(AR18=1,AR87/In_DSCR,"")</f>
        <v>1953.81154907231</v>
      </c>
      <c r="AS88" s="48" t="n">
        <f aca="false">IF(AS18=1,AS87/In_DSCR,"")</f>
        <v>1973.19467910136</v>
      </c>
      <c r="AT88" s="48" t="n">
        <f aca="false">IF(AT18=1,AT87/In_DSCR,"")</f>
        <v>1965.72013279304</v>
      </c>
      <c r="AU88" s="48" t="n">
        <f aca="false">IF(AU18=1,AU87/In_DSCR,"")</f>
        <v>1954.56709294064</v>
      </c>
      <c r="AV88" s="48" t="n">
        <f aca="false">IF(AV18=1,AV87/In_DSCR,"")</f>
        <v>1953.21481089545</v>
      </c>
      <c r="AW88" s="48" t="n">
        <f aca="false">IF(AW18=1,AW87/In_DSCR,"")</f>
        <v>1972.58336034132</v>
      </c>
      <c r="AX88" s="48" t="n">
        <f aca="false">IF(AX18=1,AX87/In_DSCR,"")</f>
        <v>1965.00305864218</v>
      </c>
      <c r="AY88" s="48" t="n">
        <f aca="false">IF(AY18=1,AY87/In_DSCR,"")</f>
        <v>1932.82002636374</v>
      </c>
      <c r="AZ88" s="48" t="n">
        <f aca="false">IF(AZ18=1,AZ87/In_DSCR,"")</f>
        <v>1952.1866098218</v>
      </c>
      <c r="BA88" s="48" t="n">
        <f aca="false">IF(BA18=1,BA87/In_DSCR,"")</f>
        <v>1971.53542859849</v>
      </c>
      <c r="BB88" s="48" t="n">
        <f aca="false">IF(BB18=1,BB87/In_DSCR,"")</f>
        <v>1963.84582957913</v>
      </c>
      <c r="BC88" s="48" t="n">
        <f aca="false">IF(BC18=1,BC87/In_DSCR,"")</f>
        <v>1931.36503251183</v>
      </c>
      <c r="BD88" s="48" t="n">
        <f aca="false">IF(BD18=1,BD87/In_DSCR,"")</f>
        <v>1950.70740468107</v>
      </c>
      <c r="BE88" s="48" t="n">
        <f aca="false">IF(BE18=1,BE87/In_DSCR,"")</f>
        <v>1970.03110714126</v>
      </c>
      <c r="BF88" s="48" t="n">
        <f aca="false">IF(BF18=1,BF87/In_DSCR,"")</f>
        <v>1962.22849676265</v>
      </c>
      <c r="BG88" s="48" t="n">
        <f aca="false">IF(BG18=1,BG87/In_DSCR,"")</f>
        <v>1929.44422380842</v>
      </c>
      <c r="BH88" s="48" t="n">
        <f aca="false">IF(BH18=1,BH87/In_DSCR,"")</f>
        <v>1948.75679912879</v>
      </c>
      <c r="BI88" s="48" t="n">
        <f aca="false">IF(BI18=1,BI87/In_DSCR,"")</f>
        <v>1968.04975360551</v>
      </c>
      <c r="BJ88" s="48" t="n">
        <f aca="false">IF(BJ18=1,BJ87/In_DSCR,"")</f>
        <v>1960.13023691855</v>
      </c>
      <c r="BK88" s="48" t="n">
        <f aca="false">IF(BK18=1,BK87/In_DSCR,"")</f>
        <v>1947.96313679096</v>
      </c>
      <c r="BL88" s="48" t="n">
        <f aca="false">IF(BL18=1,BL87/In_DSCR,"")</f>
        <v>1946.31350205849</v>
      </c>
      <c r="BM88" s="48" t="n">
        <f aca="false">IF(BM18=1,BM87/In_DSCR,"")</f>
        <v>1965.56981991764</v>
      </c>
      <c r="BN88" s="48" t="n">
        <f aca="false">IF(BN18=1,BN87/In_DSCR,"")</f>
        <v>1957.52931181205</v>
      </c>
      <c r="BO88" s="48" t="n">
        <f aca="false">IF(BO18=1,BO87/In_DSCR,"")</f>
        <v>1924.12009096837</v>
      </c>
      <c r="BP88" s="48" t="n">
        <f aca="false">IF(BP18=1,BP87/In_DSCR,"")</f>
        <v>1943.35528609757</v>
      </c>
      <c r="BQ88" s="48" t="n">
        <f aca="false">IF(BQ18=1,BQ87/In_DSCR,"")</f>
        <v>1962.56881027766</v>
      </c>
      <c r="BR88" s="48" t="n">
        <f aca="false">IF(BR18=1,BR87/In_DSCR,"")</f>
        <v>1954.40302575728</v>
      </c>
      <c r="BS88" s="48" t="n">
        <f aca="false">IF(BS18=1,BS87/In_DSCR,"")</f>
        <v>1920.67187609529</v>
      </c>
      <c r="BT88" s="48" t="n">
        <f aca="false">IF(BT18=1,BT87/In_DSCR,"")</f>
        <v>1939.85894409209</v>
      </c>
      <c r="BU88" s="48" t="n">
        <f aca="false">IF(BU18=1,BU87/In_DSCR,"")</f>
        <v>1959.02323710597</v>
      </c>
      <c r="BV88" s="48" t="n">
        <f aca="false">IF(BV18=1,BV87/In_DSCR,"")</f>
        <v>1950.72768106634</v>
      </c>
      <c r="BW88" s="48" t="n">
        <f aca="false">IF(BW18=1,BW87/In_DSCR,"")</f>
        <v>1916.66797684554</v>
      </c>
      <c r="BX88" s="48" t="n">
        <f aca="false">IF(BX18=1,BX87/In_DSCR,"")</f>
        <v>1935.80024348021</v>
      </c>
      <c r="BY88" s="48" t="n">
        <f aca="false">IF(BY18=1,BY87/In_DSCR,"")</f>
        <v>1954.90857485277</v>
      </c>
      <c r="BZ88" s="48" t="n">
        <f aca="false">IF(BZ18=1,BZ87/In_DSCR,"")</f>
        <v>1946.47853133547</v>
      </c>
      <c r="CA88" s="48" t="n">
        <f aca="false">IF(CA18=1,CA87/In_DSCR,"")</f>
        <v>1933.1662506173</v>
      </c>
      <c r="CB88" s="48" t="n">
        <f aca="false">IF(CB18=1,CB87/In_DSCR,"")</f>
        <v>1931.15387844963</v>
      </c>
      <c r="CC88" s="48" t="n">
        <f aca="false">IF(CC18=1,CC87/In_DSCR,"")</f>
        <v>1950.1992115638</v>
      </c>
      <c r="CD88" s="48" t="n">
        <f aca="false">IF(CD18=1,CD87/In_DSCR,"")</f>
        <v>1941.62973246086</v>
      </c>
      <c r="CE88" s="48" t="n">
        <f aca="false">IF(CE18=1,CE87/In_DSCR,"")</f>
        <v>1906.89200528213</v>
      </c>
      <c r="CF88" s="48" t="n">
        <f aca="false">IF(CF18=1,CF87/In_DSCR,"")</f>
        <v>1925.8934197686</v>
      </c>
      <c r="CG88" s="48" t="n">
        <f aca="false">IF(CG18=1,CG87/In_DSCR,"")</f>
        <v>1944.86839809074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482</v>
      </c>
      <c r="D89" s="11" t="s">
        <v>33</v>
      </c>
      <c r="E89" s="48" t="n">
        <f aca="false">IF(In_Debt_Per_MW&gt;0,In_Debt_Per_MW*$F25,-$E70)</f>
        <v>107373.632093313</v>
      </c>
    </row>
    <row r="90" customFormat="false" ht="15" hidden="false" customHeight="false" outlineLevel="0" collapsed="false">
      <c r="C90" s="25" t="s">
        <v>483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0.736762310843194</v>
      </c>
    </row>
    <row r="91" customFormat="false" ht="15" hidden="false" customHeight="false" outlineLevel="0" collapsed="false">
      <c r="C91" s="0" t="s">
        <v>484</v>
      </c>
      <c r="D91" s="11" t="s">
        <v>33</v>
      </c>
      <c r="E91" s="48" t="n">
        <f aca="false">$E90*-$E70</f>
        <v>59055.4976513219</v>
      </c>
      <c r="F91" s="48" t="n">
        <f aca="false">PMT($F22,In_Debt_Tenor*Months_In_Year/Months_Per_Period,-$E91)</f>
        <v>1404.92616034007</v>
      </c>
    </row>
    <row r="93" customFormat="false" ht="15" hidden="false" customHeight="false" outlineLevel="0" collapsed="false">
      <c r="A93" s="9" t="s">
        <v>13</v>
      </c>
      <c r="B93" s="9"/>
      <c r="C93" s="9" t="s">
        <v>359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485</v>
      </c>
      <c r="D94" s="11" t="s">
        <v>33</v>
      </c>
      <c r="I94" s="48" t="n">
        <f aca="false">SUM(J94:EO94)</f>
        <v>-25240.0719690823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-738.193720641525</v>
      </c>
      <c r="AA94" s="48" t="n">
        <f aca="false">-Z103*$F22*(AA$4&gt;In_COD)</f>
        <v>-729.859565145293</v>
      </c>
      <c r="AB94" s="48" t="n">
        <f aca="false">-AA103*$F22*(AB$4&gt;In_COD)</f>
        <v>-721.421232705358</v>
      </c>
      <c r="AC94" s="48" t="n">
        <f aca="false">-AB103*$F22*(AC$4&gt;In_COD)</f>
        <v>-712.877421109924</v>
      </c>
      <c r="AD94" s="48" t="n">
        <f aca="false">-AC103*$F22*(AD$4&gt;In_COD)</f>
        <v>-704.226811869547</v>
      </c>
      <c r="AE94" s="48" t="n">
        <f aca="false">-AD103*$F22*(AE$4&gt;In_COD)</f>
        <v>-695.468070013666</v>
      </c>
      <c r="AF94" s="48" t="n">
        <f aca="false">-AE103*$F22*(AF$4&gt;In_COD)</f>
        <v>-686.599843884585</v>
      </c>
      <c r="AG94" s="48" t="n">
        <f aca="false">-AF103*$F22*(AG$4&gt;In_COD)</f>
        <v>-677.620764928892</v>
      </c>
      <c r="AH94" s="48" t="n">
        <f aca="false">-AG103*$F22*(AH$4&gt;In_COD)</f>
        <v>-668.529447486252</v>
      </c>
      <c r="AI94" s="48" t="n">
        <f aca="false">-AH103*$F22*(AI$4&gt;In_COD)</f>
        <v>-659.324488575579</v>
      </c>
      <c r="AJ94" s="48" t="n">
        <f aca="false">-AI103*$F22*(AJ$4&gt;In_COD)</f>
        <v>-650.004467678523</v>
      </c>
      <c r="AK94" s="48" t="n">
        <f aca="false">-AJ103*$F22*(AK$4&gt;In_COD)</f>
        <v>-640.567946520254</v>
      </c>
      <c r="AL94" s="48" t="n">
        <f aca="false">-AK103*$F22*(AL$4&gt;In_COD)</f>
        <v>-631.013468847506</v>
      </c>
      <c r="AM94" s="48" t="n">
        <f aca="false">-AL103*$F22*(AM$4&gt;In_COD)</f>
        <v>-621.339560203849</v>
      </c>
      <c r="AN94" s="48" t="n">
        <f aca="false">-AM103*$F22*(AN$4&gt;In_COD)</f>
        <v>-611.544727702146</v>
      </c>
      <c r="AO94" s="48" t="n">
        <f aca="false">-AN103*$F22*(AO$4&gt;In_COD)</f>
        <v>-601.627459794172</v>
      </c>
      <c r="AP94" s="48" t="n">
        <f aca="false">-AO103*$F22*(AP$4&gt;In_COD)</f>
        <v>-591.586226037348</v>
      </c>
      <c r="AQ94" s="48" t="n">
        <f aca="false">-AP103*$F22*(AQ$4&gt;In_COD)</f>
        <v>-581.419476858564</v>
      </c>
      <c r="AR94" s="48" t="n">
        <f aca="false">-AQ103*$F22*(AR$4&gt;In_COD)</f>
        <v>-571.125643315045</v>
      </c>
      <c r="AS94" s="48" t="n">
        <f aca="false">-AR103*$F22*(AS$4&gt;In_COD)</f>
        <v>-560.703136852233</v>
      </c>
      <c r="AT94" s="48" t="n">
        <f aca="false">-AS103*$F22*(AT$4&gt;In_COD)</f>
        <v>-550.150349058635</v>
      </c>
      <c r="AU94" s="48" t="n">
        <f aca="false">-AT103*$F22*(AU$4&gt;In_COD)</f>
        <v>-539.465651417617</v>
      </c>
      <c r="AV94" s="48" t="n">
        <f aca="false">-AU103*$F22*(AV$4&gt;In_COD)</f>
        <v>-528.647395056086</v>
      </c>
      <c r="AW94" s="48" t="n">
        <f aca="false">-AV103*$F22*(AW$4&gt;In_COD)</f>
        <v>-517.693910490036</v>
      </c>
      <c r="AX94" s="48" t="n">
        <f aca="false">-AW103*$F22*(AX$4&gt;In_COD)</f>
        <v>-506.603507366911</v>
      </c>
      <c r="AY94" s="48" t="n">
        <f aca="false">-AX103*$F22*(AY$4&gt;In_COD)</f>
        <v>-495.374474204746</v>
      </c>
      <c r="AZ94" s="48" t="n">
        <f aca="false">-AY103*$F22*(AZ$4&gt;In_COD)</f>
        <v>-484.005078128055</v>
      </c>
      <c r="BA94" s="48" t="n">
        <f aca="false">-AZ103*$F22*(BA$4&gt;In_COD)</f>
        <v>-472.493564600404</v>
      </c>
      <c r="BB94" s="48" t="n">
        <f aca="false">-BA103*$F22*(BB$4&gt;In_COD)</f>
        <v>-460.838157153659</v>
      </c>
      <c r="BC94" s="48" t="n">
        <f aca="false">-BB103*$F22*(BC$4&gt;In_COD)</f>
        <v>-449.037057113828</v>
      </c>
      <c r="BD94" s="48" t="n">
        <f aca="false">-BC103*$F22*(BD$4&gt;In_COD)</f>
        <v>-437.0884433235</v>
      </c>
      <c r="BE94" s="48" t="n">
        <f aca="false">-BD103*$F22*(BE$4&gt;In_COD)</f>
        <v>-424.990471860793</v>
      </c>
      <c r="BF94" s="48" t="n">
        <f aca="false">-BE103*$F22*(BF$4&gt;In_COD)</f>
        <v>-412.741275754802</v>
      </c>
      <c r="BG94" s="48" t="n">
        <f aca="false">-BF103*$F22*(BG$4&gt;In_COD)</f>
        <v>-400.338964697486</v>
      </c>
      <c r="BH94" s="48" t="n">
        <f aca="false">-BG103*$F22*(BH$4&gt;In_COD)</f>
        <v>-387.781624751954</v>
      </c>
      <c r="BI94" s="48" t="n">
        <f aca="false">-BH103*$F22*(BI$4&gt;In_COD)</f>
        <v>-375.067318057103</v>
      </c>
      <c r="BJ94" s="48" t="n">
        <f aca="false">-BI103*$F22*(BJ$4&gt;In_COD)</f>
        <v>-362.194082528566</v>
      </c>
      <c r="BK94" s="48" t="n">
        <f aca="false">-BJ103*$F22*(BK$4&gt;In_COD)</f>
        <v>-349.159931555922</v>
      </c>
      <c r="BL94" s="48" t="n">
        <f aca="false">-BK103*$F22*(BL$4&gt;In_COD)</f>
        <v>-335.96285369612</v>
      </c>
      <c r="BM94" s="48" t="n">
        <f aca="false">-BL103*$F22*(BM$4&gt;In_COD)</f>
        <v>-322.600812363071</v>
      </c>
      <c r="BN94" s="48" t="n">
        <f aca="false">-BM103*$F22*(BN$4&gt;In_COD)</f>
        <v>-309.071745513358</v>
      </c>
      <c r="BO94" s="48" t="n">
        <f aca="false">-BN103*$F22*(BO$4&gt;In_COD)</f>
        <v>-295.373565328024</v>
      </c>
      <c r="BP94" s="48" t="n">
        <f aca="false">-BO103*$F22*(BP$4&gt;In_COD)</f>
        <v>-281.504157890374</v>
      </c>
      <c r="BQ94" s="48" t="n">
        <f aca="false">-BP103*$F22*(BQ$4&gt;In_COD)</f>
        <v>-267.461382859752</v>
      </c>
      <c r="BR94" s="48" t="n">
        <f aca="false">-BQ103*$F22*(BR$4&gt;In_COD)</f>
        <v>-253.243073141248</v>
      </c>
      <c r="BS94" s="48" t="n">
        <f aca="false">-BR103*$F22*(BS$4&gt;In_COD)</f>
        <v>-238.847034551263</v>
      </c>
      <c r="BT94" s="48" t="n">
        <f aca="false">-BS103*$F22*(BT$4&gt;In_COD)</f>
        <v>-224.271045478903</v>
      </c>
      <c r="BU94" s="48" t="n">
        <f aca="false">-BT103*$F22*(BU$4&gt;In_COD)</f>
        <v>-209.512856543138</v>
      </c>
      <c r="BV94" s="48" t="n">
        <f aca="false">-BU103*$F22*(BV$4&gt;In_COD)</f>
        <v>-194.570190245677</v>
      </c>
      <c r="BW94" s="48" t="n">
        <f aca="false">-BV103*$F22*(BW$4&gt;In_COD)</f>
        <v>-179.440740619497</v>
      </c>
      <c r="BX94" s="48" t="n">
        <f aca="false">-BW103*$F22*(BX$4&gt;In_COD)</f>
        <v>-164.122172872989</v>
      </c>
      <c r="BY94" s="48" t="n">
        <f aca="false">-BX103*$F22*(BY$4&gt;In_COD)</f>
        <v>-148.612123029651</v>
      </c>
      <c r="BZ94" s="48" t="n">
        <f aca="false">-BY103*$F22*(BZ$4&gt;In_COD)</f>
        <v>-132.908197563271</v>
      </c>
      <c r="CA94" s="48" t="n">
        <f aca="false">-BZ103*$F22*(CA$4&gt;In_COD)</f>
        <v>-117.007973028561</v>
      </c>
      <c r="CB94" s="48" t="n">
        <f aca="false">-CA103*$F22*(CB$4&gt;In_COD)</f>
        <v>-100.908995687167</v>
      </c>
      <c r="CC94" s="48" t="n">
        <f aca="false">-CB103*$F22*(CC$4&gt;In_COD)</f>
        <v>-84.6087811290055</v>
      </c>
      <c r="CD94" s="48" t="n">
        <f aca="false">-CC103*$F22*(CD$4&gt;In_COD)</f>
        <v>-68.1048138888671</v>
      </c>
      <c r="CE94" s="48" t="n">
        <f aca="false">-CD103*$F22*(CE$4&gt;In_COD)</f>
        <v>-51.3945470582271</v>
      </c>
      <c r="CF94" s="48" t="n">
        <f aca="false">-CE103*$F22*(CF$4&gt;In_COD)</f>
        <v>-34.475401892204</v>
      </c>
      <c r="CG94" s="48" t="n">
        <f aca="false">-CF103*$F22*(CG$4&gt;In_COD)</f>
        <v>-17.3447674116057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486</v>
      </c>
      <c r="D95" s="11" t="s">
        <v>33</v>
      </c>
      <c r="I95" s="48" t="n">
        <f aca="false">SUM(J95:EO95)</f>
        <v>-59055.4976513219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-666.732439698547</v>
      </c>
      <c r="AA95" s="48" t="n">
        <f aca="false">-MIN(Z103,$F91+AA94)*AA18</f>
        <v>-675.066595194779</v>
      </c>
      <c r="AB95" s="48" t="n">
        <f aca="false">-MIN(AA103,$F91+AB94)*AB18</f>
        <v>-683.504927634714</v>
      </c>
      <c r="AC95" s="48" t="n">
        <f aca="false">-MIN(AB103,$F91+AC94)*AC18</f>
        <v>-692.048739230148</v>
      </c>
      <c r="AD95" s="48" t="n">
        <f aca="false">-MIN(AC103,$F91+AD94)*AD18</f>
        <v>-700.699348470525</v>
      </c>
      <c r="AE95" s="48" t="n">
        <f aca="false">-MIN(AD103,$F91+AE94)*AE18</f>
        <v>-709.458090326406</v>
      </c>
      <c r="AF95" s="48" t="n">
        <f aca="false">-MIN(AE103,$F91+AF94)*AF18</f>
        <v>-718.326316455486</v>
      </c>
      <c r="AG95" s="48" t="n">
        <f aca="false">-MIN(AF103,$F91+AG94)*AG18</f>
        <v>-727.30539541118</v>
      </c>
      <c r="AH95" s="48" t="n">
        <f aca="false">-MIN(AG103,$F91+AH94)*AH18</f>
        <v>-736.396712853819</v>
      </c>
      <c r="AI95" s="48" t="n">
        <f aca="false">-MIN(AH103,$F91+AI94)*AI18</f>
        <v>-745.601671764492</v>
      </c>
      <c r="AJ95" s="48" t="n">
        <f aca="false">-MIN(AI103,$F91+AJ94)*AJ18</f>
        <v>-754.921692661548</v>
      </c>
      <c r="AK95" s="48" t="n">
        <f aca="false">-MIN(AJ103,$F91+AK94)*AK18</f>
        <v>-764.358213819818</v>
      </c>
      <c r="AL95" s="48" t="n">
        <f aca="false">-MIN(AK103,$F91+AL94)*AL18</f>
        <v>-773.912691492565</v>
      </c>
      <c r="AM95" s="48" t="n">
        <f aca="false">-MIN(AL103,$F91+AM94)*AM18</f>
        <v>-783.586600136223</v>
      </c>
      <c r="AN95" s="48" t="n">
        <f aca="false">-MIN(AM103,$F91+AN94)*AN18</f>
        <v>-793.381432637925</v>
      </c>
      <c r="AO95" s="48" t="n">
        <f aca="false">-MIN(AN103,$F91+AO94)*AO18</f>
        <v>-803.298700545899</v>
      </c>
      <c r="AP95" s="48" t="n">
        <f aca="false">-MIN(AO103,$F91+AP94)*AP18</f>
        <v>-813.339934302723</v>
      </c>
      <c r="AQ95" s="48" t="n">
        <f aca="false">-MIN(AP103,$F91+AQ94)*AQ18</f>
        <v>-823.506683481507</v>
      </c>
      <c r="AR95" s="48" t="n">
        <f aca="false">-MIN(AQ103,$F91+AR94)*AR18</f>
        <v>-833.800517025026</v>
      </c>
      <c r="AS95" s="48" t="n">
        <f aca="false">-MIN(AR103,$F91+AS94)*AS18</f>
        <v>-844.223023487839</v>
      </c>
      <c r="AT95" s="48" t="n">
        <f aca="false">-MIN(AS103,$F91+AT94)*AT18</f>
        <v>-854.775811281437</v>
      </c>
      <c r="AU95" s="48" t="n">
        <f aca="false">-MIN(AT103,$F91+AU94)*AU18</f>
        <v>-865.460508922455</v>
      </c>
      <c r="AV95" s="48" t="n">
        <f aca="false">-MIN(AU103,$F91+AV94)*AV18</f>
        <v>-876.278765283985</v>
      </c>
      <c r="AW95" s="48" t="n">
        <f aca="false">-MIN(AV103,$F91+AW94)*AW18</f>
        <v>-887.232249850035</v>
      </c>
      <c r="AX95" s="48" t="n">
        <f aca="false">-MIN(AW103,$F91+AX94)*AX18</f>
        <v>-898.322652973161</v>
      </c>
      <c r="AY95" s="48" t="n">
        <f aca="false">-MIN(AX103,$F91+AY94)*AY18</f>
        <v>-909.551686135325</v>
      </c>
      <c r="AZ95" s="48" t="n">
        <f aca="false">-MIN(AY103,$F91+AZ94)*AZ18</f>
        <v>-920.921082212017</v>
      </c>
      <c r="BA95" s="48" t="n">
        <f aca="false">-MIN(AZ103,$F91+BA94)*BA18</f>
        <v>-932.432595739667</v>
      </c>
      <c r="BB95" s="48" t="n">
        <f aca="false">-MIN(BA103,$F91+BB94)*BB18</f>
        <v>-944.088003186413</v>
      </c>
      <c r="BC95" s="48" t="n">
        <f aca="false">-MIN(BB103,$F91+BC94)*BC18</f>
        <v>-955.889103226243</v>
      </c>
      <c r="BD95" s="48" t="n">
        <f aca="false">-MIN(BC103,$F91+BD94)*BD18</f>
        <v>-967.837717016571</v>
      </c>
      <c r="BE95" s="48" t="n">
        <f aca="false">-MIN(BD103,$F91+BE94)*BE18</f>
        <v>-979.935688479278</v>
      </c>
      <c r="BF95" s="48" t="n">
        <f aca="false">-MIN(BE103,$F91+BF94)*BF18</f>
        <v>-992.184884585269</v>
      </c>
      <c r="BG95" s="48" t="n">
        <f aca="false">-MIN(BF103,$F91+BG94)*BG18</f>
        <v>-1004.58719564258</v>
      </c>
      <c r="BH95" s="48" t="n">
        <f aca="false">-MIN(BG103,$F91+BH94)*BH18</f>
        <v>-1017.14453558812</v>
      </c>
      <c r="BI95" s="48" t="n">
        <f aca="false">-MIN(BH103,$F91+BI94)*BI18</f>
        <v>-1029.85884228297</v>
      </c>
      <c r="BJ95" s="48" t="n">
        <f aca="false">-MIN(BI103,$F91+BJ94)*BJ18</f>
        <v>-1042.73207781151</v>
      </c>
      <c r="BK95" s="48" t="n">
        <f aca="false">-MIN(BJ103,$F91+BK94)*BK18</f>
        <v>-1055.76622878415</v>
      </c>
      <c r="BL95" s="48" t="n">
        <f aca="false">-MIN(BK103,$F91+BL94)*BL18</f>
        <v>-1068.96330664395</v>
      </c>
      <c r="BM95" s="48" t="n">
        <f aca="false">-MIN(BL103,$F91+BM94)*BM18</f>
        <v>-1082.325347977</v>
      </c>
      <c r="BN95" s="48" t="n">
        <f aca="false">-MIN(BM103,$F91+BN94)*BN18</f>
        <v>-1095.85441482671</v>
      </c>
      <c r="BO95" s="48" t="n">
        <f aca="false">-MIN(BN103,$F91+BO94)*BO18</f>
        <v>-1109.55259501205</v>
      </c>
      <c r="BP95" s="48" t="n">
        <f aca="false">-MIN(BO103,$F91+BP94)*BP18</f>
        <v>-1123.4220024497</v>
      </c>
      <c r="BQ95" s="48" t="n">
        <f aca="false">-MIN(BP103,$F91+BQ94)*BQ18</f>
        <v>-1137.46477748032</v>
      </c>
      <c r="BR95" s="48" t="n">
        <f aca="false">-MIN(BQ103,$F91+BR94)*BR18</f>
        <v>-1151.68308719882</v>
      </c>
      <c r="BS95" s="48" t="n">
        <f aca="false">-MIN(BR103,$F91+BS94)*BS18</f>
        <v>-1166.07912578881</v>
      </c>
      <c r="BT95" s="48" t="n">
        <f aca="false">-MIN(BS103,$F91+BT94)*BT18</f>
        <v>-1180.65511486117</v>
      </c>
      <c r="BU95" s="48" t="n">
        <f aca="false">-MIN(BT103,$F91+BU94)*BU18</f>
        <v>-1195.41330379693</v>
      </c>
      <c r="BV95" s="48" t="n">
        <f aca="false">-MIN(BU103,$F91+BV94)*BV18</f>
        <v>-1210.3559700944</v>
      </c>
      <c r="BW95" s="48" t="n">
        <f aca="false">-MIN(BV103,$F91+BW94)*BW18</f>
        <v>-1225.48541972057</v>
      </c>
      <c r="BX95" s="48" t="n">
        <f aca="false">-MIN(BW103,$F91+BX94)*BX18</f>
        <v>-1240.80398746708</v>
      </c>
      <c r="BY95" s="48" t="n">
        <f aca="false">-MIN(BX103,$F91+BY94)*BY18</f>
        <v>-1256.31403731042</v>
      </c>
      <c r="BZ95" s="48" t="n">
        <f aca="false">-MIN(BY103,$F91+BZ94)*BZ18</f>
        <v>-1272.0179627768</v>
      </c>
      <c r="CA95" s="48" t="n">
        <f aca="false">-MIN(BZ103,$F91+CA94)*CA18</f>
        <v>-1287.91818731151</v>
      </c>
      <c r="CB95" s="48" t="n">
        <f aca="false">-MIN(CA103,$F91+CB94)*CB18</f>
        <v>-1304.0171646529</v>
      </c>
      <c r="CC95" s="48" t="n">
        <f aca="false">-MIN(CB103,$F91+CC94)*CC18</f>
        <v>-1320.31737921107</v>
      </c>
      <c r="CD95" s="48" t="n">
        <f aca="false">-MIN(CC103,$F91+CD94)*CD18</f>
        <v>-1336.8213464512</v>
      </c>
      <c r="CE95" s="48" t="n">
        <f aca="false">-MIN(CD103,$F91+CE94)*CE18</f>
        <v>-1353.53161328184</v>
      </c>
      <c r="CF95" s="48" t="n">
        <f aca="false">-MIN(CE103,$F91+CF94)*CF18</f>
        <v>-1370.45075844787</v>
      </c>
      <c r="CG95" s="48" t="n">
        <f aca="false">-MIN(CF103,$F91+CG94)*CG18</f>
        <v>-1387.58139292845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487</v>
      </c>
      <c r="D96" s="11" t="s">
        <v>33</v>
      </c>
      <c r="I96" s="48" t="n">
        <f aca="false">SUM(J96:EO96)</f>
        <v>-84295.5696204043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-1404.92616034007</v>
      </c>
      <c r="AA96" s="48" t="n">
        <f aca="false">AA94+AA95</f>
        <v>-1404.92616034007</v>
      </c>
      <c r="AB96" s="48" t="n">
        <f aca="false">AB94+AB95</f>
        <v>-1404.92616034007</v>
      </c>
      <c r="AC96" s="48" t="n">
        <f aca="false">AC94+AC95</f>
        <v>-1404.92616034007</v>
      </c>
      <c r="AD96" s="48" t="n">
        <f aca="false">AD94+AD95</f>
        <v>-1404.92616034007</v>
      </c>
      <c r="AE96" s="48" t="n">
        <f aca="false">AE94+AE95</f>
        <v>-1404.92616034007</v>
      </c>
      <c r="AF96" s="48" t="n">
        <f aca="false">AF94+AF95</f>
        <v>-1404.92616034007</v>
      </c>
      <c r="AG96" s="48" t="n">
        <f aca="false">AG94+AG95</f>
        <v>-1404.92616034007</v>
      </c>
      <c r="AH96" s="48" t="n">
        <f aca="false">AH94+AH95</f>
        <v>-1404.92616034007</v>
      </c>
      <c r="AI96" s="48" t="n">
        <f aca="false">AI94+AI95</f>
        <v>-1404.92616034007</v>
      </c>
      <c r="AJ96" s="48" t="n">
        <f aca="false">AJ94+AJ95</f>
        <v>-1404.92616034007</v>
      </c>
      <c r="AK96" s="48" t="n">
        <f aca="false">AK94+AK95</f>
        <v>-1404.92616034007</v>
      </c>
      <c r="AL96" s="48" t="n">
        <f aca="false">AL94+AL95</f>
        <v>-1404.92616034007</v>
      </c>
      <c r="AM96" s="48" t="n">
        <f aca="false">AM94+AM95</f>
        <v>-1404.92616034007</v>
      </c>
      <c r="AN96" s="48" t="n">
        <f aca="false">AN94+AN95</f>
        <v>-1404.92616034007</v>
      </c>
      <c r="AO96" s="48" t="n">
        <f aca="false">AO94+AO95</f>
        <v>-1404.92616034007</v>
      </c>
      <c r="AP96" s="48" t="n">
        <f aca="false">AP94+AP95</f>
        <v>-1404.92616034007</v>
      </c>
      <c r="AQ96" s="48" t="n">
        <f aca="false">AQ94+AQ95</f>
        <v>-1404.92616034007</v>
      </c>
      <c r="AR96" s="48" t="n">
        <f aca="false">AR94+AR95</f>
        <v>-1404.92616034007</v>
      </c>
      <c r="AS96" s="48" t="n">
        <f aca="false">AS94+AS95</f>
        <v>-1404.92616034007</v>
      </c>
      <c r="AT96" s="48" t="n">
        <f aca="false">AT94+AT95</f>
        <v>-1404.92616034007</v>
      </c>
      <c r="AU96" s="48" t="n">
        <f aca="false">AU94+AU95</f>
        <v>-1404.92616034007</v>
      </c>
      <c r="AV96" s="48" t="n">
        <f aca="false">AV94+AV95</f>
        <v>-1404.92616034007</v>
      </c>
      <c r="AW96" s="48" t="n">
        <f aca="false">AW94+AW95</f>
        <v>-1404.92616034007</v>
      </c>
      <c r="AX96" s="48" t="n">
        <f aca="false">AX94+AX95</f>
        <v>-1404.92616034007</v>
      </c>
      <c r="AY96" s="48" t="n">
        <f aca="false">AY94+AY95</f>
        <v>-1404.92616034007</v>
      </c>
      <c r="AZ96" s="48" t="n">
        <f aca="false">AZ94+AZ95</f>
        <v>-1404.92616034007</v>
      </c>
      <c r="BA96" s="48" t="n">
        <f aca="false">BA94+BA95</f>
        <v>-1404.92616034007</v>
      </c>
      <c r="BB96" s="48" t="n">
        <f aca="false">BB94+BB95</f>
        <v>-1404.92616034007</v>
      </c>
      <c r="BC96" s="48" t="n">
        <f aca="false">BC94+BC95</f>
        <v>-1404.92616034007</v>
      </c>
      <c r="BD96" s="48" t="n">
        <f aca="false">BD94+BD95</f>
        <v>-1404.92616034007</v>
      </c>
      <c r="BE96" s="48" t="n">
        <f aca="false">BE94+BE95</f>
        <v>-1404.92616034007</v>
      </c>
      <c r="BF96" s="48" t="n">
        <f aca="false">BF94+BF95</f>
        <v>-1404.92616034007</v>
      </c>
      <c r="BG96" s="48" t="n">
        <f aca="false">BG94+BG95</f>
        <v>-1404.92616034007</v>
      </c>
      <c r="BH96" s="48" t="n">
        <f aca="false">BH94+BH95</f>
        <v>-1404.92616034007</v>
      </c>
      <c r="BI96" s="48" t="n">
        <f aca="false">BI94+BI95</f>
        <v>-1404.92616034007</v>
      </c>
      <c r="BJ96" s="48" t="n">
        <f aca="false">BJ94+BJ95</f>
        <v>-1404.92616034007</v>
      </c>
      <c r="BK96" s="48" t="n">
        <f aca="false">BK94+BK95</f>
        <v>-1404.92616034007</v>
      </c>
      <c r="BL96" s="48" t="n">
        <f aca="false">BL94+BL95</f>
        <v>-1404.92616034007</v>
      </c>
      <c r="BM96" s="48" t="n">
        <f aca="false">BM94+BM95</f>
        <v>-1404.92616034007</v>
      </c>
      <c r="BN96" s="48" t="n">
        <f aca="false">BN94+BN95</f>
        <v>-1404.92616034007</v>
      </c>
      <c r="BO96" s="48" t="n">
        <f aca="false">BO94+BO95</f>
        <v>-1404.92616034007</v>
      </c>
      <c r="BP96" s="48" t="n">
        <f aca="false">BP94+BP95</f>
        <v>-1404.92616034007</v>
      </c>
      <c r="BQ96" s="48" t="n">
        <f aca="false">BQ94+BQ95</f>
        <v>-1404.92616034007</v>
      </c>
      <c r="BR96" s="48" t="n">
        <f aca="false">BR94+BR95</f>
        <v>-1404.92616034007</v>
      </c>
      <c r="BS96" s="48" t="n">
        <f aca="false">BS94+BS95</f>
        <v>-1404.92616034007</v>
      </c>
      <c r="BT96" s="48" t="n">
        <f aca="false">BT94+BT95</f>
        <v>-1404.92616034007</v>
      </c>
      <c r="BU96" s="48" t="n">
        <f aca="false">BU94+BU95</f>
        <v>-1404.92616034007</v>
      </c>
      <c r="BV96" s="48" t="n">
        <f aca="false">BV94+BV95</f>
        <v>-1404.92616034007</v>
      </c>
      <c r="BW96" s="48" t="n">
        <f aca="false">BW94+BW95</f>
        <v>-1404.92616034007</v>
      </c>
      <c r="BX96" s="48" t="n">
        <f aca="false">BX94+BX95</f>
        <v>-1404.92616034007</v>
      </c>
      <c r="BY96" s="48" t="n">
        <f aca="false">BY94+BY95</f>
        <v>-1404.92616034007</v>
      </c>
      <c r="BZ96" s="48" t="n">
        <f aca="false">BZ94+BZ95</f>
        <v>-1404.92616034007</v>
      </c>
      <c r="CA96" s="48" t="n">
        <f aca="false">CA94+CA95</f>
        <v>-1404.92616034007</v>
      </c>
      <c r="CB96" s="48" t="n">
        <f aca="false">CB94+CB95</f>
        <v>-1404.92616034007</v>
      </c>
      <c r="CC96" s="48" t="n">
        <f aca="false">CC94+CC95</f>
        <v>-1404.92616034007</v>
      </c>
      <c r="CD96" s="48" t="n">
        <f aca="false">CD94+CD95</f>
        <v>-1404.92616034007</v>
      </c>
      <c r="CE96" s="48" t="n">
        <f aca="false">CE94+CE95</f>
        <v>-1404.92616034007</v>
      </c>
      <c r="CF96" s="48" t="n">
        <f aca="false">CF94+CF95</f>
        <v>-1404.92616034007</v>
      </c>
      <c r="CG96" s="48" t="n">
        <f aca="false">CG94+CG95</f>
        <v>-1404.92616034006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488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489</v>
      </c>
      <c r="D98" s="11" t="s">
        <v>33</v>
      </c>
      <c r="I98" s="48" t="n">
        <f aca="false">SUM(J98:EO98)</f>
        <v>-84295.5696204043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-1404.92616034007</v>
      </c>
      <c r="AA98" s="48" t="n">
        <f aca="false">AA96+AA97</f>
        <v>-1404.92616034007</v>
      </c>
      <c r="AB98" s="48" t="n">
        <f aca="false">AB96+AB97</f>
        <v>-1404.92616034007</v>
      </c>
      <c r="AC98" s="48" t="n">
        <f aca="false">AC96+AC97</f>
        <v>-1404.92616034007</v>
      </c>
      <c r="AD98" s="48" t="n">
        <f aca="false">AD96+AD97</f>
        <v>-1404.92616034007</v>
      </c>
      <c r="AE98" s="48" t="n">
        <f aca="false">AE96+AE97</f>
        <v>-1404.92616034007</v>
      </c>
      <c r="AF98" s="48" t="n">
        <f aca="false">AF96+AF97</f>
        <v>-1404.92616034007</v>
      </c>
      <c r="AG98" s="48" t="n">
        <f aca="false">AG96+AG97</f>
        <v>-1404.92616034007</v>
      </c>
      <c r="AH98" s="48" t="n">
        <f aca="false">AH96+AH97</f>
        <v>-1404.92616034007</v>
      </c>
      <c r="AI98" s="48" t="n">
        <f aca="false">AI96+AI97</f>
        <v>-1404.92616034007</v>
      </c>
      <c r="AJ98" s="48" t="n">
        <f aca="false">AJ96+AJ97</f>
        <v>-1404.92616034007</v>
      </c>
      <c r="AK98" s="48" t="n">
        <f aca="false">AK96+AK97</f>
        <v>-1404.92616034007</v>
      </c>
      <c r="AL98" s="48" t="n">
        <f aca="false">AL96+AL97</f>
        <v>-1404.92616034007</v>
      </c>
      <c r="AM98" s="48" t="n">
        <f aca="false">AM96+AM97</f>
        <v>-1404.92616034007</v>
      </c>
      <c r="AN98" s="48" t="n">
        <f aca="false">AN96+AN97</f>
        <v>-1404.92616034007</v>
      </c>
      <c r="AO98" s="48" t="n">
        <f aca="false">AO96+AO97</f>
        <v>-1404.92616034007</v>
      </c>
      <c r="AP98" s="48" t="n">
        <f aca="false">AP96+AP97</f>
        <v>-1404.92616034007</v>
      </c>
      <c r="AQ98" s="48" t="n">
        <f aca="false">AQ96+AQ97</f>
        <v>-1404.92616034007</v>
      </c>
      <c r="AR98" s="48" t="n">
        <f aca="false">AR96+AR97</f>
        <v>-1404.92616034007</v>
      </c>
      <c r="AS98" s="48" t="n">
        <f aca="false">AS96+AS97</f>
        <v>-1404.92616034007</v>
      </c>
      <c r="AT98" s="48" t="n">
        <f aca="false">AT96+AT97</f>
        <v>-1404.92616034007</v>
      </c>
      <c r="AU98" s="48" t="n">
        <f aca="false">AU96+AU97</f>
        <v>-1404.92616034007</v>
      </c>
      <c r="AV98" s="48" t="n">
        <f aca="false">AV96+AV97</f>
        <v>-1404.92616034007</v>
      </c>
      <c r="AW98" s="48" t="n">
        <f aca="false">AW96+AW97</f>
        <v>-1404.92616034007</v>
      </c>
      <c r="AX98" s="48" t="n">
        <f aca="false">AX96+AX97</f>
        <v>-1404.92616034007</v>
      </c>
      <c r="AY98" s="48" t="n">
        <f aca="false">AY96+AY97</f>
        <v>-1404.92616034007</v>
      </c>
      <c r="AZ98" s="48" t="n">
        <f aca="false">AZ96+AZ97</f>
        <v>-1404.92616034007</v>
      </c>
      <c r="BA98" s="48" t="n">
        <f aca="false">BA96+BA97</f>
        <v>-1404.92616034007</v>
      </c>
      <c r="BB98" s="48" t="n">
        <f aca="false">BB96+BB97</f>
        <v>-1404.92616034007</v>
      </c>
      <c r="BC98" s="48" t="n">
        <f aca="false">BC96+BC97</f>
        <v>-1404.92616034007</v>
      </c>
      <c r="BD98" s="48" t="n">
        <f aca="false">BD96+BD97</f>
        <v>-1404.92616034007</v>
      </c>
      <c r="BE98" s="48" t="n">
        <f aca="false">BE96+BE97</f>
        <v>-1404.92616034007</v>
      </c>
      <c r="BF98" s="48" t="n">
        <f aca="false">BF96+BF97</f>
        <v>-1404.92616034007</v>
      </c>
      <c r="BG98" s="48" t="n">
        <f aca="false">BG96+BG97</f>
        <v>-1404.92616034007</v>
      </c>
      <c r="BH98" s="48" t="n">
        <f aca="false">BH96+BH97</f>
        <v>-1404.92616034007</v>
      </c>
      <c r="BI98" s="48" t="n">
        <f aca="false">BI96+BI97</f>
        <v>-1404.92616034007</v>
      </c>
      <c r="BJ98" s="48" t="n">
        <f aca="false">BJ96+BJ97</f>
        <v>-1404.92616034007</v>
      </c>
      <c r="BK98" s="48" t="n">
        <f aca="false">BK96+BK97</f>
        <v>-1404.92616034007</v>
      </c>
      <c r="BL98" s="48" t="n">
        <f aca="false">BL96+BL97</f>
        <v>-1404.92616034007</v>
      </c>
      <c r="BM98" s="48" t="n">
        <f aca="false">BM96+BM97</f>
        <v>-1404.92616034007</v>
      </c>
      <c r="BN98" s="48" t="n">
        <f aca="false">BN96+BN97</f>
        <v>-1404.92616034007</v>
      </c>
      <c r="BO98" s="48" t="n">
        <f aca="false">BO96+BO97</f>
        <v>-1404.92616034007</v>
      </c>
      <c r="BP98" s="48" t="n">
        <f aca="false">BP96+BP97</f>
        <v>-1404.92616034007</v>
      </c>
      <c r="BQ98" s="48" t="n">
        <f aca="false">BQ96+BQ97</f>
        <v>-1404.92616034007</v>
      </c>
      <c r="BR98" s="48" t="n">
        <f aca="false">BR96+BR97</f>
        <v>-1404.92616034007</v>
      </c>
      <c r="BS98" s="48" t="n">
        <f aca="false">BS96+BS97</f>
        <v>-1404.92616034007</v>
      </c>
      <c r="BT98" s="48" t="n">
        <f aca="false">BT96+BT97</f>
        <v>-1404.92616034007</v>
      </c>
      <c r="BU98" s="48" t="n">
        <f aca="false">BU96+BU97</f>
        <v>-1404.92616034007</v>
      </c>
      <c r="BV98" s="48" t="n">
        <f aca="false">BV96+BV97</f>
        <v>-1404.92616034007</v>
      </c>
      <c r="BW98" s="48" t="n">
        <f aca="false">BW96+BW97</f>
        <v>-1404.92616034007</v>
      </c>
      <c r="BX98" s="48" t="n">
        <f aca="false">BX96+BX97</f>
        <v>-1404.92616034007</v>
      </c>
      <c r="BY98" s="48" t="n">
        <f aca="false">BY96+BY97</f>
        <v>-1404.92616034007</v>
      </c>
      <c r="BZ98" s="48" t="n">
        <f aca="false">BZ96+BZ97</f>
        <v>-1404.92616034007</v>
      </c>
      <c r="CA98" s="48" t="n">
        <f aca="false">CA96+CA97</f>
        <v>-1404.92616034007</v>
      </c>
      <c r="CB98" s="48" t="n">
        <f aca="false">CB96+CB97</f>
        <v>-1404.92616034007</v>
      </c>
      <c r="CC98" s="48" t="n">
        <f aca="false">CC96+CC97</f>
        <v>-1404.92616034007</v>
      </c>
      <c r="CD98" s="48" t="n">
        <f aca="false">CD96+CD97</f>
        <v>-1404.92616034007</v>
      </c>
      <c r="CE98" s="48" t="n">
        <f aca="false">CE96+CE97</f>
        <v>-1404.92616034007</v>
      </c>
      <c r="CF98" s="48" t="n">
        <f aca="false">CF96+CF97</f>
        <v>-1404.92616034007</v>
      </c>
      <c r="CG98" s="48" t="n">
        <f aca="false">CG96+CG97</f>
        <v>-1404.92616034006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490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6374.47363013699</v>
      </c>
      <c r="T99" s="18" t="n">
        <f aca="false">S103</f>
        <v>17175.2053998288</v>
      </c>
      <c r="U99" s="18" t="n">
        <f aca="false">T103</f>
        <v>23695.0813406143</v>
      </c>
      <c r="V99" s="18" t="n">
        <f aca="false">U103</f>
        <v>30365.743487509</v>
      </c>
      <c r="W99" s="18" t="n">
        <f aca="false">V103</f>
        <v>37119.7889112398</v>
      </c>
      <c r="X99" s="18" t="n">
        <f aca="false">W103</f>
        <v>43819.6843890687</v>
      </c>
      <c r="Y99" s="18" t="n">
        <f aca="false">X103</f>
        <v>50672.6163172197</v>
      </c>
      <c r="Z99" s="18" t="n">
        <f aca="false">Y103</f>
        <v>59055.4976513219</v>
      </c>
      <c r="AA99" s="18" t="n">
        <f aca="false">Z103</f>
        <v>58388.7652116234</v>
      </c>
      <c r="AB99" s="18" t="n">
        <f aca="false">AA103</f>
        <v>57713.6986164286</v>
      </c>
      <c r="AC99" s="18" t="n">
        <f aca="false">AB103</f>
        <v>57030.1936887939</v>
      </c>
      <c r="AD99" s="18" t="n">
        <f aca="false">AC103</f>
        <v>56338.1449495638</v>
      </c>
      <c r="AE99" s="18" t="n">
        <f aca="false">AD103</f>
        <v>55637.4456010932</v>
      </c>
      <c r="AF99" s="18" t="n">
        <f aca="false">AE103</f>
        <v>54927.9875107668</v>
      </c>
      <c r="AG99" s="18" t="n">
        <f aca="false">AF103</f>
        <v>54209.6611943113</v>
      </c>
      <c r="AH99" s="18" t="n">
        <f aca="false">AG103</f>
        <v>53482.3557989002</v>
      </c>
      <c r="AI99" s="18" t="n">
        <f aca="false">AH103</f>
        <v>52745.9590860463</v>
      </c>
      <c r="AJ99" s="18" t="n">
        <f aca="false">AI103</f>
        <v>52000.3574142818</v>
      </c>
      <c r="AK99" s="18" t="n">
        <f aca="false">AJ103</f>
        <v>51245.4357216203</v>
      </c>
      <c r="AL99" s="18" t="n">
        <f aca="false">AK103</f>
        <v>50481.0775078005</v>
      </c>
      <c r="AM99" s="18" t="n">
        <f aca="false">AL103</f>
        <v>49707.1648163079</v>
      </c>
      <c r="AN99" s="18" t="n">
        <f aca="false">AM103</f>
        <v>48923.5782161717</v>
      </c>
      <c r="AO99" s="18" t="n">
        <f aca="false">AN103</f>
        <v>48130.1967835338</v>
      </c>
      <c r="AP99" s="18" t="n">
        <f aca="false">AO103</f>
        <v>47326.8980829879</v>
      </c>
      <c r="AQ99" s="18" t="n">
        <f aca="false">AP103</f>
        <v>46513.5581486851</v>
      </c>
      <c r="AR99" s="18" t="n">
        <f aca="false">AQ103</f>
        <v>45690.0514652036</v>
      </c>
      <c r="AS99" s="18" t="n">
        <f aca="false">AR103</f>
        <v>44856.2509481786</v>
      </c>
      <c r="AT99" s="18" t="n">
        <f aca="false">AS103</f>
        <v>44012.0279246908</v>
      </c>
      <c r="AU99" s="18" t="n">
        <f aca="false">AT103</f>
        <v>43157.2521134093</v>
      </c>
      <c r="AV99" s="18" t="n">
        <f aca="false">AU103</f>
        <v>42291.7916044869</v>
      </c>
      <c r="AW99" s="18" t="n">
        <f aca="false">AV103</f>
        <v>41415.5128392029</v>
      </c>
      <c r="AX99" s="18" t="n">
        <f aca="false">AW103</f>
        <v>40528.2805893529</v>
      </c>
      <c r="AY99" s="18" t="n">
        <f aca="false">AX103</f>
        <v>39629.9579363797</v>
      </c>
      <c r="AZ99" s="18" t="n">
        <f aca="false">AY103</f>
        <v>38720.4062502444</v>
      </c>
      <c r="BA99" s="18" t="n">
        <f aca="false">AZ103</f>
        <v>37799.4851680324</v>
      </c>
      <c r="BB99" s="18" t="n">
        <f aca="false">BA103</f>
        <v>36867.0525722927</v>
      </c>
      <c r="BC99" s="18" t="n">
        <f aca="false">BB103</f>
        <v>35922.9645691063</v>
      </c>
      <c r="BD99" s="18" t="n">
        <f aca="false">BC103</f>
        <v>34967.07546588</v>
      </c>
      <c r="BE99" s="18" t="n">
        <f aca="false">BD103</f>
        <v>33999.2377488635</v>
      </c>
      <c r="BF99" s="18" t="n">
        <f aca="false">BE103</f>
        <v>33019.3020603842</v>
      </c>
      <c r="BG99" s="18" t="n">
        <f aca="false">BF103</f>
        <v>32027.1171757989</v>
      </c>
      <c r="BH99" s="18" t="n">
        <f aca="false">BG103</f>
        <v>31022.5299801563</v>
      </c>
      <c r="BI99" s="18" t="n">
        <f aca="false">BH103</f>
        <v>30005.3854445682</v>
      </c>
      <c r="BJ99" s="18" t="n">
        <f aca="false">BI103</f>
        <v>28975.5266022852</v>
      </c>
      <c r="BK99" s="18" t="n">
        <f aca="false">BJ103</f>
        <v>27932.7945244737</v>
      </c>
      <c r="BL99" s="18" t="n">
        <f aca="false">BK103</f>
        <v>26877.0282956896</v>
      </c>
      <c r="BM99" s="18" t="n">
        <f aca="false">BL103</f>
        <v>25808.0649890456</v>
      </c>
      <c r="BN99" s="18" t="n">
        <f aca="false">BM103</f>
        <v>24725.7396410686</v>
      </c>
      <c r="BO99" s="18" t="n">
        <f aca="false">BN103</f>
        <v>23629.8852262419</v>
      </c>
      <c r="BP99" s="18" t="n">
        <f aca="false">BO103</f>
        <v>22520.3326312299</v>
      </c>
      <c r="BQ99" s="18" t="n">
        <f aca="false">BP103</f>
        <v>21396.9106287802</v>
      </c>
      <c r="BR99" s="18" t="n">
        <f aca="false">BQ103</f>
        <v>20259.4458512999</v>
      </c>
      <c r="BS99" s="18" t="n">
        <f aca="false">BR103</f>
        <v>19107.762764101</v>
      </c>
      <c r="BT99" s="18" t="n">
        <f aca="false">BS103</f>
        <v>17941.6836383122</v>
      </c>
      <c r="BU99" s="18" t="n">
        <f aca="false">BT103</f>
        <v>16761.0285234511</v>
      </c>
      <c r="BV99" s="18" t="n">
        <f aca="false">BU103</f>
        <v>15565.6152196541</v>
      </c>
      <c r="BW99" s="18" t="n">
        <f aca="false">BV103</f>
        <v>14355.2592495597</v>
      </c>
      <c r="BX99" s="18" t="n">
        <f aca="false">BW103</f>
        <v>13129.7738298392</v>
      </c>
      <c r="BY99" s="18" t="n">
        <f aca="false">BX103</f>
        <v>11888.9698423721</v>
      </c>
      <c r="BZ99" s="18" t="n">
        <f aca="false">BY103</f>
        <v>10632.6558050617</v>
      </c>
      <c r="CA99" s="18" t="n">
        <f aca="false">BZ103</f>
        <v>9360.63784228485</v>
      </c>
      <c r="CB99" s="18" t="n">
        <f aca="false">CA103</f>
        <v>8072.71965497334</v>
      </c>
      <c r="CC99" s="18" t="n">
        <f aca="false">CB103</f>
        <v>6768.70249032044</v>
      </c>
      <c r="CD99" s="18" t="n">
        <f aca="false">CC103</f>
        <v>5448.38511110937</v>
      </c>
      <c r="CE99" s="18" t="n">
        <f aca="false">CD103</f>
        <v>4111.56376465816</v>
      </c>
      <c r="CF99" s="18" t="n">
        <f aca="false">CE103</f>
        <v>2758.03215137632</v>
      </c>
      <c r="CG99" s="18" t="n">
        <f aca="false">CF103</f>
        <v>1387.58139292845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491</v>
      </c>
      <c r="D100" s="11" t="s">
        <v>33</v>
      </c>
      <c r="I100" s="48" t="n">
        <f aca="false">SUM(J100:EO100)</f>
        <v>56440.2152328767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6374.47363013699</v>
      </c>
      <c r="S100" s="48" t="n">
        <f aca="false">-$E90*S70</f>
        <v>10721.0508493151</v>
      </c>
      <c r="T100" s="48" t="n">
        <f aca="false">-$E90*T70</f>
        <v>6305.18587328767</v>
      </c>
      <c r="U100" s="48" t="n">
        <f aca="false">-$E90*U70</f>
        <v>6374.47363013699</v>
      </c>
      <c r="V100" s="48" t="n">
        <f aca="false">-$E90*V70</f>
        <v>6374.47363013699</v>
      </c>
      <c r="W100" s="48" t="n">
        <f aca="false">-$E90*W70</f>
        <v>6235.89811643836</v>
      </c>
      <c r="X100" s="48" t="n">
        <f aca="false">-$E90*X70</f>
        <v>6305.18587328767</v>
      </c>
      <c r="Y100" s="48" t="n">
        <f aca="false">-$E90*Y70</f>
        <v>7749.47363013699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492</v>
      </c>
      <c r="D101" s="11" t="s">
        <v>33</v>
      </c>
      <c r="I101" s="48" t="n">
        <f aca="false">SUM(J101:EO101)</f>
        <v>2615.28241844522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79.6809203767124</v>
      </c>
      <c r="T101" s="48" t="n">
        <f aca="false">T99*$F22*(T$4&lt;=In_COD)</f>
        <v>214.69006749786</v>
      </c>
      <c r="U101" s="48" t="n">
        <f aca="false">U99*$F22*(U$4&lt;=In_COD)</f>
        <v>296.188516757679</v>
      </c>
      <c r="V101" s="48" t="n">
        <f aca="false">V99*$F22*(V$4&lt;=In_COD)</f>
        <v>379.571793593862</v>
      </c>
      <c r="W101" s="48" t="n">
        <f aca="false">W99*$F22*(W$4&lt;=In_COD)</f>
        <v>463.997361390498</v>
      </c>
      <c r="X101" s="48" t="n">
        <f aca="false">X99*$F22*(X$4&lt;=In_COD)</f>
        <v>547.746054863359</v>
      </c>
      <c r="Y101" s="48" t="n">
        <f aca="false">Y99*$F22*(Y$4&lt;=In_COD)</f>
        <v>633.407703965247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493</v>
      </c>
      <c r="D102" s="11" t="s">
        <v>33</v>
      </c>
      <c r="I102" s="48" t="n">
        <f aca="false">SUM(J102:EO102)</f>
        <v>-59055.4976513219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-666.732439698547</v>
      </c>
      <c r="AA102" s="48" t="n">
        <f aca="false">AA95+AA97</f>
        <v>-675.066595194779</v>
      </c>
      <c r="AB102" s="48" t="n">
        <f aca="false">AB95+AB97</f>
        <v>-683.504927634714</v>
      </c>
      <c r="AC102" s="48" t="n">
        <f aca="false">AC95+AC97</f>
        <v>-692.048739230148</v>
      </c>
      <c r="AD102" s="48" t="n">
        <f aca="false">AD95+AD97</f>
        <v>-700.699348470525</v>
      </c>
      <c r="AE102" s="48" t="n">
        <f aca="false">AE95+AE97</f>
        <v>-709.458090326406</v>
      </c>
      <c r="AF102" s="48" t="n">
        <f aca="false">AF95+AF97</f>
        <v>-718.326316455486</v>
      </c>
      <c r="AG102" s="48" t="n">
        <f aca="false">AG95+AG97</f>
        <v>-727.30539541118</v>
      </c>
      <c r="AH102" s="48" t="n">
        <f aca="false">AH95+AH97</f>
        <v>-736.396712853819</v>
      </c>
      <c r="AI102" s="48" t="n">
        <f aca="false">AI95+AI97</f>
        <v>-745.601671764492</v>
      </c>
      <c r="AJ102" s="48" t="n">
        <f aca="false">AJ95+AJ97</f>
        <v>-754.921692661548</v>
      </c>
      <c r="AK102" s="48" t="n">
        <f aca="false">AK95+AK97</f>
        <v>-764.358213819818</v>
      </c>
      <c r="AL102" s="48" t="n">
        <f aca="false">AL95+AL97</f>
        <v>-773.912691492565</v>
      </c>
      <c r="AM102" s="48" t="n">
        <f aca="false">AM95+AM97</f>
        <v>-783.586600136223</v>
      </c>
      <c r="AN102" s="48" t="n">
        <f aca="false">AN95+AN97</f>
        <v>-793.381432637925</v>
      </c>
      <c r="AO102" s="48" t="n">
        <f aca="false">AO95+AO97</f>
        <v>-803.298700545899</v>
      </c>
      <c r="AP102" s="48" t="n">
        <f aca="false">AP95+AP97</f>
        <v>-813.339934302723</v>
      </c>
      <c r="AQ102" s="48" t="n">
        <f aca="false">AQ95+AQ97</f>
        <v>-823.506683481507</v>
      </c>
      <c r="AR102" s="48" t="n">
        <f aca="false">AR95+AR97</f>
        <v>-833.800517025026</v>
      </c>
      <c r="AS102" s="48" t="n">
        <f aca="false">AS95+AS97</f>
        <v>-844.223023487839</v>
      </c>
      <c r="AT102" s="48" t="n">
        <f aca="false">AT95+AT97</f>
        <v>-854.775811281437</v>
      </c>
      <c r="AU102" s="48" t="n">
        <f aca="false">AU95+AU97</f>
        <v>-865.460508922455</v>
      </c>
      <c r="AV102" s="48" t="n">
        <f aca="false">AV95+AV97</f>
        <v>-876.278765283985</v>
      </c>
      <c r="AW102" s="48" t="n">
        <f aca="false">AW95+AW97</f>
        <v>-887.232249850035</v>
      </c>
      <c r="AX102" s="48" t="n">
        <f aca="false">AX95+AX97</f>
        <v>-898.322652973161</v>
      </c>
      <c r="AY102" s="48" t="n">
        <f aca="false">AY95+AY97</f>
        <v>-909.551686135325</v>
      </c>
      <c r="AZ102" s="48" t="n">
        <f aca="false">AZ95+AZ97</f>
        <v>-920.921082212017</v>
      </c>
      <c r="BA102" s="48" t="n">
        <f aca="false">BA95+BA97</f>
        <v>-932.432595739667</v>
      </c>
      <c r="BB102" s="48" t="n">
        <f aca="false">BB95+BB97</f>
        <v>-944.088003186413</v>
      </c>
      <c r="BC102" s="48" t="n">
        <f aca="false">BC95+BC97</f>
        <v>-955.889103226243</v>
      </c>
      <c r="BD102" s="48" t="n">
        <f aca="false">BD95+BD97</f>
        <v>-967.837717016571</v>
      </c>
      <c r="BE102" s="48" t="n">
        <f aca="false">BE95+BE97</f>
        <v>-979.935688479278</v>
      </c>
      <c r="BF102" s="48" t="n">
        <f aca="false">BF95+BF97</f>
        <v>-992.184884585269</v>
      </c>
      <c r="BG102" s="48" t="n">
        <f aca="false">BG95+BG97</f>
        <v>-1004.58719564258</v>
      </c>
      <c r="BH102" s="48" t="n">
        <f aca="false">BH95+BH97</f>
        <v>-1017.14453558812</v>
      </c>
      <c r="BI102" s="48" t="n">
        <f aca="false">BI95+BI97</f>
        <v>-1029.85884228297</v>
      </c>
      <c r="BJ102" s="48" t="n">
        <f aca="false">BJ95+BJ97</f>
        <v>-1042.73207781151</v>
      </c>
      <c r="BK102" s="48" t="n">
        <f aca="false">BK95+BK97</f>
        <v>-1055.76622878415</v>
      </c>
      <c r="BL102" s="48" t="n">
        <f aca="false">BL95+BL97</f>
        <v>-1068.96330664395</v>
      </c>
      <c r="BM102" s="48" t="n">
        <f aca="false">BM95+BM97</f>
        <v>-1082.325347977</v>
      </c>
      <c r="BN102" s="48" t="n">
        <f aca="false">BN95+BN97</f>
        <v>-1095.85441482671</v>
      </c>
      <c r="BO102" s="48" t="n">
        <f aca="false">BO95+BO97</f>
        <v>-1109.55259501205</v>
      </c>
      <c r="BP102" s="48" t="n">
        <f aca="false">BP95+BP97</f>
        <v>-1123.4220024497</v>
      </c>
      <c r="BQ102" s="48" t="n">
        <f aca="false">BQ95+BQ97</f>
        <v>-1137.46477748032</v>
      </c>
      <c r="BR102" s="48" t="n">
        <f aca="false">BR95+BR97</f>
        <v>-1151.68308719882</v>
      </c>
      <c r="BS102" s="48" t="n">
        <f aca="false">BS95+BS97</f>
        <v>-1166.07912578881</v>
      </c>
      <c r="BT102" s="48" t="n">
        <f aca="false">BT95+BT97</f>
        <v>-1180.65511486117</v>
      </c>
      <c r="BU102" s="48" t="n">
        <f aca="false">BU95+BU97</f>
        <v>-1195.41330379693</v>
      </c>
      <c r="BV102" s="48" t="n">
        <f aca="false">BV95+BV97</f>
        <v>-1210.3559700944</v>
      </c>
      <c r="BW102" s="48" t="n">
        <f aca="false">BW95+BW97</f>
        <v>-1225.48541972057</v>
      </c>
      <c r="BX102" s="48" t="n">
        <f aca="false">BX95+BX97</f>
        <v>-1240.80398746708</v>
      </c>
      <c r="BY102" s="48" t="n">
        <f aca="false">BY95+BY97</f>
        <v>-1256.31403731042</v>
      </c>
      <c r="BZ102" s="48" t="n">
        <f aca="false">BZ95+BZ97</f>
        <v>-1272.0179627768</v>
      </c>
      <c r="CA102" s="48" t="n">
        <f aca="false">CA95+CA97</f>
        <v>-1287.91818731151</v>
      </c>
      <c r="CB102" s="48" t="n">
        <f aca="false">CB95+CB97</f>
        <v>-1304.0171646529</v>
      </c>
      <c r="CC102" s="48" t="n">
        <f aca="false">CC95+CC97</f>
        <v>-1320.31737921107</v>
      </c>
      <c r="CD102" s="48" t="n">
        <f aca="false">CD95+CD97</f>
        <v>-1336.8213464512</v>
      </c>
      <c r="CE102" s="48" t="n">
        <f aca="false">CE95+CE97</f>
        <v>-1353.53161328184</v>
      </c>
      <c r="CF102" s="48" t="n">
        <f aca="false">CF95+CF97</f>
        <v>-1370.45075844787</v>
      </c>
      <c r="CG102" s="48" t="n">
        <f aca="false">CG95+CG97</f>
        <v>-1387.58139292845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494</v>
      </c>
      <c r="D103" s="11" t="s">
        <v>33</v>
      </c>
      <c r="E103" s="57" t="n">
        <f aca="false">SUMIF($J$4:$EO$4,In_COD,$J103:$EO103)</f>
        <v>59055.4976513219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6374.47363013699</v>
      </c>
      <c r="S103" s="57" t="n">
        <f aca="false">SUM(S99:S102)</f>
        <v>17175.2053998288</v>
      </c>
      <c r="T103" s="57" t="n">
        <f aca="false">SUM(T99:T102)</f>
        <v>23695.0813406143</v>
      </c>
      <c r="U103" s="57" t="n">
        <f aca="false">SUM(U99:U102)</f>
        <v>30365.743487509</v>
      </c>
      <c r="V103" s="57" t="n">
        <f aca="false">SUM(V99:V102)</f>
        <v>37119.7889112398</v>
      </c>
      <c r="W103" s="57" t="n">
        <f aca="false">SUM(W99:W102)</f>
        <v>43819.6843890687</v>
      </c>
      <c r="X103" s="57" t="n">
        <f aca="false">SUM(X99:X102)</f>
        <v>50672.6163172197</v>
      </c>
      <c r="Y103" s="57" t="n">
        <f aca="false">SUM(Y99:Y102)</f>
        <v>59055.4976513219</v>
      </c>
      <c r="Z103" s="57" t="n">
        <f aca="false">SUM(Z99:Z102)</f>
        <v>58388.7652116234</v>
      </c>
      <c r="AA103" s="57" t="n">
        <f aca="false">SUM(AA99:AA102)</f>
        <v>57713.6986164286</v>
      </c>
      <c r="AB103" s="57" t="n">
        <f aca="false">SUM(AB99:AB102)</f>
        <v>57030.1936887939</v>
      </c>
      <c r="AC103" s="57" t="n">
        <f aca="false">SUM(AC99:AC102)</f>
        <v>56338.1449495638</v>
      </c>
      <c r="AD103" s="57" t="n">
        <f aca="false">SUM(AD99:AD102)</f>
        <v>55637.4456010932</v>
      </c>
      <c r="AE103" s="57" t="n">
        <f aca="false">SUM(AE99:AE102)</f>
        <v>54927.9875107668</v>
      </c>
      <c r="AF103" s="57" t="n">
        <f aca="false">SUM(AF99:AF102)</f>
        <v>54209.6611943113</v>
      </c>
      <c r="AG103" s="57" t="n">
        <f aca="false">SUM(AG99:AG102)</f>
        <v>53482.3557989002</v>
      </c>
      <c r="AH103" s="57" t="n">
        <f aca="false">SUM(AH99:AH102)</f>
        <v>52745.9590860463</v>
      </c>
      <c r="AI103" s="57" t="n">
        <f aca="false">SUM(AI99:AI102)</f>
        <v>52000.3574142818</v>
      </c>
      <c r="AJ103" s="57" t="n">
        <f aca="false">SUM(AJ99:AJ102)</f>
        <v>51245.4357216203</v>
      </c>
      <c r="AK103" s="57" t="n">
        <f aca="false">SUM(AK99:AK102)</f>
        <v>50481.0775078005</v>
      </c>
      <c r="AL103" s="57" t="n">
        <f aca="false">SUM(AL99:AL102)</f>
        <v>49707.1648163079</v>
      </c>
      <c r="AM103" s="57" t="n">
        <f aca="false">SUM(AM99:AM102)</f>
        <v>48923.5782161717</v>
      </c>
      <c r="AN103" s="57" t="n">
        <f aca="false">SUM(AN99:AN102)</f>
        <v>48130.1967835338</v>
      </c>
      <c r="AO103" s="57" t="n">
        <f aca="false">SUM(AO99:AO102)</f>
        <v>47326.8980829879</v>
      </c>
      <c r="AP103" s="57" t="n">
        <f aca="false">SUM(AP99:AP102)</f>
        <v>46513.5581486851</v>
      </c>
      <c r="AQ103" s="57" t="n">
        <f aca="false">SUM(AQ99:AQ102)</f>
        <v>45690.0514652036</v>
      </c>
      <c r="AR103" s="57" t="n">
        <f aca="false">SUM(AR99:AR102)</f>
        <v>44856.2509481786</v>
      </c>
      <c r="AS103" s="57" t="n">
        <f aca="false">SUM(AS99:AS102)</f>
        <v>44012.0279246908</v>
      </c>
      <c r="AT103" s="57" t="n">
        <f aca="false">SUM(AT99:AT102)</f>
        <v>43157.2521134093</v>
      </c>
      <c r="AU103" s="57" t="n">
        <f aca="false">SUM(AU99:AU102)</f>
        <v>42291.7916044869</v>
      </c>
      <c r="AV103" s="57" t="n">
        <f aca="false">SUM(AV99:AV102)</f>
        <v>41415.5128392029</v>
      </c>
      <c r="AW103" s="57" t="n">
        <f aca="false">SUM(AW99:AW102)</f>
        <v>40528.2805893529</v>
      </c>
      <c r="AX103" s="57" t="n">
        <f aca="false">SUM(AX99:AX102)</f>
        <v>39629.9579363797</v>
      </c>
      <c r="AY103" s="57" t="n">
        <f aca="false">SUM(AY99:AY102)</f>
        <v>38720.4062502444</v>
      </c>
      <c r="AZ103" s="57" t="n">
        <f aca="false">SUM(AZ99:AZ102)</f>
        <v>37799.4851680324</v>
      </c>
      <c r="BA103" s="57" t="n">
        <f aca="false">SUM(BA99:BA102)</f>
        <v>36867.0525722927</v>
      </c>
      <c r="BB103" s="57" t="n">
        <f aca="false">SUM(BB99:BB102)</f>
        <v>35922.9645691063</v>
      </c>
      <c r="BC103" s="57" t="n">
        <f aca="false">SUM(BC99:BC102)</f>
        <v>34967.07546588</v>
      </c>
      <c r="BD103" s="57" t="n">
        <f aca="false">SUM(BD99:BD102)</f>
        <v>33999.2377488635</v>
      </c>
      <c r="BE103" s="57" t="n">
        <f aca="false">SUM(BE99:BE102)</f>
        <v>33019.3020603842</v>
      </c>
      <c r="BF103" s="57" t="n">
        <f aca="false">SUM(BF99:BF102)</f>
        <v>32027.1171757989</v>
      </c>
      <c r="BG103" s="57" t="n">
        <f aca="false">SUM(BG99:BG102)</f>
        <v>31022.5299801563</v>
      </c>
      <c r="BH103" s="57" t="n">
        <f aca="false">SUM(BH99:BH102)</f>
        <v>30005.3854445682</v>
      </c>
      <c r="BI103" s="57" t="n">
        <f aca="false">SUM(BI99:BI102)</f>
        <v>28975.5266022852</v>
      </c>
      <c r="BJ103" s="57" t="n">
        <f aca="false">SUM(BJ99:BJ102)</f>
        <v>27932.7945244737</v>
      </c>
      <c r="BK103" s="57" t="n">
        <f aca="false">SUM(BK99:BK102)</f>
        <v>26877.0282956896</v>
      </c>
      <c r="BL103" s="57" t="n">
        <f aca="false">SUM(BL99:BL102)</f>
        <v>25808.0649890456</v>
      </c>
      <c r="BM103" s="57" t="n">
        <f aca="false">SUM(BM99:BM102)</f>
        <v>24725.7396410686</v>
      </c>
      <c r="BN103" s="57" t="n">
        <f aca="false">SUM(BN99:BN102)</f>
        <v>23629.8852262419</v>
      </c>
      <c r="BO103" s="57" t="n">
        <f aca="false">SUM(BO99:BO102)</f>
        <v>22520.3326312299</v>
      </c>
      <c r="BP103" s="57" t="n">
        <f aca="false">SUM(BP99:BP102)</f>
        <v>21396.9106287802</v>
      </c>
      <c r="BQ103" s="57" t="n">
        <f aca="false">SUM(BQ99:BQ102)</f>
        <v>20259.4458512999</v>
      </c>
      <c r="BR103" s="57" t="n">
        <f aca="false">SUM(BR99:BR102)</f>
        <v>19107.762764101</v>
      </c>
      <c r="BS103" s="57" t="n">
        <f aca="false">SUM(BS99:BS102)</f>
        <v>17941.6836383122</v>
      </c>
      <c r="BT103" s="57" t="n">
        <f aca="false">SUM(BT99:BT102)</f>
        <v>16761.0285234511</v>
      </c>
      <c r="BU103" s="57" t="n">
        <f aca="false">SUM(BU99:BU102)</f>
        <v>15565.6152196541</v>
      </c>
      <c r="BV103" s="57" t="n">
        <f aca="false">SUM(BV99:BV102)</f>
        <v>14355.2592495597</v>
      </c>
      <c r="BW103" s="57" t="n">
        <f aca="false">SUM(BW99:BW102)</f>
        <v>13129.7738298392</v>
      </c>
      <c r="BX103" s="57" t="n">
        <f aca="false">SUM(BX99:BX102)</f>
        <v>11888.9698423721</v>
      </c>
      <c r="BY103" s="57" t="n">
        <f aca="false">SUM(BY99:BY102)</f>
        <v>10632.6558050617</v>
      </c>
      <c r="BZ103" s="57" t="n">
        <f aca="false">SUM(BZ99:BZ102)</f>
        <v>9360.63784228485</v>
      </c>
      <c r="CA103" s="57" t="n">
        <f aca="false">SUM(CA99:CA102)</f>
        <v>8072.71965497334</v>
      </c>
      <c r="CB103" s="57" t="n">
        <f aca="false">SUM(CB99:CB102)</f>
        <v>6768.70249032044</v>
      </c>
      <c r="CC103" s="57" t="n">
        <f aca="false">SUM(CC99:CC102)</f>
        <v>5448.38511110937</v>
      </c>
      <c r="CD103" s="57" t="n">
        <f aca="false">SUM(CD99:CD102)</f>
        <v>4111.56376465816</v>
      </c>
      <c r="CE103" s="57" t="n">
        <f aca="false">SUM(CE99:CE102)</f>
        <v>2758.03215137632</v>
      </c>
      <c r="CF103" s="57" t="n">
        <f aca="false">SUM(CF99:CF102)</f>
        <v>1387.58139292845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495</v>
      </c>
      <c r="D104" s="11" t="s">
        <v>33</v>
      </c>
      <c r="I104" s="48" t="n">
        <f aca="false">SUM(J104:EO104)</f>
        <v>-1033.47120889813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-1033.47120889813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496</v>
      </c>
      <c r="D105" s="11" t="s">
        <v>33</v>
      </c>
      <c r="I105" s="48" t="n">
        <f aca="false">SUM(J105:EO105)</f>
        <v>-557.005721986292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-128.034241678964</v>
      </c>
      <c r="S105" s="48" t="n">
        <f aca="false">-In_Commitment_Fee*($I100-SUM($J100:S100)+S100)*S$6*(S12&gt;0)</f>
        <v>-111.104796433477</v>
      </c>
      <c r="T105" s="48" t="n">
        <f aca="false">-In_Commitment_Fee*($I100-SUM($J100:T100)+T100)*T$6*(T12&gt;0)</f>
        <v>-88.2830184302871</v>
      </c>
      <c r="U105" s="48" t="n">
        <f aca="false">-In_Commitment_Fee*($I100-SUM($J100:U100)+U100)*U$6*(U12&gt;0)</f>
        <v>-74.9498905226122</v>
      </c>
      <c r="V105" s="48" t="n">
        <f aca="false">-In_Commitment_Fee*($I100-SUM($J100:V100)+V100)*V$6*(V12&gt;0)</f>
        <v>-60.4894407534247</v>
      </c>
      <c r="W105" s="48" t="n">
        <f aca="false">-In_Commitment_Fee*($I100-SUM($J100:W100)+W100)*W$6*(W12&gt;0)</f>
        <v>-45.0283607454494</v>
      </c>
      <c r="X105" s="48" t="n">
        <f aca="false">-In_Commitment_Fee*($I100-SUM($J100:X100)+X100)*X$6*(X12&gt;0)</f>
        <v>-31.5363455706981</v>
      </c>
      <c r="Y105" s="48" t="n">
        <f aca="false">-In_Commitment_Fee*($I100-SUM($J100:Y100)+Y100)*Y$6*(Y12&gt;0)</f>
        <v>-17.5796278513793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497</v>
      </c>
      <c r="D106" s="11" t="s">
        <v>33</v>
      </c>
      <c r="E106" s="48" t="n">
        <f aca="false">-SUMIFS($J96:$EO96,$J$4:$EO$4,"&gt;"&amp;In_COD,$J$4:$EO$4,"&lt;="&amp;EDATE(In_COD,In_DSRA_Months))</f>
        <v>1404.92616034007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-1404.92616034007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1404.92616034007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498</v>
      </c>
      <c r="D107" s="11" t="s">
        <v>13</v>
      </c>
      <c r="E107" s="53" t="n">
        <f aca="false">MIN($J107:$EO107)</f>
        <v>1.62874780962486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1.6687057181824</v>
      </c>
      <c r="AA107" s="53" t="n">
        <f aca="false">IF(AA96&lt;0,AA87/-AA96,"")</f>
        <v>1.64326253088841</v>
      </c>
      <c r="AB107" s="53" t="n">
        <f aca="false">IF(AB96&lt;0,AB87/-AB96,"")</f>
        <v>1.66063761806867</v>
      </c>
      <c r="AC107" s="53" t="n">
        <f aca="false">IF(AC96&lt;0,AC87/-AC96,"")</f>
        <v>1.6780070743931</v>
      </c>
      <c r="AD107" s="53" t="n">
        <f aca="false">IF(AD96&lt;0,AD87/-AD96,"")</f>
        <v>1.67196597210246</v>
      </c>
      <c r="AE107" s="53" t="n">
        <f aca="false">IF(AE96&lt;0,AE87/-AE96,"")</f>
        <v>1.66418054672409</v>
      </c>
      <c r="AF107" s="53" t="n">
        <f aca="false">IF(AF96&lt;0,AF87/-AF96,"")</f>
        <v>1.66370712898979</v>
      </c>
      <c r="AG107" s="53" t="n">
        <f aca="false">IF(AG96&lt;0,AG87/-AG96,"")</f>
        <v>1.68110750744006</v>
      </c>
      <c r="AH107" s="53" t="n">
        <f aca="false">IF(AH96&lt;0,AH87/-AH96,"")</f>
        <v>1.67500750280834</v>
      </c>
      <c r="AI107" s="53" t="n">
        <f aca="false">IF(AI96&lt;0,AI87/-AI96,"")</f>
        <v>1.64911747916605</v>
      </c>
      <c r="AJ107" s="53" t="n">
        <f aca="false">IF(AJ96&lt;0,AJ87/-AJ96,"")</f>
        <v>1.68838188557238</v>
      </c>
      <c r="AK107" s="53" t="n">
        <f aca="false">IF(AK96&lt;0,AK87/-AK96,"")</f>
        <v>1.70605046333708</v>
      </c>
      <c r="AL107" s="53" t="n">
        <f aca="false">IF(AL96&lt;0,AL87/-AL96,"")</f>
        <v>1.67915683418841</v>
      </c>
      <c r="AM107" s="53" t="n">
        <f aca="false">IF(AM96&lt;0,AM87/-AM96,"")</f>
        <v>1.65240353168851</v>
      </c>
      <c r="AN107" s="53" t="n">
        <f aca="false">IF(AN96&lt;0,AN87/-AN96,"")</f>
        <v>1.66898070797226</v>
      </c>
      <c r="AO107" s="53" t="n">
        <f aca="false">IF(AO96&lt;0,AO87/-AO96,"")</f>
        <v>1.68554481217331</v>
      </c>
      <c r="AP107" s="53" t="n">
        <f aca="false">IF(AP96&lt;0,AP87/-AP96,"")</f>
        <v>1.6792479667015</v>
      </c>
      <c r="AQ107" s="53" t="n">
        <f aca="false">IF(AQ96&lt;0,AQ87/-AQ96,"")</f>
        <v>1.65225395287118</v>
      </c>
      <c r="AR107" s="53" t="n">
        <f aca="false">IF(AR96&lt;0,AR87/-AR96,"")</f>
        <v>1.6688235475089</v>
      </c>
      <c r="AS107" s="53" t="n">
        <f aca="false">IF(AS96&lt;0,AS87/-AS96,"")</f>
        <v>1.68537940410226</v>
      </c>
      <c r="AT107" s="53" t="n">
        <f aca="false">IF(AT96&lt;0,AT87/-AT96,"")</f>
        <v>1.6789951144341</v>
      </c>
      <c r="AU107" s="53" t="n">
        <f aca="false">IF(AU96&lt;0,AU87/-AU96,"")</f>
        <v>1.66946888579612</v>
      </c>
      <c r="AV107" s="53" t="n">
        <f aca="false">IF(AV96&lt;0,AV87/-AV96,"")</f>
        <v>1.66831385110459</v>
      </c>
      <c r="AW107" s="53" t="n">
        <f aca="false">IF(AW96&lt;0,AW87/-AW96,"")</f>
        <v>1.68485725387633</v>
      </c>
      <c r="AX107" s="53" t="n">
        <f aca="false">IF(AX96&lt;0,AX87/-AX96,"")</f>
        <v>1.67838263457195</v>
      </c>
      <c r="AY107" s="53" t="n">
        <f aca="false">IF(AY96&lt;0,AY87/-AY96,"")</f>
        <v>1.65089390254864</v>
      </c>
      <c r="AZ107" s="53" t="n">
        <f aca="false">IF(AZ96&lt;0,AZ87/-AZ96,"")</f>
        <v>1.66743562609662</v>
      </c>
      <c r="BA107" s="53" t="n">
        <f aca="false">IF(BA96&lt;0,BA87/-BA96,"")</f>
        <v>1.68396217616556</v>
      </c>
      <c r="BB107" s="53" t="n">
        <f aca="false">IF(BB96&lt;0,BB87/-BB96,"")</f>
        <v>1.67739420193053</v>
      </c>
      <c r="BC107" s="53" t="n">
        <f aca="false">IF(BC96&lt;0,BC87/-BC96,"")</f>
        <v>1.64965113785994</v>
      </c>
      <c r="BD107" s="53" t="n">
        <f aca="false">IF(BD96&lt;0,BD87/-BD96,"")</f>
        <v>1.66617218164025</v>
      </c>
      <c r="BE107" s="53" t="n">
        <f aca="false">IF(BE96&lt;0,BE87/-BE96,"")</f>
        <v>1.68267727892352</v>
      </c>
      <c r="BF107" s="53" t="n">
        <f aca="false">IF(BF96&lt;0,BF87/-BF96,"")</f>
        <v>1.67601277745816</v>
      </c>
      <c r="BG107" s="53" t="n">
        <f aca="false">IF(BG96&lt;0,BG87/-BG96,"")</f>
        <v>1.64801050327774</v>
      </c>
      <c r="BH107" s="53" t="n">
        <f aca="false">IF(BH96&lt;0,BH87/-BH96,"")</f>
        <v>1.66450609645456</v>
      </c>
      <c r="BI107" s="53" t="n">
        <f aca="false">IF(BI96&lt;0,BI87/-BI96,"")</f>
        <v>1.68098493073469</v>
      </c>
      <c r="BJ107" s="53" t="n">
        <f aca="false">IF(BJ96&lt;0,BJ87/-BJ96,"")</f>
        <v>1.67422057521721</v>
      </c>
      <c r="BK107" s="53" t="n">
        <f aca="false">IF(BK96&lt;0,BK87/-BK96,"")</f>
        <v>1.6638281997563</v>
      </c>
      <c r="BL107" s="53" t="n">
        <f aca="false">IF(BL96&lt;0,BL87/-BL96,"")</f>
        <v>1.66241918500887</v>
      </c>
      <c r="BM107" s="53" t="n">
        <f aca="false">IF(BM96&lt;0,BM87/-BM96,"")</f>
        <v>1.67886672658315</v>
      </c>
      <c r="BN107" s="53" t="n">
        <f aca="false">IF(BN96&lt;0,BN87/-BN96,"")</f>
        <v>1.67199902776802</v>
      </c>
      <c r="BO107" s="53" t="n">
        <f aca="false">IF(BO96&lt;0,BO87/-BO96,"")</f>
        <v>1.64346296221229</v>
      </c>
      <c r="BP107" s="53" t="n">
        <f aca="false">IF(BP96&lt;0,BP87/-BP96,"")</f>
        <v>1.6598924620726</v>
      </c>
      <c r="BQ107" s="53" t="n">
        <f aca="false">IF(BQ96&lt;0,BQ87/-BQ96,"")</f>
        <v>1.67630345196443</v>
      </c>
      <c r="BR107" s="53" t="n">
        <f aca="false">IF(BR96&lt;0,BR87/-BR96,"")</f>
        <v>1.66932874987611</v>
      </c>
      <c r="BS107" s="53" t="n">
        <f aca="false">IF(BS96&lt;0,BS87/-BS96,"")</f>
        <v>1.64051771287144</v>
      </c>
      <c r="BT107" s="53" t="n">
        <f aca="false">IF(BT96&lt;0,BT87/-BT96,"")</f>
        <v>1.65690610554724</v>
      </c>
      <c r="BU107" s="53" t="n">
        <f aca="false">IF(BU96&lt;0,BU87/-BU96,"")</f>
        <v>1.67327504525799</v>
      </c>
      <c r="BV107" s="53" t="n">
        <f aca="false">IF(BV96&lt;0,BV87/-BV96,"")</f>
        <v>1.66618950045957</v>
      </c>
      <c r="BW107" s="53" t="n">
        <f aca="false">IF(BW96&lt;0,BW87/-BW96,"")</f>
        <v>1.63709783271309</v>
      </c>
      <c r="BX107" s="53" t="n">
        <f aca="false">IF(BX96&lt;0,BX87/-BX96,"")</f>
        <v>1.65343941749505</v>
      </c>
      <c r="BY107" s="53" t="n">
        <f aca="false">IF(BY96&lt;0,BY87/-BY96,"")</f>
        <v>1.6697605582741</v>
      </c>
      <c r="BZ107" s="53" t="n">
        <f aca="false">IF(BZ96&lt;0,BZ87/-BZ96,"")</f>
        <v>1.66256014268905</v>
      </c>
      <c r="CA107" s="53" t="n">
        <f aca="false">IF(CA96&lt;0,CA87/-CA96,"")</f>
        <v>1.65118962563786</v>
      </c>
      <c r="CB107" s="53" t="n">
        <f aca="false">IF(CB96&lt;0,CB87/-CB96,"")</f>
        <v>1.64947078327491</v>
      </c>
      <c r="CC107" s="53" t="n">
        <f aca="false">IF(CC96&lt;0,CC87/-CC96,"")</f>
        <v>1.66573811488434</v>
      </c>
      <c r="CD107" s="53" t="n">
        <f aca="false">IF(CD96&lt;0,CD87/-CD96,"")</f>
        <v>1.65841860214849</v>
      </c>
      <c r="CE107" s="53" t="n">
        <f aca="false">IF(CE96&lt;0,CE87/-CE96,"")</f>
        <v>1.62874780962486</v>
      </c>
      <c r="CF107" s="53" t="n">
        <f aca="false">IF(CF96&lt;0,CF87/-CF96,"")</f>
        <v>1.64497762869111</v>
      </c>
      <c r="CG107" s="53" t="n">
        <f aca="false">IF(CG96&lt;0,CG87/-CG96,"")</f>
        <v>1.6611848676403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499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500</v>
      </c>
      <c r="D110" s="11" t="s">
        <v>33</v>
      </c>
      <c r="E110" s="48" t="n">
        <f aca="false">$I101-($I68+$I58+$I69+$I55+$I48+$I49+$I50)</f>
        <v>111000.293925295</v>
      </c>
      <c r="I110" s="48" t="n">
        <f aca="false">SUM(J110:EO110)</f>
        <v>-111000.293925295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-1397.95031363821</v>
      </c>
      <c r="AA110" s="48" t="n">
        <f aca="false">-$E110*AA20</f>
        <v>-1367.56008942868</v>
      </c>
      <c r="AB110" s="48" t="n">
        <f aca="false">-$E110*AB20</f>
        <v>-1382.75520153344</v>
      </c>
      <c r="AC110" s="48" t="n">
        <f aca="false">-$E110*AC20</f>
        <v>-1397.95031363821</v>
      </c>
      <c r="AD110" s="48" t="n">
        <f aca="false">-$E110*AD20</f>
        <v>-1397.95031363821</v>
      </c>
      <c r="AE110" s="48" t="n">
        <f aca="false">-$E110*AE20</f>
        <v>-1382.75520153344</v>
      </c>
      <c r="AF110" s="48" t="n">
        <f aca="false">-$E110*AF20</f>
        <v>-1382.75520153344</v>
      </c>
      <c r="AG110" s="48" t="n">
        <f aca="false">-$E110*AG20</f>
        <v>-1397.95031363821</v>
      </c>
      <c r="AH110" s="48" t="n">
        <f aca="false">-$E110*AH20</f>
        <v>-1397.95031363821</v>
      </c>
      <c r="AI110" s="48" t="n">
        <f aca="false">-$E110*AI20</f>
        <v>-1367.56008942868</v>
      </c>
      <c r="AJ110" s="48" t="n">
        <f aca="false">-$E110*AJ20</f>
        <v>-1382.75520153344</v>
      </c>
      <c r="AK110" s="48" t="n">
        <f aca="false">-$E110*AK20</f>
        <v>-1397.95031363821</v>
      </c>
      <c r="AL110" s="48" t="n">
        <f aca="false">-$E110*AL20</f>
        <v>-1397.95031363821</v>
      </c>
      <c r="AM110" s="48" t="n">
        <f aca="false">-$E110*AM20</f>
        <v>-1367.56008942868</v>
      </c>
      <c r="AN110" s="48" t="n">
        <f aca="false">-$E110*AN20</f>
        <v>-1382.75520153344</v>
      </c>
      <c r="AO110" s="48" t="n">
        <f aca="false">-$E110*AO20</f>
        <v>-1397.95031363821</v>
      </c>
      <c r="AP110" s="48" t="n">
        <f aca="false">-$E110*AP20</f>
        <v>-1397.95031363821</v>
      </c>
      <c r="AQ110" s="48" t="n">
        <f aca="false">-$E110*AQ20</f>
        <v>-1367.56008942868</v>
      </c>
      <c r="AR110" s="48" t="n">
        <f aca="false">-$E110*AR20</f>
        <v>-1382.75520153344</v>
      </c>
      <c r="AS110" s="48" t="n">
        <f aca="false">-$E110*AS20</f>
        <v>-1397.95031363821</v>
      </c>
      <c r="AT110" s="48" t="n">
        <f aca="false">-$E110*AT20</f>
        <v>-1397.95031363821</v>
      </c>
      <c r="AU110" s="48" t="n">
        <f aca="false">-$E110*AU20</f>
        <v>-1382.75520153344</v>
      </c>
      <c r="AV110" s="48" t="n">
        <f aca="false">-$E110*AV20</f>
        <v>-1382.75520153344</v>
      </c>
      <c r="AW110" s="48" t="n">
        <f aca="false">-$E110*AW20</f>
        <v>-1397.95031363821</v>
      </c>
      <c r="AX110" s="48" t="n">
        <f aca="false">-$E110*AX20</f>
        <v>-1397.95031363821</v>
      </c>
      <c r="AY110" s="48" t="n">
        <f aca="false">-$E110*AY20</f>
        <v>-1367.56008942868</v>
      </c>
      <c r="AZ110" s="48" t="n">
        <f aca="false">-$E110*AZ20</f>
        <v>-1382.75520153344</v>
      </c>
      <c r="BA110" s="48" t="n">
        <f aca="false">-$E110*BA20</f>
        <v>-1397.95031363821</v>
      </c>
      <c r="BB110" s="48" t="n">
        <f aca="false">-$E110*BB20</f>
        <v>-1397.95031363821</v>
      </c>
      <c r="BC110" s="48" t="n">
        <f aca="false">-$E110*BC20</f>
        <v>-1367.56008942868</v>
      </c>
      <c r="BD110" s="48" t="n">
        <f aca="false">-$E110*BD20</f>
        <v>-1382.75520153344</v>
      </c>
      <c r="BE110" s="48" t="n">
        <f aca="false">-$E110*BE20</f>
        <v>-1397.95031363821</v>
      </c>
      <c r="BF110" s="48" t="n">
        <f aca="false">-$E110*BF20</f>
        <v>-1397.95031363821</v>
      </c>
      <c r="BG110" s="48" t="n">
        <f aca="false">-$E110*BG20</f>
        <v>-1367.56008942868</v>
      </c>
      <c r="BH110" s="48" t="n">
        <f aca="false">-$E110*BH20</f>
        <v>-1382.75520153344</v>
      </c>
      <c r="BI110" s="48" t="n">
        <f aca="false">-$E110*BI20</f>
        <v>-1397.95031363821</v>
      </c>
      <c r="BJ110" s="48" t="n">
        <f aca="false">-$E110*BJ20</f>
        <v>-1397.95031363821</v>
      </c>
      <c r="BK110" s="48" t="n">
        <f aca="false">-$E110*BK20</f>
        <v>-1382.75520153344</v>
      </c>
      <c r="BL110" s="48" t="n">
        <f aca="false">-$E110*BL20</f>
        <v>-1382.75520153344</v>
      </c>
      <c r="BM110" s="48" t="n">
        <f aca="false">-$E110*BM20</f>
        <v>-1397.95031363821</v>
      </c>
      <c r="BN110" s="48" t="n">
        <f aca="false">-$E110*BN20</f>
        <v>-1397.95031363821</v>
      </c>
      <c r="BO110" s="48" t="n">
        <f aca="false">-$E110*BO20</f>
        <v>-1367.56008942868</v>
      </c>
      <c r="BP110" s="48" t="n">
        <f aca="false">-$E110*BP20</f>
        <v>-1382.75520153344</v>
      </c>
      <c r="BQ110" s="48" t="n">
        <f aca="false">-$E110*BQ20</f>
        <v>-1397.95031363821</v>
      </c>
      <c r="BR110" s="48" t="n">
        <f aca="false">-$E110*BR20</f>
        <v>-1397.95031363821</v>
      </c>
      <c r="BS110" s="48" t="n">
        <f aca="false">-$E110*BS20</f>
        <v>-1367.56008942868</v>
      </c>
      <c r="BT110" s="48" t="n">
        <f aca="false">-$E110*BT20</f>
        <v>-1382.75520153344</v>
      </c>
      <c r="BU110" s="48" t="n">
        <f aca="false">-$E110*BU20</f>
        <v>-1397.95031363821</v>
      </c>
      <c r="BV110" s="48" t="n">
        <f aca="false">-$E110*BV20</f>
        <v>-1397.95031363821</v>
      </c>
      <c r="BW110" s="48" t="n">
        <f aca="false">-$E110*BW20</f>
        <v>-1367.56008942868</v>
      </c>
      <c r="BX110" s="48" t="n">
        <f aca="false">-$E110*BX20</f>
        <v>-1382.75520153344</v>
      </c>
      <c r="BY110" s="48" t="n">
        <f aca="false">-$E110*BY20</f>
        <v>-1397.95031363821</v>
      </c>
      <c r="BZ110" s="48" t="n">
        <f aca="false">-$E110*BZ20</f>
        <v>-1397.95031363821</v>
      </c>
      <c r="CA110" s="48" t="n">
        <f aca="false">-$E110*CA20</f>
        <v>-1382.75520153344</v>
      </c>
      <c r="CB110" s="48" t="n">
        <f aca="false">-$E110*CB20</f>
        <v>-1382.75520153344</v>
      </c>
      <c r="CC110" s="48" t="n">
        <f aca="false">-$E110*CC20</f>
        <v>-1397.95031363821</v>
      </c>
      <c r="CD110" s="48" t="n">
        <f aca="false">-$E110*CD20</f>
        <v>-1397.95031363821</v>
      </c>
      <c r="CE110" s="48" t="n">
        <f aca="false">-$E110*CE20</f>
        <v>-1367.56008942868</v>
      </c>
      <c r="CF110" s="48" t="n">
        <f aca="false">-$E110*CF20</f>
        <v>-1382.75520153344</v>
      </c>
      <c r="CG110" s="48" t="n">
        <f aca="false">-$E110*CG20</f>
        <v>-1397.95031363821</v>
      </c>
      <c r="CH110" s="48" t="n">
        <f aca="false">-$E110*CH20</f>
        <v>-1397.95031363821</v>
      </c>
      <c r="CI110" s="48" t="n">
        <f aca="false">-$E110*CI20</f>
        <v>-1367.56008942868</v>
      </c>
      <c r="CJ110" s="48" t="n">
        <f aca="false">-$E110*CJ20</f>
        <v>-1382.75520153344</v>
      </c>
      <c r="CK110" s="48" t="n">
        <f aca="false">-$E110*CK20</f>
        <v>-1397.95031363821</v>
      </c>
      <c r="CL110" s="48" t="n">
        <f aca="false">-$E110*CL20</f>
        <v>-1397.95031363821</v>
      </c>
      <c r="CM110" s="48" t="n">
        <f aca="false">-$E110*CM20</f>
        <v>-1367.56008942868</v>
      </c>
      <c r="CN110" s="48" t="n">
        <f aca="false">-$E110*CN20</f>
        <v>-1382.75520153344</v>
      </c>
      <c r="CO110" s="48" t="n">
        <f aca="false">-$E110*CO20</f>
        <v>-1397.95031363821</v>
      </c>
      <c r="CP110" s="48" t="n">
        <f aca="false">-$E110*CP20</f>
        <v>-1397.95031363821</v>
      </c>
      <c r="CQ110" s="48" t="n">
        <f aca="false">-$E110*CQ20</f>
        <v>-1382.75520153344</v>
      </c>
      <c r="CR110" s="48" t="n">
        <f aca="false">-$E110*CR20</f>
        <v>-1382.75520153344</v>
      </c>
      <c r="CS110" s="48" t="n">
        <f aca="false">-$E110*CS20</f>
        <v>-1397.95031363821</v>
      </c>
      <c r="CT110" s="48" t="n">
        <f aca="false">-$E110*CT20</f>
        <v>-1397.95031363821</v>
      </c>
      <c r="CU110" s="48" t="n">
        <f aca="false">-$E110*CU20</f>
        <v>-1367.56008942868</v>
      </c>
      <c r="CV110" s="48" t="n">
        <f aca="false">-$E110*CV20</f>
        <v>-1382.75520153344</v>
      </c>
      <c r="CW110" s="48" t="n">
        <f aca="false">-$E110*CW20</f>
        <v>-1397.95031363821</v>
      </c>
      <c r="CX110" s="48" t="n">
        <f aca="false">-$E110*CX20</f>
        <v>-1397.95031363821</v>
      </c>
      <c r="CY110" s="48" t="n">
        <f aca="false">-$E110*CY20</f>
        <v>-1367.56008942868</v>
      </c>
      <c r="CZ110" s="48" t="n">
        <f aca="false">-$E110*CZ20</f>
        <v>-1382.75520153344</v>
      </c>
      <c r="DA110" s="48" t="n">
        <f aca="false">-$E110*DA20</f>
        <v>-1397.95031363821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501</v>
      </c>
      <c r="D111" s="11" t="s">
        <v>33</v>
      </c>
      <c r="I111" s="48" t="n">
        <f aca="false">SUM(J111:EO111)</f>
        <v>156711.35377654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-1236.58958588379</v>
      </c>
      <c r="S111" s="48" t="n">
        <f aca="false">S83+S110+S94+S104+S105+S52+S59</f>
        <v>-185.573186146461</v>
      </c>
      <c r="T111" s="48" t="n">
        <f aca="false">T83+T110+T94+T104+T105+T52+T59</f>
        <v>-163.578834695637</v>
      </c>
      <c r="U111" s="48" t="n">
        <f aca="false">U83+U110+U94+U104+U105+U52+U59</f>
        <v>-151.073133340328</v>
      </c>
      <c r="V111" s="48" t="n">
        <f aca="false">V83+V110+V94+V104+V105+V52+V59</f>
        <v>-136.612683571141</v>
      </c>
      <c r="W111" s="48" t="n">
        <f aca="false">W83+W110+W94+W104+W105+W52+W59</f>
        <v>-120.538681631169</v>
      </c>
      <c r="X111" s="48" t="n">
        <f aca="false">X83+X110+X94+X104+X105+X52+X59</f>
        <v>-107.885670021815</v>
      </c>
      <c r="Y111" s="48" t="n">
        <f aca="false">Y83+Y110+Y94+Y104+Y105+Y52+Y59</f>
        <v>-94.7679558678927</v>
      </c>
      <c r="Z111" s="48" t="n">
        <f aca="false">Z83+Z110+Z94+Z104+Z105+Z52+Z59</f>
        <v>225.150576328414</v>
      </c>
      <c r="AA111" s="48" t="n">
        <f aca="false">AA83+AA110+AA94+AA104+AA105+AA52+AA59</f>
        <v>228.37066311113</v>
      </c>
      <c r="AB111" s="48" t="n">
        <f aca="false">AB83+AB110+AB94+AB104+AB105+AB52+AB59</f>
        <v>247.455998087247</v>
      </c>
      <c r="AC111" s="48" t="n">
        <f aca="false">AC83+AC110+AC94+AC104+AC105+AC52+AC59</f>
        <v>266.646812218864</v>
      </c>
      <c r="AD111" s="48" t="n">
        <f aca="false">AD83+AD110+AD94+AD104+AD105+AD52+AD59</f>
        <v>266.823359889085</v>
      </c>
      <c r="AE111" s="48" t="n">
        <f aca="false">AE83+AE110+AE94+AE104+AE105+AE52+AE59</f>
        <v>280.894609810384</v>
      </c>
      <c r="AF111" s="48" t="n">
        <f aca="false">AF83+AF110+AF94+AF104+AF105+AF52+AF59</f>
        <v>289.762835939464</v>
      </c>
      <c r="AG111" s="48" t="n">
        <f aca="false">AG83+AG110+AG94+AG104+AG105+AG52+AG59</f>
        <v>309.471175113004</v>
      </c>
      <c r="AH111" s="48" t="n">
        <f aca="false">AH83+AH110+AH94+AH104+AH105+AH52+AH59</f>
        <v>310.034700904732</v>
      </c>
      <c r="AI111" s="48" t="n">
        <f aca="false">AI83+AI110+AI94+AI104+AI105+AI52+AI59</f>
        <v>313.517524270481</v>
      </c>
      <c r="AJ111" s="48" t="n">
        <f aca="false">AJ83+AJ110+AJ94+AJ104+AJ105+AJ52+AJ59</f>
        <v>366.802389700505</v>
      </c>
      <c r="AK111" s="48" t="n">
        <f aca="false">AK83+AK110+AK94+AK104+AK105+AK52+AK59</f>
        <v>387.412612588215</v>
      </c>
      <c r="AL111" s="48" t="n">
        <f aca="false">AL83+AL110+AL94+AL104+AL105+AL52+AL59</f>
        <v>388.385389622816</v>
      </c>
      <c r="AM111" s="48" t="n">
        <f aca="false">AM83+AM110+AM94+AM104+AM105+AM52+AM59</f>
        <v>391.300352323516</v>
      </c>
      <c r="AN111" s="48" t="n">
        <f aca="false">AN83+AN110+AN94+AN104+AN105+AN52+AN59</f>
        <v>412.346739408856</v>
      </c>
      <c r="AO111" s="48" t="n">
        <f aca="false">AO83+AO110+AO94+AO104+AO105+AO52+AO59</f>
        <v>433.515561900468</v>
      </c>
      <c r="AP111" s="48" t="n">
        <f aca="false">AP83+AP110+AP94+AP104+AP105+AP52+AP59</f>
        <v>434.92100993089</v>
      </c>
      <c r="AQ111" s="48" t="n">
        <f aca="false">AQ83+AQ110+AQ94+AQ104+AQ105+AQ52+AQ59</f>
        <v>438.017924266791</v>
      </c>
      <c r="AR111" s="48" t="n">
        <f aca="false">AR83+AR110+AR94+AR104+AR105+AR52+AR59</f>
        <v>459.638840045036</v>
      </c>
      <c r="AS111" s="48" t="n">
        <f aca="false">AS83+AS110+AS94+AS104+AS105+AS52+AS59</f>
        <v>481.388428742575</v>
      </c>
      <c r="AT111" s="48" t="n">
        <f aca="false">AT83+AT110+AT94+AT104+AT105+AT52+AT59</f>
        <v>483.25117253506</v>
      </c>
      <c r="AU111" s="48" t="n">
        <f aca="false">AU83+AU110+AU94+AU104+AU105+AU52+AU59</f>
        <v>497.952539503181</v>
      </c>
      <c r="AV111" s="48" t="n">
        <f aca="false">AV83+AV110+AV94+AV104+AV105+AV52+AV59</f>
        <v>508.770795864712</v>
      </c>
      <c r="AW111" s="48" t="n">
        <f aca="false">AW83+AW110+AW94+AW104+AW105+AW52+AW59</f>
        <v>531.12448033099</v>
      </c>
      <c r="AX111" s="48" t="n">
        <f aca="false">AX83+AX110+AX94+AX104+AX105+AX52+AX59</f>
        <v>533.470411018239</v>
      </c>
      <c r="AY111" s="48" t="n">
        <f aca="false">AY83+AY110+AY94+AY104+AY105+AY52+AY59</f>
        <v>536.999374121251</v>
      </c>
      <c r="AZ111" s="48" t="n">
        <f aca="false">AZ83+AZ110+AZ94+AZ104+AZ105+AZ52+AZ59</f>
        <v>559.839590734898</v>
      </c>
      <c r="BA111" s="48" t="n">
        <f aca="false">BA83+BA110+BA94+BA104+BA105+BA52+BA59</f>
        <v>582.821924799504</v>
      </c>
      <c r="BB111" s="48" t="n">
        <f aca="false">BB83+BB110+BB94+BB104+BB105+BB52+BB59</f>
        <v>585.678264356573</v>
      </c>
      <c r="BC111" s="48" t="n">
        <f aca="false">BC83+BC110+BC94+BC104+BC105+BC52+BC59</f>
        <v>589.459873496099</v>
      </c>
      <c r="BD111" s="48" t="n">
        <f aca="false">BD83+BD110+BD94+BD104+BD105+BD52+BD59</f>
        <v>612.947342070982</v>
      </c>
      <c r="BE111" s="48" t="n">
        <f aca="false">BE83+BE110+BE94+BE104+BE105+BE52+BE59</f>
        <v>636.584168318243</v>
      </c>
      <c r="BF111" s="48" t="n">
        <f aca="false">BF83+BF110+BF94+BF104+BF105+BF52+BF59</f>
        <v>639.979537320208</v>
      </c>
      <c r="BG111" s="48" t="n">
        <f aca="false">BG83+BG110+BG94+BG104+BG105+BG52+BG59</f>
        <v>644.040016992861</v>
      </c>
      <c r="BH111" s="48" t="n">
        <f aca="false">BH83+BH110+BH94+BH104+BH105+BH52+BH59</f>
        <v>668.201567846063</v>
      </c>
      <c r="BI111" s="48" t="n">
        <f aca="false">BI83+BI110+BI94+BI104+BI105+BI52+BI59</f>
        <v>692.520085448586</v>
      </c>
      <c r="BJ111" s="48" t="n">
        <f aca="false">BJ83+BJ110+BJ94+BJ104+BJ105+BJ52+BJ59</f>
        <v>696.484574277051</v>
      </c>
      <c r="BK111" s="48" t="n">
        <f aca="false">BK83+BK110+BK94+BK104+BK105+BK52+BK59</f>
        <v>712.518389482108</v>
      </c>
      <c r="BL111" s="48" t="n">
        <f aca="false">BL83+BL110+BL94+BL104+BL105+BL52+BL59</f>
        <v>725.715467341909</v>
      </c>
      <c r="BM111" s="48" t="n">
        <f aca="false">BM83+BM110+BM94+BM104+BM105+BM52+BM59</f>
        <v>750.744303411641</v>
      </c>
      <c r="BN111" s="48" t="n">
        <f aca="false">BN83+BN110+BN94+BN104+BN105+BN52+BN59</f>
        <v>755.309547085758</v>
      </c>
      <c r="BO111" s="48" t="n">
        <f aca="false">BO83+BO110+BO94+BO104+BO105+BO52+BO59</f>
        <v>760.012299300392</v>
      </c>
      <c r="BP111" s="48" t="n">
        <f aca="false">BP83+BP110+BP94+BP104+BP105+BP52+BP59</f>
        <v>785.608216345026</v>
      </c>
      <c r="BQ111" s="48" t="n">
        <f aca="false">BQ83+BQ110+BQ94+BQ104+BQ105+BQ52+BQ59</f>
        <v>811.37750098263</v>
      </c>
      <c r="BR111" s="48" t="n">
        <f aca="false">BR83+BR110+BR94+BR104+BR105+BR52+BR59</f>
        <v>816.576757799153</v>
      </c>
      <c r="BS111" s="48" t="n">
        <f aca="false">BS83+BS110+BS94+BS104+BS105+BS52+BS59</f>
        <v>821.646032158116</v>
      </c>
      <c r="BT111" s="48" t="n">
        <f aca="false">BT83+BT110+BT94+BT104+BT105+BT52+BT59</f>
        <v>848.005277527248</v>
      </c>
      <c r="BU111" s="48" t="n">
        <f aca="false">BU83+BU110+BU94+BU104+BU105+BU52+BU59</f>
        <v>874.546722759783</v>
      </c>
      <c r="BV111" s="48" t="n">
        <f aca="false">BV83+BV110+BV94+BV104+BV105+BV52+BV59</f>
        <v>880.414956936142</v>
      </c>
      <c r="BW111" s="48" t="n">
        <f aca="false">BW83+BW110+BW94+BW104+BW105+BW52+BW59</f>
        <v>885.883226078203</v>
      </c>
      <c r="BX111" s="48" t="n">
        <f aca="false">BX83+BX110+BX94+BX104+BX105+BX52+BX59</f>
        <v>913.038726788019</v>
      </c>
      <c r="BY111" s="48" t="n">
        <f aca="false">BY83+BY110+BY94+BY104+BY105+BY52+BY59</f>
        <v>940.385709594664</v>
      </c>
      <c r="BZ111" s="48" t="n">
        <f aca="false">BZ83+BZ110+BZ94+BZ104+BZ105+BZ52+BZ59</f>
        <v>946.959678118923</v>
      </c>
      <c r="CA111" s="48" t="n">
        <f aca="false">CA83+CA110+CA94+CA104+CA105+CA52+CA59</f>
        <v>964.748619033836</v>
      </c>
      <c r="CB111" s="48" t="n">
        <f aca="false">CB83+CB110+CB94+CB104+CB105+CB52+CB59</f>
        <v>980.84759637523</v>
      </c>
      <c r="CC111" s="48" t="n">
        <f aca="false">CC83+CC110+CC94+CC104+CC105+CC52+CC59</f>
        <v>1009.035246011</v>
      </c>
      <c r="CD111" s="48" t="n">
        <f aca="false">CD83+CD110+CD94+CD104+CD105+CD52+CD59</f>
        <v>1016.35358991289</v>
      </c>
      <c r="CE111" s="48" t="n">
        <f aca="false">CE83+CE110+CE94+CE104+CE105+CE52+CE59</f>
        <v>1022.72443511959</v>
      </c>
      <c r="CF111" s="48" t="n">
        <f aca="false">CF83+CF110+CF94+CF104+CF105+CF52+CF59</f>
        <v>1051.57823564314</v>
      </c>
      <c r="CG111" s="48" t="n">
        <f aca="false">CG83+CG110+CG94+CG104+CG105+CG52+CG59</f>
        <v>1080.64352548127</v>
      </c>
      <c r="CH111" s="48" t="n">
        <f aca="false">CH83+CH110+CH94+CH104+CH105+CH52+CH59</f>
        <v>1088.74686574947</v>
      </c>
      <c r="CI111" s="48" t="n">
        <f aca="false">CI83+CI110+CI94+CI104+CI105+CI52+CI59</f>
        <v>1078.06353292953</v>
      </c>
      <c r="CJ111" s="48" t="n">
        <f aca="false">CJ83+CJ110+CJ94+CJ104+CJ105+CJ52+CJ59</f>
        <v>1090.04201662875</v>
      </c>
      <c r="CK111" s="48" t="n">
        <f aca="false">CK83+CK110+CK94+CK104+CK105+CK52+CK59</f>
        <v>1102.02050032797</v>
      </c>
      <c r="CL111" s="48" t="n">
        <f aca="false">CL83+CL110+CL94+CL104+CL105+CL52+CL59</f>
        <v>1092.72313627916</v>
      </c>
      <c r="CM111" s="48" t="n">
        <f aca="false">CM83+CM110+CM94+CM104+CM105+CM52+CM59</f>
        <v>1081.69263961644</v>
      </c>
      <c r="CN111" s="48" t="n">
        <f aca="false">CN83+CN110+CN94+CN104+CN105+CN52+CN59</f>
        <v>1093.71144672329</v>
      </c>
      <c r="CO111" s="48" t="n">
        <f aca="false">CO83+CO110+CO94+CO104+CO105+CO52+CO59</f>
        <v>1105.73025383014</v>
      </c>
      <c r="CP111" s="48" t="n">
        <f aca="false">CP83+CP110+CP94+CP104+CP105+CP52+CP59</f>
        <v>1096.37682423065</v>
      </c>
      <c r="CQ111" s="48" t="n">
        <f aca="false">CQ83+CQ110+CQ94+CQ104+CQ105+CQ52+CQ59</f>
        <v>1097.05137548228</v>
      </c>
      <c r="CR111" s="48" t="n">
        <f aca="false">CR83+CR110+CR94+CR104+CR105+CR52+CR59</f>
        <v>1097.05137548228</v>
      </c>
      <c r="CS111" s="48" t="n">
        <f aca="false">CS83+CS110+CS94+CS104+CS105+CS52+CS59</f>
        <v>1109.10688510296</v>
      </c>
      <c r="CT111" s="48" t="n">
        <f aca="false">CT83+CT110+CT94+CT104+CT105+CT52+CT59</f>
        <v>1099.69726591223</v>
      </c>
      <c r="CU111" s="48" t="n">
        <f aca="false">CU83+CU110+CU94+CU104+CU105+CU52+CU59</f>
        <v>1087.96250189823</v>
      </c>
      <c r="CV111" s="48" t="n">
        <f aca="false">CV83+CV110+CV94+CV104+CV105+CV52+CV59</f>
        <v>1100.05097414154</v>
      </c>
      <c r="CW111" s="48" t="n">
        <f aca="false">CW83+CW110+CW94+CW104+CW105+CW52+CW59</f>
        <v>1112.13944638486</v>
      </c>
      <c r="CX111" s="48" t="n">
        <f aca="false">CX83+CX110+CX94+CX104+CX105+CX52+CX59</f>
        <v>1102.67351832041</v>
      </c>
      <c r="CY111" s="48" t="n">
        <f aca="false">CY83+CY110+CY94+CY104+CY105+CY52+CY59</f>
        <v>1090.58155777034</v>
      </c>
      <c r="CZ111" s="48" t="n">
        <f aca="false">CZ83+CZ110+CZ94+CZ104+CZ105+CZ52+CZ59</f>
        <v>1102.69913063445</v>
      </c>
      <c r="DA111" s="48" t="n">
        <f aca="false">DA83+DA110+DA94+DA104+DA105+DA52+DA59</f>
        <v>1114.81670349857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502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1469.10018074212</v>
      </c>
      <c r="T112" s="18" t="n">
        <f aca="false">S116</f>
        <v>1654.67336688858</v>
      </c>
      <c r="U112" s="18" t="n">
        <f aca="false">T116</f>
        <v>1818.25220158421</v>
      </c>
      <c r="V112" s="18" t="n">
        <f aca="false">U116</f>
        <v>1969.32533492454</v>
      </c>
      <c r="W112" s="18" t="n">
        <f aca="false">V116</f>
        <v>2105.93801849568</v>
      </c>
      <c r="X112" s="18" t="n">
        <f aca="false">W116</f>
        <v>2226.47670012685</v>
      </c>
      <c r="Y112" s="18" t="n">
        <f aca="false">X116</f>
        <v>2334.36237014867</v>
      </c>
      <c r="Z112" s="18" t="n">
        <f aca="false">Y116</f>
        <v>2429.13032601656</v>
      </c>
      <c r="AA112" s="18" t="n">
        <f aca="false">Z116</f>
        <v>2316.55503785235</v>
      </c>
      <c r="AB112" s="18" t="n">
        <f aca="false">AA116</f>
        <v>2202.36970629679</v>
      </c>
      <c r="AC112" s="18" t="n">
        <f aca="false">AB116</f>
        <v>2078.64170725316</v>
      </c>
      <c r="AD112" s="18" t="n">
        <f aca="false">AC116</f>
        <v>1945.31830114373</v>
      </c>
      <c r="AE112" s="18" t="n">
        <f aca="false">AD116</f>
        <v>1811.90662119919</v>
      </c>
      <c r="AF112" s="18" t="n">
        <f aca="false">AE116</f>
        <v>1671.459316294</v>
      </c>
      <c r="AG112" s="18" t="n">
        <f aca="false">AF116</f>
        <v>1526.57789832426</v>
      </c>
      <c r="AH112" s="18" t="n">
        <f aca="false">AG116</f>
        <v>1371.84231076776</v>
      </c>
      <c r="AI112" s="18" t="n">
        <f aca="false">AH116</f>
        <v>1216.8249603154</v>
      </c>
      <c r="AJ112" s="18" t="n">
        <f aca="false">AI116</f>
        <v>1060.06619818016</v>
      </c>
      <c r="AK112" s="18" t="n">
        <f aca="false">AJ116</f>
        <v>876.665003329904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503</v>
      </c>
      <c r="D113" s="11" t="s">
        <v>33</v>
      </c>
      <c r="I113" s="48" t="n">
        <f aca="false">SUM(J113:EO113)</f>
        <v>2429.13032601656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1236.58958588379</v>
      </c>
      <c r="S113" s="48" t="n">
        <f aca="false">MAX(0,-S111)</f>
        <v>185.573186146461</v>
      </c>
      <c r="T113" s="48" t="n">
        <f aca="false">MAX(0,-T111)</f>
        <v>163.578834695637</v>
      </c>
      <c r="U113" s="48" t="n">
        <f aca="false">MAX(0,-U111)</f>
        <v>151.073133340328</v>
      </c>
      <c r="V113" s="48" t="n">
        <f aca="false">MAX(0,-V111)</f>
        <v>136.612683571141</v>
      </c>
      <c r="W113" s="48" t="n">
        <f aca="false">MAX(0,-W111)</f>
        <v>120.538681631169</v>
      </c>
      <c r="X113" s="48" t="n">
        <f aca="false">MAX(0,-X111)</f>
        <v>107.885670021815</v>
      </c>
      <c r="Y113" s="48" t="n">
        <f aca="false">MAX(0,-Y111)</f>
        <v>94.7679558678927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504</v>
      </c>
      <c r="D114" s="11" t="s">
        <v>33</v>
      </c>
      <c r="I114" s="48" t="n">
        <f aca="false">SUM(J114:EO114)</f>
        <v>-1746.17162898076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-112.575288164207</v>
      </c>
      <c r="AA114" s="48" t="n">
        <f aca="false">-MIN(AA112,In_Loss_Cap*MAX(0,AA111))</f>
        <v>-114.185331555565</v>
      </c>
      <c r="AB114" s="48" t="n">
        <f aca="false">-MIN(AB112,In_Loss_Cap*MAX(0,AB111))</f>
        <v>-123.727999043624</v>
      </c>
      <c r="AC114" s="48" t="n">
        <f aca="false">-MIN(AC112,In_Loss_Cap*MAX(0,AC111))</f>
        <v>-133.323406109432</v>
      </c>
      <c r="AD114" s="48" t="n">
        <f aca="false">-MIN(AD112,In_Loss_Cap*MAX(0,AD111))</f>
        <v>-133.411679944543</v>
      </c>
      <c r="AE114" s="48" t="n">
        <f aca="false">-MIN(AE112,In_Loss_Cap*MAX(0,AE111))</f>
        <v>-140.447304905192</v>
      </c>
      <c r="AF114" s="48" t="n">
        <f aca="false">-MIN(AF112,In_Loss_Cap*MAX(0,AF111))</f>
        <v>-144.881417969732</v>
      </c>
      <c r="AG114" s="48" t="n">
        <f aca="false">-MIN(AG112,In_Loss_Cap*MAX(0,AG111))</f>
        <v>-154.735587556502</v>
      </c>
      <c r="AH114" s="48" t="n">
        <f aca="false">-MIN(AH112,In_Loss_Cap*MAX(0,AH111))</f>
        <v>-155.017350452366</v>
      </c>
      <c r="AI114" s="48" t="n">
        <f aca="false">-MIN(AI112,In_Loss_Cap*MAX(0,AI111))</f>
        <v>-156.75876213524</v>
      </c>
      <c r="AJ114" s="48" t="n">
        <f aca="false">-MIN(AJ112,In_Loss_Cap*MAX(0,AJ111))</f>
        <v>-183.401194850252</v>
      </c>
      <c r="AK114" s="48" t="n">
        <f aca="false">-MIN(AK112,In_Loss_Cap*MAX(0,AK111))</f>
        <v>-193.706306294107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505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-682.958697035797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-682.958697035797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506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1469.10018074212</v>
      </c>
      <c r="S116" s="48" t="n">
        <f aca="false">SUM(S112:S115)</f>
        <v>1654.67336688858</v>
      </c>
      <c r="T116" s="48" t="n">
        <f aca="false">SUM(T112:T115)</f>
        <v>1818.25220158421</v>
      </c>
      <c r="U116" s="48" t="n">
        <f aca="false">SUM(U112:U115)</f>
        <v>1969.32533492454</v>
      </c>
      <c r="V116" s="48" t="n">
        <f aca="false">SUM(V112:V115)</f>
        <v>2105.93801849568</v>
      </c>
      <c r="W116" s="48" t="n">
        <f aca="false">SUM(W112:W115)</f>
        <v>2226.47670012685</v>
      </c>
      <c r="X116" s="48" t="n">
        <f aca="false">SUM(X112:X115)</f>
        <v>2334.36237014867</v>
      </c>
      <c r="Y116" s="48" t="n">
        <f aca="false">SUM(Y112:Y115)</f>
        <v>2429.13032601656</v>
      </c>
      <c r="Z116" s="48" t="n">
        <f aca="false">SUM(Z112:Z115)</f>
        <v>2316.55503785235</v>
      </c>
      <c r="AA116" s="48" t="n">
        <f aca="false">SUM(AA112:AA115)</f>
        <v>2202.36970629679</v>
      </c>
      <c r="AB116" s="48" t="n">
        <f aca="false">SUM(AB112:AB115)</f>
        <v>2078.64170725316</v>
      </c>
      <c r="AC116" s="48" t="n">
        <f aca="false">SUM(AC112:AC115)</f>
        <v>1945.31830114373</v>
      </c>
      <c r="AD116" s="48" t="n">
        <f aca="false">SUM(AD112:AD115)</f>
        <v>1811.90662119919</v>
      </c>
      <c r="AE116" s="48" t="n">
        <f aca="false">SUM(AE112:AE115)</f>
        <v>1671.459316294</v>
      </c>
      <c r="AF116" s="48" t="n">
        <f aca="false">SUM(AF112:AF115)</f>
        <v>1526.57789832426</v>
      </c>
      <c r="AG116" s="48" t="n">
        <f aca="false">SUM(AG112:AG115)</f>
        <v>1371.84231076776</v>
      </c>
      <c r="AH116" s="48" t="n">
        <f aca="false">SUM(AH112:AH115)</f>
        <v>1216.8249603154</v>
      </c>
      <c r="AI116" s="48" t="n">
        <f aca="false">SUM(AI112:AI115)</f>
        <v>1060.06619818016</v>
      </c>
      <c r="AJ116" s="48" t="n">
        <f aca="false">SUM(AJ112:AJ115)</f>
        <v>876.665003329904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507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-16.886293224631</v>
      </c>
      <c r="AA117" s="48" t="n">
        <f aca="false">-In_CIT*(MAX(0,AA111)+AA114)-In_RH_On*In_RH_Rate*MAX(0,AA111)</f>
        <v>-17.1277997333348</v>
      </c>
      <c r="AB117" s="48" t="n">
        <f aca="false">-In_CIT*(MAX(0,AB111)+AB114)-In_RH_On*In_RH_Rate*MAX(0,AB111)</f>
        <v>-18.5591998565435</v>
      </c>
      <c r="AC117" s="48" t="n">
        <f aca="false">-In_CIT*(MAX(0,AC111)+AC114)-In_RH_On*In_RH_Rate*MAX(0,AC111)</f>
        <v>-19.9985109164148</v>
      </c>
      <c r="AD117" s="48" t="n">
        <f aca="false">-In_CIT*(MAX(0,AD111)+AD114)-In_RH_On*In_RH_Rate*MAX(0,AD111)</f>
        <v>-20.0117519916814</v>
      </c>
      <c r="AE117" s="48" t="n">
        <f aca="false">-In_CIT*(MAX(0,AE111)+AE114)-In_RH_On*In_RH_Rate*MAX(0,AE111)</f>
        <v>-21.0670957357788</v>
      </c>
      <c r="AF117" s="48" t="n">
        <f aca="false">-In_CIT*(MAX(0,AF111)+AF114)-In_RH_On*In_RH_Rate*MAX(0,AF111)</f>
        <v>-21.7322126954598</v>
      </c>
      <c r="AG117" s="48" t="n">
        <f aca="false">-In_CIT*(MAX(0,AG111)+AG114)-In_RH_On*In_RH_Rate*MAX(0,AG111)</f>
        <v>-23.2103381334753</v>
      </c>
      <c r="AH117" s="48" t="n">
        <f aca="false">-In_CIT*(MAX(0,AH111)+AH114)-In_RH_On*In_RH_Rate*MAX(0,AH111)</f>
        <v>-23.2526025678549</v>
      </c>
      <c r="AI117" s="48" t="n">
        <f aca="false">-In_CIT*(MAX(0,AI111)+AI114)-In_RH_On*In_RH_Rate*MAX(0,AI111)</f>
        <v>-23.5138143202861</v>
      </c>
      <c r="AJ117" s="48" t="n">
        <f aca="false">-In_CIT*(MAX(0,AJ111)+AJ114)-In_RH_On*In_RH_Rate*MAX(0,AJ111)</f>
        <v>-27.5101792275379</v>
      </c>
      <c r="AK117" s="48" t="n">
        <f aca="false">-In_CIT*(MAX(0,AK111)+AK114)-In_RH_On*In_RH_Rate*MAX(0,AK111)</f>
        <v>-29.0559459441161</v>
      </c>
      <c r="AL117" s="48" t="n">
        <f aca="false">-In_CIT*(MAX(0,AL111)+AL114)-In_RH_On*In_RH_Rate*MAX(0,AL111)</f>
        <v>-58.2578084434224</v>
      </c>
      <c r="AM117" s="48" t="n">
        <f aca="false">-In_CIT*(MAX(0,AM111)+AM114)-In_RH_On*In_RH_Rate*MAX(0,AM111)</f>
        <v>-58.6950528485274</v>
      </c>
      <c r="AN117" s="48" t="n">
        <f aca="false">-In_CIT*(MAX(0,AN111)+AN114)-In_RH_On*In_RH_Rate*MAX(0,AN111)</f>
        <v>-61.8520109113284</v>
      </c>
      <c r="AO117" s="48" t="n">
        <f aca="false">-In_CIT*(MAX(0,AO111)+AO114)-In_RH_On*In_RH_Rate*MAX(0,AO111)</f>
        <v>-65.0273342850702</v>
      </c>
      <c r="AP117" s="48" t="n">
        <f aca="false">-In_CIT*(MAX(0,AP111)+AP114)-In_RH_On*In_RH_Rate*MAX(0,AP111)</f>
        <v>-65.2381514896335</v>
      </c>
      <c r="AQ117" s="48" t="n">
        <f aca="false">-In_CIT*(MAX(0,AQ111)+AQ114)-In_RH_On*In_RH_Rate*MAX(0,AQ111)</f>
        <v>-65.7026886400187</v>
      </c>
      <c r="AR117" s="48" t="n">
        <f aca="false">-In_CIT*(MAX(0,AR111)+AR114)-In_RH_On*In_RH_Rate*MAX(0,AR111)</f>
        <v>-68.9458260067554</v>
      </c>
      <c r="AS117" s="48" t="n">
        <f aca="false">-In_CIT*(MAX(0,AS111)+AS114)-In_RH_On*In_RH_Rate*MAX(0,AS111)</f>
        <v>-72.2082643113862</v>
      </c>
      <c r="AT117" s="48" t="n">
        <f aca="false">-In_CIT*(MAX(0,AT111)+AT114)-In_RH_On*In_RH_Rate*MAX(0,AT111)</f>
        <v>-72.4876758802591</v>
      </c>
      <c r="AU117" s="48" t="n">
        <f aca="false">-In_CIT*(MAX(0,AU111)+AU114)-In_RH_On*In_RH_Rate*MAX(0,AU111)</f>
        <v>-74.6928809254771</v>
      </c>
      <c r="AV117" s="48" t="n">
        <f aca="false">-In_CIT*(MAX(0,AV111)+AV114)-In_RH_On*In_RH_Rate*MAX(0,AV111)</f>
        <v>-76.3156193797067</v>
      </c>
      <c r="AW117" s="48" t="n">
        <f aca="false">-In_CIT*(MAX(0,AW111)+AW114)-In_RH_On*In_RH_Rate*MAX(0,AW111)</f>
        <v>-79.6686720496486</v>
      </c>
      <c r="AX117" s="48" t="n">
        <f aca="false">-In_CIT*(MAX(0,AX111)+AX114)-In_RH_On*In_RH_Rate*MAX(0,AX111)</f>
        <v>-80.0205616527358</v>
      </c>
      <c r="AY117" s="48" t="n">
        <f aca="false">-In_CIT*(MAX(0,AY111)+AY114)-In_RH_On*In_RH_Rate*MAX(0,AY111)</f>
        <v>-80.5499061181877</v>
      </c>
      <c r="AZ117" s="48" t="n">
        <f aca="false">-In_CIT*(MAX(0,AZ111)+AZ114)-In_RH_On*In_RH_Rate*MAX(0,AZ111)</f>
        <v>-83.9759386102347</v>
      </c>
      <c r="BA117" s="48" t="n">
        <f aca="false">-In_CIT*(MAX(0,BA111)+BA114)-In_RH_On*In_RH_Rate*MAX(0,BA111)</f>
        <v>-87.4232887199256</v>
      </c>
      <c r="BB117" s="48" t="n">
        <f aca="false">-In_CIT*(MAX(0,BB111)+BB114)-In_RH_On*In_RH_Rate*MAX(0,BB111)</f>
        <v>-87.851739653486</v>
      </c>
      <c r="BC117" s="48" t="n">
        <f aca="false">-In_CIT*(MAX(0,BC111)+BC114)-In_RH_On*In_RH_Rate*MAX(0,BC111)</f>
        <v>-88.4189810244149</v>
      </c>
      <c r="BD117" s="48" t="n">
        <f aca="false">-In_CIT*(MAX(0,BD111)+BD114)-In_RH_On*In_RH_Rate*MAX(0,BD111)</f>
        <v>-91.9421013106473</v>
      </c>
      <c r="BE117" s="48" t="n">
        <f aca="false">-In_CIT*(MAX(0,BE111)+BE114)-In_RH_On*In_RH_Rate*MAX(0,BE111)</f>
        <v>-95.4876252477365</v>
      </c>
      <c r="BF117" s="48" t="n">
        <f aca="false">-In_CIT*(MAX(0,BF111)+BF114)-In_RH_On*In_RH_Rate*MAX(0,BF111)</f>
        <v>-95.9969305980312</v>
      </c>
      <c r="BG117" s="48" t="n">
        <f aca="false">-In_CIT*(MAX(0,BG111)+BG114)-In_RH_On*In_RH_Rate*MAX(0,BG111)</f>
        <v>-96.6060025489291</v>
      </c>
      <c r="BH117" s="48" t="n">
        <f aca="false">-In_CIT*(MAX(0,BH111)+BH114)-In_RH_On*In_RH_Rate*MAX(0,BH111)</f>
        <v>-100.230235176909</v>
      </c>
      <c r="BI117" s="48" t="n">
        <f aca="false">-In_CIT*(MAX(0,BI111)+BI114)-In_RH_On*In_RH_Rate*MAX(0,BI111)</f>
        <v>-103.878012817288</v>
      </c>
      <c r="BJ117" s="48" t="n">
        <f aca="false">-In_CIT*(MAX(0,BJ111)+BJ114)-In_RH_On*In_RH_Rate*MAX(0,BJ111)</f>
        <v>-104.472686141558</v>
      </c>
      <c r="BK117" s="48" t="n">
        <f aca="false">-In_CIT*(MAX(0,BK111)+BK114)-In_RH_On*In_RH_Rate*MAX(0,BK111)</f>
        <v>-106.877758422316</v>
      </c>
      <c r="BL117" s="48" t="n">
        <f aca="false">-In_CIT*(MAX(0,BL111)+BL114)-In_RH_On*In_RH_Rate*MAX(0,BL111)</f>
        <v>-108.857320101286</v>
      </c>
      <c r="BM117" s="48" t="n">
        <f aca="false">-In_CIT*(MAX(0,BM111)+BM114)-In_RH_On*In_RH_Rate*MAX(0,BM111)</f>
        <v>-112.611645511746</v>
      </c>
      <c r="BN117" s="48" t="n">
        <f aca="false">-In_CIT*(MAX(0,BN111)+BN114)-In_RH_On*In_RH_Rate*MAX(0,BN111)</f>
        <v>-113.296432062864</v>
      </c>
      <c r="BO117" s="48" t="n">
        <f aca="false">-In_CIT*(MAX(0,BO111)+BO114)-In_RH_On*In_RH_Rate*MAX(0,BO111)</f>
        <v>-114.001844895059</v>
      </c>
      <c r="BP117" s="48" t="n">
        <f aca="false">-In_CIT*(MAX(0,BP111)+BP114)-In_RH_On*In_RH_Rate*MAX(0,BP111)</f>
        <v>-117.841232451754</v>
      </c>
      <c r="BQ117" s="48" t="n">
        <f aca="false">-In_CIT*(MAX(0,BQ111)+BQ114)-In_RH_On*In_RH_Rate*MAX(0,BQ111)</f>
        <v>-121.706625147394</v>
      </c>
      <c r="BR117" s="48" t="n">
        <f aca="false">-In_CIT*(MAX(0,BR111)+BR114)-In_RH_On*In_RH_Rate*MAX(0,BR111)</f>
        <v>-122.486513669873</v>
      </c>
      <c r="BS117" s="48" t="n">
        <f aca="false">-In_CIT*(MAX(0,BS111)+BS114)-In_RH_On*In_RH_Rate*MAX(0,BS111)</f>
        <v>-123.246904823717</v>
      </c>
      <c r="BT117" s="48" t="n">
        <f aca="false">-In_CIT*(MAX(0,BT111)+BT114)-In_RH_On*In_RH_Rate*MAX(0,BT111)</f>
        <v>-127.200791629087</v>
      </c>
      <c r="BU117" s="48" t="n">
        <f aca="false">-In_CIT*(MAX(0,BU111)+BU114)-In_RH_On*In_RH_Rate*MAX(0,BU111)</f>
        <v>-131.182008413967</v>
      </c>
      <c r="BV117" s="48" t="n">
        <f aca="false">-In_CIT*(MAX(0,BV111)+BV114)-In_RH_On*In_RH_Rate*MAX(0,BV111)</f>
        <v>-132.062243540421</v>
      </c>
      <c r="BW117" s="48" t="n">
        <f aca="false">-In_CIT*(MAX(0,BW111)+BW114)-In_RH_On*In_RH_Rate*MAX(0,BW111)</f>
        <v>-132.88248391173</v>
      </c>
      <c r="BX117" s="48" t="n">
        <f aca="false">-In_CIT*(MAX(0,BX111)+BX114)-In_RH_On*In_RH_Rate*MAX(0,BX111)</f>
        <v>-136.955809018203</v>
      </c>
      <c r="BY117" s="48" t="n">
        <f aca="false">-In_CIT*(MAX(0,BY111)+BY114)-In_RH_On*In_RH_Rate*MAX(0,BY111)</f>
        <v>-141.0578564392</v>
      </c>
      <c r="BZ117" s="48" t="n">
        <f aca="false">-In_CIT*(MAX(0,BZ111)+BZ114)-In_RH_On*In_RH_Rate*MAX(0,BZ111)</f>
        <v>-142.043951717838</v>
      </c>
      <c r="CA117" s="48" t="n">
        <f aca="false">-In_CIT*(MAX(0,CA111)+CA114)-In_RH_On*In_RH_Rate*MAX(0,CA111)</f>
        <v>-144.712292855075</v>
      </c>
      <c r="CB117" s="48" t="n">
        <f aca="false">-In_CIT*(MAX(0,CB111)+CB114)-In_RH_On*In_RH_Rate*MAX(0,CB111)</f>
        <v>-147.127139456284</v>
      </c>
      <c r="CC117" s="48" t="n">
        <f aca="false">-In_CIT*(MAX(0,CC111)+CC114)-In_RH_On*In_RH_Rate*MAX(0,CC111)</f>
        <v>-151.35528690165</v>
      </c>
      <c r="CD117" s="48" t="n">
        <f aca="false">-In_CIT*(MAX(0,CD111)+CD114)-In_RH_On*In_RH_Rate*MAX(0,CD111)</f>
        <v>-152.453038486933</v>
      </c>
      <c r="CE117" s="48" t="n">
        <f aca="false">-In_CIT*(MAX(0,CE111)+CE114)-In_RH_On*In_RH_Rate*MAX(0,CE111)</f>
        <v>-153.408665267938</v>
      </c>
      <c r="CF117" s="48" t="n">
        <f aca="false">-In_CIT*(MAX(0,CF111)+CF114)-In_RH_On*In_RH_Rate*MAX(0,CF111)</f>
        <v>-157.736735346471</v>
      </c>
      <c r="CG117" s="48" t="n">
        <f aca="false">-In_CIT*(MAX(0,CG111)+CG114)-In_RH_On*In_RH_Rate*MAX(0,CG111)</f>
        <v>-162.096528822191</v>
      </c>
      <c r="CH117" s="48" t="n">
        <f aca="false">-In_CIT*(MAX(0,CH111)+CH114)-In_RH_On*In_RH_Rate*MAX(0,CH111)</f>
        <v>-163.31202986242</v>
      </c>
      <c r="CI117" s="48" t="n">
        <f aca="false">-In_CIT*(MAX(0,CI111)+CI114)-In_RH_On*In_RH_Rate*MAX(0,CI111)</f>
        <v>-161.70952993943</v>
      </c>
      <c r="CJ117" s="48" t="n">
        <f aca="false">-In_CIT*(MAX(0,CJ111)+CJ114)-In_RH_On*In_RH_Rate*MAX(0,CJ111)</f>
        <v>-163.506302494313</v>
      </c>
      <c r="CK117" s="48" t="n">
        <f aca="false">-In_CIT*(MAX(0,CK111)+CK114)-In_RH_On*In_RH_Rate*MAX(0,CK111)</f>
        <v>-165.303075049195</v>
      </c>
      <c r="CL117" s="48" t="n">
        <f aca="false">-In_CIT*(MAX(0,CL111)+CL114)-In_RH_On*In_RH_Rate*MAX(0,CL111)</f>
        <v>-163.908470441874</v>
      </c>
      <c r="CM117" s="48" t="n">
        <f aca="false">-In_CIT*(MAX(0,CM111)+CM114)-In_RH_On*In_RH_Rate*MAX(0,CM111)</f>
        <v>-162.253895942466</v>
      </c>
      <c r="CN117" s="48" t="n">
        <f aca="false">-In_CIT*(MAX(0,CN111)+CN114)-In_RH_On*In_RH_Rate*MAX(0,CN111)</f>
        <v>-164.056717008494</v>
      </c>
      <c r="CO117" s="48" t="n">
        <f aca="false">-In_CIT*(MAX(0,CO111)+CO114)-In_RH_On*In_RH_Rate*MAX(0,CO111)</f>
        <v>-165.859538074521</v>
      </c>
      <c r="CP117" s="48" t="n">
        <f aca="false">-In_CIT*(MAX(0,CP111)+CP114)-In_RH_On*In_RH_Rate*MAX(0,CP111)</f>
        <v>-164.456523634598</v>
      </c>
      <c r="CQ117" s="48" t="n">
        <f aca="false">-In_CIT*(MAX(0,CQ111)+CQ114)-In_RH_On*In_RH_Rate*MAX(0,CQ111)</f>
        <v>-164.557706322342</v>
      </c>
      <c r="CR117" s="48" t="n">
        <f aca="false">-In_CIT*(MAX(0,CR111)+CR114)-In_RH_On*In_RH_Rate*MAX(0,CR111)</f>
        <v>-164.557706322342</v>
      </c>
      <c r="CS117" s="48" t="n">
        <f aca="false">-In_CIT*(MAX(0,CS111)+CS114)-In_RH_On*In_RH_Rate*MAX(0,CS111)</f>
        <v>-166.366032765444</v>
      </c>
      <c r="CT117" s="48" t="n">
        <f aca="false">-In_CIT*(MAX(0,CT111)+CT114)-In_RH_On*In_RH_Rate*MAX(0,CT111)</f>
        <v>-164.954589886834</v>
      </c>
      <c r="CU117" s="48" t="n">
        <f aca="false">-In_CIT*(MAX(0,CU111)+CU114)-In_RH_On*In_RH_Rate*MAX(0,CU111)</f>
        <v>-163.194375284734</v>
      </c>
      <c r="CV117" s="48" t="n">
        <f aca="false">-In_CIT*(MAX(0,CV111)+CV114)-In_RH_On*In_RH_Rate*MAX(0,CV111)</f>
        <v>-165.007646121232</v>
      </c>
      <c r="CW117" s="48" t="n">
        <f aca="false">-In_CIT*(MAX(0,CW111)+CW114)-In_RH_On*In_RH_Rate*MAX(0,CW111)</f>
        <v>-166.820916957729</v>
      </c>
      <c r="CX117" s="48" t="n">
        <f aca="false">-In_CIT*(MAX(0,CX111)+CX114)-In_RH_On*In_RH_Rate*MAX(0,CX111)</f>
        <v>-165.401027748062</v>
      </c>
      <c r="CY117" s="48" t="n">
        <f aca="false">-In_CIT*(MAX(0,CY111)+CY114)-In_RH_On*In_RH_Rate*MAX(0,CY111)</f>
        <v>-163.58723366555</v>
      </c>
      <c r="CZ117" s="48" t="n">
        <f aca="false">-In_CIT*(MAX(0,CZ111)+CZ114)-In_RH_On*In_RH_Rate*MAX(0,CZ111)</f>
        <v>-165.404869595168</v>
      </c>
      <c r="DA117" s="48" t="n">
        <f aca="false">-In_CIT*(MAX(0,DA111)+DA114)-In_RH_On*In_RH_Rate*MAX(0,DA111)</f>
        <v>-167.222505524785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508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4205.75934932964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113429.424251311</v>
      </c>
    </row>
    <row r="129" customFormat="false" ht="15" hidden="false" customHeight="false" outlineLevel="0" collapsed="false">
      <c r="C129" s="0" t="s">
        <v>510</v>
      </c>
      <c r="D129" s="11" t="s">
        <v>33</v>
      </c>
      <c r="E129" s="48" t="n">
        <f aca="false">$E128-$E103</f>
        <v>54373.9265999892</v>
      </c>
      <c r="F129" s="48" t="n">
        <f aca="false">$E129+$E106</f>
        <v>55778.8527603293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0.520636493053868</v>
      </c>
    </row>
    <row r="131" customFormat="false" ht="15" hidden="false" customHeight="false" outlineLevel="0" collapsed="false">
      <c r="C131" s="0" t="s">
        <v>511</v>
      </c>
      <c r="D131" s="11" t="s">
        <v>33</v>
      </c>
      <c r="E131" s="48" t="n">
        <f aca="false">$E88*In_DSCR/In_DSCR_Max_Low</f>
        <v>87442.2840417241</v>
      </c>
      <c r="F131" s="48" t="n">
        <f aca="false">$E88*In_DSCR/In_DSCR_Max_High</f>
        <v>80155.4270382471</v>
      </c>
    </row>
    <row r="132" customFormat="false" ht="15" hidden="false" customHeight="false" outlineLevel="0" collapsed="false">
      <c r="C132" s="0" t="s">
        <v>512</v>
      </c>
      <c r="D132" s="11" t="s">
        <v>27</v>
      </c>
      <c r="E132" s="49" t="n">
        <f aca="false">$E131/$E128</f>
        <v>0.770895952429322</v>
      </c>
      <c r="F132" s="49" t="n">
        <f aca="false">$F131/$E128</f>
        <v>0.706654623060211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513</v>
      </c>
      <c r="D135" s="11" t="s">
        <v>33</v>
      </c>
      <c r="I135" s="48" t="n">
        <f aca="false">SUM(J135:EO135)</f>
        <v>-54373.9265999892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-6452.06801054133</v>
      </c>
      <c r="S135" s="48" t="n">
        <f aca="false">(S63+S70+S100+S104+S105+S83)*(S$4&lt;=In_COD)</f>
        <v>-8957.34206285879</v>
      </c>
      <c r="T135" s="48" t="n">
        <f aca="false">(T63+T70+T100+T104+T105+T83)*(T$4&lt;=In_COD)</f>
        <v>-5322.36727647646</v>
      </c>
      <c r="U135" s="48" t="n">
        <f aca="false">(U63+U70+U100+U104+U105+U83)*(U$4&lt;=In_COD)</f>
        <v>-5366.55155799786</v>
      </c>
      <c r="V135" s="48" t="n">
        <f aca="false">(V63+V70+V100+V104+V105+V83)*(V$4&lt;=In_COD)</f>
        <v>-5352.09110822868</v>
      </c>
      <c r="W135" s="48" t="n">
        <f aca="false">(W63+W70+W100+W104+W105+W83)*(W$4&lt;=In_COD)</f>
        <v>-5222.63714053528</v>
      </c>
      <c r="X135" s="48" t="n">
        <f aca="false">(X63+X70+X100+X104+X105+X83)*(X$4&lt;=In_COD)</f>
        <v>-5266.67411180264</v>
      </c>
      <c r="Y135" s="48" t="n">
        <f aca="false">(Y63+Y70+Y100+Y104+Y105+Y83)*(Y$4&lt;=In_COD)</f>
        <v>-6435.24638052543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514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515</v>
      </c>
      <c r="D137" s="11" t="s">
        <v>33</v>
      </c>
      <c r="E137" s="48" t="n">
        <f aca="false">$E136+$I62-$E103-In_Sale_Costs</f>
        <v>74582.0023486781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516</v>
      </c>
      <c r="D139" s="11" t="s">
        <v>33</v>
      </c>
      <c r="I139" s="57" t="n">
        <f aca="false">SUM(J139:EO139)</f>
        <v>20208.0757486889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-6452.06801054133</v>
      </c>
      <c r="S139" s="57" t="n">
        <f aca="false">S135+($E137+$E138)*S14</f>
        <v>-8957.34206285879</v>
      </c>
      <c r="T139" s="57" t="n">
        <f aca="false">T135+($E137+$E138)*T14</f>
        <v>-5322.36727647646</v>
      </c>
      <c r="U139" s="57" t="n">
        <f aca="false">U135+($E137+$E138)*U14</f>
        <v>-5366.55155799786</v>
      </c>
      <c r="V139" s="57" t="n">
        <f aca="false">V135+($E137+$E138)*V14</f>
        <v>-5352.09110822868</v>
      </c>
      <c r="W139" s="57" t="n">
        <f aca="false">W135+($E137+$E138)*W14</f>
        <v>-5222.63714053528</v>
      </c>
      <c r="X139" s="57" t="n">
        <f aca="false">X135+($E137+$E138)*X14</f>
        <v>-5266.67411180264</v>
      </c>
      <c r="Y139" s="57" t="n">
        <f aca="false">Y135+($E137+$E138)*Y14</f>
        <v>68146.7559681527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0.2632612602034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1.37165010901922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10990.2192290749</v>
      </c>
    </row>
    <row r="143" customFormat="false" ht="15" hidden="false" customHeight="false" outlineLevel="0" collapsed="false">
      <c r="A143" s="61"/>
      <c r="B143" s="61"/>
      <c r="C143" s="61" t="s">
        <v>517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518</v>
      </c>
      <c r="D144" s="11" t="s">
        <v>33</v>
      </c>
      <c r="I144" s="48" t="n">
        <f aca="false">SUM(J144:EO144)</f>
        <v>137634.203125897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2344.40831738351</v>
      </c>
      <c r="AA144" s="48" t="n">
        <f aca="false">(AA83+AA59+AA62+AA117)*(AA$4&gt;In_COD)-($E136+$I62)*AA14</f>
        <v>2308.66251795177</v>
      </c>
      <c r="AB144" s="48" t="n">
        <f aca="false">(AB83+AB59+AB62+AB117)*(AB$4&gt;In_COD)-($E136+$I62)*AB14</f>
        <v>2333.0732324695</v>
      </c>
      <c r="AC144" s="48" t="n">
        <f aca="false">(AC83+AC59+AC62+AC117)*(AC$4&gt;In_COD)-($E136+$I62)*AC14</f>
        <v>2357.47603605058</v>
      </c>
      <c r="AD144" s="48" t="n">
        <f aca="false">(AD83+AD59+AD62+AD117)*(AD$4&gt;In_COD)-($E136+$I62)*AD14</f>
        <v>2348.98873340516</v>
      </c>
      <c r="AE144" s="48" t="n">
        <f aca="false">(AE83+AE59+AE62+AE117)*(AE$4&gt;In_COD)-($E136+$I62)*AE14</f>
        <v>2338.05078562171</v>
      </c>
      <c r="AF144" s="48" t="n">
        <f aca="false">(AF83+AF59+AF62+AF117)*(AF$4&gt;In_COD)-($E136+$I62)*AF14</f>
        <v>2337.38566866203</v>
      </c>
      <c r="AG144" s="48" t="n">
        <f aca="false">(AG83+AG59+AG62+AG117)*(AG$4&gt;In_COD)-($E136+$I62)*AG14</f>
        <v>2361.83191554663</v>
      </c>
      <c r="AH144" s="48" t="n">
        <f aca="false">(AH83+AH59+AH62+AH117)*(AH$4&gt;In_COD)-($E136+$I62)*AH14</f>
        <v>2353.26185946134</v>
      </c>
      <c r="AI144" s="48" t="n">
        <f aca="false">(AI83+AI59+AI62+AI117)*(AI$4&gt;In_COD)-($E136+$I62)*AI14</f>
        <v>2316.88828795445</v>
      </c>
      <c r="AJ144" s="48" t="n">
        <f aca="false">(AJ83+AJ59+AJ62+AJ117)*(AJ$4&gt;In_COD)-($E136+$I62)*AJ14</f>
        <v>2372.05187968493</v>
      </c>
      <c r="AK144" s="48" t="n">
        <f aca="false">(AK83+AK59+AK62+AK117)*(AK$4&gt;In_COD)-($E136+$I62)*AK14</f>
        <v>2396.87492680256</v>
      </c>
      <c r="AL144" s="48" t="n">
        <f aca="false">(AL83+AL59+AL62+AL117)*(AL$4&gt;In_COD)-($E136+$I62)*AL14</f>
        <v>2359.09136366511</v>
      </c>
      <c r="AM144" s="48" t="n">
        <f aca="false">(AM83+AM59+AM62+AM117)*(AM$4&gt;In_COD)-($E136+$I62)*AM14</f>
        <v>2321.50494910752</v>
      </c>
      <c r="AN144" s="48" t="n">
        <f aca="false">(AN83+AN59+AN62+AN117)*(AN$4&gt;In_COD)-($E136+$I62)*AN14</f>
        <v>2344.79465773312</v>
      </c>
      <c r="AO144" s="48" t="n">
        <f aca="false">(AO83+AO59+AO62+AO117)*(AO$4&gt;In_COD)-($E136+$I62)*AO14</f>
        <v>2368.06600104778</v>
      </c>
      <c r="AP144" s="48" t="n">
        <f aca="false">(AP83+AP59+AP62+AP117)*(AP$4&gt;In_COD)-($E136+$I62)*AP14</f>
        <v>2359.21939811681</v>
      </c>
      <c r="AQ144" s="48" t="n">
        <f aca="false">(AQ83+AQ59+AQ62+AQ117)*(AQ$4&gt;In_COD)-($E136+$I62)*AQ14</f>
        <v>2321.29480191402</v>
      </c>
      <c r="AR144" s="48" t="n">
        <f aca="false">(AR83+AR59+AR62+AR117)*(AR$4&gt;In_COD)-($E136+$I62)*AR14</f>
        <v>2344.57385888677</v>
      </c>
      <c r="AS144" s="48" t="n">
        <f aca="false">(AS83+AS59+AS62+AS117)*(AS$4&gt;In_COD)-($E136+$I62)*AS14</f>
        <v>2367.83361492163</v>
      </c>
      <c r="AT144" s="48" t="n">
        <f aca="false">(AT83+AT59+AT62+AT117)*(AT$4&gt;In_COD)-($E136+$I62)*AT14</f>
        <v>2358.86415935164</v>
      </c>
      <c r="AU144" s="48" t="n">
        <f aca="false">(AU83+AU59+AU62+AU117)*(AU$4&gt;In_COD)-($E136+$I62)*AU14</f>
        <v>2345.48051152876</v>
      </c>
      <c r="AV144" s="48" t="n">
        <f aca="false">(AV83+AV59+AV62+AV117)*(AV$4&gt;In_COD)-($E136+$I62)*AV14</f>
        <v>2343.85777307453</v>
      </c>
      <c r="AW144" s="48" t="n">
        <f aca="false">(AW83+AW59+AW62+AW117)*(AW$4&gt;In_COD)-($E136+$I62)*AW14</f>
        <v>2367.10003240958</v>
      </c>
      <c r="AX144" s="48" t="n">
        <f aca="false">(AX83+AX59+AX62+AX117)*(AX$4&gt;In_COD)-($E136+$I62)*AX14</f>
        <v>2358.00367037062</v>
      </c>
      <c r="AY144" s="48" t="n">
        <f aca="false">(AY83+AY59+AY62+AY117)*(AY$4&gt;In_COD)-($E136+$I62)*AY14</f>
        <v>2319.38403163649</v>
      </c>
      <c r="AZ144" s="48" t="n">
        <f aca="false">(AZ83+AZ59+AZ62+AZ117)*(AZ$4&gt;In_COD)-($E136+$I62)*AZ14</f>
        <v>2342.62393178616</v>
      </c>
      <c r="BA144" s="48" t="n">
        <f aca="false">(BA83+BA59+BA62+BA117)*(BA$4&gt;In_COD)-($E136+$I62)*BA14</f>
        <v>2365.84251431819</v>
      </c>
      <c r="BB144" s="48" t="n">
        <f aca="false">(BB83+BB59+BB62+BB117)*(BB$4&gt;In_COD)-($E136+$I62)*BB14</f>
        <v>2356.61499549495</v>
      </c>
      <c r="BC144" s="48" t="n">
        <f aca="false">(BC83+BC59+BC62+BC117)*(BC$4&gt;In_COD)-($E136+$I62)*BC14</f>
        <v>2317.63803901419</v>
      </c>
      <c r="BD144" s="48" t="n">
        <f aca="false">(BD83+BD59+BD62+BD117)*(BD$4&gt;In_COD)-($E136+$I62)*BD14</f>
        <v>2340.84888561728</v>
      </c>
      <c r="BE144" s="48" t="n">
        <f aca="false">(BE83+BE59+BE62+BE117)*(BE$4&gt;In_COD)-($E136+$I62)*BE14</f>
        <v>2364.03732856951</v>
      </c>
      <c r="BF144" s="48" t="n">
        <f aca="false">(BF83+BF59+BF62+BF117)*(BF$4&gt;In_COD)-($E136+$I62)*BF14</f>
        <v>2354.67419611519</v>
      </c>
      <c r="BG144" s="48" t="n">
        <f aca="false">(BG83+BG59+BG62+BG117)*(BG$4&gt;In_COD)-($E136+$I62)*BG14</f>
        <v>2315.3330685701</v>
      </c>
      <c r="BH144" s="48" t="n">
        <f aca="false">(BH83+BH59+BH62+BH117)*(BH$4&gt;In_COD)-($E136+$I62)*BH14</f>
        <v>2338.50815895455</v>
      </c>
      <c r="BI144" s="48" t="n">
        <f aca="false">(BI83+BI59+BI62+BI117)*(BI$4&gt;In_COD)-($E136+$I62)*BI14</f>
        <v>2361.65970432661</v>
      </c>
      <c r="BJ144" s="48" t="n">
        <f aca="false">(BJ83+BJ59+BJ62+BJ117)*(BJ$4&gt;In_COD)-($E136+$I62)*BJ14</f>
        <v>2352.15628430227</v>
      </c>
      <c r="BK144" s="48" t="n">
        <f aca="false">(BK83+BK59+BK62+BK117)*(BK$4&gt;In_COD)-($E136+$I62)*BK14</f>
        <v>2337.55576414916</v>
      </c>
      <c r="BL144" s="48" t="n">
        <f aca="false">(BL83+BL59+BL62+BL117)*(BL$4&gt;In_COD)-($E136+$I62)*BL14</f>
        <v>2335.57620247019</v>
      </c>
      <c r="BM144" s="48" t="n">
        <f aca="false">(BM83+BM59+BM62+BM117)*(BM$4&gt;In_COD)-($E136+$I62)*BM14</f>
        <v>2358.68378390117</v>
      </c>
      <c r="BN144" s="48" t="n">
        <f aca="false">(BN83+BN59+BN62+BN117)*(BN$4&gt;In_COD)-($E136+$I62)*BN14</f>
        <v>2349.03517417446</v>
      </c>
      <c r="BO144" s="48" t="n">
        <f aca="false">(BO83+BO59+BO62+BO117)*(BO$4&gt;In_COD)-($E136+$I62)*BO14</f>
        <v>2308.94410916204</v>
      </c>
      <c r="BP144" s="48" t="n">
        <f aca="false">(BP83+BP59+BP62+BP117)*(BP$4&gt;In_COD)-($E136+$I62)*BP14</f>
        <v>2332.02634331709</v>
      </c>
      <c r="BQ144" s="48" t="n">
        <f aca="false">(BQ83+BQ59+BQ62+BQ117)*(BQ$4&gt;In_COD)-($E136+$I62)*BQ14</f>
        <v>2355.08257233319</v>
      </c>
      <c r="BR144" s="48" t="n">
        <f aca="false">(BR83+BR59+BR62+BR117)*(BR$4&gt;In_COD)-($E136+$I62)*BR14</f>
        <v>2345.28363090873</v>
      </c>
      <c r="BS144" s="48" t="n">
        <f aca="false">(BS83+BS59+BS62+BS117)*(BS$4&gt;In_COD)-($E136+$I62)*BS14</f>
        <v>2304.80625131434</v>
      </c>
      <c r="BT144" s="48" t="n">
        <f aca="false">(BT83+BT59+BT62+BT117)*(BT$4&gt;In_COD)-($E136+$I62)*BT14</f>
        <v>2327.83073291051</v>
      </c>
      <c r="BU144" s="48" t="n">
        <f aca="false">(BU83+BU59+BU62+BU117)*(BU$4&gt;In_COD)-($E136+$I62)*BU14</f>
        <v>2350.82788452716</v>
      </c>
      <c r="BV144" s="48" t="n">
        <f aca="false">(BV83+BV59+BV62+BV117)*(BV$4&gt;In_COD)-($E136+$I62)*BV14</f>
        <v>2340.8732172796</v>
      </c>
      <c r="BW144" s="48" t="n">
        <f aca="false">(BW83+BW59+BW62+BW117)*(BW$4&gt;In_COD)-($E136+$I62)*BW14</f>
        <v>2300.00157221465</v>
      </c>
      <c r="BX144" s="48" t="n">
        <f aca="false">(BX83+BX59+BX62+BX117)*(BX$4&gt;In_COD)-($E136+$I62)*BX14</f>
        <v>2322.96029217625</v>
      </c>
      <c r="BY144" s="48" t="n">
        <f aca="false">(BY83+BY59+BY62+BY117)*(BY$4&gt;In_COD)-($E136+$I62)*BY14</f>
        <v>2345.89028982332</v>
      </c>
      <c r="BZ144" s="48" t="n">
        <f aca="false">(BZ83+BZ59+BZ62+BZ117)*(BZ$4&gt;In_COD)-($E136+$I62)*BZ14</f>
        <v>2335.77423760256</v>
      </c>
      <c r="CA144" s="48" t="n">
        <f aca="false">(CA83+CA59+CA62+CA117)*(CA$4&gt;In_COD)-($E136+$I62)*CA14</f>
        <v>2319.79950074076</v>
      </c>
      <c r="CB144" s="48" t="n">
        <f aca="false">(CB83+CB59+CB62+CB117)*(CB$4&gt;In_COD)-($E136+$I62)*CB14</f>
        <v>2317.38465413956</v>
      </c>
      <c r="CC144" s="48" t="n">
        <f aca="false">(CC83+CC59+CC62+CC117)*(CC$4&gt;In_COD)-($E136+$I62)*CC14</f>
        <v>2340.23905387656</v>
      </c>
      <c r="CD144" s="48" t="n">
        <f aca="false">(CD83+CD59+CD62+CD117)*(CD$4&gt;In_COD)-($E136+$I62)*CD14</f>
        <v>2329.95567895303</v>
      </c>
      <c r="CE144" s="48" t="n">
        <f aca="false">(CE83+CE59+CE62+CE117)*(CE$4&gt;In_COD)-($E136+$I62)*CE14</f>
        <v>2288.27040633856</v>
      </c>
      <c r="CF144" s="48" t="n">
        <f aca="false">(CF83+CF59+CF62+CF117)*(CF$4&gt;In_COD)-($E136+$I62)*CF14</f>
        <v>2311.07210372232</v>
      </c>
      <c r="CG144" s="48" t="n">
        <f aca="false">(CG83+CG59+CG62+CG117)*(CG$4&gt;In_COD)-($E136+$I62)*CG14</f>
        <v>2333.84207770889</v>
      </c>
      <c r="CH144" s="48" t="n">
        <f aca="false">(CH83+CH59+CH62+CH117)*(CH$4&gt;In_COD)-($E136+$I62)*CH14</f>
        <v>2323.38514952525</v>
      </c>
      <c r="CI144" s="48" t="n">
        <f aca="false">(CI83+CI59+CI62+CI117)*(CI$4&gt;In_COD)-($E136+$I62)*CI14</f>
        <v>2283.91409241878</v>
      </c>
      <c r="CJ144" s="48" t="n">
        <f aca="false">(CJ83+CJ59+CJ62+CJ117)*(CJ$4&gt;In_COD)-($E136+$I62)*CJ14</f>
        <v>2309.29091566788</v>
      </c>
      <c r="CK144" s="48" t="n">
        <f aca="false">(CK83+CK59+CK62+CK117)*(CK$4&gt;In_COD)-($E136+$I62)*CK14</f>
        <v>2334.66773891698</v>
      </c>
      <c r="CL144" s="48" t="n">
        <f aca="false">(CL83+CL59+CL62+CL117)*(CL$4&gt;In_COD)-($E136+$I62)*CL14</f>
        <v>2326.76497947549</v>
      </c>
      <c r="CM144" s="48" t="n">
        <f aca="false">(CM83+CM59+CM62+CM117)*(CM$4&gt;In_COD)-($E136+$I62)*CM14</f>
        <v>2286.99883310266</v>
      </c>
      <c r="CN144" s="48" t="n">
        <f aca="false">(CN83+CN59+CN62+CN117)*(CN$4&gt;In_COD)-($E136+$I62)*CN14</f>
        <v>2312.40993124824</v>
      </c>
      <c r="CO144" s="48" t="n">
        <f aca="false">(CO83+CO59+CO62+CO117)*(CO$4&gt;In_COD)-($E136+$I62)*CO14</f>
        <v>2337.82102939383</v>
      </c>
      <c r="CP144" s="48" t="n">
        <f aca="false">(CP83+CP59+CP62+CP117)*(CP$4&gt;In_COD)-($E136+$I62)*CP14</f>
        <v>2329.87061423426</v>
      </c>
      <c r="CQ144" s="48" t="n">
        <f aca="false">(CQ83+CQ59+CQ62+CQ117)*(CQ$4&gt;In_COD)-($E136+$I62)*CQ14</f>
        <v>2315.24887069338</v>
      </c>
      <c r="CR144" s="48" t="n">
        <f aca="false">(CR83+CR59+CR62+CR117)*(CR$4&gt;In_COD)-($E136+$I62)*CR14</f>
        <v>2315.24887069338</v>
      </c>
      <c r="CS144" s="48" t="n">
        <f aca="false">(CS83+CS59+CS62+CS117)*(CS$4&gt;In_COD)-($E136+$I62)*CS14</f>
        <v>2340.69116597572</v>
      </c>
      <c r="CT144" s="48" t="n">
        <f aca="false">(CT83+CT59+CT62+CT117)*(CT$4&gt;In_COD)-($E136+$I62)*CT14</f>
        <v>2332.6929896636</v>
      </c>
      <c r="CU144" s="48" t="n">
        <f aca="false">(CU83+CU59+CU62+CU117)*(CU$4&gt;In_COD)-($E136+$I62)*CU14</f>
        <v>2292.32821604218</v>
      </c>
      <c r="CV144" s="48" t="n">
        <f aca="false">(CV83+CV59+CV62+CV117)*(CV$4&gt;In_COD)-($E136+$I62)*CV14</f>
        <v>2317.79852955376</v>
      </c>
      <c r="CW144" s="48" t="n">
        <f aca="false">(CW83+CW59+CW62+CW117)*(CW$4&gt;In_COD)-($E136+$I62)*CW14</f>
        <v>2343.26884306534</v>
      </c>
      <c r="CX144" s="48" t="n">
        <f aca="false">(CX83+CX59+CX62+CX117)*(CX$4&gt;In_COD)-($E136+$I62)*CX14</f>
        <v>2335.22280421056</v>
      </c>
      <c r="CY144" s="48" t="n">
        <f aca="false">(CY83+CY59+CY62+CY117)*(CY$4&gt;In_COD)-($E136+$I62)*CY14</f>
        <v>2294.55441353347</v>
      </c>
      <c r="CZ144" s="48" t="n">
        <f aca="false">(CZ83+CZ59+CZ62+CZ117)*(CZ$4&gt;In_COD)-($E136+$I62)*CZ14</f>
        <v>2320.04946257273</v>
      </c>
      <c r="DA144" s="48" t="n">
        <f aca="false">(DA83+DA59+DA62+DA117)*(DA$4&gt;In_COD)-($E136+$I62)*DA14</f>
        <v>2345.54451161199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0.0566120049273495</v>
      </c>
    </row>
    <row r="146" customFormat="false" ht="15" hidden="false" customHeight="false" outlineLevel="0" collapsed="false">
      <c r="C146" s="0" t="s">
        <v>519</v>
      </c>
      <c r="D146" s="11" t="s">
        <v>33</v>
      </c>
      <c r="I146" s="48" t="n">
        <f aca="false">SUM(J146:EO146)</f>
        <v>112394.131156815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-76486.9285090182</v>
      </c>
      <c r="Z146" s="48" t="n">
        <f aca="false">Z144+Z98+Z106+$E103*Z14</f>
        <v>939.482157043442</v>
      </c>
      <c r="AA146" s="48" t="n">
        <f aca="false">AA144+AA98+AA106+$E103*AA14</f>
        <v>903.736357611697</v>
      </c>
      <c r="AB146" s="48" t="n">
        <f aca="false">AB144+AB98+AB106+$E103*AB14</f>
        <v>928.147072129433</v>
      </c>
      <c r="AC146" s="48" t="n">
        <f aca="false">AC144+AC98+AC106+$E103*AC14</f>
        <v>952.549875710508</v>
      </c>
      <c r="AD146" s="48" t="n">
        <f aca="false">AD144+AD98+AD106+$E103*AD14</f>
        <v>944.062573065086</v>
      </c>
      <c r="AE146" s="48" t="n">
        <f aca="false">AE144+AE98+AE106+$E103*AE14</f>
        <v>933.124625281642</v>
      </c>
      <c r="AF146" s="48" t="n">
        <f aca="false">AF144+AF98+AF106+$E103*AF14</f>
        <v>932.459508321962</v>
      </c>
      <c r="AG146" s="48" t="n">
        <f aca="false">AG144+AG98+AG106+$E103*AG14</f>
        <v>956.905755206555</v>
      </c>
      <c r="AH146" s="48" t="n">
        <f aca="false">AH144+AH98+AH106+$E103*AH14</f>
        <v>948.335699121264</v>
      </c>
      <c r="AI146" s="48" t="n">
        <f aca="false">AI144+AI98+AI106+$E103*AI14</f>
        <v>911.962127614383</v>
      </c>
      <c r="AJ146" s="48" t="n">
        <f aca="false">AJ144+AJ98+AJ106+$E103*AJ14</f>
        <v>967.125719344862</v>
      </c>
      <c r="AK146" s="48" t="n">
        <f aca="false">AK144+AK98+AK106+$E103*AK14</f>
        <v>991.948766462488</v>
      </c>
      <c r="AL146" s="48" t="n">
        <f aca="false">AL144+AL98+AL106+$E103*AL14</f>
        <v>954.165203325035</v>
      </c>
      <c r="AM146" s="48" t="n">
        <f aca="false">AM144+AM98+AM106+$E103*AM14</f>
        <v>916.578788767446</v>
      </c>
      <c r="AN146" s="48" t="n">
        <f aca="false">AN144+AN98+AN106+$E103*AN14</f>
        <v>939.868497393046</v>
      </c>
      <c r="AO146" s="48" t="n">
        <f aca="false">AO144+AO98+AO106+$E103*AO14</f>
        <v>963.139840707705</v>
      </c>
      <c r="AP146" s="48" t="n">
        <f aca="false">AP144+AP98+AP106+$E103*AP14</f>
        <v>954.29323777674</v>
      </c>
      <c r="AQ146" s="48" t="n">
        <f aca="false">AQ144+AQ98+AQ106+$E103*AQ14</f>
        <v>916.368641573946</v>
      </c>
      <c r="AR146" s="48" t="n">
        <f aca="false">AR144+AR98+AR106+$E103*AR14</f>
        <v>939.647698546698</v>
      </c>
      <c r="AS146" s="48" t="n">
        <f aca="false">AS144+AS98+AS106+$E103*AS14</f>
        <v>962.907454581556</v>
      </c>
      <c r="AT146" s="48" t="n">
        <f aca="false">AT144+AT98+AT106+$E103*AT14</f>
        <v>953.937999011571</v>
      </c>
      <c r="AU146" s="48" t="n">
        <f aca="false">AU144+AU98+AU106+$E103*AU14</f>
        <v>940.554351188692</v>
      </c>
      <c r="AV146" s="48" t="n">
        <f aca="false">AV144+AV98+AV106+$E103*AV14</f>
        <v>938.931612734463</v>
      </c>
      <c r="AW146" s="48" t="n">
        <f aca="false">AW144+AW98+AW106+$E103*AW14</f>
        <v>962.173872069513</v>
      </c>
      <c r="AX146" s="48" t="n">
        <f aca="false">AX144+AX98+AX106+$E103*AX14</f>
        <v>953.077510030549</v>
      </c>
      <c r="AY146" s="48" t="n">
        <f aca="false">AY144+AY98+AY106+$E103*AY14</f>
        <v>914.457871296419</v>
      </c>
      <c r="AZ146" s="48" t="n">
        <f aca="false">AZ144+AZ98+AZ106+$E103*AZ14</f>
        <v>937.69777144609</v>
      </c>
      <c r="BA146" s="48" t="n">
        <f aca="false">BA144+BA98+BA106+$E103*BA14</f>
        <v>960.916353978118</v>
      </c>
      <c r="BB146" s="48" t="n">
        <f aca="false">BB144+BB98+BB106+$E103*BB14</f>
        <v>951.688835154881</v>
      </c>
      <c r="BC146" s="48" t="n">
        <f aca="false">BC144+BC98+BC106+$E103*BC14</f>
        <v>912.711878674122</v>
      </c>
      <c r="BD146" s="48" t="n">
        <f aca="false">BD144+BD98+BD106+$E103*BD14</f>
        <v>935.922725277208</v>
      </c>
      <c r="BE146" s="48" t="n">
        <f aca="false">BE144+BE98+BE106+$E103*BE14</f>
        <v>959.111168229435</v>
      </c>
      <c r="BF146" s="48" t="n">
        <f aca="false">BF144+BF98+BF106+$E103*BF14</f>
        <v>949.748035775114</v>
      </c>
      <c r="BG146" s="48" t="n">
        <f aca="false">BG144+BG98+BG106+$E103*BG14</f>
        <v>910.406908230027</v>
      </c>
      <c r="BH146" s="48" t="n">
        <f aca="false">BH144+BH98+BH106+$E103*BH14</f>
        <v>933.58199861448</v>
      </c>
      <c r="BI146" s="48" t="n">
        <f aca="false">BI144+BI98+BI106+$E103*BI14</f>
        <v>956.733543986536</v>
      </c>
      <c r="BJ146" s="48" t="n">
        <f aca="false">BJ144+BJ98+BJ106+$E103*BJ14</f>
        <v>947.230123962194</v>
      </c>
      <c r="BK146" s="48" t="n">
        <f aca="false">BK144+BK98+BK106+$E103*BK14</f>
        <v>932.629603809085</v>
      </c>
      <c r="BL146" s="48" t="n">
        <f aca="false">BL144+BL98+BL106+$E103*BL14</f>
        <v>930.650042130115</v>
      </c>
      <c r="BM146" s="48" t="n">
        <f aca="false">BM144+BM98+BM106+$E103*BM14</f>
        <v>953.7576235611</v>
      </c>
      <c r="BN146" s="48" t="n">
        <f aca="false">BN144+BN98+BN106+$E103*BN14</f>
        <v>944.109013834388</v>
      </c>
      <c r="BO146" s="48" t="n">
        <f aca="false">BO144+BO98+BO106+$E103*BO14</f>
        <v>904.017948821967</v>
      </c>
      <c r="BP146" s="48" t="n">
        <f aca="false">BP144+BP98+BP106+$E103*BP14</f>
        <v>927.100182977017</v>
      </c>
      <c r="BQ146" s="48" t="n">
        <f aca="false">BQ144+BQ98+BQ106+$E103*BQ14</f>
        <v>950.156411993123</v>
      </c>
      <c r="BR146" s="48" t="n">
        <f aca="false">BR144+BR98+BR106+$E103*BR14</f>
        <v>940.357470568663</v>
      </c>
      <c r="BS146" s="48" t="n">
        <f aca="false">BS144+BS98+BS106+$E103*BS14</f>
        <v>899.88009097427</v>
      </c>
      <c r="BT146" s="48" t="n">
        <f aca="false">BT144+BT98+BT106+$E103*BT14</f>
        <v>922.904572570435</v>
      </c>
      <c r="BU146" s="48" t="n">
        <f aca="false">BU144+BU98+BU106+$E103*BU14</f>
        <v>945.901724187089</v>
      </c>
      <c r="BV146" s="48" t="n">
        <f aca="false">BV144+BV98+BV106+$E103*BV14</f>
        <v>935.947056939533</v>
      </c>
      <c r="BW146" s="48" t="n">
        <f aca="false">BW144+BW98+BW106+$E103*BW14</f>
        <v>895.075411874578</v>
      </c>
      <c r="BX146" s="48" t="n">
        <f aca="false">BX144+BX98+BX106+$E103*BX14</f>
        <v>918.034131836178</v>
      </c>
      <c r="BY146" s="48" t="n">
        <f aca="false">BY144+BY98+BY106+$E103*BY14</f>
        <v>940.964129483251</v>
      </c>
      <c r="BZ146" s="48" t="n">
        <f aca="false">BZ144+BZ98+BZ106+$E103*BZ14</f>
        <v>930.84807726249</v>
      </c>
      <c r="CA146" s="48" t="n">
        <f aca="false">CA144+CA98+CA106+$E103*CA14</f>
        <v>914.873340400693</v>
      </c>
      <c r="CB146" s="48" t="n">
        <f aca="false">CB144+CB98+CB106+$E103*CB14</f>
        <v>912.458493799484</v>
      </c>
      <c r="CC146" s="48" t="n">
        <f aca="false">CC144+CC98+CC106+$E103*CC14</f>
        <v>935.312893536491</v>
      </c>
      <c r="CD146" s="48" t="n">
        <f aca="false">CD144+CD98+CD106+$E103*CD14</f>
        <v>925.029518612955</v>
      </c>
      <c r="CE146" s="48" t="n">
        <f aca="false">CE144+CE98+CE106+$E103*CE14</f>
        <v>883.344245998485</v>
      </c>
      <c r="CF146" s="48" t="n">
        <f aca="false">CF144+CF98+CF106+$E103*CF14</f>
        <v>906.145943382247</v>
      </c>
      <c r="CG146" s="48" t="n">
        <f aca="false">CG144+CG98+CG106+$E103*CG14</f>
        <v>2333.84207770891</v>
      </c>
      <c r="CH146" s="48" t="n">
        <f aca="false">CH144+CH98+CH106+$E103*CH14</f>
        <v>2323.38514952525</v>
      </c>
      <c r="CI146" s="48" t="n">
        <f aca="false">CI144+CI98+CI106+$E103*CI14</f>
        <v>2283.91409241878</v>
      </c>
      <c r="CJ146" s="48" t="n">
        <f aca="false">CJ144+CJ98+CJ106+$E103*CJ14</f>
        <v>2309.29091566788</v>
      </c>
      <c r="CK146" s="48" t="n">
        <f aca="false">CK144+CK98+CK106+$E103*CK14</f>
        <v>2334.66773891698</v>
      </c>
      <c r="CL146" s="48" t="n">
        <f aca="false">CL144+CL98+CL106+$E103*CL14</f>
        <v>2326.76497947549</v>
      </c>
      <c r="CM146" s="48" t="n">
        <f aca="false">CM144+CM98+CM106+$E103*CM14</f>
        <v>2286.99883310266</v>
      </c>
      <c r="CN146" s="48" t="n">
        <f aca="false">CN144+CN98+CN106+$E103*CN14</f>
        <v>2312.40993124824</v>
      </c>
      <c r="CO146" s="48" t="n">
        <f aca="false">CO144+CO98+CO106+$E103*CO14</f>
        <v>2337.82102939383</v>
      </c>
      <c r="CP146" s="48" t="n">
        <f aca="false">CP144+CP98+CP106+$E103*CP14</f>
        <v>2329.87061423426</v>
      </c>
      <c r="CQ146" s="48" t="n">
        <f aca="false">CQ144+CQ98+CQ106+$E103*CQ14</f>
        <v>2315.24887069338</v>
      </c>
      <c r="CR146" s="48" t="n">
        <f aca="false">CR144+CR98+CR106+$E103*CR14</f>
        <v>2315.24887069338</v>
      </c>
      <c r="CS146" s="48" t="n">
        <f aca="false">CS144+CS98+CS106+$E103*CS14</f>
        <v>2340.69116597572</v>
      </c>
      <c r="CT146" s="48" t="n">
        <f aca="false">CT144+CT98+CT106+$E103*CT14</f>
        <v>2332.6929896636</v>
      </c>
      <c r="CU146" s="48" t="n">
        <f aca="false">CU144+CU98+CU106+$E103*CU14</f>
        <v>2292.32821604218</v>
      </c>
      <c r="CV146" s="48" t="n">
        <f aca="false">CV144+CV98+CV106+$E103*CV14</f>
        <v>2317.79852955376</v>
      </c>
      <c r="CW146" s="48" t="n">
        <f aca="false">CW144+CW98+CW106+$E103*CW14</f>
        <v>2343.26884306534</v>
      </c>
      <c r="CX146" s="48" t="n">
        <f aca="false">CX144+CX98+CX106+$E103*CX14</f>
        <v>2335.22280421056</v>
      </c>
      <c r="CY146" s="48" t="n">
        <f aca="false">CY144+CY98+CY106+$E103*CY14</f>
        <v>2294.55441353347</v>
      </c>
      <c r="CZ146" s="48" t="n">
        <f aca="false">CZ144+CZ98+CZ106+$E103*CZ14</f>
        <v>2320.04946257273</v>
      </c>
      <c r="DA146" s="48" t="n">
        <f aca="false">DA144+DA98+DA106+$E103*DA14</f>
        <v>2345.54451161199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520</v>
      </c>
      <c r="D147" s="11" t="s">
        <v>27</v>
      </c>
      <c r="E147" s="33" t="n">
        <f aca="false">XIRR(INDEX($J146:$EO146,$E15):$EO146,INDEX($J$4:$EO$4,$E15):$EO$4)</f>
        <v>0.0578758717662863</v>
      </c>
    </row>
    <row r="149" customFormat="false" ht="15" hidden="false" customHeight="false" outlineLevel="0" collapsed="false">
      <c r="A149" s="9" t="s">
        <v>13</v>
      </c>
      <c r="B149" s="9"/>
      <c r="C149" s="9" t="s">
        <v>521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522</v>
      </c>
      <c r="D150" s="11" t="s">
        <v>33</v>
      </c>
      <c r="I150" s="48" t="n">
        <f aca="false">SUM(J150:EO150)</f>
        <v>162548.038223916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2344.40831738351</v>
      </c>
      <c r="AA150" s="48" t="n">
        <f aca="false">AA63+AA70+AA83+AA62+AA117</f>
        <v>2308.66251795177</v>
      </c>
      <c r="AB150" s="48" t="n">
        <f aca="false">AB63+AB70+AB83+AB62+AB117</f>
        <v>2333.0732324695</v>
      </c>
      <c r="AC150" s="48" t="n">
        <f aca="false">AC63+AC70+AC83+AC62+AC117</f>
        <v>2357.47603605058</v>
      </c>
      <c r="AD150" s="48" t="n">
        <f aca="false">AD63+AD70+AD83+AD62+AD117</f>
        <v>2348.98873340516</v>
      </c>
      <c r="AE150" s="48" t="n">
        <f aca="false">AE63+AE70+AE83+AE62+AE117</f>
        <v>2338.05078562171</v>
      </c>
      <c r="AF150" s="48" t="n">
        <f aca="false">AF63+AF70+AF83+AF62+AF117</f>
        <v>2337.38566866203</v>
      </c>
      <c r="AG150" s="48" t="n">
        <f aca="false">AG63+AG70+AG83+AG62+AG117</f>
        <v>2361.83191554663</v>
      </c>
      <c r="AH150" s="48" t="n">
        <f aca="false">AH63+AH70+AH83+AH62+AH117</f>
        <v>2353.26185946134</v>
      </c>
      <c r="AI150" s="48" t="n">
        <f aca="false">AI63+AI70+AI83+AI62+AI117</f>
        <v>2316.88828795445</v>
      </c>
      <c r="AJ150" s="48" t="n">
        <f aca="false">AJ63+AJ70+AJ83+AJ62+AJ117</f>
        <v>2372.05187968493</v>
      </c>
      <c r="AK150" s="48" t="n">
        <f aca="false">AK63+AK70+AK83+AK62+AK117</f>
        <v>2396.87492680256</v>
      </c>
      <c r="AL150" s="48" t="n">
        <f aca="false">AL63+AL70+AL83+AL62+AL117</f>
        <v>2359.09136366511</v>
      </c>
      <c r="AM150" s="48" t="n">
        <f aca="false">AM63+AM70+AM83+AM62+AM117</f>
        <v>2321.50494910752</v>
      </c>
      <c r="AN150" s="48" t="n">
        <f aca="false">AN63+AN70+AN83+AN62+AN117</f>
        <v>2344.79465773312</v>
      </c>
      <c r="AO150" s="48" t="n">
        <f aca="false">AO63+AO70+AO83+AO62+AO117</f>
        <v>2368.06600104778</v>
      </c>
      <c r="AP150" s="48" t="n">
        <f aca="false">AP63+AP70+AP83+AP62+AP117</f>
        <v>2359.21939811681</v>
      </c>
      <c r="AQ150" s="48" t="n">
        <f aca="false">AQ63+AQ70+AQ83+AQ62+AQ117</f>
        <v>2321.29480191402</v>
      </c>
      <c r="AR150" s="48" t="n">
        <f aca="false">AR63+AR70+AR83+AR62+AR117</f>
        <v>2344.57385888677</v>
      </c>
      <c r="AS150" s="48" t="n">
        <f aca="false">AS63+AS70+AS83+AS62+AS117</f>
        <v>2367.83361492163</v>
      </c>
      <c r="AT150" s="48" t="n">
        <f aca="false">AT63+AT70+AT83+AT62+AT117</f>
        <v>2358.86415935164</v>
      </c>
      <c r="AU150" s="48" t="n">
        <f aca="false">AU63+AU70+AU83+AU62+AU117</f>
        <v>2345.48051152876</v>
      </c>
      <c r="AV150" s="48" t="n">
        <f aca="false">AV63+AV70+AV83+AV62+AV117</f>
        <v>2343.85777307453</v>
      </c>
      <c r="AW150" s="48" t="n">
        <f aca="false">AW63+AW70+AW83+AW62+AW117</f>
        <v>2367.10003240958</v>
      </c>
      <c r="AX150" s="48" t="n">
        <f aca="false">AX63+AX70+AX83+AX62+AX117</f>
        <v>2358.00367037062</v>
      </c>
      <c r="AY150" s="48" t="n">
        <f aca="false">AY63+AY70+AY83+AY62+AY117</f>
        <v>2319.38403163649</v>
      </c>
      <c r="AZ150" s="48" t="n">
        <f aca="false">AZ63+AZ70+AZ83+AZ62+AZ117</f>
        <v>2342.62393178616</v>
      </c>
      <c r="BA150" s="48" t="n">
        <f aca="false">BA63+BA70+BA83+BA62+BA117</f>
        <v>2365.84251431819</v>
      </c>
      <c r="BB150" s="48" t="n">
        <f aca="false">BB63+BB70+BB83+BB62+BB117</f>
        <v>2356.61499549495</v>
      </c>
      <c r="BC150" s="48" t="n">
        <f aca="false">BC63+BC70+BC83+BC62+BC117</f>
        <v>2317.63803901419</v>
      </c>
      <c r="BD150" s="48" t="n">
        <f aca="false">BD63+BD70+BD83+BD62+BD117</f>
        <v>2340.84888561728</v>
      </c>
      <c r="BE150" s="48" t="n">
        <f aca="false">BE63+BE70+BE83+BE62+BE117</f>
        <v>2364.03732856951</v>
      </c>
      <c r="BF150" s="48" t="n">
        <f aca="false">BF63+BF70+BF83+BF62+BF117</f>
        <v>2354.67419611519</v>
      </c>
      <c r="BG150" s="48" t="n">
        <f aca="false">BG63+BG70+BG83+BG62+BG117</f>
        <v>2315.3330685701</v>
      </c>
      <c r="BH150" s="48" t="n">
        <f aca="false">BH63+BH70+BH83+BH62+BH117</f>
        <v>2338.50815895455</v>
      </c>
      <c r="BI150" s="48" t="n">
        <f aca="false">BI63+BI70+BI83+BI62+BI117</f>
        <v>2361.65970432661</v>
      </c>
      <c r="BJ150" s="48" t="n">
        <f aca="false">BJ63+BJ70+BJ83+BJ62+BJ117</f>
        <v>2352.15628430227</v>
      </c>
      <c r="BK150" s="48" t="n">
        <f aca="false">BK63+BK70+BK83+BK62+BK117</f>
        <v>2337.55576414916</v>
      </c>
      <c r="BL150" s="48" t="n">
        <f aca="false">BL63+BL70+BL83+BL62+BL117</f>
        <v>2335.57620247019</v>
      </c>
      <c r="BM150" s="48" t="n">
        <f aca="false">BM63+BM70+BM83+BM62+BM117</f>
        <v>2358.68378390117</v>
      </c>
      <c r="BN150" s="48" t="n">
        <f aca="false">BN63+BN70+BN83+BN62+BN117</f>
        <v>2349.03517417446</v>
      </c>
      <c r="BO150" s="48" t="n">
        <f aca="false">BO63+BO70+BO83+BO62+BO117</f>
        <v>2308.94410916204</v>
      </c>
      <c r="BP150" s="48" t="n">
        <f aca="false">BP63+BP70+BP83+BP62+BP117</f>
        <v>2332.02634331709</v>
      </c>
      <c r="BQ150" s="48" t="n">
        <f aca="false">BQ63+BQ70+BQ83+BQ62+BQ117</f>
        <v>2355.08257233319</v>
      </c>
      <c r="BR150" s="48" t="n">
        <f aca="false">BR63+BR70+BR83+BR62+BR117</f>
        <v>2345.28363090873</v>
      </c>
      <c r="BS150" s="48" t="n">
        <f aca="false">BS63+BS70+BS83+BS62+BS117</f>
        <v>2304.80625131434</v>
      </c>
      <c r="BT150" s="48" t="n">
        <f aca="false">BT63+BT70+BT83+BT62+BT117</f>
        <v>2327.83073291051</v>
      </c>
      <c r="BU150" s="48" t="n">
        <f aca="false">BU63+BU70+BU83+BU62+BU117</f>
        <v>2350.82788452716</v>
      </c>
      <c r="BV150" s="48" t="n">
        <f aca="false">BV63+BV70+BV83+BV62+BV117</f>
        <v>2340.8732172796</v>
      </c>
      <c r="BW150" s="48" t="n">
        <f aca="false">BW63+BW70+BW83+BW62+BW117</f>
        <v>2300.00157221465</v>
      </c>
      <c r="BX150" s="48" t="n">
        <f aca="false">BX63+BX70+BX83+BX62+BX117</f>
        <v>2322.96029217625</v>
      </c>
      <c r="BY150" s="48" t="n">
        <f aca="false">BY63+BY70+BY83+BY62+BY117</f>
        <v>2345.89028982332</v>
      </c>
      <c r="BZ150" s="48" t="n">
        <f aca="false">BZ63+BZ70+BZ83+BZ62+BZ117</f>
        <v>2335.77423760256</v>
      </c>
      <c r="CA150" s="48" t="n">
        <f aca="false">CA63+CA70+CA83+CA62+CA117</f>
        <v>2319.79950074076</v>
      </c>
      <c r="CB150" s="48" t="n">
        <f aca="false">CB63+CB70+CB83+CB62+CB117</f>
        <v>2317.38465413956</v>
      </c>
      <c r="CC150" s="48" t="n">
        <f aca="false">CC63+CC70+CC83+CC62+CC117</f>
        <v>2340.23905387656</v>
      </c>
      <c r="CD150" s="48" t="n">
        <f aca="false">CD63+CD70+CD83+CD62+CD117</f>
        <v>2329.95567895303</v>
      </c>
      <c r="CE150" s="48" t="n">
        <f aca="false">CE63+CE70+CE83+CE62+CE117</f>
        <v>2288.27040633856</v>
      </c>
      <c r="CF150" s="48" t="n">
        <f aca="false">CF63+CF70+CF83+CF62+CF117</f>
        <v>2311.07210372232</v>
      </c>
      <c r="CG150" s="48" t="n">
        <f aca="false">CG63+CG70+CG83+CG62+CG117</f>
        <v>2333.84207770889</v>
      </c>
      <c r="CH150" s="48" t="n">
        <f aca="false">CH63+CH70+CH83+CH62+CH117</f>
        <v>2323.38514952525</v>
      </c>
      <c r="CI150" s="48" t="n">
        <f aca="false">CI63+CI70+CI83+CI62+CI117</f>
        <v>2283.91409241878</v>
      </c>
      <c r="CJ150" s="48" t="n">
        <f aca="false">CJ63+CJ70+CJ83+CJ62+CJ117</f>
        <v>2309.29091566788</v>
      </c>
      <c r="CK150" s="48" t="n">
        <f aca="false">CK63+CK70+CK83+CK62+CK117</f>
        <v>2334.66773891698</v>
      </c>
      <c r="CL150" s="48" t="n">
        <f aca="false">CL63+CL70+CL83+CL62+CL117</f>
        <v>2326.76497947549</v>
      </c>
      <c r="CM150" s="48" t="n">
        <f aca="false">CM63+CM70+CM83+CM62+CM117</f>
        <v>2286.99883310266</v>
      </c>
      <c r="CN150" s="48" t="n">
        <f aca="false">CN63+CN70+CN83+CN62+CN117</f>
        <v>2312.40993124824</v>
      </c>
      <c r="CO150" s="48" t="n">
        <f aca="false">CO63+CO70+CO83+CO62+CO117</f>
        <v>2337.82102939383</v>
      </c>
      <c r="CP150" s="48" t="n">
        <f aca="false">CP63+CP70+CP83+CP62+CP117</f>
        <v>2329.87061423426</v>
      </c>
      <c r="CQ150" s="48" t="n">
        <f aca="false">CQ63+CQ70+CQ83+CQ62+CQ117</f>
        <v>2315.24887069338</v>
      </c>
      <c r="CR150" s="48" t="n">
        <f aca="false">CR63+CR70+CR83+CR62+CR117</f>
        <v>2315.24887069338</v>
      </c>
      <c r="CS150" s="48" t="n">
        <f aca="false">CS63+CS70+CS83+CS62+CS117</f>
        <v>2340.69116597572</v>
      </c>
      <c r="CT150" s="48" t="n">
        <f aca="false">CT63+CT70+CT83+CT62+CT117</f>
        <v>2332.6929896636</v>
      </c>
      <c r="CU150" s="48" t="n">
        <f aca="false">CU63+CU70+CU83+CU62+CU117</f>
        <v>2292.32821604218</v>
      </c>
      <c r="CV150" s="48" t="n">
        <f aca="false">CV63+CV70+CV83+CV62+CV117</f>
        <v>2317.79852955376</v>
      </c>
      <c r="CW150" s="48" t="n">
        <f aca="false">CW63+CW70+CW83+CW62+CW117</f>
        <v>2343.26884306534</v>
      </c>
      <c r="CX150" s="48" t="n">
        <f aca="false">CX63+CX70+CX83+CX62+CX117</f>
        <v>2335.22280421056</v>
      </c>
      <c r="CY150" s="48" t="n">
        <f aca="false">CY63+CY70+CY83+CY62+CY117</f>
        <v>2294.55441353347</v>
      </c>
      <c r="CZ150" s="48" t="n">
        <f aca="false">CZ63+CZ70+CZ83+CZ62+CZ117</f>
        <v>2320.04946257273</v>
      </c>
      <c r="DA150" s="48" t="n">
        <f aca="false">DA63+DA70+DA83+DA62+DA117</f>
        <v>2345.54451161199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0.0699903583029334</v>
      </c>
    </row>
    <row r="152" customFormat="false" ht="15" hidden="false" customHeight="false" outlineLevel="0" collapsed="false">
      <c r="C152" s="25" t="s">
        <v>523</v>
      </c>
      <c r="D152" s="11" t="s">
        <v>33</v>
      </c>
      <c r="I152" s="57" t="n">
        <f aca="false">SUM(J152:EO152)</f>
        <v>133102.206905504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-6452.06801054133</v>
      </c>
      <c r="S152" s="57" t="n">
        <f aca="false">S63+S70+S100+S104+S105+S83+S98+S106+S62+S117</f>
        <v>-8957.34206285879</v>
      </c>
      <c r="T152" s="57" t="n">
        <f aca="false">T63+T70+T100+T104+T105+T83+T98+T106+T62+T117</f>
        <v>-5322.36727647646</v>
      </c>
      <c r="U152" s="57" t="n">
        <f aca="false">U63+U70+U100+U104+U105+U83+U98+U106+U62+U117</f>
        <v>-5366.55155799786</v>
      </c>
      <c r="V152" s="57" t="n">
        <f aca="false">V63+V70+V100+V104+V105+V83+V98+V106+V62+V117</f>
        <v>-5352.09110822868</v>
      </c>
      <c r="W152" s="57" t="n">
        <f aca="false">W63+W70+W100+W104+W105+W83+W98+W106+W62+W117</f>
        <v>-5222.63714053528</v>
      </c>
      <c r="X152" s="57" t="n">
        <f aca="false">X63+X70+X100+X104+X105+X83+X98+X106+X62+X117</f>
        <v>-5266.67411180264</v>
      </c>
      <c r="Y152" s="57" t="n">
        <f aca="false">Y63+Y70+Y100+Y104+Y105+Y83+Y98+Y106+Y62+Y117</f>
        <v>-7840.1725408655</v>
      </c>
      <c r="Z152" s="57" t="n">
        <f aca="false">Z63+Z70+Z100+Z104+Z105+Z83+Z98+Z106+Z62+Z117</f>
        <v>939.482157043442</v>
      </c>
      <c r="AA152" s="57" t="n">
        <f aca="false">AA63+AA70+AA100+AA104+AA105+AA83+AA98+AA106+AA62+AA117</f>
        <v>903.736357611697</v>
      </c>
      <c r="AB152" s="57" t="n">
        <f aca="false">AB63+AB70+AB100+AB104+AB105+AB83+AB98+AB106+AB62+AB117</f>
        <v>928.147072129433</v>
      </c>
      <c r="AC152" s="57" t="n">
        <f aca="false">AC63+AC70+AC100+AC104+AC105+AC83+AC98+AC106+AC62+AC117</f>
        <v>952.549875710508</v>
      </c>
      <c r="AD152" s="57" t="n">
        <f aca="false">AD63+AD70+AD100+AD104+AD105+AD83+AD98+AD106+AD62+AD117</f>
        <v>944.062573065086</v>
      </c>
      <c r="AE152" s="57" t="n">
        <f aca="false">AE63+AE70+AE100+AE104+AE105+AE83+AE98+AE106+AE62+AE117</f>
        <v>933.124625281642</v>
      </c>
      <c r="AF152" s="57" t="n">
        <f aca="false">AF63+AF70+AF100+AF104+AF105+AF83+AF98+AF106+AF62+AF117</f>
        <v>932.459508321961</v>
      </c>
      <c r="AG152" s="57" t="n">
        <f aca="false">AG63+AG70+AG100+AG104+AG105+AG83+AG98+AG106+AG62+AG117</f>
        <v>956.905755206555</v>
      </c>
      <c r="AH152" s="57" t="n">
        <f aca="false">AH63+AH70+AH100+AH104+AH105+AH83+AH98+AH106+AH62+AH117</f>
        <v>948.335699121264</v>
      </c>
      <c r="AI152" s="57" t="n">
        <f aca="false">AI63+AI70+AI100+AI104+AI105+AI83+AI98+AI106+AI62+AI117</f>
        <v>911.962127614383</v>
      </c>
      <c r="AJ152" s="57" t="n">
        <f aca="false">AJ63+AJ70+AJ100+AJ104+AJ105+AJ83+AJ98+AJ106+AJ62+AJ117</f>
        <v>967.125719344862</v>
      </c>
      <c r="AK152" s="57" t="n">
        <f aca="false">AK63+AK70+AK100+AK104+AK105+AK83+AK98+AK106+AK62+AK117</f>
        <v>991.948766462488</v>
      </c>
      <c r="AL152" s="57" t="n">
        <f aca="false">AL63+AL70+AL100+AL104+AL105+AL83+AL98+AL106+AL62+AL117</f>
        <v>954.165203325035</v>
      </c>
      <c r="AM152" s="57" t="n">
        <f aca="false">AM63+AM70+AM100+AM104+AM105+AM83+AM98+AM106+AM62+AM117</f>
        <v>916.578788767446</v>
      </c>
      <c r="AN152" s="57" t="n">
        <f aca="false">AN63+AN70+AN100+AN104+AN105+AN83+AN98+AN106+AN62+AN117</f>
        <v>939.868497393046</v>
      </c>
      <c r="AO152" s="57" t="n">
        <f aca="false">AO63+AO70+AO100+AO104+AO105+AO83+AO98+AO106+AO62+AO117</f>
        <v>963.139840707705</v>
      </c>
      <c r="AP152" s="57" t="n">
        <f aca="false">AP63+AP70+AP100+AP104+AP105+AP83+AP98+AP106+AP62+AP117</f>
        <v>954.29323777674</v>
      </c>
      <c r="AQ152" s="57" t="n">
        <f aca="false">AQ63+AQ70+AQ100+AQ104+AQ105+AQ83+AQ98+AQ106+AQ62+AQ117</f>
        <v>916.368641573946</v>
      </c>
      <c r="AR152" s="57" t="n">
        <f aca="false">AR63+AR70+AR100+AR104+AR105+AR83+AR98+AR106+AR62+AR117</f>
        <v>939.647698546698</v>
      </c>
      <c r="AS152" s="57" t="n">
        <f aca="false">AS63+AS70+AS100+AS104+AS105+AS83+AS98+AS106+AS62+AS117</f>
        <v>962.907454581556</v>
      </c>
      <c r="AT152" s="57" t="n">
        <f aca="false">AT63+AT70+AT100+AT104+AT105+AT83+AT98+AT106+AT62+AT117</f>
        <v>953.937999011571</v>
      </c>
      <c r="AU152" s="57" t="n">
        <f aca="false">AU63+AU70+AU100+AU104+AU105+AU83+AU98+AU106+AU62+AU117</f>
        <v>940.554351188692</v>
      </c>
      <c r="AV152" s="57" t="n">
        <f aca="false">AV63+AV70+AV100+AV104+AV105+AV83+AV98+AV106+AV62+AV117</f>
        <v>938.931612734463</v>
      </c>
      <c r="AW152" s="57" t="n">
        <f aca="false">AW63+AW70+AW100+AW104+AW105+AW83+AW98+AW106+AW62+AW117</f>
        <v>962.173872069513</v>
      </c>
      <c r="AX152" s="57" t="n">
        <f aca="false">AX63+AX70+AX100+AX104+AX105+AX83+AX98+AX106+AX62+AX117</f>
        <v>953.077510030549</v>
      </c>
      <c r="AY152" s="57" t="n">
        <f aca="false">AY63+AY70+AY100+AY104+AY105+AY83+AY98+AY106+AY62+AY117</f>
        <v>914.457871296419</v>
      </c>
      <c r="AZ152" s="57" t="n">
        <f aca="false">AZ63+AZ70+AZ100+AZ104+AZ105+AZ83+AZ98+AZ106+AZ62+AZ117</f>
        <v>937.69777144609</v>
      </c>
      <c r="BA152" s="57" t="n">
        <f aca="false">BA63+BA70+BA100+BA104+BA105+BA83+BA98+BA106+BA62+BA117</f>
        <v>960.916353978118</v>
      </c>
      <c r="BB152" s="57" t="n">
        <f aca="false">BB63+BB70+BB100+BB104+BB105+BB83+BB98+BB106+BB62+BB117</f>
        <v>951.688835154881</v>
      </c>
      <c r="BC152" s="57" t="n">
        <f aca="false">BC63+BC70+BC100+BC104+BC105+BC83+BC98+BC106+BC62+BC117</f>
        <v>912.711878674122</v>
      </c>
      <c r="BD152" s="57" t="n">
        <f aca="false">BD63+BD70+BD100+BD104+BD105+BD83+BD98+BD106+BD62+BD117</f>
        <v>935.922725277207</v>
      </c>
      <c r="BE152" s="57" t="n">
        <f aca="false">BE63+BE70+BE100+BE104+BE105+BE83+BE98+BE106+BE62+BE117</f>
        <v>959.111168229435</v>
      </c>
      <c r="BF152" s="57" t="n">
        <f aca="false">BF63+BF70+BF100+BF104+BF105+BF83+BF98+BF106+BF62+BF117</f>
        <v>949.748035775114</v>
      </c>
      <c r="BG152" s="57" t="n">
        <f aca="false">BG63+BG70+BG100+BG104+BG105+BG83+BG98+BG106+BG62+BG117</f>
        <v>910.406908230027</v>
      </c>
      <c r="BH152" s="57" t="n">
        <f aca="false">BH63+BH70+BH100+BH104+BH105+BH83+BH98+BH106+BH62+BH117</f>
        <v>933.58199861448</v>
      </c>
      <c r="BI152" s="57" t="n">
        <f aca="false">BI63+BI70+BI100+BI104+BI105+BI83+BI98+BI106+BI62+BI117</f>
        <v>956.733543986536</v>
      </c>
      <c r="BJ152" s="57" t="n">
        <f aca="false">BJ63+BJ70+BJ100+BJ104+BJ105+BJ83+BJ98+BJ106+BJ62+BJ117</f>
        <v>947.230123962194</v>
      </c>
      <c r="BK152" s="57" t="n">
        <f aca="false">BK63+BK70+BK100+BK104+BK105+BK83+BK98+BK106+BK62+BK117</f>
        <v>932.629603809085</v>
      </c>
      <c r="BL152" s="57" t="n">
        <f aca="false">BL63+BL70+BL100+BL104+BL105+BL83+BL98+BL106+BL62+BL117</f>
        <v>930.650042130115</v>
      </c>
      <c r="BM152" s="57" t="n">
        <f aca="false">BM63+BM70+BM100+BM104+BM105+BM83+BM98+BM106+BM62+BM117</f>
        <v>953.757623561101</v>
      </c>
      <c r="BN152" s="57" t="n">
        <f aca="false">BN63+BN70+BN100+BN104+BN105+BN83+BN98+BN106+BN62+BN117</f>
        <v>944.109013834388</v>
      </c>
      <c r="BO152" s="57" t="n">
        <f aca="false">BO63+BO70+BO100+BO104+BO105+BO83+BO98+BO106+BO62+BO117</f>
        <v>904.017948821966</v>
      </c>
      <c r="BP152" s="57" t="n">
        <f aca="false">BP63+BP70+BP100+BP104+BP105+BP83+BP98+BP106+BP62+BP117</f>
        <v>927.100182977017</v>
      </c>
      <c r="BQ152" s="57" t="n">
        <f aca="false">BQ63+BQ70+BQ100+BQ104+BQ105+BQ83+BQ98+BQ106+BQ62+BQ117</f>
        <v>950.156411993123</v>
      </c>
      <c r="BR152" s="57" t="n">
        <f aca="false">BR63+BR70+BR100+BR104+BR105+BR83+BR98+BR106+BR62+BR117</f>
        <v>940.357470568663</v>
      </c>
      <c r="BS152" s="57" t="n">
        <f aca="false">BS63+BS70+BS100+BS104+BS105+BS83+BS98+BS106+BS62+BS117</f>
        <v>899.88009097427</v>
      </c>
      <c r="BT152" s="57" t="n">
        <f aca="false">BT63+BT70+BT100+BT104+BT105+BT83+BT98+BT106+BT62+BT117</f>
        <v>922.904572570435</v>
      </c>
      <c r="BU152" s="57" t="n">
        <f aca="false">BU63+BU70+BU100+BU104+BU105+BU83+BU98+BU106+BU62+BU117</f>
        <v>945.901724187089</v>
      </c>
      <c r="BV152" s="57" t="n">
        <f aca="false">BV63+BV70+BV100+BV104+BV105+BV83+BV98+BV106+BV62+BV117</f>
        <v>935.947056939532</v>
      </c>
      <c r="BW152" s="57" t="n">
        <f aca="false">BW63+BW70+BW100+BW104+BW105+BW83+BW98+BW106+BW62+BW117</f>
        <v>895.075411874578</v>
      </c>
      <c r="BX152" s="57" t="n">
        <f aca="false">BX63+BX70+BX100+BX104+BX105+BX83+BX98+BX106+BX62+BX117</f>
        <v>918.034131836177</v>
      </c>
      <c r="BY152" s="57" t="n">
        <f aca="false">BY63+BY70+BY100+BY104+BY105+BY83+BY98+BY106+BY62+BY117</f>
        <v>940.964129483251</v>
      </c>
      <c r="BZ152" s="57" t="n">
        <f aca="false">BZ63+BZ70+BZ100+BZ104+BZ105+BZ83+BZ98+BZ106+BZ62+BZ117</f>
        <v>930.84807726249</v>
      </c>
      <c r="CA152" s="57" t="n">
        <f aca="false">CA63+CA70+CA100+CA104+CA105+CA83+CA98+CA106+CA62+CA117</f>
        <v>914.873340400693</v>
      </c>
      <c r="CB152" s="57" t="n">
        <f aca="false">CB63+CB70+CB100+CB104+CB105+CB83+CB98+CB106+CB62+CB117</f>
        <v>912.458493799484</v>
      </c>
      <c r="CC152" s="57" t="n">
        <f aca="false">CC63+CC70+CC100+CC104+CC105+CC83+CC98+CC106+CC62+CC117</f>
        <v>935.312893536491</v>
      </c>
      <c r="CD152" s="57" t="n">
        <f aca="false">CD63+CD70+CD100+CD104+CD105+CD83+CD98+CD106+CD62+CD117</f>
        <v>925.029518612955</v>
      </c>
      <c r="CE152" s="57" t="n">
        <f aca="false">CE63+CE70+CE100+CE104+CE105+CE83+CE98+CE106+CE62+CE117</f>
        <v>883.344245998485</v>
      </c>
      <c r="CF152" s="57" t="n">
        <f aca="false">CF63+CF70+CF100+CF104+CF105+CF83+CF98+CF106+CF62+CF117</f>
        <v>906.145943382246</v>
      </c>
      <c r="CG152" s="57" t="n">
        <f aca="false">CG63+CG70+CG100+CG104+CG105+CG83+CG98+CG106+CG62+CG117</f>
        <v>2333.84207770891</v>
      </c>
      <c r="CH152" s="57" t="n">
        <f aca="false">CH63+CH70+CH100+CH104+CH105+CH83+CH98+CH106+CH62+CH117</f>
        <v>2323.38514952525</v>
      </c>
      <c r="CI152" s="57" t="n">
        <f aca="false">CI63+CI70+CI100+CI104+CI105+CI83+CI98+CI106+CI62+CI117</f>
        <v>2283.91409241878</v>
      </c>
      <c r="CJ152" s="57" t="n">
        <f aca="false">CJ63+CJ70+CJ100+CJ104+CJ105+CJ83+CJ98+CJ106+CJ62+CJ117</f>
        <v>2309.29091566788</v>
      </c>
      <c r="CK152" s="57" t="n">
        <f aca="false">CK63+CK70+CK100+CK104+CK105+CK83+CK98+CK106+CK62+CK117</f>
        <v>2334.66773891698</v>
      </c>
      <c r="CL152" s="57" t="n">
        <f aca="false">CL63+CL70+CL100+CL104+CL105+CL83+CL98+CL106+CL62+CL117</f>
        <v>2326.76497947549</v>
      </c>
      <c r="CM152" s="57" t="n">
        <f aca="false">CM63+CM70+CM100+CM104+CM105+CM83+CM98+CM106+CM62+CM117</f>
        <v>2286.99883310266</v>
      </c>
      <c r="CN152" s="57" t="n">
        <f aca="false">CN63+CN70+CN100+CN104+CN105+CN83+CN98+CN106+CN62+CN117</f>
        <v>2312.40993124824</v>
      </c>
      <c r="CO152" s="57" t="n">
        <f aca="false">CO63+CO70+CO100+CO104+CO105+CO83+CO98+CO106+CO62+CO117</f>
        <v>2337.82102939383</v>
      </c>
      <c r="CP152" s="57" t="n">
        <f aca="false">CP63+CP70+CP100+CP104+CP105+CP83+CP98+CP106+CP62+CP117</f>
        <v>2329.87061423426</v>
      </c>
      <c r="CQ152" s="57" t="n">
        <f aca="false">CQ63+CQ70+CQ100+CQ104+CQ105+CQ83+CQ98+CQ106+CQ62+CQ117</f>
        <v>2315.24887069338</v>
      </c>
      <c r="CR152" s="57" t="n">
        <f aca="false">CR63+CR70+CR100+CR104+CR105+CR83+CR98+CR106+CR62+CR117</f>
        <v>2315.24887069338</v>
      </c>
      <c r="CS152" s="57" t="n">
        <f aca="false">CS63+CS70+CS100+CS104+CS105+CS83+CS98+CS106+CS62+CS117</f>
        <v>2340.69116597572</v>
      </c>
      <c r="CT152" s="57" t="n">
        <f aca="false">CT63+CT70+CT100+CT104+CT105+CT83+CT98+CT106+CT62+CT117</f>
        <v>2332.6929896636</v>
      </c>
      <c r="CU152" s="57" t="n">
        <f aca="false">CU63+CU70+CU100+CU104+CU105+CU83+CU98+CU106+CU62+CU117</f>
        <v>2292.32821604218</v>
      </c>
      <c r="CV152" s="57" t="n">
        <f aca="false">CV63+CV70+CV100+CV104+CV105+CV83+CV98+CV106+CV62+CV117</f>
        <v>2317.79852955376</v>
      </c>
      <c r="CW152" s="57" t="n">
        <f aca="false">CW63+CW70+CW100+CW104+CW105+CW83+CW98+CW106+CW62+CW117</f>
        <v>2343.26884306534</v>
      </c>
      <c r="CX152" s="57" t="n">
        <f aca="false">CX63+CX70+CX100+CX104+CX105+CX83+CX98+CX106+CX62+CX117</f>
        <v>2335.22280421056</v>
      </c>
      <c r="CY152" s="57" t="n">
        <f aca="false">CY63+CY70+CY100+CY104+CY105+CY83+CY98+CY106+CY62+CY117</f>
        <v>2294.55441353347</v>
      </c>
      <c r="CZ152" s="57" t="n">
        <f aca="false">CZ63+CZ70+CZ100+CZ104+CZ105+CZ83+CZ98+CZ106+CZ62+CZ117</f>
        <v>2320.04946257273</v>
      </c>
      <c r="DA152" s="57" t="n">
        <f aca="false">DA63+DA70+DA100+DA104+DA105+DA83+DA98+DA106+DA62+DA117</f>
        <v>2345.54451161199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0.0758104971930004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3.3862485569113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-2427.56798606144</v>
      </c>
    </row>
    <row r="157" customFormat="false" ht="15" hidden="false" customHeight="false" outlineLevel="0" collapsed="false">
      <c r="C157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409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410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411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412</v>
      </c>
      <c r="D5" s="11" t="s">
        <v>212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413</v>
      </c>
      <c r="D6" s="11" t="s">
        <v>414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415</v>
      </c>
      <c r="D7" s="11" t="s">
        <v>416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417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419</v>
      </c>
      <c r="D12" s="11" t="s">
        <v>414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420</v>
      </c>
      <c r="D13" s="11" t="s">
        <v>414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421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333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422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423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424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425</v>
      </c>
      <c r="D20" s="11" t="s">
        <v>414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426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427</v>
      </c>
      <c r="D22" s="11" t="s">
        <v>414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428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429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430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431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432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433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434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435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436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437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438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439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440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441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442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443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444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445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446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447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448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250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449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450</v>
      </c>
      <c r="D51" s="11" t="s">
        <v>303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451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452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453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454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455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456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457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458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459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460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461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462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463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464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465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466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467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468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469</v>
      </c>
      <c r="D73" s="11" t="s">
        <v>414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470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471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472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473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474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475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476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349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477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478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479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-57.9374552281603</v>
      </c>
      <c r="AA86" s="58" t="n">
        <v>-57.4399344812928</v>
      </c>
      <c r="AB86" s="58" t="n">
        <v>-58.9901803611493</v>
      </c>
      <c r="AC86" s="58" t="n">
        <v>-60.5462396469284</v>
      </c>
      <c r="AD86" s="58" t="n">
        <v>-60.3874569823895</v>
      </c>
      <c r="AE86" s="58" t="n">
        <v>-116.758734103684</v>
      </c>
      <c r="AF86" s="58" t="n">
        <v>-122.941488443531</v>
      </c>
      <c r="AG86" s="58" t="n">
        <v>-126.11392454692</v>
      </c>
      <c r="AH86" s="58" t="n">
        <v>-125.836878321305</v>
      </c>
      <c r="AI86" s="58" t="n">
        <v>-124.846614179757</v>
      </c>
      <c r="AJ86" s="58" t="n">
        <v>-133.041969458097</v>
      </c>
      <c r="AK86" s="58" t="n">
        <v>-136.331494967991</v>
      </c>
      <c r="AL86" s="58" t="n">
        <v>-136.097415863805</v>
      </c>
      <c r="AM86" s="58" t="n">
        <v>-135.003321800434</v>
      </c>
      <c r="AN86" s="58" t="n">
        <v>-138.34402136973</v>
      </c>
      <c r="AO86" s="58" t="n">
        <v>-141.698216813403</v>
      </c>
      <c r="AP86" s="58" t="n">
        <v>-141.509679351696</v>
      </c>
      <c r="AQ86" s="58" t="n">
        <v>-140.423277039126</v>
      </c>
      <c r="AR86" s="58" t="n">
        <v>-143.830309905448</v>
      </c>
      <c r="AS86" s="58" t="n">
        <v>-147.251526198013</v>
      </c>
      <c r="AT86" s="58" t="n">
        <v>-147.111237842595</v>
      </c>
      <c r="AU86" s="58" t="n">
        <v>-148.31820028279</v>
      </c>
      <c r="AV86" s="58" t="n">
        <v>-149.510680736508</v>
      </c>
      <c r="AW86" s="58" t="n">
        <v>-153.001393612611</v>
      </c>
      <c r="AX86" s="58" t="n">
        <v>-152.912201537361</v>
      </c>
      <c r="AY86" s="58" t="n">
        <v>-151.84835794014</v>
      </c>
      <c r="AZ86" s="58" t="n">
        <v>-155.395509224558</v>
      </c>
      <c r="BA86" s="58" t="n">
        <v>-158.958325906128</v>
      </c>
      <c r="BB86" s="58" t="n">
        <v>-158.923224106642</v>
      </c>
      <c r="BC86" s="58" t="n">
        <v>-157.874525472005</v>
      </c>
      <c r="BD86" s="58" t="n">
        <v>-161.495728208429</v>
      </c>
      <c r="BE86" s="58" t="n">
        <v>-165.133394420941</v>
      </c>
      <c r="BF86" s="58" t="n">
        <v>-165.155531188027</v>
      </c>
      <c r="BG86" s="58" t="n">
        <v>-164.124752085069</v>
      </c>
      <c r="BH86" s="58" t="n">
        <v>-167.822857226847</v>
      </c>
      <c r="BI86" s="58" t="n">
        <v>-171.53826458205</v>
      </c>
      <c r="BJ86" s="58" t="n">
        <v>-171.620950355506</v>
      </c>
      <c r="BK86" s="58" t="n">
        <v>-172.934338809386</v>
      </c>
      <c r="BL86" s="58" t="n">
        <v>-174.389033250717</v>
      </c>
      <c r="BM86" s="58" t="n">
        <v>-178.185227014745</v>
      </c>
      <c r="BN86" s="58" t="n">
        <v>-178.331942636776</v>
      </c>
      <c r="BO86" s="58" t="n">
        <v>-177.345965789915</v>
      </c>
      <c r="BP86" s="58" t="n">
        <v>-181.207043002392</v>
      </c>
      <c r="BQ86" s="58" t="n">
        <v>-185.087230269116</v>
      </c>
      <c r="BR86" s="58" t="n">
        <v>-185.301635657742</v>
      </c>
      <c r="BS86" s="58" t="n">
        <v>-184.342882275204</v>
      </c>
      <c r="BT86" s="58" t="n">
        <v>-188.290356943314</v>
      </c>
      <c r="BU86" s="58" t="n">
        <v>-192.257915233823</v>
      </c>
      <c r="BV86" s="58" t="n">
        <v>-192.543858497651</v>
      </c>
      <c r="BW86" s="58" t="n">
        <v>-191.615785494695</v>
      </c>
      <c r="BX86" s="58" t="n">
        <v>-195.653165015551</v>
      </c>
      <c r="BY86" s="58" t="n">
        <v>-199.711651325715</v>
      </c>
      <c r="BZ86" s="58" t="n">
        <v>-200.073178342561</v>
      </c>
      <c r="CA86" s="58" t="n">
        <v>-201.535847683055</v>
      </c>
      <c r="CB86" s="58" t="n">
        <v>-203.310414227136</v>
      </c>
      <c r="CC86" s="58" t="n">
        <v>-207.463574546337</v>
      </c>
      <c r="CD86" s="58" t="n">
        <v>-207.904939029305</v>
      </c>
      <c r="CE86" s="58" t="n">
        <v>-207.049381005859</v>
      </c>
      <c r="CF86" s="58" t="n">
        <v>-211.277848175713</v>
      </c>
      <c r="CG86" s="58" t="n">
        <v>-215.529627500998</v>
      </c>
      <c r="CH86" s="58" t="n">
        <v>-216.055301576839</v>
      </c>
      <c r="CI86" s="58" t="n">
        <v>-213.306208790492</v>
      </c>
      <c r="CJ86" s="58" t="n">
        <v>-215.676277777053</v>
      </c>
      <c r="CK86" s="58" t="n">
        <v>-218.046346763614</v>
      </c>
      <c r="CL86" s="58" t="n">
        <v>-216.651742156292</v>
      </c>
      <c r="CM86" s="58" t="n">
        <v>-213.850574793528</v>
      </c>
      <c r="CN86" s="58" t="n">
        <v>-216.226692291234</v>
      </c>
      <c r="CO86" s="58" t="n">
        <v>-218.60280978894</v>
      </c>
      <c r="CP86" s="58" t="n">
        <v>-217.199795349016</v>
      </c>
      <c r="CQ86" s="58" t="n">
        <v>-216.727681605082</v>
      </c>
      <c r="CR86" s="58" t="n">
        <v>-216.727681605082</v>
      </c>
      <c r="CS86" s="58" t="n">
        <v>-219.109304479863</v>
      </c>
      <c r="CT86" s="58" t="n">
        <v>-217.697861601253</v>
      </c>
      <c r="CU86" s="58" t="n">
        <v>-214.791054135796</v>
      </c>
      <c r="CV86" s="58" t="n">
        <v>-217.177621403972</v>
      </c>
      <c r="CW86" s="58" t="n">
        <v>-219.564188672147</v>
      </c>
      <c r="CX86" s="58" t="n">
        <v>-218.144299462481</v>
      </c>
      <c r="CY86" s="58" t="n">
        <v>-215.183912516612</v>
      </c>
      <c r="CZ86" s="58" t="n">
        <v>-217.574844877908</v>
      </c>
      <c r="DA86" s="58" t="n">
        <v>-219.965777239204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480</v>
      </c>
      <c r="D87" s="11" t="s">
        <v>33</v>
      </c>
      <c r="I87" s="48" t="n">
        <f aca="false">SUM(J87:EO87)</f>
        <v>266618.518574165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2303.35715537998</v>
      </c>
      <c r="AA87" s="48" t="n">
        <f aca="false">(AA83+AA59+AA86)*(AA$4&gt;In_COD)</f>
        <v>2268.35038320381</v>
      </c>
      <c r="AB87" s="48" t="n">
        <f aca="false">(AB83+AB59+AB86)*(AB$4&gt;In_COD)</f>
        <v>2292.6422519649</v>
      </c>
      <c r="AC87" s="48" t="n">
        <f aca="false">(AC83+AC59+AC86)*(AC$4&gt;In_COD)</f>
        <v>2316.92830732007</v>
      </c>
      <c r="AD87" s="48" t="n">
        <f aca="false">(AD83+AD59+AD86)*(AD$4&gt;In_COD)</f>
        <v>2308.61302841445</v>
      </c>
      <c r="AE87" s="48" t="n">
        <f aca="false">(AE83+AE59+AE86)*(AE$4&gt;In_COD)</f>
        <v>2242.35914725381</v>
      </c>
      <c r="AF87" s="48" t="n">
        <f aca="false">(AF83+AF59+AF86)*(AF$4&gt;In_COD)</f>
        <v>2236.17639291396</v>
      </c>
      <c r="AG87" s="48" t="n">
        <f aca="false">(AG83+AG59+AG86)*(AG$4&gt;In_COD)</f>
        <v>2258.92832913318</v>
      </c>
      <c r="AH87" s="48" t="n">
        <f aca="false">(AH83+AH59+AH86)*(AH$4&gt;In_COD)</f>
        <v>2250.67758370789</v>
      </c>
      <c r="AI87" s="48" t="n">
        <f aca="false">(AI83+AI59+AI86)*(AI$4&gt;In_COD)</f>
        <v>2215.55548809498</v>
      </c>
      <c r="AJ87" s="48" t="n">
        <f aca="false">(AJ83+AJ59+AJ86)*(AJ$4&gt;In_COD)</f>
        <v>2266.52008945437</v>
      </c>
      <c r="AK87" s="48" t="n">
        <f aca="false">(AK83+AK59+AK86)*(AK$4&gt;In_COD)</f>
        <v>2289.59937777868</v>
      </c>
      <c r="AL87" s="48" t="n">
        <f aca="false">(AL83+AL59+AL86)*(AL$4&gt;In_COD)</f>
        <v>2281.25175624472</v>
      </c>
      <c r="AM87" s="48" t="n">
        <f aca="false">(AM83+AM59+AM86)*(AM$4&gt;In_COD)</f>
        <v>2245.19668015561</v>
      </c>
      <c r="AN87" s="48" t="n">
        <f aca="false">(AN83+AN59+AN86)*(AN$4&gt;In_COD)</f>
        <v>2268.30264727472</v>
      </c>
      <c r="AO87" s="48" t="n">
        <f aca="false">(AO83+AO59+AO86)*(AO$4&gt;In_COD)</f>
        <v>2291.39511851944</v>
      </c>
      <c r="AP87" s="48" t="n">
        <f aca="false">(AP83+AP59+AP86)*(AP$4&gt;In_COD)</f>
        <v>2282.94787025475</v>
      </c>
      <c r="AQ87" s="48" t="n">
        <f aca="false">(AQ83+AQ59+AQ86)*(AQ$4&gt;In_COD)</f>
        <v>2246.57421351491</v>
      </c>
      <c r="AR87" s="48" t="n">
        <f aca="false">(AR83+AR59+AR86)*(AR$4&gt;In_COD)</f>
        <v>2269.68937498808</v>
      </c>
      <c r="AS87" s="48" t="n">
        <f aca="false">(AS83+AS59+AS86)*(AS$4&gt;In_COD)</f>
        <v>2292.790353035</v>
      </c>
      <c r="AT87" s="48" t="n">
        <f aca="false">(AT83+AT59+AT86)*(AT$4&gt;In_COD)</f>
        <v>2284.24059738931</v>
      </c>
      <c r="AU87" s="48" t="n">
        <f aca="false">(AU83+AU59+AU86)*(AU$4&gt;In_COD)</f>
        <v>2271.85519217145</v>
      </c>
      <c r="AV87" s="48" t="n">
        <f aca="false">(AV83+AV59+AV86)*(AV$4&gt;In_COD)</f>
        <v>2270.66271171773</v>
      </c>
      <c r="AW87" s="48" t="n">
        <f aca="false">(AW83+AW59+AW86)*(AW$4&gt;In_COD)</f>
        <v>2293.76731084662</v>
      </c>
      <c r="AX87" s="48" t="n">
        <f aca="false">(AX83+AX59+AX86)*(AX$4&gt;In_COD)</f>
        <v>2285.112030486</v>
      </c>
      <c r="AY87" s="48" t="n">
        <f aca="false">(AY83+AY59+AY86)*(AY$4&gt;In_COD)</f>
        <v>2248.08557981454</v>
      </c>
      <c r="AZ87" s="48" t="n">
        <f aca="false">(AZ83+AZ59+AZ86)*(AZ$4&gt;In_COD)</f>
        <v>2271.20436117184</v>
      </c>
      <c r="BA87" s="48" t="n">
        <f aca="false">(BA83+BA59+BA86)*(BA$4&gt;In_COD)</f>
        <v>2294.30747713199</v>
      </c>
      <c r="BB87" s="48" t="n">
        <f aca="false">(BB83+BB59+BB86)*(BB$4&gt;In_COD)</f>
        <v>2285.5435110418</v>
      </c>
      <c r="BC87" s="48" t="n">
        <f aca="false">(BC83+BC59+BC86)*(BC$4&gt;In_COD)</f>
        <v>2248.1824945666</v>
      </c>
      <c r="BD87" s="48" t="n">
        <f aca="false">(BD83+BD59+BD86)*(BD$4&gt;In_COD)</f>
        <v>2271.2952587195</v>
      </c>
      <c r="BE87" s="48" t="n">
        <f aca="false">(BE83+BE59+BE86)*(BE$4&gt;In_COD)</f>
        <v>2294.3915593963</v>
      </c>
      <c r="BF87" s="48" t="n">
        <f aca="false">(BF83+BF59+BF86)*(BF$4&gt;In_COD)</f>
        <v>2285.51559552519</v>
      </c>
      <c r="BG87" s="48" t="n">
        <f aca="false">(BG83+BG59+BG86)*(BG$4&gt;In_COD)</f>
        <v>2247.81431903396</v>
      </c>
      <c r="BH87" s="48" t="n">
        <f aca="false">(BH83+BH59+BH86)*(BH$4&gt;In_COD)</f>
        <v>2270.91553690461</v>
      </c>
      <c r="BI87" s="48" t="n">
        <f aca="false">(BI83+BI59+BI86)*(BI$4&gt;In_COD)</f>
        <v>2293.99945256184</v>
      </c>
      <c r="BJ87" s="48" t="n">
        <f aca="false">(BJ83+BJ59+BJ86)*(BJ$4&gt;In_COD)</f>
        <v>2285.00802008832</v>
      </c>
      <c r="BK87" s="48" t="n">
        <f aca="false">(BK83+BK59+BK86)*(BK$4&gt;In_COD)</f>
        <v>2271.49918376209</v>
      </c>
      <c r="BL87" s="48" t="n">
        <f aca="false">(BL83+BL59+BL86)*(BL$4&gt;In_COD)</f>
        <v>2270.04448932076</v>
      </c>
      <c r="BM87" s="48" t="n">
        <f aca="false">(BM83+BM59+BM86)*(BM$4&gt;In_COD)</f>
        <v>2293.11020239817</v>
      </c>
      <c r="BN87" s="48" t="n">
        <f aca="false">(BN83+BN59+BN86)*(BN$4&gt;In_COD)</f>
        <v>2283.99966360055</v>
      </c>
      <c r="BO87" s="48" t="n">
        <f aca="false">(BO83+BO59+BO86)*(BO$4&gt;In_COD)</f>
        <v>2245.59998826718</v>
      </c>
      <c r="BP87" s="48" t="n">
        <f aca="false">(BP83+BP59+BP86)*(BP$4&gt;In_COD)</f>
        <v>2268.66053276645</v>
      </c>
      <c r="BQ87" s="48" t="n">
        <f aca="false">(BQ83+BQ59+BQ86)*(BQ$4&gt;In_COD)</f>
        <v>2291.70196721147</v>
      </c>
      <c r="BR87" s="48" t="n">
        <f aca="false">(BR83+BR59+BR86)*(BR$4&gt;In_COD)</f>
        <v>2282.46850892087</v>
      </c>
      <c r="BS87" s="48" t="n">
        <f aca="false">(BS83+BS59+BS86)*(BS$4&gt;In_COD)</f>
        <v>2243.71027386286</v>
      </c>
      <c r="BT87" s="48" t="n">
        <f aca="false">(BT83+BT59+BT86)*(BT$4&gt;In_COD)</f>
        <v>2266.74116759628</v>
      </c>
      <c r="BU87" s="48" t="n">
        <f aca="false">(BU83+BU59+BU86)*(BU$4&gt;In_COD)</f>
        <v>2289.75197770731</v>
      </c>
      <c r="BV87" s="48" t="n">
        <f aca="false">(BV83+BV59+BV86)*(BV$4&gt;In_COD)</f>
        <v>2280.39160232237</v>
      </c>
      <c r="BW87" s="48" t="n">
        <f aca="false">(BW83+BW59+BW86)*(BW$4&gt;In_COD)</f>
        <v>2241.26827063169</v>
      </c>
      <c r="BX87" s="48" t="n">
        <f aca="false">(BX83+BX59+BX86)*(BX$4&gt;In_COD)</f>
        <v>2264.2629361789</v>
      </c>
      <c r="BY87" s="48" t="n">
        <f aca="false">(BY83+BY59+BY86)*(BY$4&gt;In_COD)</f>
        <v>2287.23649493681</v>
      </c>
      <c r="BZ87" s="48" t="n">
        <f aca="false">(BZ83+BZ59+BZ86)*(BZ$4&gt;In_COD)</f>
        <v>2277.74501097784</v>
      </c>
      <c r="CA87" s="48" t="n">
        <f aca="false">(CA83+CA59+CA86)*(CA$4&gt;In_COD)</f>
        <v>2262.97594591279</v>
      </c>
      <c r="CB87" s="48" t="n">
        <f aca="false">(CB83+CB59+CB86)*(CB$4&gt;In_COD)</f>
        <v>2261.2013793687</v>
      </c>
      <c r="CC87" s="48" t="n">
        <f aca="false">(CC83+CC59+CC86)*(CC$4&gt;In_COD)</f>
        <v>2284.13076623188</v>
      </c>
      <c r="CD87" s="48" t="n">
        <f aca="false">(CD83+CD59+CD86)*(CD$4&gt;In_COD)</f>
        <v>2274.50377841065</v>
      </c>
      <c r="CE87" s="48" t="n">
        <f aca="false">(CE83+CE59+CE86)*(CE$4&gt;In_COD)</f>
        <v>2234.62969060064</v>
      </c>
      <c r="CF87" s="48" t="n">
        <f aca="false">(CF83+CF59+CF86)*(CF$4&gt;In_COD)</f>
        <v>2257.53099089308</v>
      </c>
      <c r="CG87" s="48" t="n">
        <f aca="false">(CG83+CG59+CG86)*(CG$4&gt;In_COD)</f>
        <v>2280.40897903009</v>
      </c>
      <c r="CH87" s="48" t="n">
        <f aca="false">(CH83+CH59+CH86)*(CH$4&gt;In_COD)</f>
        <v>2270.64187781084</v>
      </c>
      <c r="CI87" s="48" t="n">
        <f aca="false">(CI83+CI59+CI86)*(CI$4&gt;In_COD)</f>
        <v>2232.31741356772</v>
      </c>
      <c r="CJ87" s="48" t="n">
        <f aca="false">(CJ83+CJ59+CJ86)*(CJ$4&gt;In_COD)</f>
        <v>2257.12094038514</v>
      </c>
      <c r="CK87" s="48" t="n">
        <f aca="false">(CK83+CK59+CK86)*(CK$4&gt;In_COD)</f>
        <v>2281.92446720256</v>
      </c>
      <c r="CL87" s="48" t="n">
        <f aca="false">(CL83+CL59+CL86)*(CL$4&gt;In_COD)</f>
        <v>2274.02170776107</v>
      </c>
      <c r="CM87" s="48" t="n">
        <f aca="false">(CM83+CM59+CM86)*(CM$4&gt;In_COD)</f>
        <v>2235.40215425159</v>
      </c>
      <c r="CN87" s="48" t="n">
        <f aca="false">(CN83+CN59+CN86)*(CN$4&gt;In_COD)</f>
        <v>2260.2399559655</v>
      </c>
      <c r="CO87" s="48" t="n">
        <f aca="false">(CO83+CO59+CO86)*(CO$4&gt;In_COD)</f>
        <v>2285.07775767941</v>
      </c>
      <c r="CP87" s="48" t="n">
        <f aca="false">(CP83+CP59+CP86)*(CP$4&gt;In_COD)</f>
        <v>2277.12734251984</v>
      </c>
      <c r="CQ87" s="48" t="n">
        <f aca="false">(CQ83+CQ59+CQ86)*(CQ$4&gt;In_COD)</f>
        <v>2263.07889541064</v>
      </c>
      <c r="CR87" s="48" t="n">
        <f aca="false">(CR83+CR59+CR86)*(CR$4&gt;In_COD)</f>
        <v>2263.07889541064</v>
      </c>
      <c r="CS87" s="48" t="n">
        <f aca="false">(CS83+CS59+CS86)*(CS$4&gt;In_COD)</f>
        <v>2287.94789426131</v>
      </c>
      <c r="CT87" s="48" t="n">
        <f aca="false">(CT83+CT59+CT86)*(CT$4&gt;In_COD)</f>
        <v>2279.94971794918</v>
      </c>
      <c r="CU87" s="48" t="n">
        <f aca="false">(CU83+CU59+CU86)*(CU$4&gt;In_COD)</f>
        <v>2240.73153719111</v>
      </c>
      <c r="CV87" s="48" t="n">
        <f aca="false">(CV83+CV59+CV86)*(CV$4&gt;In_COD)</f>
        <v>2265.62855427102</v>
      </c>
      <c r="CW87" s="48" t="n">
        <f aca="false">(CW83+CW59+CW86)*(CW$4&gt;In_COD)</f>
        <v>2290.52557135092</v>
      </c>
      <c r="CX87" s="48" t="n">
        <f aca="false">(CX83+CX59+CX86)*(CX$4&gt;In_COD)</f>
        <v>2282.47953249614</v>
      </c>
      <c r="CY87" s="48" t="n">
        <f aca="false">(CY83+CY59+CY86)*(CY$4&gt;In_COD)</f>
        <v>2242.9577346824</v>
      </c>
      <c r="CZ87" s="48" t="n">
        <f aca="false">(CZ83+CZ59+CZ86)*(CZ$4&gt;In_COD)</f>
        <v>2267.87948728999</v>
      </c>
      <c r="DA87" s="48" t="n">
        <f aca="false">(DA83+DA59+DA86)*(DA$4&gt;In_COD)</f>
        <v>2292.80123989757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481</v>
      </c>
      <c r="D88" s="11" t="s">
        <v>33</v>
      </c>
      <c r="E88" s="48" t="n">
        <f aca="false">PV($F22,In_Debt_Tenor*Months_In_Year/Months_Per_Period,-$F88)</f>
        <v>77608.308783464</v>
      </c>
      <c r="F88" s="48" t="n">
        <f aca="false">MIN($J88:$EO88)</f>
        <v>1846.29624007915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1919.46429614999</v>
      </c>
      <c r="AA88" s="48" t="n">
        <f aca="false">IF(AA18=1,AA87/In_DSCR,"")</f>
        <v>1890.29198600318</v>
      </c>
      <c r="AB88" s="48" t="n">
        <f aca="false">IF(AB18=1,AB87/In_DSCR,"")</f>
        <v>1910.53520997075</v>
      </c>
      <c r="AC88" s="48" t="n">
        <f aca="false">IF(AC18=1,AC87/In_DSCR,"")</f>
        <v>1930.77358943339</v>
      </c>
      <c r="AD88" s="48" t="n">
        <f aca="false">IF(AD18=1,AD87/In_DSCR,"")</f>
        <v>1923.84419034537</v>
      </c>
      <c r="AE88" s="48" t="n">
        <f aca="false">IF(AE18=1,AE87/In_DSCR,"")</f>
        <v>1868.63262271151</v>
      </c>
      <c r="AF88" s="48" t="n">
        <f aca="false">IF(AF18=1,AF87/In_DSCR,"")</f>
        <v>1863.4803274283</v>
      </c>
      <c r="AG88" s="48" t="n">
        <f aca="false">IF(AG18=1,AG87/In_DSCR,"")</f>
        <v>1882.44027427765</v>
      </c>
      <c r="AH88" s="48" t="n">
        <f aca="false">IF(AH18=1,AH87/In_DSCR,"")</f>
        <v>1875.5646530899</v>
      </c>
      <c r="AI88" s="48" t="n">
        <f aca="false">IF(AI18=1,AI87/In_DSCR,"")</f>
        <v>1846.29624007915</v>
      </c>
      <c r="AJ88" s="48" t="n">
        <f aca="false">IF(AJ18=1,AJ87/In_DSCR,"")</f>
        <v>1888.76674121198</v>
      </c>
      <c r="AK88" s="48" t="n">
        <f aca="false">IF(AK18=1,AK87/In_DSCR,"")</f>
        <v>1907.99948148224</v>
      </c>
      <c r="AL88" s="48" t="n">
        <f aca="false">IF(AL18=1,AL87/In_DSCR,"")</f>
        <v>1901.04313020394</v>
      </c>
      <c r="AM88" s="48" t="n">
        <f aca="false">IF(AM18=1,AM87/In_DSCR,"")</f>
        <v>1870.99723346301</v>
      </c>
      <c r="AN88" s="48" t="n">
        <f aca="false">IF(AN18=1,AN87/In_DSCR,"")</f>
        <v>1890.25220606226</v>
      </c>
      <c r="AO88" s="48" t="n">
        <f aca="false">IF(AO18=1,AO87/In_DSCR,"")</f>
        <v>1909.49593209954</v>
      </c>
      <c r="AP88" s="48" t="n">
        <f aca="false">IF(AP18=1,AP87/In_DSCR,"")</f>
        <v>1902.45655854562</v>
      </c>
      <c r="AQ88" s="48" t="n">
        <f aca="false">IF(AQ18=1,AQ87/In_DSCR,"")</f>
        <v>1872.14517792909</v>
      </c>
      <c r="AR88" s="48" t="n">
        <f aca="false">IF(AR18=1,AR87/In_DSCR,"")</f>
        <v>1891.40781249006</v>
      </c>
      <c r="AS88" s="48" t="n">
        <f aca="false">IF(AS18=1,AS87/In_DSCR,"")</f>
        <v>1910.65862752917</v>
      </c>
      <c r="AT88" s="48" t="n">
        <f aca="false">IF(AT18=1,AT87/In_DSCR,"")</f>
        <v>1903.53383115776</v>
      </c>
      <c r="AU88" s="48" t="n">
        <f aca="false">IF(AU18=1,AU87/In_DSCR,"")</f>
        <v>1893.21266014288</v>
      </c>
      <c r="AV88" s="48" t="n">
        <f aca="false">IF(AV18=1,AV87/In_DSCR,"")</f>
        <v>1892.21892643144</v>
      </c>
      <c r="AW88" s="48" t="n">
        <f aca="false">IF(AW18=1,AW87/In_DSCR,"")</f>
        <v>1911.47275903885</v>
      </c>
      <c r="AX88" s="48" t="n">
        <f aca="false">IF(AX18=1,AX87/In_DSCR,"")</f>
        <v>1904.260025405</v>
      </c>
      <c r="AY88" s="48" t="n">
        <f aca="false">IF(AY18=1,AY87/In_DSCR,"")</f>
        <v>1873.40464984545</v>
      </c>
      <c r="AZ88" s="48" t="n">
        <f aca="false">IF(AZ18=1,AZ87/In_DSCR,"")</f>
        <v>1892.67030097653</v>
      </c>
      <c r="BA88" s="48" t="n">
        <f aca="false">IF(BA18=1,BA87/In_DSCR,"")</f>
        <v>1911.92289760999</v>
      </c>
      <c r="BB88" s="48" t="n">
        <f aca="false">IF(BB18=1,BB87/In_DSCR,"")</f>
        <v>1904.61959253483</v>
      </c>
      <c r="BC88" s="48" t="n">
        <f aca="false">IF(BC18=1,BC87/In_DSCR,"")</f>
        <v>1873.48541213884</v>
      </c>
      <c r="BD88" s="48" t="n">
        <f aca="false">IF(BD18=1,BD87/In_DSCR,"")</f>
        <v>1892.74604893291</v>
      </c>
      <c r="BE88" s="48" t="n">
        <f aca="false">IF(BE18=1,BE87/In_DSCR,"")</f>
        <v>1911.99296616359</v>
      </c>
      <c r="BF88" s="48" t="n">
        <f aca="false">IF(BF18=1,BF87/In_DSCR,"")</f>
        <v>1904.59632960433</v>
      </c>
      <c r="BG88" s="48" t="n">
        <f aca="false">IF(BG18=1,BG87/In_DSCR,"")</f>
        <v>1873.17859919497</v>
      </c>
      <c r="BH88" s="48" t="n">
        <f aca="false">IF(BH18=1,BH87/In_DSCR,"")</f>
        <v>1892.42961408718</v>
      </c>
      <c r="BI88" s="48" t="n">
        <f aca="false">IF(BI18=1,BI87/In_DSCR,"")</f>
        <v>1911.6662104682</v>
      </c>
      <c r="BJ88" s="48" t="n">
        <f aca="false">IF(BJ18=1,BJ87/In_DSCR,"")</f>
        <v>1904.1733500736</v>
      </c>
      <c r="BK88" s="48" t="n">
        <f aca="false">IF(BK18=1,BK87/In_DSCR,"")</f>
        <v>1892.91598646841</v>
      </c>
      <c r="BL88" s="48" t="n">
        <f aca="false">IF(BL18=1,BL87/In_DSCR,"")</f>
        <v>1891.70374110063</v>
      </c>
      <c r="BM88" s="48" t="n">
        <f aca="false">IF(BM18=1,BM87/In_DSCR,"")</f>
        <v>1910.92516866514</v>
      </c>
      <c r="BN88" s="48" t="n">
        <f aca="false">IF(BN18=1,BN87/In_DSCR,"")</f>
        <v>1903.33305300046</v>
      </c>
      <c r="BO88" s="48" t="n">
        <f aca="false">IF(BO18=1,BO87/In_DSCR,"")</f>
        <v>1871.33332355598</v>
      </c>
      <c r="BP88" s="48" t="n">
        <f aca="false">IF(BP18=1,BP87/In_DSCR,"")</f>
        <v>1890.55044397204</v>
      </c>
      <c r="BQ88" s="48" t="n">
        <f aca="false">IF(BQ18=1,BQ87/In_DSCR,"")</f>
        <v>1909.75163934289</v>
      </c>
      <c r="BR88" s="48" t="n">
        <f aca="false">IF(BR18=1,BR87/In_DSCR,"")</f>
        <v>1902.05709076739</v>
      </c>
      <c r="BS88" s="48" t="n">
        <f aca="false">IF(BS18=1,BS87/In_DSCR,"")</f>
        <v>1869.75856155238</v>
      </c>
      <c r="BT88" s="48" t="n">
        <f aca="false">IF(BT18=1,BT87/In_DSCR,"")</f>
        <v>1888.9509729969</v>
      </c>
      <c r="BU88" s="48" t="n">
        <f aca="false">IF(BU18=1,BU87/In_DSCR,"")</f>
        <v>1908.12664808942</v>
      </c>
      <c r="BV88" s="48" t="n">
        <f aca="false">IF(BV18=1,BV87/In_DSCR,"")</f>
        <v>1900.32633526865</v>
      </c>
      <c r="BW88" s="48" t="n">
        <f aca="false">IF(BW18=1,BW87/In_DSCR,"")</f>
        <v>1867.72355885974</v>
      </c>
      <c r="BX88" s="48" t="n">
        <f aca="false">IF(BX18=1,BX87/In_DSCR,"")</f>
        <v>1886.88578014908</v>
      </c>
      <c r="BY88" s="48" t="n">
        <f aca="false">IF(BY18=1,BY87/In_DSCR,"")</f>
        <v>1906.03041244734</v>
      </c>
      <c r="BZ88" s="48" t="n">
        <f aca="false">IF(BZ18=1,BZ87/In_DSCR,"")</f>
        <v>1898.12084248153</v>
      </c>
      <c r="CA88" s="48" t="n">
        <f aca="false">IF(CA18=1,CA87/In_DSCR,"")</f>
        <v>1885.81328826065</v>
      </c>
      <c r="CB88" s="48" t="n">
        <f aca="false">IF(CB18=1,CB87/In_DSCR,"")</f>
        <v>1884.33448280725</v>
      </c>
      <c r="CC88" s="48" t="n">
        <f aca="false">IF(CC18=1,CC87/In_DSCR,"")</f>
        <v>1903.44230519323</v>
      </c>
      <c r="CD88" s="48" t="n">
        <f aca="false">IF(CD18=1,CD87/In_DSCR,"")</f>
        <v>1895.41981534221</v>
      </c>
      <c r="CE88" s="48" t="n">
        <f aca="false">IF(CE18=1,CE87/In_DSCR,"")</f>
        <v>1862.19140883386</v>
      </c>
      <c r="CF88" s="48" t="n">
        <f aca="false">IF(CF18=1,CF87/In_DSCR,"")</f>
        <v>1881.27582574423</v>
      </c>
      <c r="CG88" s="48" t="n">
        <f aca="false">IF(CG18=1,CG87/In_DSCR,"")</f>
        <v>1900.3408158584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482</v>
      </c>
      <c r="D89" s="11" t="s">
        <v>33</v>
      </c>
      <c r="E89" s="48" t="n">
        <f aca="false">IF(In_Debt_Per_MW&gt;0,In_Debt_Per_MW*$F25,-$E70)</f>
        <v>78904.2480519649</v>
      </c>
    </row>
    <row r="90" customFormat="false" ht="15" hidden="false" customHeight="false" outlineLevel="0" collapsed="false">
      <c r="C90" s="25" t="s">
        <v>483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0.559184153202774</v>
      </c>
    </row>
    <row r="91" customFormat="false" ht="15" hidden="false" customHeight="false" outlineLevel="0" collapsed="false">
      <c r="C91" s="0" t="s">
        <v>484</v>
      </c>
      <c r="D91" s="11" t="s">
        <v>33</v>
      </c>
      <c r="E91" s="48" t="n">
        <f aca="false">$E90*-$E70</f>
        <v>43397.3364285807</v>
      </c>
      <c r="F91" s="48" t="n">
        <f aca="false">PMT($F22,In_Debt_Tenor*Months_In_Year/Months_Per_Period,-$E91)</f>
        <v>1032.41959957012</v>
      </c>
    </row>
    <row r="93" customFormat="false" ht="15" hidden="false" customHeight="false" outlineLevel="0" collapsed="false">
      <c r="A93" s="9" t="s">
        <v>13</v>
      </c>
      <c r="B93" s="9"/>
      <c r="C93" s="9" t="s">
        <v>359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485</v>
      </c>
      <c r="D94" s="11" t="s">
        <v>33</v>
      </c>
      <c r="I94" s="48" t="n">
        <f aca="false">SUM(J94:EO94)</f>
        <v>-18547.8395456267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-542.466705357259</v>
      </c>
      <c r="AA94" s="48" t="n">
        <f aca="false">-Z103*$F22*(AA$4&gt;In_COD)</f>
        <v>-536.342294179598</v>
      </c>
      <c r="AB94" s="48" t="n">
        <f aca="false">-AA103*$F22*(AB$4&gt;In_COD)</f>
        <v>-530.141327862216</v>
      </c>
      <c r="AC94" s="48" t="n">
        <f aca="false">-AB103*$F22*(AC$4&gt;In_COD)</f>
        <v>-523.862849465868</v>
      </c>
      <c r="AD94" s="48" t="n">
        <f aca="false">-AC103*$F22*(AD$4&gt;In_COD)</f>
        <v>-517.505890089564</v>
      </c>
      <c r="AE94" s="48" t="n">
        <f aca="false">-AD103*$F22*(AE$4&gt;In_COD)</f>
        <v>-511.069468721057</v>
      </c>
      <c r="AF94" s="48" t="n">
        <f aca="false">-AE103*$F22*(AF$4&gt;In_COD)</f>
        <v>-504.552592085444</v>
      </c>
      <c r="AG94" s="48" t="n">
        <f aca="false">-AF103*$F22*(AG$4&gt;In_COD)</f>
        <v>-497.954254491885</v>
      </c>
      <c r="AH94" s="48" t="n">
        <f aca="false">-AG103*$F22*(AH$4&gt;In_COD)</f>
        <v>-491.273437678408</v>
      </c>
      <c r="AI94" s="48" t="n">
        <f aca="false">-AH103*$F22*(AI$4&gt;In_COD)</f>
        <v>-484.509110654761</v>
      </c>
      <c r="AJ94" s="48" t="n">
        <f aca="false">-AI103*$F22*(AJ$4&gt;In_COD)</f>
        <v>-477.660229543319</v>
      </c>
      <c r="AK94" s="48" t="n">
        <f aca="false">-AJ103*$F22*(AK$4&gt;In_COD)</f>
        <v>-470.725737417984</v>
      </c>
      <c r="AL94" s="48" t="n">
        <f aca="false">-AK103*$F22*(AL$4&gt;In_COD)</f>
        <v>-463.704564141082</v>
      </c>
      <c r="AM94" s="48" t="n">
        <f aca="false">-AL103*$F22*(AM$4&gt;In_COD)</f>
        <v>-456.595626198219</v>
      </c>
      <c r="AN94" s="48" t="n">
        <f aca="false">-AM103*$F22*(AN$4&gt;In_COD)</f>
        <v>-449.39782653107</v>
      </c>
      <c r="AO94" s="48" t="n">
        <f aca="false">-AN103*$F22*(AO$4&gt;In_COD)</f>
        <v>-442.110054368082</v>
      </c>
      <c r="AP94" s="48" t="n">
        <f aca="false">-AO103*$F22*(AP$4&gt;In_COD)</f>
        <v>-434.731185053057</v>
      </c>
      <c r="AQ94" s="48" t="n">
        <f aca="false">-AP103*$F22*(AQ$4&gt;In_COD)</f>
        <v>-427.260079871593</v>
      </c>
      <c r="AR94" s="48" t="n">
        <f aca="false">-AQ103*$F22*(AR$4&gt;In_COD)</f>
        <v>-419.695585875362</v>
      </c>
      <c r="AS94" s="48" t="n">
        <f aca="false">-AR103*$F22*(AS$4&gt;In_COD)</f>
        <v>-412.036535704177</v>
      </c>
      <c r="AT94" s="48" t="n">
        <f aca="false">-AS103*$F22*(AT$4&gt;In_COD)</f>
        <v>-404.281747405853</v>
      </c>
      <c r="AU94" s="48" t="n">
        <f aca="false">-AT103*$F22*(AU$4&gt;In_COD)</f>
        <v>-396.430024253799</v>
      </c>
      <c r="AV94" s="48" t="n">
        <f aca="false">-AU103*$F22*(AV$4&gt;In_COD)</f>
        <v>-388.480154562345</v>
      </c>
      <c r="AW94" s="48" t="n">
        <f aca="false">-AV103*$F22*(AW$4&gt;In_COD)</f>
        <v>-380.430911499748</v>
      </c>
      <c r="AX94" s="48" t="n">
        <f aca="false">-AW103*$F22*(AX$4&gt;In_COD)</f>
        <v>-372.281052898868</v>
      </c>
      <c r="AY94" s="48" t="n">
        <f aca="false">-AX103*$F22*(AY$4&gt;In_COD)</f>
        <v>-364.029321065478</v>
      </c>
      <c r="AZ94" s="48" t="n">
        <f aca="false">-AY103*$F22*(AZ$4&gt;In_COD)</f>
        <v>-355.67444258417</v>
      </c>
      <c r="BA94" s="48" t="n">
        <f aca="false">-AZ103*$F22*(BA$4&gt;In_COD)</f>
        <v>-347.215128121845</v>
      </c>
      <c r="BB94" s="48" t="n">
        <f aca="false">-BA103*$F22*(BB$4&gt;In_COD)</f>
        <v>-338.650072228742</v>
      </c>
      <c r="BC94" s="48" t="n">
        <f aca="false">-BB103*$F22*(BC$4&gt;In_COD)</f>
        <v>-329.977953136975</v>
      </c>
      <c r="BD94" s="48" t="n">
        <f aca="false">-BC103*$F22*(BD$4&gt;In_COD)</f>
        <v>-321.19743255656</v>
      </c>
      <c r="BE94" s="48" t="n">
        <f aca="false">-BD103*$F22*(BE$4&gt;In_COD)</f>
        <v>-312.307155468891</v>
      </c>
      <c r="BF94" s="48" t="n">
        <f aca="false">-BE103*$F22*(BF$4&gt;In_COD)</f>
        <v>-303.305749917625</v>
      </c>
      <c r="BG94" s="48" t="n">
        <f aca="false">-BF103*$F22*(BG$4&gt;In_COD)</f>
        <v>-294.191826796969</v>
      </c>
      <c r="BH94" s="48" t="n">
        <f aca="false">-BG103*$F22*(BH$4&gt;In_COD)</f>
        <v>-284.963979637305</v>
      </c>
      <c r="BI94" s="48" t="n">
        <f aca="false">-BH103*$F22*(BI$4&gt;In_COD)</f>
        <v>-275.620784388144</v>
      </c>
      <c r="BJ94" s="48" t="n">
        <f aca="false">-BI103*$F22*(BJ$4&gt;In_COD)</f>
        <v>-266.16079919837</v>
      </c>
      <c r="BK94" s="48" t="n">
        <f aca="false">-BJ103*$F22*(BK$4&gt;In_COD)</f>
        <v>-256.582564193723</v>
      </c>
      <c r="BL94" s="48" t="n">
        <f aca="false">-BK103*$F22*(BL$4&gt;In_COD)</f>
        <v>-246.884601251518</v>
      </c>
      <c r="BM94" s="48" t="n">
        <f aca="false">-BL103*$F22*(BM$4&gt;In_COD)</f>
        <v>-237.065413772535</v>
      </c>
      <c r="BN94" s="48" t="n">
        <f aca="false">-BM103*$F22*(BN$4&gt;In_COD)</f>
        <v>-227.123486450065</v>
      </c>
      <c r="BO94" s="48" t="n">
        <f aca="false">-BN103*$F22*(BO$4&gt;In_COD)</f>
        <v>-217.057285036064</v>
      </c>
      <c r="BP94" s="48" t="n">
        <f aca="false">-BO103*$F22*(BP$4&gt;In_COD)</f>
        <v>-206.865256104389</v>
      </c>
      <c r="BQ94" s="48" t="n">
        <f aca="false">-BP103*$F22*(BQ$4&gt;In_COD)</f>
        <v>-196.545826811067</v>
      </c>
      <c r="BR94" s="48" t="n">
        <f aca="false">-BQ103*$F22*(BR$4&gt;In_COD)</f>
        <v>-186.097404651579</v>
      </c>
      <c r="BS94" s="48" t="n">
        <f aca="false">-BR103*$F22*(BS$4&gt;In_COD)</f>
        <v>-175.518377215097</v>
      </c>
      <c r="BT94" s="48" t="n">
        <f aca="false">-BS103*$F22*(BT$4&gt;In_COD)</f>
        <v>-164.807111935659</v>
      </c>
      <c r="BU94" s="48" t="n">
        <f aca="false">-BT103*$F22*(BU$4&gt;In_COD)</f>
        <v>-153.961955840228</v>
      </c>
      <c r="BV94" s="48" t="n">
        <f aca="false">-BU103*$F22*(BV$4&gt;In_COD)</f>
        <v>-142.981235293605</v>
      </c>
      <c r="BW94" s="48" t="n">
        <f aca="false">-BV103*$F22*(BW$4&gt;In_COD)</f>
        <v>-131.863255740148</v>
      </c>
      <c r="BX94" s="48" t="n">
        <f aca="false">-BW103*$F22*(BX$4&gt;In_COD)</f>
        <v>-120.606301442273</v>
      </c>
      <c r="BY94" s="48" t="n">
        <f aca="false">-BX103*$F22*(BY$4&gt;In_COD)</f>
        <v>-109.208635215675</v>
      </c>
      <c r="BZ94" s="48" t="n">
        <f aca="false">-BY103*$F22*(BZ$4&gt;In_COD)</f>
        <v>-97.6684981612446</v>
      </c>
      <c r="CA94" s="48" t="n">
        <f aca="false">-BZ103*$F22*(CA$4&gt;In_COD)</f>
        <v>-85.9841093936336</v>
      </c>
      <c r="CB94" s="48" t="n">
        <f aca="false">-CA103*$F22*(CB$4&gt;In_COD)</f>
        <v>-74.1536657664275</v>
      </c>
      <c r="CC94" s="48" t="n">
        <f aca="false">-CB103*$F22*(CC$4&gt;In_COD)</f>
        <v>-62.1753415938813</v>
      </c>
      <c r="CD94" s="48" t="n">
        <f aca="false">-CC103*$F22*(CD$4&gt;In_COD)</f>
        <v>-50.0472883691782</v>
      </c>
      <c r="CE94" s="48" t="n">
        <f aca="false">-CD103*$F22*(CE$4&gt;In_COD)</f>
        <v>-37.7676344791664</v>
      </c>
      <c r="CF94" s="48" t="n">
        <f aca="false">-CE103*$F22*(CF$4&gt;In_COD)</f>
        <v>-25.3344849155294</v>
      </c>
      <c r="CG94" s="48" t="n">
        <f aca="false">-CF103*$F22*(CG$4&gt;In_COD)</f>
        <v>-12.745920982347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486</v>
      </c>
      <c r="D95" s="11" t="s">
        <v>33</v>
      </c>
      <c r="I95" s="48" t="n">
        <f aca="false">SUM(J95:EO95)</f>
        <v>-43397.3364285807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-489.952894212865</v>
      </c>
      <c r="AA95" s="48" t="n">
        <f aca="false">-MIN(Z103,$F91+AA94)*AA18</f>
        <v>-496.077305390526</v>
      </c>
      <c r="AB95" s="48" t="n">
        <f aca="false">-MIN(AA103,$F91+AB94)*AB18</f>
        <v>-502.278271707908</v>
      </c>
      <c r="AC95" s="48" t="n">
        <f aca="false">-MIN(AB103,$F91+AC94)*AC18</f>
        <v>-508.556750104257</v>
      </c>
      <c r="AD95" s="48" t="n">
        <f aca="false">-MIN(AC103,$F91+AD94)*AD18</f>
        <v>-514.91370948056</v>
      </c>
      <c r="AE95" s="48" t="n">
        <f aca="false">-MIN(AD103,$F91+AE94)*AE18</f>
        <v>-521.350130849067</v>
      </c>
      <c r="AF95" s="48" t="n">
        <f aca="false">-MIN(AE103,$F91+AF94)*AF18</f>
        <v>-527.86700748468</v>
      </c>
      <c r="AG95" s="48" t="n">
        <f aca="false">-MIN(AF103,$F91+AG94)*AG18</f>
        <v>-534.465345078239</v>
      </c>
      <c r="AH95" s="48" t="n">
        <f aca="false">-MIN(AG103,$F91+AH94)*AH18</f>
        <v>-541.146161891717</v>
      </c>
      <c r="AI95" s="48" t="n">
        <f aca="false">-MIN(AH103,$F91+AI94)*AI18</f>
        <v>-547.910488915363</v>
      </c>
      <c r="AJ95" s="48" t="n">
        <f aca="false">-MIN(AI103,$F91+AJ94)*AJ18</f>
        <v>-554.759370026805</v>
      </c>
      <c r="AK95" s="48" t="n">
        <f aca="false">-MIN(AJ103,$F91+AK94)*AK18</f>
        <v>-561.69386215214</v>
      </c>
      <c r="AL95" s="48" t="n">
        <f aca="false">-MIN(AK103,$F91+AL94)*AL18</f>
        <v>-568.715035429042</v>
      </c>
      <c r="AM95" s="48" t="n">
        <f aca="false">-MIN(AL103,$F91+AM94)*AM18</f>
        <v>-575.823973371905</v>
      </c>
      <c r="AN95" s="48" t="n">
        <f aca="false">-MIN(AM103,$F91+AN94)*AN18</f>
        <v>-583.021773039054</v>
      </c>
      <c r="AO95" s="48" t="n">
        <f aca="false">-MIN(AN103,$F91+AO94)*AO18</f>
        <v>-590.309545202042</v>
      </c>
      <c r="AP95" s="48" t="n">
        <f aca="false">-MIN(AO103,$F91+AP94)*AP18</f>
        <v>-597.688414517067</v>
      </c>
      <c r="AQ95" s="48" t="n">
        <f aca="false">-MIN(AP103,$F91+AQ94)*AQ18</f>
        <v>-605.159519698531</v>
      </c>
      <c r="AR95" s="48" t="n">
        <f aca="false">-MIN(AQ103,$F91+AR94)*AR18</f>
        <v>-612.724013694762</v>
      </c>
      <c r="AS95" s="48" t="n">
        <f aca="false">-MIN(AR103,$F91+AS94)*AS18</f>
        <v>-620.383063865947</v>
      </c>
      <c r="AT95" s="48" t="n">
        <f aca="false">-MIN(AS103,$F91+AT94)*AT18</f>
        <v>-628.137852164271</v>
      </c>
      <c r="AU95" s="48" t="n">
        <f aca="false">-MIN(AT103,$F91+AU94)*AU18</f>
        <v>-635.989575316325</v>
      </c>
      <c r="AV95" s="48" t="n">
        <f aca="false">-MIN(AU103,$F91+AV94)*AV18</f>
        <v>-643.939445007779</v>
      </c>
      <c r="AW95" s="48" t="n">
        <f aca="false">-MIN(AV103,$F91+AW94)*AW18</f>
        <v>-651.988688070376</v>
      </c>
      <c r="AX95" s="48" t="n">
        <f aca="false">-MIN(AW103,$F91+AX94)*AX18</f>
        <v>-660.138546671256</v>
      </c>
      <c r="AY95" s="48" t="n">
        <f aca="false">-MIN(AX103,$F91+AY94)*AY18</f>
        <v>-668.390278504646</v>
      </c>
      <c r="AZ95" s="48" t="n">
        <f aca="false">-MIN(AY103,$F91+AZ94)*AZ18</f>
        <v>-676.745156985954</v>
      </c>
      <c r="BA95" s="48" t="n">
        <f aca="false">-MIN(AZ103,$F91+BA94)*BA18</f>
        <v>-685.204471448279</v>
      </c>
      <c r="BB95" s="48" t="n">
        <f aca="false">-MIN(BA103,$F91+BB94)*BB18</f>
        <v>-693.769527341382</v>
      </c>
      <c r="BC95" s="48" t="n">
        <f aca="false">-MIN(BB103,$F91+BC94)*BC18</f>
        <v>-702.44164643315</v>
      </c>
      <c r="BD95" s="48" t="n">
        <f aca="false">-MIN(BC103,$F91+BD94)*BD18</f>
        <v>-711.222167013564</v>
      </c>
      <c r="BE95" s="48" t="n">
        <f aca="false">-MIN(BD103,$F91+BE94)*BE18</f>
        <v>-720.112444101234</v>
      </c>
      <c r="BF95" s="48" t="n">
        <f aca="false">-MIN(BE103,$F91+BF94)*BF18</f>
        <v>-729.113849652499</v>
      </c>
      <c r="BG95" s="48" t="n">
        <f aca="false">-MIN(BF103,$F91+BG94)*BG18</f>
        <v>-738.227772773155</v>
      </c>
      <c r="BH95" s="48" t="n">
        <f aca="false">-MIN(BG103,$F91+BH94)*BH18</f>
        <v>-747.45561993282</v>
      </c>
      <c r="BI95" s="48" t="n">
        <f aca="false">-MIN(BH103,$F91+BI94)*BI18</f>
        <v>-756.79881518198</v>
      </c>
      <c r="BJ95" s="48" t="n">
        <f aca="false">-MIN(BI103,$F91+BJ94)*BJ18</f>
        <v>-766.258800371755</v>
      </c>
      <c r="BK95" s="48" t="n">
        <f aca="false">-MIN(BJ103,$F91+BK94)*BK18</f>
        <v>-775.837035376401</v>
      </c>
      <c r="BL95" s="48" t="n">
        <f aca="false">-MIN(BK103,$F91+BL94)*BL18</f>
        <v>-785.534998318607</v>
      </c>
      <c r="BM95" s="48" t="n">
        <f aca="false">-MIN(BL103,$F91+BM94)*BM18</f>
        <v>-795.354185797589</v>
      </c>
      <c r="BN95" s="48" t="n">
        <f aca="false">-MIN(BM103,$F91+BN94)*BN18</f>
        <v>-805.296113120059</v>
      </c>
      <c r="BO95" s="48" t="n">
        <f aca="false">-MIN(BN103,$F91+BO94)*BO18</f>
        <v>-815.36231453406</v>
      </c>
      <c r="BP95" s="48" t="n">
        <f aca="false">-MIN(BO103,$F91+BP94)*BP18</f>
        <v>-825.554343465735</v>
      </c>
      <c r="BQ95" s="48" t="n">
        <f aca="false">-MIN(BP103,$F91+BQ94)*BQ18</f>
        <v>-835.873772759057</v>
      </c>
      <c r="BR95" s="48" t="n">
        <f aca="false">-MIN(BQ103,$F91+BR94)*BR18</f>
        <v>-846.322194918545</v>
      </c>
      <c r="BS95" s="48" t="n">
        <f aca="false">-MIN(BR103,$F91+BS94)*BS18</f>
        <v>-856.901222355027</v>
      </c>
      <c r="BT95" s="48" t="n">
        <f aca="false">-MIN(BS103,$F91+BT94)*BT18</f>
        <v>-867.612487634465</v>
      </c>
      <c r="BU95" s="48" t="n">
        <f aca="false">-MIN(BT103,$F91+BU94)*BU18</f>
        <v>-878.457643729896</v>
      </c>
      <c r="BV95" s="48" t="n">
        <f aca="false">-MIN(BU103,$F91+BV94)*BV18</f>
        <v>-889.43836427652</v>
      </c>
      <c r="BW95" s="48" t="n">
        <f aca="false">-MIN(BV103,$F91+BW94)*BW18</f>
        <v>-900.556343829976</v>
      </c>
      <c r="BX95" s="48" t="n">
        <f aca="false">-MIN(BW103,$F91+BX94)*BX18</f>
        <v>-911.813298127851</v>
      </c>
      <c r="BY95" s="48" t="n">
        <f aca="false">-MIN(BX103,$F91+BY94)*BY18</f>
        <v>-923.210964354449</v>
      </c>
      <c r="BZ95" s="48" t="n">
        <f aca="false">-MIN(BY103,$F91+BZ94)*BZ18</f>
        <v>-934.75110140888</v>
      </c>
      <c r="CA95" s="48" t="n">
        <f aca="false">-MIN(BZ103,$F91+CA94)*CA18</f>
        <v>-946.435490176491</v>
      </c>
      <c r="CB95" s="48" t="n">
        <f aca="false">-MIN(CA103,$F91+CB94)*CB18</f>
        <v>-958.265933803697</v>
      </c>
      <c r="CC95" s="48" t="n">
        <f aca="false">-MIN(CB103,$F91+CC94)*CC18</f>
        <v>-970.244257976243</v>
      </c>
      <c r="CD95" s="48" t="n">
        <f aca="false">-MIN(CC103,$F91+CD94)*CD18</f>
        <v>-982.372311200946</v>
      </c>
      <c r="CE95" s="48" t="n">
        <f aca="false">-MIN(CD103,$F91+CE94)*CE18</f>
        <v>-994.651965090958</v>
      </c>
      <c r="CF95" s="48" t="n">
        <f aca="false">-MIN(CE103,$F91+CF94)*CF18</f>
        <v>-1007.08511465459</v>
      </c>
      <c r="CG95" s="48" t="n">
        <f aca="false">-MIN(CF103,$F91+CG94)*CG18</f>
        <v>-1019.67367858776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487</v>
      </c>
      <c r="D96" s="11" t="s">
        <v>33</v>
      </c>
      <c r="I96" s="48" t="n">
        <f aca="false">SUM(J96:EO96)</f>
        <v>-61945.1759742074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-1032.41959957012</v>
      </c>
      <c r="AA96" s="48" t="n">
        <f aca="false">AA94+AA95</f>
        <v>-1032.41959957012</v>
      </c>
      <c r="AB96" s="48" t="n">
        <f aca="false">AB94+AB95</f>
        <v>-1032.41959957012</v>
      </c>
      <c r="AC96" s="48" t="n">
        <f aca="false">AC94+AC95</f>
        <v>-1032.41959957012</v>
      </c>
      <c r="AD96" s="48" t="n">
        <f aca="false">AD94+AD95</f>
        <v>-1032.41959957012</v>
      </c>
      <c r="AE96" s="48" t="n">
        <f aca="false">AE94+AE95</f>
        <v>-1032.41959957012</v>
      </c>
      <c r="AF96" s="48" t="n">
        <f aca="false">AF94+AF95</f>
        <v>-1032.41959957012</v>
      </c>
      <c r="AG96" s="48" t="n">
        <f aca="false">AG94+AG95</f>
        <v>-1032.41959957012</v>
      </c>
      <c r="AH96" s="48" t="n">
        <f aca="false">AH94+AH95</f>
        <v>-1032.41959957012</v>
      </c>
      <c r="AI96" s="48" t="n">
        <f aca="false">AI94+AI95</f>
        <v>-1032.41959957012</v>
      </c>
      <c r="AJ96" s="48" t="n">
        <f aca="false">AJ94+AJ95</f>
        <v>-1032.41959957012</v>
      </c>
      <c r="AK96" s="48" t="n">
        <f aca="false">AK94+AK95</f>
        <v>-1032.41959957012</v>
      </c>
      <c r="AL96" s="48" t="n">
        <f aca="false">AL94+AL95</f>
        <v>-1032.41959957012</v>
      </c>
      <c r="AM96" s="48" t="n">
        <f aca="false">AM94+AM95</f>
        <v>-1032.41959957012</v>
      </c>
      <c r="AN96" s="48" t="n">
        <f aca="false">AN94+AN95</f>
        <v>-1032.41959957012</v>
      </c>
      <c r="AO96" s="48" t="n">
        <f aca="false">AO94+AO95</f>
        <v>-1032.41959957012</v>
      </c>
      <c r="AP96" s="48" t="n">
        <f aca="false">AP94+AP95</f>
        <v>-1032.41959957012</v>
      </c>
      <c r="AQ96" s="48" t="n">
        <f aca="false">AQ94+AQ95</f>
        <v>-1032.41959957012</v>
      </c>
      <c r="AR96" s="48" t="n">
        <f aca="false">AR94+AR95</f>
        <v>-1032.41959957012</v>
      </c>
      <c r="AS96" s="48" t="n">
        <f aca="false">AS94+AS95</f>
        <v>-1032.41959957012</v>
      </c>
      <c r="AT96" s="48" t="n">
        <f aca="false">AT94+AT95</f>
        <v>-1032.41959957012</v>
      </c>
      <c r="AU96" s="48" t="n">
        <f aca="false">AU94+AU95</f>
        <v>-1032.41959957012</v>
      </c>
      <c r="AV96" s="48" t="n">
        <f aca="false">AV94+AV95</f>
        <v>-1032.41959957012</v>
      </c>
      <c r="AW96" s="48" t="n">
        <f aca="false">AW94+AW95</f>
        <v>-1032.41959957012</v>
      </c>
      <c r="AX96" s="48" t="n">
        <f aca="false">AX94+AX95</f>
        <v>-1032.41959957012</v>
      </c>
      <c r="AY96" s="48" t="n">
        <f aca="false">AY94+AY95</f>
        <v>-1032.41959957012</v>
      </c>
      <c r="AZ96" s="48" t="n">
        <f aca="false">AZ94+AZ95</f>
        <v>-1032.41959957012</v>
      </c>
      <c r="BA96" s="48" t="n">
        <f aca="false">BA94+BA95</f>
        <v>-1032.41959957012</v>
      </c>
      <c r="BB96" s="48" t="n">
        <f aca="false">BB94+BB95</f>
        <v>-1032.41959957012</v>
      </c>
      <c r="BC96" s="48" t="n">
        <f aca="false">BC94+BC95</f>
        <v>-1032.41959957012</v>
      </c>
      <c r="BD96" s="48" t="n">
        <f aca="false">BD94+BD95</f>
        <v>-1032.41959957012</v>
      </c>
      <c r="BE96" s="48" t="n">
        <f aca="false">BE94+BE95</f>
        <v>-1032.41959957012</v>
      </c>
      <c r="BF96" s="48" t="n">
        <f aca="false">BF94+BF95</f>
        <v>-1032.41959957012</v>
      </c>
      <c r="BG96" s="48" t="n">
        <f aca="false">BG94+BG95</f>
        <v>-1032.41959957012</v>
      </c>
      <c r="BH96" s="48" t="n">
        <f aca="false">BH94+BH95</f>
        <v>-1032.41959957012</v>
      </c>
      <c r="BI96" s="48" t="n">
        <f aca="false">BI94+BI95</f>
        <v>-1032.41959957012</v>
      </c>
      <c r="BJ96" s="48" t="n">
        <f aca="false">BJ94+BJ95</f>
        <v>-1032.41959957012</v>
      </c>
      <c r="BK96" s="48" t="n">
        <f aca="false">BK94+BK95</f>
        <v>-1032.41959957012</v>
      </c>
      <c r="BL96" s="48" t="n">
        <f aca="false">BL94+BL95</f>
        <v>-1032.41959957012</v>
      </c>
      <c r="BM96" s="48" t="n">
        <f aca="false">BM94+BM95</f>
        <v>-1032.41959957012</v>
      </c>
      <c r="BN96" s="48" t="n">
        <f aca="false">BN94+BN95</f>
        <v>-1032.41959957012</v>
      </c>
      <c r="BO96" s="48" t="n">
        <f aca="false">BO94+BO95</f>
        <v>-1032.41959957012</v>
      </c>
      <c r="BP96" s="48" t="n">
        <f aca="false">BP94+BP95</f>
        <v>-1032.41959957012</v>
      </c>
      <c r="BQ96" s="48" t="n">
        <f aca="false">BQ94+BQ95</f>
        <v>-1032.41959957012</v>
      </c>
      <c r="BR96" s="48" t="n">
        <f aca="false">BR94+BR95</f>
        <v>-1032.41959957012</v>
      </c>
      <c r="BS96" s="48" t="n">
        <f aca="false">BS94+BS95</f>
        <v>-1032.41959957012</v>
      </c>
      <c r="BT96" s="48" t="n">
        <f aca="false">BT94+BT95</f>
        <v>-1032.41959957012</v>
      </c>
      <c r="BU96" s="48" t="n">
        <f aca="false">BU94+BU95</f>
        <v>-1032.41959957012</v>
      </c>
      <c r="BV96" s="48" t="n">
        <f aca="false">BV94+BV95</f>
        <v>-1032.41959957012</v>
      </c>
      <c r="BW96" s="48" t="n">
        <f aca="false">BW94+BW95</f>
        <v>-1032.41959957012</v>
      </c>
      <c r="BX96" s="48" t="n">
        <f aca="false">BX94+BX95</f>
        <v>-1032.41959957012</v>
      </c>
      <c r="BY96" s="48" t="n">
        <f aca="false">BY94+BY95</f>
        <v>-1032.41959957012</v>
      </c>
      <c r="BZ96" s="48" t="n">
        <f aca="false">BZ94+BZ95</f>
        <v>-1032.41959957012</v>
      </c>
      <c r="CA96" s="48" t="n">
        <f aca="false">CA94+CA95</f>
        <v>-1032.41959957012</v>
      </c>
      <c r="CB96" s="48" t="n">
        <f aca="false">CB94+CB95</f>
        <v>-1032.41959957012</v>
      </c>
      <c r="CC96" s="48" t="n">
        <f aca="false">CC94+CC95</f>
        <v>-1032.41959957012</v>
      </c>
      <c r="CD96" s="48" t="n">
        <f aca="false">CD94+CD95</f>
        <v>-1032.41959957012</v>
      </c>
      <c r="CE96" s="48" t="n">
        <f aca="false">CE94+CE95</f>
        <v>-1032.41959957012</v>
      </c>
      <c r="CF96" s="48" t="n">
        <f aca="false">CF94+CF95</f>
        <v>-1032.41959957012</v>
      </c>
      <c r="CG96" s="48" t="n">
        <f aca="false">CG94+CG95</f>
        <v>-1032.41959957011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488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489</v>
      </c>
      <c r="D98" s="11" t="s">
        <v>33</v>
      </c>
      <c r="I98" s="48" t="n">
        <f aca="false">SUM(J98:EO98)</f>
        <v>-61945.1759742074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-1032.41959957012</v>
      </c>
      <c r="AA98" s="48" t="n">
        <f aca="false">AA96+AA97</f>
        <v>-1032.41959957012</v>
      </c>
      <c r="AB98" s="48" t="n">
        <f aca="false">AB96+AB97</f>
        <v>-1032.41959957012</v>
      </c>
      <c r="AC98" s="48" t="n">
        <f aca="false">AC96+AC97</f>
        <v>-1032.41959957012</v>
      </c>
      <c r="AD98" s="48" t="n">
        <f aca="false">AD96+AD97</f>
        <v>-1032.41959957012</v>
      </c>
      <c r="AE98" s="48" t="n">
        <f aca="false">AE96+AE97</f>
        <v>-1032.41959957012</v>
      </c>
      <c r="AF98" s="48" t="n">
        <f aca="false">AF96+AF97</f>
        <v>-1032.41959957012</v>
      </c>
      <c r="AG98" s="48" t="n">
        <f aca="false">AG96+AG97</f>
        <v>-1032.41959957012</v>
      </c>
      <c r="AH98" s="48" t="n">
        <f aca="false">AH96+AH97</f>
        <v>-1032.41959957012</v>
      </c>
      <c r="AI98" s="48" t="n">
        <f aca="false">AI96+AI97</f>
        <v>-1032.41959957012</v>
      </c>
      <c r="AJ98" s="48" t="n">
        <f aca="false">AJ96+AJ97</f>
        <v>-1032.41959957012</v>
      </c>
      <c r="AK98" s="48" t="n">
        <f aca="false">AK96+AK97</f>
        <v>-1032.41959957012</v>
      </c>
      <c r="AL98" s="48" t="n">
        <f aca="false">AL96+AL97</f>
        <v>-1032.41959957012</v>
      </c>
      <c r="AM98" s="48" t="n">
        <f aca="false">AM96+AM97</f>
        <v>-1032.41959957012</v>
      </c>
      <c r="AN98" s="48" t="n">
        <f aca="false">AN96+AN97</f>
        <v>-1032.41959957012</v>
      </c>
      <c r="AO98" s="48" t="n">
        <f aca="false">AO96+AO97</f>
        <v>-1032.41959957012</v>
      </c>
      <c r="AP98" s="48" t="n">
        <f aca="false">AP96+AP97</f>
        <v>-1032.41959957012</v>
      </c>
      <c r="AQ98" s="48" t="n">
        <f aca="false">AQ96+AQ97</f>
        <v>-1032.41959957012</v>
      </c>
      <c r="AR98" s="48" t="n">
        <f aca="false">AR96+AR97</f>
        <v>-1032.41959957012</v>
      </c>
      <c r="AS98" s="48" t="n">
        <f aca="false">AS96+AS97</f>
        <v>-1032.41959957012</v>
      </c>
      <c r="AT98" s="48" t="n">
        <f aca="false">AT96+AT97</f>
        <v>-1032.41959957012</v>
      </c>
      <c r="AU98" s="48" t="n">
        <f aca="false">AU96+AU97</f>
        <v>-1032.41959957012</v>
      </c>
      <c r="AV98" s="48" t="n">
        <f aca="false">AV96+AV97</f>
        <v>-1032.41959957012</v>
      </c>
      <c r="AW98" s="48" t="n">
        <f aca="false">AW96+AW97</f>
        <v>-1032.41959957012</v>
      </c>
      <c r="AX98" s="48" t="n">
        <f aca="false">AX96+AX97</f>
        <v>-1032.41959957012</v>
      </c>
      <c r="AY98" s="48" t="n">
        <f aca="false">AY96+AY97</f>
        <v>-1032.41959957012</v>
      </c>
      <c r="AZ98" s="48" t="n">
        <f aca="false">AZ96+AZ97</f>
        <v>-1032.41959957012</v>
      </c>
      <c r="BA98" s="48" t="n">
        <f aca="false">BA96+BA97</f>
        <v>-1032.41959957012</v>
      </c>
      <c r="BB98" s="48" t="n">
        <f aca="false">BB96+BB97</f>
        <v>-1032.41959957012</v>
      </c>
      <c r="BC98" s="48" t="n">
        <f aca="false">BC96+BC97</f>
        <v>-1032.41959957012</v>
      </c>
      <c r="BD98" s="48" t="n">
        <f aca="false">BD96+BD97</f>
        <v>-1032.41959957012</v>
      </c>
      <c r="BE98" s="48" t="n">
        <f aca="false">BE96+BE97</f>
        <v>-1032.41959957012</v>
      </c>
      <c r="BF98" s="48" t="n">
        <f aca="false">BF96+BF97</f>
        <v>-1032.41959957012</v>
      </c>
      <c r="BG98" s="48" t="n">
        <f aca="false">BG96+BG97</f>
        <v>-1032.41959957012</v>
      </c>
      <c r="BH98" s="48" t="n">
        <f aca="false">BH96+BH97</f>
        <v>-1032.41959957012</v>
      </c>
      <c r="BI98" s="48" t="n">
        <f aca="false">BI96+BI97</f>
        <v>-1032.41959957012</v>
      </c>
      <c r="BJ98" s="48" t="n">
        <f aca="false">BJ96+BJ97</f>
        <v>-1032.41959957012</v>
      </c>
      <c r="BK98" s="48" t="n">
        <f aca="false">BK96+BK97</f>
        <v>-1032.41959957012</v>
      </c>
      <c r="BL98" s="48" t="n">
        <f aca="false">BL96+BL97</f>
        <v>-1032.41959957012</v>
      </c>
      <c r="BM98" s="48" t="n">
        <f aca="false">BM96+BM97</f>
        <v>-1032.41959957012</v>
      </c>
      <c r="BN98" s="48" t="n">
        <f aca="false">BN96+BN97</f>
        <v>-1032.41959957012</v>
      </c>
      <c r="BO98" s="48" t="n">
        <f aca="false">BO96+BO97</f>
        <v>-1032.41959957012</v>
      </c>
      <c r="BP98" s="48" t="n">
        <f aca="false">BP96+BP97</f>
        <v>-1032.41959957012</v>
      </c>
      <c r="BQ98" s="48" t="n">
        <f aca="false">BQ96+BQ97</f>
        <v>-1032.41959957012</v>
      </c>
      <c r="BR98" s="48" t="n">
        <f aca="false">BR96+BR97</f>
        <v>-1032.41959957012</v>
      </c>
      <c r="BS98" s="48" t="n">
        <f aca="false">BS96+BS97</f>
        <v>-1032.41959957012</v>
      </c>
      <c r="BT98" s="48" t="n">
        <f aca="false">BT96+BT97</f>
        <v>-1032.41959957012</v>
      </c>
      <c r="BU98" s="48" t="n">
        <f aca="false">BU96+BU97</f>
        <v>-1032.41959957012</v>
      </c>
      <c r="BV98" s="48" t="n">
        <f aca="false">BV96+BV97</f>
        <v>-1032.41959957012</v>
      </c>
      <c r="BW98" s="48" t="n">
        <f aca="false">BW96+BW97</f>
        <v>-1032.41959957012</v>
      </c>
      <c r="BX98" s="48" t="n">
        <f aca="false">BX96+BX97</f>
        <v>-1032.41959957012</v>
      </c>
      <c r="BY98" s="48" t="n">
        <f aca="false">BY96+BY97</f>
        <v>-1032.41959957012</v>
      </c>
      <c r="BZ98" s="48" t="n">
        <f aca="false">BZ96+BZ97</f>
        <v>-1032.41959957012</v>
      </c>
      <c r="CA98" s="48" t="n">
        <f aca="false">CA96+CA97</f>
        <v>-1032.41959957012</v>
      </c>
      <c r="CB98" s="48" t="n">
        <f aca="false">CB96+CB97</f>
        <v>-1032.41959957012</v>
      </c>
      <c r="CC98" s="48" t="n">
        <f aca="false">CC96+CC97</f>
        <v>-1032.41959957012</v>
      </c>
      <c r="CD98" s="48" t="n">
        <f aca="false">CD96+CD97</f>
        <v>-1032.41959957012</v>
      </c>
      <c r="CE98" s="48" t="n">
        <f aca="false">CE96+CE97</f>
        <v>-1032.41959957012</v>
      </c>
      <c r="CF98" s="48" t="n">
        <f aca="false">CF96+CF97</f>
        <v>-1032.41959957012</v>
      </c>
      <c r="CG98" s="48" t="n">
        <f aca="false">CG96+CG97</f>
        <v>-1032.41959957011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490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4485.81130136986</v>
      </c>
      <c r="T99" s="18" t="n">
        <f aca="false">S103</f>
        <v>13415.3303398973</v>
      </c>
      <c r="U99" s="18" t="n">
        <f aca="false">T103</f>
        <v>18020.0744520227</v>
      </c>
      <c r="V99" s="18" t="n">
        <f aca="false">U103</f>
        <v>22731.1366840428</v>
      </c>
      <c r="W99" s="18" t="n">
        <f aca="false">V103</f>
        <v>27501.0871939632</v>
      </c>
      <c r="X99" s="18" t="n">
        <f aca="false">W103</f>
        <v>32233.1444482713</v>
      </c>
      <c r="Y99" s="18" t="n">
        <f aca="false">X103</f>
        <v>37073.1112367514</v>
      </c>
      <c r="Z99" s="18" t="n">
        <f aca="false">Y103</f>
        <v>43397.3364285807</v>
      </c>
      <c r="AA99" s="18" t="n">
        <f aca="false">Z103</f>
        <v>42907.3835343678</v>
      </c>
      <c r="AB99" s="18" t="n">
        <f aca="false">AA103</f>
        <v>42411.3062289773</v>
      </c>
      <c r="AC99" s="18" t="n">
        <f aca="false">AB103</f>
        <v>41909.0279572694</v>
      </c>
      <c r="AD99" s="18" t="n">
        <f aca="false">AC103</f>
        <v>41400.4712071651</v>
      </c>
      <c r="AE99" s="18" t="n">
        <f aca="false">AD103</f>
        <v>40885.5574976846</v>
      </c>
      <c r="AF99" s="18" t="n">
        <f aca="false">AE103</f>
        <v>40364.2073668355</v>
      </c>
      <c r="AG99" s="18" t="n">
        <f aca="false">AF103</f>
        <v>39836.3403593508</v>
      </c>
      <c r="AH99" s="18" t="n">
        <f aca="false">AG103</f>
        <v>39301.8750142726</v>
      </c>
      <c r="AI99" s="18" t="n">
        <f aca="false">AH103</f>
        <v>38760.7288523809</v>
      </c>
      <c r="AJ99" s="18" t="n">
        <f aca="false">AI103</f>
        <v>38212.8183634655</v>
      </c>
      <c r="AK99" s="18" t="n">
        <f aca="false">AJ103</f>
        <v>37658.0589934387</v>
      </c>
      <c r="AL99" s="18" t="n">
        <f aca="false">AK103</f>
        <v>37096.3651312866</v>
      </c>
      <c r="AM99" s="18" t="n">
        <f aca="false">AL103</f>
        <v>36527.6500958575</v>
      </c>
      <c r="AN99" s="18" t="n">
        <f aca="false">AM103</f>
        <v>35951.8261224856</v>
      </c>
      <c r="AO99" s="18" t="n">
        <f aca="false">AN103</f>
        <v>35368.8043494466</v>
      </c>
      <c r="AP99" s="18" t="n">
        <f aca="false">AO103</f>
        <v>34778.4948042445</v>
      </c>
      <c r="AQ99" s="18" t="n">
        <f aca="false">AP103</f>
        <v>34180.8063897275</v>
      </c>
      <c r="AR99" s="18" t="n">
        <f aca="false">AQ103</f>
        <v>33575.6468700289</v>
      </c>
      <c r="AS99" s="18" t="n">
        <f aca="false">AR103</f>
        <v>32962.9228563342</v>
      </c>
      <c r="AT99" s="18" t="n">
        <f aca="false">AS103</f>
        <v>32342.5397924682</v>
      </c>
      <c r="AU99" s="18" t="n">
        <f aca="false">AT103</f>
        <v>31714.401940304</v>
      </c>
      <c r="AV99" s="18" t="n">
        <f aca="false">AU103</f>
        <v>31078.4123649876</v>
      </c>
      <c r="AW99" s="18" t="n">
        <f aca="false">AV103</f>
        <v>30434.4729199798</v>
      </c>
      <c r="AX99" s="18" t="n">
        <f aca="false">AW103</f>
        <v>29782.4842319095</v>
      </c>
      <c r="AY99" s="18" t="n">
        <f aca="false">AX103</f>
        <v>29122.3456852382</v>
      </c>
      <c r="AZ99" s="18" t="n">
        <f aca="false">AY103</f>
        <v>28453.9554067336</v>
      </c>
      <c r="BA99" s="18" t="n">
        <f aca="false">AZ103</f>
        <v>27777.2102497476</v>
      </c>
      <c r="BB99" s="18" t="n">
        <f aca="false">BA103</f>
        <v>27092.0057782993</v>
      </c>
      <c r="BC99" s="18" t="n">
        <f aca="false">BB103</f>
        <v>26398.236250958</v>
      </c>
      <c r="BD99" s="18" t="n">
        <f aca="false">BC103</f>
        <v>25695.7946045248</v>
      </c>
      <c r="BE99" s="18" t="n">
        <f aca="false">BD103</f>
        <v>24984.5724375112</v>
      </c>
      <c r="BF99" s="18" t="n">
        <f aca="false">BE103</f>
        <v>24264.45999341</v>
      </c>
      <c r="BG99" s="18" t="n">
        <f aca="false">BF103</f>
        <v>23535.3461437575</v>
      </c>
      <c r="BH99" s="18" t="n">
        <f aca="false">BG103</f>
        <v>22797.1183709844</v>
      </c>
      <c r="BI99" s="18" t="n">
        <f aca="false">BH103</f>
        <v>22049.6627510515</v>
      </c>
      <c r="BJ99" s="18" t="n">
        <f aca="false">BI103</f>
        <v>21292.8639358696</v>
      </c>
      <c r="BK99" s="18" t="n">
        <f aca="false">BJ103</f>
        <v>20526.6051354978</v>
      </c>
      <c r="BL99" s="18" t="n">
        <f aca="false">BK103</f>
        <v>19750.7681001214</v>
      </c>
      <c r="BM99" s="18" t="n">
        <f aca="false">BL103</f>
        <v>18965.2331018028</v>
      </c>
      <c r="BN99" s="18" t="n">
        <f aca="false">BM103</f>
        <v>18169.8789160052</v>
      </c>
      <c r="BO99" s="18" t="n">
        <f aca="false">BN103</f>
        <v>17364.5828028852</v>
      </c>
      <c r="BP99" s="18" t="n">
        <f aca="false">BO103</f>
        <v>16549.2204883511</v>
      </c>
      <c r="BQ99" s="18" t="n">
        <f aca="false">BP103</f>
        <v>15723.6661448854</v>
      </c>
      <c r="BR99" s="18" t="n">
        <f aca="false">BQ103</f>
        <v>14887.7923721263</v>
      </c>
      <c r="BS99" s="18" t="n">
        <f aca="false">BR103</f>
        <v>14041.4701772078</v>
      </c>
      <c r="BT99" s="18" t="n">
        <f aca="false">BS103</f>
        <v>13184.5689548527</v>
      </c>
      <c r="BU99" s="18" t="n">
        <f aca="false">BT103</f>
        <v>12316.9564672183</v>
      </c>
      <c r="BV99" s="18" t="n">
        <f aca="false">BU103</f>
        <v>11438.4988234884</v>
      </c>
      <c r="BW99" s="18" t="n">
        <f aca="false">BV103</f>
        <v>10549.0604592118</v>
      </c>
      <c r="BX99" s="18" t="n">
        <f aca="false">BW103</f>
        <v>9648.50411538187</v>
      </c>
      <c r="BY99" s="18" t="n">
        <f aca="false">BX103</f>
        <v>8736.69081725402</v>
      </c>
      <c r="BZ99" s="18" t="n">
        <f aca="false">BY103</f>
        <v>7813.47985289957</v>
      </c>
      <c r="CA99" s="18" t="n">
        <f aca="false">BZ103</f>
        <v>6878.72875149069</v>
      </c>
      <c r="CB99" s="18" t="n">
        <f aca="false">CA103</f>
        <v>5932.2932613142</v>
      </c>
      <c r="CC99" s="18" t="n">
        <f aca="false">CB103</f>
        <v>4974.0273275105</v>
      </c>
      <c r="CD99" s="18" t="n">
        <f aca="false">CC103</f>
        <v>4003.78306953426</v>
      </c>
      <c r="CE99" s="18" t="n">
        <f aca="false">CD103</f>
        <v>3021.41075833331</v>
      </c>
      <c r="CF99" s="18" t="n">
        <f aca="false">CE103</f>
        <v>2026.75879324235</v>
      </c>
      <c r="CG99" s="18" t="n">
        <f aca="false">CF103</f>
        <v>1019.67367858776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491</v>
      </c>
      <c r="D100" s="11" t="s">
        <v>33</v>
      </c>
      <c r="I100" s="48" t="n">
        <f aca="false">SUM(J100:EO100)</f>
        <v>41454.0902328767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4485.81130136986</v>
      </c>
      <c r="S100" s="48" t="n">
        <f aca="false">-$E90*S70</f>
        <v>8873.44639726028</v>
      </c>
      <c r="T100" s="48" t="n">
        <f aca="false">-$E90*T70</f>
        <v>4437.05248287671</v>
      </c>
      <c r="U100" s="48" t="n">
        <f aca="false">-$E90*U70</f>
        <v>4485.81130136986</v>
      </c>
      <c r="V100" s="48" t="n">
        <f aca="false">-$E90*V70</f>
        <v>4485.81130136986</v>
      </c>
      <c r="W100" s="48" t="n">
        <f aca="false">-$E90*W70</f>
        <v>4388.29366438356</v>
      </c>
      <c r="X100" s="48" t="n">
        <f aca="false">-$E90*X70</f>
        <v>4437.05248287671</v>
      </c>
      <c r="Y100" s="48" t="n">
        <f aca="false">-$E90*Y70</f>
        <v>5860.81130136986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492</v>
      </c>
      <c r="D101" s="11" t="s">
        <v>33</v>
      </c>
      <c r="I101" s="48" t="n">
        <f aca="false">SUM(J101:EO101)</f>
        <v>1943.24619570398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56.0726412671233</v>
      </c>
      <c r="T101" s="48" t="n">
        <f aca="false">T99*$F22*(T$4&lt;=In_COD)</f>
        <v>167.691629248716</v>
      </c>
      <c r="U101" s="48" t="n">
        <f aca="false">U99*$F22*(U$4&lt;=In_COD)</f>
        <v>225.250930650284</v>
      </c>
      <c r="V101" s="48" t="n">
        <f aca="false">V99*$F22*(V$4&lt;=In_COD)</f>
        <v>284.139208550536</v>
      </c>
      <c r="W101" s="48" t="n">
        <f aca="false">W99*$F22*(W$4&lt;=In_COD)</f>
        <v>343.763589924541</v>
      </c>
      <c r="X101" s="48" t="n">
        <f aca="false">X99*$F22*(X$4&lt;=In_COD)</f>
        <v>402.914305603392</v>
      </c>
      <c r="Y101" s="48" t="n">
        <f aca="false">Y99*$F22*(Y$4&lt;=In_COD)</f>
        <v>463.413890459393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493</v>
      </c>
      <c r="D102" s="11" t="s">
        <v>33</v>
      </c>
      <c r="I102" s="48" t="n">
        <f aca="false">SUM(J102:EO102)</f>
        <v>-43397.3364285807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-489.952894212865</v>
      </c>
      <c r="AA102" s="48" t="n">
        <f aca="false">AA95+AA97</f>
        <v>-496.077305390526</v>
      </c>
      <c r="AB102" s="48" t="n">
        <f aca="false">AB95+AB97</f>
        <v>-502.278271707908</v>
      </c>
      <c r="AC102" s="48" t="n">
        <f aca="false">AC95+AC97</f>
        <v>-508.556750104257</v>
      </c>
      <c r="AD102" s="48" t="n">
        <f aca="false">AD95+AD97</f>
        <v>-514.91370948056</v>
      </c>
      <c r="AE102" s="48" t="n">
        <f aca="false">AE95+AE97</f>
        <v>-521.350130849067</v>
      </c>
      <c r="AF102" s="48" t="n">
        <f aca="false">AF95+AF97</f>
        <v>-527.86700748468</v>
      </c>
      <c r="AG102" s="48" t="n">
        <f aca="false">AG95+AG97</f>
        <v>-534.465345078239</v>
      </c>
      <c r="AH102" s="48" t="n">
        <f aca="false">AH95+AH97</f>
        <v>-541.146161891717</v>
      </c>
      <c r="AI102" s="48" t="n">
        <f aca="false">AI95+AI97</f>
        <v>-547.910488915363</v>
      </c>
      <c r="AJ102" s="48" t="n">
        <f aca="false">AJ95+AJ97</f>
        <v>-554.759370026805</v>
      </c>
      <c r="AK102" s="48" t="n">
        <f aca="false">AK95+AK97</f>
        <v>-561.69386215214</v>
      </c>
      <c r="AL102" s="48" t="n">
        <f aca="false">AL95+AL97</f>
        <v>-568.715035429042</v>
      </c>
      <c r="AM102" s="48" t="n">
        <f aca="false">AM95+AM97</f>
        <v>-575.823973371905</v>
      </c>
      <c r="AN102" s="48" t="n">
        <f aca="false">AN95+AN97</f>
        <v>-583.021773039054</v>
      </c>
      <c r="AO102" s="48" t="n">
        <f aca="false">AO95+AO97</f>
        <v>-590.309545202042</v>
      </c>
      <c r="AP102" s="48" t="n">
        <f aca="false">AP95+AP97</f>
        <v>-597.688414517067</v>
      </c>
      <c r="AQ102" s="48" t="n">
        <f aca="false">AQ95+AQ97</f>
        <v>-605.159519698531</v>
      </c>
      <c r="AR102" s="48" t="n">
        <f aca="false">AR95+AR97</f>
        <v>-612.724013694762</v>
      </c>
      <c r="AS102" s="48" t="n">
        <f aca="false">AS95+AS97</f>
        <v>-620.383063865947</v>
      </c>
      <c r="AT102" s="48" t="n">
        <f aca="false">AT95+AT97</f>
        <v>-628.137852164271</v>
      </c>
      <c r="AU102" s="48" t="n">
        <f aca="false">AU95+AU97</f>
        <v>-635.989575316325</v>
      </c>
      <c r="AV102" s="48" t="n">
        <f aca="false">AV95+AV97</f>
        <v>-643.939445007779</v>
      </c>
      <c r="AW102" s="48" t="n">
        <f aca="false">AW95+AW97</f>
        <v>-651.988688070376</v>
      </c>
      <c r="AX102" s="48" t="n">
        <f aca="false">AX95+AX97</f>
        <v>-660.138546671256</v>
      </c>
      <c r="AY102" s="48" t="n">
        <f aca="false">AY95+AY97</f>
        <v>-668.390278504646</v>
      </c>
      <c r="AZ102" s="48" t="n">
        <f aca="false">AZ95+AZ97</f>
        <v>-676.745156985954</v>
      </c>
      <c r="BA102" s="48" t="n">
        <f aca="false">BA95+BA97</f>
        <v>-685.204471448279</v>
      </c>
      <c r="BB102" s="48" t="n">
        <f aca="false">BB95+BB97</f>
        <v>-693.769527341382</v>
      </c>
      <c r="BC102" s="48" t="n">
        <f aca="false">BC95+BC97</f>
        <v>-702.44164643315</v>
      </c>
      <c r="BD102" s="48" t="n">
        <f aca="false">BD95+BD97</f>
        <v>-711.222167013564</v>
      </c>
      <c r="BE102" s="48" t="n">
        <f aca="false">BE95+BE97</f>
        <v>-720.112444101234</v>
      </c>
      <c r="BF102" s="48" t="n">
        <f aca="false">BF95+BF97</f>
        <v>-729.113849652499</v>
      </c>
      <c r="BG102" s="48" t="n">
        <f aca="false">BG95+BG97</f>
        <v>-738.227772773155</v>
      </c>
      <c r="BH102" s="48" t="n">
        <f aca="false">BH95+BH97</f>
        <v>-747.45561993282</v>
      </c>
      <c r="BI102" s="48" t="n">
        <f aca="false">BI95+BI97</f>
        <v>-756.79881518198</v>
      </c>
      <c r="BJ102" s="48" t="n">
        <f aca="false">BJ95+BJ97</f>
        <v>-766.258800371755</v>
      </c>
      <c r="BK102" s="48" t="n">
        <f aca="false">BK95+BK97</f>
        <v>-775.837035376401</v>
      </c>
      <c r="BL102" s="48" t="n">
        <f aca="false">BL95+BL97</f>
        <v>-785.534998318607</v>
      </c>
      <c r="BM102" s="48" t="n">
        <f aca="false">BM95+BM97</f>
        <v>-795.354185797589</v>
      </c>
      <c r="BN102" s="48" t="n">
        <f aca="false">BN95+BN97</f>
        <v>-805.296113120059</v>
      </c>
      <c r="BO102" s="48" t="n">
        <f aca="false">BO95+BO97</f>
        <v>-815.36231453406</v>
      </c>
      <c r="BP102" s="48" t="n">
        <f aca="false">BP95+BP97</f>
        <v>-825.554343465735</v>
      </c>
      <c r="BQ102" s="48" t="n">
        <f aca="false">BQ95+BQ97</f>
        <v>-835.873772759057</v>
      </c>
      <c r="BR102" s="48" t="n">
        <f aca="false">BR95+BR97</f>
        <v>-846.322194918545</v>
      </c>
      <c r="BS102" s="48" t="n">
        <f aca="false">BS95+BS97</f>
        <v>-856.901222355027</v>
      </c>
      <c r="BT102" s="48" t="n">
        <f aca="false">BT95+BT97</f>
        <v>-867.612487634465</v>
      </c>
      <c r="BU102" s="48" t="n">
        <f aca="false">BU95+BU97</f>
        <v>-878.457643729896</v>
      </c>
      <c r="BV102" s="48" t="n">
        <f aca="false">BV95+BV97</f>
        <v>-889.43836427652</v>
      </c>
      <c r="BW102" s="48" t="n">
        <f aca="false">BW95+BW97</f>
        <v>-900.556343829976</v>
      </c>
      <c r="BX102" s="48" t="n">
        <f aca="false">BX95+BX97</f>
        <v>-911.813298127851</v>
      </c>
      <c r="BY102" s="48" t="n">
        <f aca="false">BY95+BY97</f>
        <v>-923.210964354449</v>
      </c>
      <c r="BZ102" s="48" t="n">
        <f aca="false">BZ95+BZ97</f>
        <v>-934.75110140888</v>
      </c>
      <c r="CA102" s="48" t="n">
        <f aca="false">CA95+CA97</f>
        <v>-946.435490176491</v>
      </c>
      <c r="CB102" s="48" t="n">
        <f aca="false">CB95+CB97</f>
        <v>-958.265933803697</v>
      </c>
      <c r="CC102" s="48" t="n">
        <f aca="false">CC95+CC97</f>
        <v>-970.244257976243</v>
      </c>
      <c r="CD102" s="48" t="n">
        <f aca="false">CD95+CD97</f>
        <v>-982.372311200946</v>
      </c>
      <c r="CE102" s="48" t="n">
        <f aca="false">CE95+CE97</f>
        <v>-994.651965090958</v>
      </c>
      <c r="CF102" s="48" t="n">
        <f aca="false">CF95+CF97</f>
        <v>-1007.08511465459</v>
      </c>
      <c r="CG102" s="48" t="n">
        <f aca="false">CG95+CG97</f>
        <v>-1019.67367858776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494</v>
      </c>
      <c r="D103" s="11" t="s">
        <v>33</v>
      </c>
      <c r="E103" s="57" t="n">
        <f aca="false">SUMIF($J$4:$EO$4,In_COD,$J103:$EO103)</f>
        <v>43397.3364285807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4485.81130136986</v>
      </c>
      <c r="S103" s="57" t="n">
        <f aca="false">SUM(S99:S102)</f>
        <v>13415.3303398973</v>
      </c>
      <c r="T103" s="57" t="n">
        <f aca="false">SUM(T99:T102)</f>
        <v>18020.0744520227</v>
      </c>
      <c r="U103" s="57" t="n">
        <f aca="false">SUM(U99:U102)</f>
        <v>22731.1366840428</v>
      </c>
      <c r="V103" s="57" t="n">
        <f aca="false">SUM(V99:V102)</f>
        <v>27501.0871939632</v>
      </c>
      <c r="W103" s="57" t="n">
        <f aca="false">SUM(W99:W102)</f>
        <v>32233.1444482713</v>
      </c>
      <c r="X103" s="57" t="n">
        <f aca="false">SUM(X99:X102)</f>
        <v>37073.1112367514</v>
      </c>
      <c r="Y103" s="57" t="n">
        <f aca="false">SUM(Y99:Y102)</f>
        <v>43397.3364285807</v>
      </c>
      <c r="Z103" s="57" t="n">
        <f aca="false">SUM(Z99:Z102)</f>
        <v>42907.3835343678</v>
      </c>
      <c r="AA103" s="57" t="n">
        <f aca="false">SUM(AA99:AA102)</f>
        <v>42411.3062289773</v>
      </c>
      <c r="AB103" s="57" t="n">
        <f aca="false">SUM(AB99:AB102)</f>
        <v>41909.0279572694</v>
      </c>
      <c r="AC103" s="57" t="n">
        <f aca="false">SUM(AC99:AC102)</f>
        <v>41400.4712071651</v>
      </c>
      <c r="AD103" s="57" t="n">
        <f aca="false">SUM(AD99:AD102)</f>
        <v>40885.5574976846</v>
      </c>
      <c r="AE103" s="57" t="n">
        <f aca="false">SUM(AE99:AE102)</f>
        <v>40364.2073668355</v>
      </c>
      <c r="AF103" s="57" t="n">
        <f aca="false">SUM(AF99:AF102)</f>
        <v>39836.3403593508</v>
      </c>
      <c r="AG103" s="57" t="n">
        <f aca="false">SUM(AG99:AG102)</f>
        <v>39301.8750142726</v>
      </c>
      <c r="AH103" s="57" t="n">
        <f aca="false">SUM(AH99:AH102)</f>
        <v>38760.7288523809</v>
      </c>
      <c r="AI103" s="57" t="n">
        <f aca="false">SUM(AI99:AI102)</f>
        <v>38212.8183634655</v>
      </c>
      <c r="AJ103" s="57" t="n">
        <f aca="false">SUM(AJ99:AJ102)</f>
        <v>37658.0589934387</v>
      </c>
      <c r="AK103" s="57" t="n">
        <f aca="false">SUM(AK99:AK102)</f>
        <v>37096.3651312866</v>
      </c>
      <c r="AL103" s="57" t="n">
        <f aca="false">SUM(AL99:AL102)</f>
        <v>36527.6500958575</v>
      </c>
      <c r="AM103" s="57" t="n">
        <f aca="false">SUM(AM99:AM102)</f>
        <v>35951.8261224856</v>
      </c>
      <c r="AN103" s="57" t="n">
        <f aca="false">SUM(AN99:AN102)</f>
        <v>35368.8043494466</v>
      </c>
      <c r="AO103" s="57" t="n">
        <f aca="false">SUM(AO99:AO102)</f>
        <v>34778.4948042445</v>
      </c>
      <c r="AP103" s="57" t="n">
        <f aca="false">SUM(AP99:AP102)</f>
        <v>34180.8063897275</v>
      </c>
      <c r="AQ103" s="57" t="n">
        <f aca="false">SUM(AQ99:AQ102)</f>
        <v>33575.6468700289</v>
      </c>
      <c r="AR103" s="57" t="n">
        <f aca="false">SUM(AR99:AR102)</f>
        <v>32962.9228563342</v>
      </c>
      <c r="AS103" s="57" t="n">
        <f aca="false">SUM(AS99:AS102)</f>
        <v>32342.5397924682</v>
      </c>
      <c r="AT103" s="57" t="n">
        <f aca="false">SUM(AT99:AT102)</f>
        <v>31714.401940304</v>
      </c>
      <c r="AU103" s="57" t="n">
        <f aca="false">SUM(AU99:AU102)</f>
        <v>31078.4123649876</v>
      </c>
      <c r="AV103" s="57" t="n">
        <f aca="false">SUM(AV99:AV102)</f>
        <v>30434.4729199798</v>
      </c>
      <c r="AW103" s="57" t="n">
        <f aca="false">SUM(AW99:AW102)</f>
        <v>29782.4842319095</v>
      </c>
      <c r="AX103" s="57" t="n">
        <f aca="false">SUM(AX99:AX102)</f>
        <v>29122.3456852382</v>
      </c>
      <c r="AY103" s="57" t="n">
        <f aca="false">SUM(AY99:AY102)</f>
        <v>28453.9554067336</v>
      </c>
      <c r="AZ103" s="57" t="n">
        <f aca="false">SUM(AZ99:AZ102)</f>
        <v>27777.2102497476</v>
      </c>
      <c r="BA103" s="57" t="n">
        <f aca="false">SUM(BA99:BA102)</f>
        <v>27092.0057782993</v>
      </c>
      <c r="BB103" s="57" t="n">
        <f aca="false">SUM(BB99:BB102)</f>
        <v>26398.236250958</v>
      </c>
      <c r="BC103" s="57" t="n">
        <f aca="false">SUM(BC99:BC102)</f>
        <v>25695.7946045248</v>
      </c>
      <c r="BD103" s="57" t="n">
        <f aca="false">SUM(BD99:BD102)</f>
        <v>24984.5724375112</v>
      </c>
      <c r="BE103" s="57" t="n">
        <f aca="false">SUM(BE99:BE102)</f>
        <v>24264.45999341</v>
      </c>
      <c r="BF103" s="57" t="n">
        <f aca="false">SUM(BF99:BF102)</f>
        <v>23535.3461437575</v>
      </c>
      <c r="BG103" s="57" t="n">
        <f aca="false">SUM(BG99:BG102)</f>
        <v>22797.1183709844</v>
      </c>
      <c r="BH103" s="57" t="n">
        <f aca="false">SUM(BH99:BH102)</f>
        <v>22049.6627510515</v>
      </c>
      <c r="BI103" s="57" t="n">
        <f aca="false">SUM(BI99:BI102)</f>
        <v>21292.8639358696</v>
      </c>
      <c r="BJ103" s="57" t="n">
        <f aca="false">SUM(BJ99:BJ102)</f>
        <v>20526.6051354978</v>
      </c>
      <c r="BK103" s="57" t="n">
        <f aca="false">SUM(BK99:BK102)</f>
        <v>19750.7681001214</v>
      </c>
      <c r="BL103" s="57" t="n">
        <f aca="false">SUM(BL99:BL102)</f>
        <v>18965.2331018028</v>
      </c>
      <c r="BM103" s="57" t="n">
        <f aca="false">SUM(BM99:BM102)</f>
        <v>18169.8789160052</v>
      </c>
      <c r="BN103" s="57" t="n">
        <f aca="false">SUM(BN99:BN102)</f>
        <v>17364.5828028852</v>
      </c>
      <c r="BO103" s="57" t="n">
        <f aca="false">SUM(BO99:BO102)</f>
        <v>16549.2204883511</v>
      </c>
      <c r="BP103" s="57" t="n">
        <f aca="false">SUM(BP99:BP102)</f>
        <v>15723.6661448854</v>
      </c>
      <c r="BQ103" s="57" t="n">
        <f aca="false">SUM(BQ99:BQ102)</f>
        <v>14887.7923721263</v>
      </c>
      <c r="BR103" s="57" t="n">
        <f aca="false">SUM(BR99:BR102)</f>
        <v>14041.4701772078</v>
      </c>
      <c r="BS103" s="57" t="n">
        <f aca="false">SUM(BS99:BS102)</f>
        <v>13184.5689548527</v>
      </c>
      <c r="BT103" s="57" t="n">
        <f aca="false">SUM(BT99:BT102)</f>
        <v>12316.9564672183</v>
      </c>
      <c r="BU103" s="57" t="n">
        <f aca="false">SUM(BU99:BU102)</f>
        <v>11438.4988234884</v>
      </c>
      <c r="BV103" s="57" t="n">
        <f aca="false">SUM(BV99:BV102)</f>
        <v>10549.0604592118</v>
      </c>
      <c r="BW103" s="57" t="n">
        <f aca="false">SUM(BW99:BW102)</f>
        <v>9648.50411538187</v>
      </c>
      <c r="BX103" s="57" t="n">
        <f aca="false">SUM(BX99:BX102)</f>
        <v>8736.69081725402</v>
      </c>
      <c r="BY103" s="57" t="n">
        <f aca="false">SUM(BY99:BY102)</f>
        <v>7813.47985289957</v>
      </c>
      <c r="BZ103" s="57" t="n">
        <f aca="false">SUM(BZ99:BZ102)</f>
        <v>6878.72875149069</v>
      </c>
      <c r="CA103" s="57" t="n">
        <f aca="false">SUM(CA99:CA102)</f>
        <v>5932.2932613142</v>
      </c>
      <c r="CB103" s="57" t="n">
        <f aca="false">SUM(CB99:CB102)</f>
        <v>4974.0273275105</v>
      </c>
      <c r="CC103" s="57" t="n">
        <f aca="false">SUM(CC99:CC102)</f>
        <v>4003.78306953426</v>
      </c>
      <c r="CD103" s="57" t="n">
        <f aca="false">SUM(CD99:CD102)</f>
        <v>3021.41075833331</v>
      </c>
      <c r="CE103" s="57" t="n">
        <f aca="false">SUM(CE99:CE102)</f>
        <v>2026.75879324235</v>
      </c>
      <c r="CF103" s="57" t="n">
        <f aca="false">SUM(CF99:CF102)</f>
        <v>1019.67367858776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495</v>
      </c>
      <c r="D104" s="11" t="s">
        <v>33</v>
      </c>
      <c r="I104" s="48" t="n">
        <f aca="false">SUM(J104:EO104)</f>
        <v>-759.453387500162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-759.453387500162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496</v>
      </c>
      <c r="D105" s="11" t="s">
        <v>33</v>
      </c>
      <c r="I105" s="48" t="n">
        <f aca="false">SUM(J105:EO105)</f>
        <v>-405.26981433054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-94.0383197611559</v>
      </c>
      <c r="S105" s="48" t="n">
        <f aca="false">-In_Commitment_Fee*($I100-SUM($J100:S100)+S100)*S$6*(S12&gt;0)</f>
        <v>-82.0391943411522</v>
      </c>
      <c r="T105" s="48" t="n">
        <f aca="false">-In_Commitment_Fee*($I100-SUM($J100:T100)+T100)*T$6*(T12&gt;0)</f>
        <v>-63.0401858782135</v>
      </c>
      <c r="U105" s="48" t="n">
        <f aca="false">-In_Commitment_Fee*($I100-SUM($J100:U100)+U100)*U$6*(U12&gt;0)</f>
        <v>-53.6675120069431</v>
      </c>
      <c r="V105" s="48" t="n">
        <f aca="false">-In_Commitment_Fee*($I100-SUM($J100:V100)+V100)*V$6*(V12&gt;0)</f>
        <v>-43.4914797945205</v>
      </c>
      <c r="W105" s="48" t="n">
        <f aca="false">-In_Commitment_Fee*($I100-SUM($J100:W100)+W100)*W$6*(W12&gt;0)</f>
        <v>-32.5911987216175</v>
      </c>
      <c r="X105" s="48" t="n">
        <f aca="false">-In_Commitment_Fee*($I100-SUM($J100:X100)+X100)*X$6*(X12&gt;0)</f>
        <v>-23.1067135323231</v>
      </c>
      <c r="Y105" s="48" t="n">
        <f aca="false">-In_Commitment_Fee*($I100-SUM($J100:Y100)+Y100)*Y$6*(Y12&gt;0)</f>
        <v>-13.2952102946144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497</v>
      </c>
      <c r="D106" s="11" t="s">
        <v>33</v>
      </c>
      <c r="E106" s="48" t="n">
        <f aca="false">-SUMIFS($J96:$EO96,$J$4:$EO$4,"&gt;"&amp;In_COD,$J$4:$EO$4,"&lt;="&amp;EDATE(In_COD,In_DSRA_Months))</f>
        <v>1032.41959957012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-1032.41959957012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1032.41959957012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498</v>
      </c>
      <c r="D107" s="11" t="s">
        <v>13</v>
      </c>
      <c r="E107" s="53" t="n">
        <f aca="false">MIN($J107:$EO107)</f>
        <v>2.14598356038329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2.23102811719097</v>
      </c>
      <c r="AA107" s="53" t="n">
        <f aca="false">IF(AA96&lt;0,AA87/-AA96,"")</f>
        <v>2.19712061273178</v>
      </c>
      <c r="AB107" s="53" t="n">
        <f aca="false">IF(AB96&lt;0,AB87/-AB96,"")</f>
        <v>2.22064967859919</v>
      </c>
      <c r="AC107" s="53" t="n">
        <f aca="false">IF(AC96&lt;0,AC87/-AC96,"")</f>
        <v>2.24417311361077</v>
      </c>
      <c r="AD107" s="53" t="n">
        <f aca="false">IF(AD96&lt;0,AD87/-AD96,"")</f>
        <v>2.23611894754391</v>
      </c>
      <c r="AE107" s="53" t="n">
        <f aca="false">IF(AE96&lt;0,AE87/-AE96,"")</f>
        <v>2.17194554247854</v>
      </c>
      <c r="AF107" s="53" t="n">
        <f aca="false">IF(AF96&lt;0,AF87/-AF96,"")</f>
        <v>2.16595693635132</v>
      </c>
      <c r="AG107" s="53" t="n">
        <f aca="false">IF(AG96&lt;0,AG87/-AG96,"")</f>
        <v>2.18799442598121</v>
      </c>
      <c r="AH107" s="53" t="n">
        <f aca="false">IF(AH96&lt;0,AH87/-AH96,"")</f>
        <v>2.18000276694187</v>
      </c>
      <c r="AI107" s="53" t="n">
        <f aca="false">IF(AI96&lt;0,AI87/-AI96,"")</f>
        <v>2.14598356038329</v>
      </c>
      <c r="AJ107" s="53" t="n">
        <f aca="false">IF(AJ96&lt;0,AJ87/-AJ96,"")</f>
        <v>2.19534779308539</v>
      </c>
      <c r="AK107" s="53" t="n">
        <f aca="false">IF(AK96&lt;0,AK87/-AK96,"")</f>
        <v>2.2177023554493</v>
      </c>
      <c r="AL107" s="53" t="n">
        <f aca="false">IF(AL96&lt;0,AL87/-AL96,"")</f>
        <v>2.20961686236351</v>
      </c>
      <c r="AM107" s="53" t="n">
        <f aca="false">IF(AM96&lt;0,AM87/-AM96,"")</f>
        <v>2.17469397238338</v>
      </c>
      <c r="AN107" s="53" t="n">
        <f aca="false">IF(AN96&lt;0,AN87/-AN96,"")</f>
        <v>2.19707437578595</v>
      </c>
      <c r="AO107" s="53" t="n">
        <f aca="false">IF(AO96&lt;0,AO87/-AO96,"")</f>
        <v>2.21944170710584</v>
      </c>
      <c r="AP107" s="53" t="n">
        <f aca="false">IF(AP96&lt;0,AP87/-AP96,"")</f>
        <v>2.21125971572539</v>
      </c>
      <c r="AQ107" s="53" t="n">
        <f aca="false">IF(AQ96&lt;0,AQ87/-AQ96,"")</f>
        <v>2.17602824902814</v>
      </c>
      <c r="AR107" s="53" t="n">
        <f aca="false">IF(AR96&lt;0,AR87/-AR96,"")</f>
        <v>2.1984175580676</v>
      </c>
      <c r="AS107" s="53" t="n">
        <f aca="false">IF(AS96&lt;0,AS87/-AS96,"")</f>
        <v>2.2207931290627</v>
      </c>
      <c r="AT107" s="53" t="n">
        <f aca="false">IF(AT96&lt;0,AT87/-AT96,"")</f>
        <v>2.21251184919427</v>
      </c>
      <c r="AU107" s="53" t="n">
        <f aca="false">IF(AU96&lt;0,AU87/-AU96,"")</f>
        <v>2.20051536518427</v>
      </c>
      <c r="AV107" s="53" t="n">
        <f aca="false">IF(AV96&lt;0,AV87/-AV96,"")</f>
        <v>2.19936033049274</v>
      </c>
      <c r="AW107" s="53" t="n">
        <f aca="false">IF(AW96&lt;0,AW87/-AW96,"")</f>
        <v>2.22173940886215</v>
      </c>
      <c r="AX107" s="53" t="n">
        <f aca="false">IF(AX96&lt;0,AX87/-AX96,"")</f>
        <v>2.21335591792084</v>
      </c>
      <c r="AY107" s="53" t="n">
        <f aca="false">IF(AY96&lt;0,AY87/-AY96,"")</f>
        <v>2.17749215604836</v>
      </c>
      <c r="AZ107" s="53" t="n">
        <f aca="false">IF(AZ96&lt;0,AZ87/-AZ96,"")</f>
        <v>2.1998849713019</v>
      </c>
      <c r="BA107" s="53" t="n">
        <f aca="false">IF(BA96&lt;0,BA87/-BA96,"")</f>
        <v>2.22226261307639</v>
      </c>
      <c r="BB107" s="53" t="n">
        <f aca="false">IF(BB96&lt;0,BB87/-BB96,"")</f>
        <v>2.21377384930841</v>
      </c>
      <c r="BC107" s="53" t="n">
        <f aca="false">IF(BC96&lt;0,BC87/-BC96,"")</f>
        <v>2.17758602752475</v>
      </c>
      <c r="BD107" s="53" t="n">
        <f aca="false">IF(BD96&lt;0,BD87/-BD96,"")</f>
        <v>2.19997301452356</v>
      </c>
      <c r="BE107" s="53" t="n">
        <f aca="false">IF(BE96&lt;0,BE87/-BE96,"")</f>
        <v>2.22234405502534</v>
      </c>
      <c r="BF107" s="53" t="n">
        <f aca="false">IF(BF96&lt;0,BF87/-BF96,"")</f>
        <v>2.21374681038294</v>
      </c>
      <c r="BG107" s="53" t="n">
        <f aca="false">IF(BG96&lt;0,BG87/-BG96,"")</f>
        <v>2.17722941328303</v>
      </c>
      <c r="BH107" s="53" t="n">
        <f aca="false">IF(BH96&lt;0,BH87/-BH96,"")</f>
        <v>2.19960521657102</v>
      </c>
      <c r="BI107" s="53" t="n">
        <f aca="false">IF(BI96&lt;0,BI87/-BI96,"")</f>
        <v>2.22196426096232</v>
      </c>
      <c r="BJ107" s="53" t="n">
        <f aca="false">IF(BJ96&lt;0,BJ87/-BJ96,"")</f>
        <v>2.21325517361327</v>
      </c>
      <c r="BK107" s="53" t="n">
        <f aca="false">IF(BK96&lt;0,BK87/-BK96,"")</f>
        <v>2.20017053599901</v>
      </c>
      <c r="BL107" s="53" t="n">
        <f aca="false">IF(BL96&lt;0,BL87/-BL96,"")</f>
        <v>2.19876152125158</v>
      </c>
      <c r="BM107" s="53" t="n">
        <f aca="false">IF(BM96&lt;0,BM87/-BM96,"")</f>
        <v>2.2211029346527</v>
      </c>
      <c r="BN107" s="53" t="n">
        <f aca="false">IF(BN96&lt;0,BN87/-BN96,"")</f>
        <v>2.2122784811055</v>
      </c>
      <c r="BO107" s="53" t="n">
        <f aca="false">IF(BO96&lt;0,BO87/-BO96,"")</f>
        <v>2.17508461598579</v>
      </c>
      <c r="BP107" s="53" t="n">
        <f aca="false">IF(BP96&lt;0,BP87/-BP96,"")</f>
        <v>2.19742102311024</v>
      </c>
      <c r="BQ107" s="53" t="n">
        <f aca="false">IF(BQ96&lt;0,BQ87/-BQ96,"")</f>
        <v>2.21973892026622</v>
      </c>
      <c r="BR107" s="53" t="n">
        <f aca="false">IF(BR96&lt;0,BR87/-BR96,"")</f>
        <v>2.21079540709149</v>
      </c>
      <c r="BS107" s="53" t="n">
        <f aca="false">IF(BS96&lt;0,BS87/-BS96,"")</f>
        <v>2.17325424158655</v>
      </c>
      <c r="BT107" s="53" t="n">
        <f aca="false">IF(BT96&lt;0,BT87/-BT96,"")</f>
        <v>2.19556192902585</v>
      </c>
      <c r="BU107" s="53" t="n">
        <f aca="false">IF(BU96&lt;0,BU87/-BU96,"")</f>
        <v>2.2178501635001</v>
      </c>
      <c r="BV107" s="53" t="n">
        <f aca="false">IF(BV96&lt;0,BV87/-BV96,"")</f>
        <v>2.20878371862746</v>
      </c>
      <c r="BW107" s="53" t="n">
        <f aca="false">IF(BW96&lt;0,BW87/-BW96,"")</f>
        <v>2.17088892109846</v>
      </c>
      <c r="BX107" s="53" t="n">
        <f aca="false">IF(BX96&lt;0,BX87/-BX96,"")</f>
        <v>2.19316151797359</v>
      </c>
      <c r="BY107" s="53" t="n">
        <f aca="false">IF(BY96&lt;0,BY87/-BY96,"")</f>
        <v>2.21541367084581</v>
      </c>
      <c r="BZ107" s="53" t="n">
        <f aca="false">IF(BZ96&lt;0,BZ87/-BZ96,"")</f>
        <v>2.20622023441461</v>
      </c>
      <c r="CA107" s="53" t="n">
        <f aca="false">IF(CA96&lt;0,CA87/-CA96,"")</f>
        <v>2.19191494122645</v>
      </c>
      <c r="CB107" s="53" t="n">
        <f aca="false">IF(CB96&lt;0,CB87/-CB96,"")</f>
        <v>2.1901960988635</v>
      </c>
      <c r="CC107" s="53" t="n">
        <f aca="false">IF(CC96&lt;0,CC87/-CC96,"")</f>
        <v>2.21240546690797</v>
      </c>
      <c r="CD107" s="53" t="n">
        <f aca="false">IF(CD96&lt;0,CD87/-CD96,"")</f>
        <v>2.20308078164896</v>
      </c>
      <c r="CE107" s="53" t="n">
        <f aca="false">IF(CE96&lt;0,CE87/-CE96,"")</f>
        <v>2.16445880292382</v>
      </c>
      <c r="CF107" s="53" t="n">
        <f aca="false">IF(CF96&lt;0,CF87/-CF96,"")</f>
        <v>2.18664096636005</v>
      </c>
      <c r="CG107" s="53" t="n">
        <f aca="false">IF(CG96&lt;0,CG87/-CG96,"")</f>
        <v>2.20880054967925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499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500</v>
      </c>
      <c r="D110" s="11" t="s">
        <v>33</v>
      </c>
      <c r="E110" s="48" t="n">
        <f aca="false">$I101-($I68+$I58+$I69+$I55+$I48+$I49+$I50)</f>
        <v>83080.7577025533</v>
      </c>
      <c r="I110" s="48" t="n">
        <f aca="false">SUM(J110:EO110)</f>
        <v>-83080.7577025533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-1046.32850220875</v>
      </c>
      <c r="AA110" s="48" t="n">
        <f aca="false">-$E110*AA20</f>
        <v>-1023.5822304216</v>
      </c>
      <c r="AB110" s="48" t="n">
        <f aca="false">-$E110*AB20</f>
        <v>-1034.95536631517</v>
      </c>
      <c r="AC110" s="48" t="n">
        <f aca="false">-$E110*AC20</f>
        <v>-1046.32850220875</v>
      </c>
      <c r="AD110" s="48" t="n">
        <f aca="false">-$E110*AD20</f>
        <v>-1046.32850220875</v>
      </c>
      <c r="AE110" s="48" t="n">
        <f aca="false">-$E110*AE20</f>
        <v>-1034.95536631517</v>
      </c>
      <c r="AF110" s="48" t="n">
        <f aca="false">-$E110*AF20</f>
        <v>-1034.95536631517</v>
      </c>
      <c r="AG110" s="48" t="n">
        <f aca="false">-$E110*AG20</f>
        <v>-1046.32850220875</v>
      </c>
      <c r="AH110" s="48" t="n">
        <f aca="false">-$E110*AH20</f>
        <v>-1046.32850220875</v>
      </c>
      <c r="AI110" s="48" t="n">
        <f aca="false">-$E110*AI20</f>
        <v>-1023.5822304216</v>
      </c>
      <c r="AJ110" s="48" t="n">
        <f aca="false">-$E110*AJ20</f>
        <v>-1034.95536631517</v>
      </c>
      <c r="AK110" s="48" t="n">
        <f aca="false">-$E110*AK20</f>
        <v>-1046.32850220875</v>
      </c>
      <c r="AL110" s="48" t="n">
        <f aca="false">-$E110*AL20</f>
        <v>-1046.32850220875</v>
      </c>
      <c r="AM110" s="48" t="n">
        <f aca="false">-$E110*AM20</f>
        <v>-1023.5822304216</v>
      </c>
      <c r="AN110" s="48" t="n">
        <f aca="false">-$E110*AN20</f>
        <v>-1034.95536631517</v>
      </c>
      <c r="AO110" s="48" t="n">
        <f aca="false">-$E110*AO20</f>
        <v>-1046.32850220875</v>
      </c>
      <c r="AP110" s="48" t="n">
        <f aca="false">-$E110*AP20</f>
        <v>-1046.32850220875</v>
      </c>
      <c r="AQ110" s="48" t="n">
        <f aca="false">-$E110*AQ20</f>
        <v>-1023.5822304216</v>
      </c>
      <c r="AR110" s="48" t="n">
        <f aca="false">-$E110*AR20</f>
        <v>-1034.95536631517</v>
      </c>
      <c r="AS110" s="48" t="n">
        <f aca="false">-$E110*AS20</f>
        <v>-1046.32850220875</v>
      </c>
      <c r="AT110" s="48" t="n">
        <f aca="false">-$E110*AT20</f>
        <v>-1046.32850220875</v>
      </c>
      <c r="AU110" s="48" t="n">
        <f aca="false">-$E110*AU20</f>
        <v>-1034.95536631517</v>
      </c>
      <c r="AV110" s="48" t="n">
        <f aca="false">-$E110*AV20</f>
        <v>-1034.95536631517</v>
      </c>
      <c r="AW110" s="48" t="n">
        <f aca="false">-$E110*AW20</f>
        <v>-1046.32850220875</v>
      </c>
      <c r="AX110" s="48" t="n">
        <f aca="false">-$E110*AX20</f>
        <v>-1046.32850220875</v>
      </c>
      <c r="AY110" s="48" t="n">
        <f aca="false">-$E110*AY20</f>
        <v>-1023.5822304216</v>
      </c>
      <c r="AZ110" s="48" t="n">
        <f aca="false">-$E110*AZ20</f>
        <v>-1034.95536631517</v>
      </c>
      <c r="BA110" s="48" t="n">
        <f aca="false">-$E110*BA20</f>
        <v>-1046.32850220875</v>
      </c>
      <c r="BB110" s="48" t="n">
        <f aca="false">-$E110*BB20</f>
        <v>-1046.32850220875</v>
      </c>
      <c r="BC110" s="48" t="n">
        <f aca="false">-$E110*BC20</f>
        <v>-1023.5822304216</v>
      </c>
      <c r="BD110" s="48" t="n">
        <f aca="false">-$E110*BD20</f>
        <v>-1034.95536631517</v>
      </c>
      <c r="BE110" s="48" t="n">
        <f aca="false">-$E110*BE20</f>
        <v>-1046.32850220875</v>
      </c>
      <c r="BF110" s="48" t="n">
        <f aca="false">-$E110*BF20</f>
        <v>-1046.32850220875</v>
      </c>
      <c r="BG110" s="48" t="n">
        <f aca="false">-$E110*BG20</f>
        <v>-1023.5822304216</v>
      </c>
      <c r="BH110" s="48" t="n">
        <f aca="false">-$E110*BH20</f>
        <v>-1034.95536631517</v>
      </c>
      <c r="BI110" s="48" t="n">
        <f aca="false">-$E110*BI20</f>
        <v>-1046.32850220875</v>
      </c>
      <c r="BJ110" s="48" t="n">
        <f aca="false">-$E110*BJ20</f>
        <v>-1046.32850220875</v>
      </c>
      <c r="BK110" s="48" t="n">
        <f aca="false">-$E110*BK20</f>
        <v>-1034.95536631517</v>
      </c>
      <c r="BL110" s="48" t="n">
        <f aca="false">-$E110*BL20</f>
        <v>-1034.95536631517</v>
      </c>
      <c r="BM110" s="48" t="n">
        <f aca="false">-$E110*BM20</f>
        <v>-1046.32850220875</v>
      </c>
      <c r="BN110" s="48" t="n">
        <f aca="false">-$E110*BN20</f>
        <v>-1046.32850220875</v>
      </c>
      <c r="BO110" s="48" t="n">
        <f aca="false">-$E110*BO20</f>
        <v>-1023.5822304216</v>
      </c>
      <c r="BP110" s="48" t="n">
        <f aca="false">-$E110*BP20</f>
        <v>-1034.95536631517</v>
      </c>
      <c r="BQ110" s="48" t="n">
        <f aca="false">-$E110*BQ20</f>
        <v>-1046.32850220875</v>
      </c>
      <c r="BR110" s="48" t="n">
        <f aca="false">-$E110*BR20</f>
        <v>-1046.32850220875</v>
      </c>
      <c r="BS110" s="48" t="n">
        <f aca="false">-$E110*BS20</f>
        <v>-1023.5822304216</v>
      </c>
      <c r="BT110" s="48" t="n">
        <f aca="false">-$E110*BT20</f>
        <v>-1034.95536631517</v>
      </c>
      <c r="BU110" s="48" t="n">
        <f aca="false">-$E110*BU20</f>
        <v>-1046.32850220875</v>
      </c>
      <c r="BV110" s="48" t="n">
        <f aca="false">-$E110*BV20</f>
        <v>-1046.32850220875</v>
      </c>
      <c r="BW110" s="48" t="n">
        <f aca="false">-$E110*BW20</f>
        <v>-1023.5822304216</v>
      </c>
      <c r="BX110" s="48" t="n">
        <f aca="false">-$E110*BX20</f>
        <v>-1034.95536631517</v>
      </c>
      <c r="BY110" s="48" t="n">
        <f aca="false">-$E110*BY20</f>
        <v>-1046.32850220875</v>
      </c>
      <c r="BZ110" s="48" t="n">
        <f aca="false">-$E110*BZ20</f>
        <v>-1046.32850220875</v>
      </c>
      <c r="CA110" s="48" t="n">
        <f aca="false">-$E110*CA20</f>
        <v>-1034.95536631517</v>
      </c>
      <c r="CB110" s="48" t="n">
        <f aca="false">-$E110*CB20</f>
        <v>-1034.95536631517</v>
      </c>
      <c r="CC110" s="48" t="n">
        <f aca="false">-$E110*CC20</f>
        <v>-1046.32850220875</v>
      </c>
      <c r="CD110" s="48" t="n">
        <f aca="false">-$E110*CD20</f>
        <v>-1046.32850220875</v>
      </c>
      <c r="CE110" s="48" t="n">
        <f aca="false">-$E110*CE20</f>
        <v>-1023.5822304216</v>
      </c>
      <c r="CF110" s="48" t="n">
        <f aca="false">-$E110*CF20</f>
        <v>-1034.95536631517</v>
      </c>
      <c r="CG110" s="48" t="n">
        <f aca="false">-$E110*CG20</f>
        <v>-1046.32850220875</v>
      </c>
      <c r="CH110" s="48" t="n">
        <f aca="false">-$E110*CH20</f>
        <v>-1046.32850220875</v>
      </c>
      <c r="CI110" s="48" t="n">
        <f aca="false">-$E110*CI20</f>
        <v>-1023.5822304216</v>
      </c>
      <c r="CJ110" s="48" t="n">
        <f aca="false">-$E110*CJ20</f>
        <v>-1034.95536631517</v>
      </c>
      <c r="CK110" s="48" t="n">
        <f aca="false">-$E110*CK20</f>
        <v>-1046.32850220875</v>
      </c>
      <c r="CL110" s="48" t="n">
        <f aca="false">-$E110*CL20</f>
        <v>-1046.32850220875</v>
      </c>
      <c r="CM110" s="48" t="n">
        <f aca="false">-$E110*CM20</f>
        <v>-1023.5822304216</v>
      </c>
      <c r="CN110" s="48" t="n">
        <f aca="false">-$E110*CN20</f>
        <v>-1034.95536631517</v>
      </c>
      <c r="CO110" s="48" t="n">
        <f aca="false">-$E110*CO20</f>
        <v>-1046.32850220875</v>
      </c>
      <c r="CP110" s="48" t="n">
        <f aca="false">-$E110*CP20</f>
        <v>-1046.32850220875</v>
      </c>
      <c r="CQ110" s="48" t="n">
        <f aca="false">-$E110*CQ20</f>
        <v>-1034.95536631517</v>
      </c>
      <c r="CR110" s="48" t="n">
        <f aca="false">-$E110*CR20</f>
        <v>-1034.95536631517</v>
      </c>
      <c r="CS110" s="48" t="n">
        <f aca="false">-$E110*CS20</f>
        <v>-1046.32850220875</v>
      </c>
      <c r="CT110" s="48" t="n">
        <f aca="false">-$E110*CT20</f>
        <v>-1046.32850220875</v>
      </c>
      <c r="CU110" s="48" t="n">
        <f aca="false">-$E110*CU20</f>
        <v>-1023.5822304216</v>
      </c>
      <c r="CV110" s="48" t="n">
        <f aca="false">-$E110*CV20</f>
        <v>-1034.95536631517</v>
      </c>
      <c r="CW110" s="48" t="n">
        <f aca="false">-$E110*CW20</f>
        <v>-1046.32850220875</v>
      </c>
      <c r="CX110" s="48" t="n">
        <f aca="false">-$E110*CX20</f>
        <v>-1046.32850220875</v>
      </c>
      <c r="CY110" s="48" t="n">
        <f aca="false">-$E110*CY20</f>
        <v>-1023.5822304216</v>
      </c>
      <c r="CZ110" s="48" t="n">
        <f aca="false">-$E110*CZ20</f>
        <v>-1034.95536631517</v>
      </c>
      <c r="DA110" s="48" t="n">
        <f aca="false">-$E110*DA20</f>
        <v>-1046.32850220875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501</v>
      </c>
      <c r="D111" s="11" t="s">
        <v>33</v>
      </c>
      <c r="I111" s="48" t="n">
        <f aca="false">SUM(J111:EO111)</f>
        <v>191748.876151791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-928.575842568013</v>
      </c>
      <c r="S111" s="48" t="n">
        <f aca="false">S83+S110+S94+S104+S105+S52+S59</f>
        <v>-156.507584054135</v>
      </c>
      <c r="T111" s="48" t="n">
        <f aca="false">T83+T110+T94+T104+T105+T52+T59</f>
        <v>-138.336002143563</v>
      </c>
      <c r="U111" s="48" t="n">
        <f aca="false">U83+U110+U94+U104+U105+U52+U59</f>
        <v>-129.790754824659</v>
      </c>
      <c r="V111" s="48" t="n">
        <f aca="false">V83+V110+V94+V104+V105+V52+V59</f>
        <v>-119.614722612237</v>
      </c>
      <c r="W111" s="48" t="n">
        <f aca="false">W83+W110+W94+W104+W105+W52+W59</f>
        <v>-108.101519607337</v>
      </c>
      <c r="X111" s="48" t="n">
        <f aca="false">X83+X110+X94+X104+X105+X52+X59</f>
        <v>-99.4560379834396</v>
      </c>
      <c r="Y111" s="48" t="n">
        <f aca="false">Y83+Y110+Y94+Y104+Y105+Y52+Y59</f>
        <v>-90.4835383111278</v>
      </c>
      <c r="Z111" s="48" t="n">
        <f aca="false">Z83+Z110+Z94+Z104+Z105+Z52+Z59</f>
        <v>772.499403042138</v>
      </c>
      <c r="AA111" s="48" t="n">
        <f aca="false">AA83+AA110+AA94+AA104+AA105+AA52+AA59</f>
        <v>765.865793083904</v>
      </c>
      <c r="AB111" s="48" t="n">
        <f aca="false">AB83+AB110+AB94+AB104+AB105+AB52+AB59</f>
        <v>786.535738148658</v>
      </c>
      <c r="AC111" s="48" t="n">
        <f aca="false">AC83+AC110+AC94+AC104+AC105+AC52+AC59</f>
        <v>807.283195292379</v>
      </c>
      <c r="AD111" s="48" t="n">
        <f aca="false">AD83+AD110+AD94+AD104+AD105+AD52+AD59</f>
        <v>805.166093098526</v>
      </c>
      <c r="AE111" s="48" t="n">
        <f aca="false">AE83+AE110+AE94+AE104+AE105+AE52+AE59</f>
        <v>813.093046321261</v>
      </c>
      <c r="AF111" s="48" t="n">
        <f aca="false">AF83+AF110+AF94+AF104+AF105+AF52+AF59</f>
        <v>819.609922956874</v>
      </c>
      <c r="AG111" s="48" t="n">
        <f aca="false">AG83+AG110+AG94+AG104+AG105+AG52+AG59</f>
        <v>840.759496979469</v>
      </c>
      <c r="AH111" s="48" t="n">
        <f aca="false">AH83+AH110+AH94+AH104+AH105+AH52+AH59</f>
        <v>838.912522142035</v>
      </c>
      <c r="AI111" s="48" t="n">
        <f aca="false">AI83+AI110+AI94+AI104+AI105+AI52+AI59</f>
        <v>832.310761198378</v>
      </c>
      <c r="AJ111" s="48" t="n">
        <f aca="false">AJ83+AJ110+AJ94+AJ104+AJ105+AJ52+AJ59</f>
        <v>886.946463053978</v>
      </c>
      <c r="AK111" s="48" t="n">
        <f aca="false">AK83+AK110+AK94+AK104+AK105+AK52+AK59</f>
        <v>908.876633119943</v>
      </c>
      <c r="AL111" s="48" t="n">
        <f aca="false">AL83+AL110+AL94+AL104+AL105+AL52+AL59</f>
        <v>907.316105758698</v>
      </c>
      <c r="AM111" s="48" t="n">
        <f aca="false">AM83+AM110+AM94+AM104+AM105+AM52+AM59</f>
        <v>900.022145336225</v>
      </c>
      <c r="AN111" s="48" t="n">
        <f aca="false">AN83+AN110+AN94+AN104+AN105+AN52+AN59</f>
        <v>922.293475798201</v>
      </c>
      <c r="AO111" s="48" t="n">
        <f aca="false">AO83+AO110+AO94+AO104+AO105+AO52+AO59</f>
        <v>944.654778756017</v>
      </c>
      <c r="AP111" s="48" t="n">
        <f aca="false">AP83+AP110+AP94+AP104+AP105+AP52+AP59</f>
        <v>943.39786234464</v>
      </c>
      <c r="AQ111" s="48" t="n">
        <f aca="false">AQ83+AQ110+AQ94+AQ104+AQ105+AQ52+AQ59</f>
        <v>936.155180260841</v>
      </c>
      <c r="AR111" s="48" t="n">
        <f aca="false">AR83+AR110+AR94+AR104+AR105+AR52+AR59</f>
        <v>958.868732702989</v>
      </c>
      <c r="AS111" s="48" t="n">
        <f aca="false">AS83+AS110+AS94+AS104+AS105+AS52+AS59</f>
        <v>981.676841320089</v>
      </c>
      <c r="AT111" s="48" t="n">
        <f aca="false">AT83+AT110+AT94+AT104+AT105+AT52+AT59</f>
        <v>980.741585617301</v>
      </c>
      <c r="AU111" s="48" t="n">
        <f aca="false">AU83+AU110+AU94+AU104+AU105+AU52+AU59</f>
        <v>988.788001885267</v>
      </c>
      <c r="AV111" s="48" t="n">
        <f aca="false">AV83+AV110+AV94+AV104+AV105+AV52+AV59</f>
        <v>996.737871576721</v>
      </c>
      <c r="AW111" s="48" t="n">
        <f aca="false">AW83+AW110+AW94+AW104+AW105+AW52+AW59</f>
        <v>1020.00929075074</v>
      </c>
      <c r="AX111" s="48" t="n">
        <f aca="false">AX83+AX110+AX94+AX104+AX105+AX52+AX59</f>
        <v>1019.41467691574</v>
      </c>
      <c r="AY111" s="48" t="n">
        <f aca="false">AY83+AY110+AY94+AY104+AY105+AY52+AY59</f>
        <v>1012.3223862676</v>
      </c>
      <c r="AZ111" s="48" t="n">
        <f aca="false">AZ83+AZ110+AZ94+AZ104+AZ105+AZ52+AZ59</f>
        <v>1035.97006149705</v>
      </c>
      <c r="BA111" s="48" t="n">
        <f aca="false">BA83+BA110+BA94+BA104+BA105+BA52+BA59</f>
        <v>1059.72217270752</v>
      </c>
      <c r="BB111" s="48" t="n">
        <f aca="false">BB83+BB110+BB94+BB104+BB105+BB52+BB59</f>
        <v>1059.48816071095</v>
      </c>
      <c r="BC111" s="48" t="n">
        <f aca="false">BC83+BC110+BC94+BC104+BC105+BC52+BC59</f>
        <v>1052.49683648003</v>
      </c>
      <c r="BD111" s="48" t="n">
        <f aca="false">BD83+BD110+BD94+BD104+BD105+BD52+BD59</f>
        <v>1076.63818805619</v>
      </c>
      <c r="BE111" s="48" t="n">
        <f aca="false">BE83+BE110+BE94+BE104+BE105+BE52+BE59</f>
        <v>1100.8892961396</v>
      </c>
      <c r="BF111" s="48" t="n">
        <f aca="false">BF83+BF110+BF94+BF104+BF105+BF52+BF59</f>
        <v>1101.03687458684</v>
      </c>
      <c r="BG111" s="48" t="n">
        <f aca="false">BG83+BG110+BG94+BG104+BG105+BG52+BG59</f>
        <v>1094.16501390046</v>
      </c>
      <c r="BH111" s="48" t="n">
        <f aca="false">BH83+BH110+BH94+BH104+BH105+BH52+BH59</f>
        <v>1118.81904817898</v>
      </c>
      <c r="BI111" s="48" t="n">
        <f aca="false">BI83+BI110+BI94+BI104+BI105+BI52+BI59</f>
        <v>1143.588430547</v>
      </c>
      <c r="BJ111" s="48" t="n">
        <f aca="false">BJ83+BJ110+BJ94+BJ104+BJ105+BJ52+BJ59</f>
        <v>1144.13966903671</v>
      </c>
      <c r="BK111" s="48" t="n">
        <f aca="false">BK83+BK110+BK94+BK104+BK105+BK52+BK59</f>
        <v>1152.89559206258</v>
      </c>
      <c r="BL111" s="48" t="n">
        <f aca="false">BL83+BL110+BL94+BL104+BL105+BL52+BL59</f>
        <v>1162.59355500478</v>
      </c>
      <c r="BM111" s="48" t="n">
        <f aca="false">BM83+BM110+BM94+BM104+BM105+BM52+BM59</f>
        <v>1187.90151343164</v>
      </c>
      <c r="BN111" s="48" t="n">
        <f aca="false">BN83+BN110+BN94+BN104+BN105+BN52+BN59</f>
        <v>1188.87961757851</v>
      </c>
      <c r="BO111" s="48" t="n">
        <f aca="false">BO83+BO110+BO94+BO104+BO105+BO52+BO59</f>
        <v>1182.30643859943</v>
      </c>
      <c r="BP111" s="48" t="n">
        <f aca="false">BP83+BP110+BP94+BP104+BP105+BP52+BP59</f>
        <v>1208.04695334928</v>
      </c>
      <c r="BQ111" s="48" t="n">
        <f aca="false">BQ83+BQ110+BQ94+BQ104+BQ105+BQ52+BQ59</f>
        <v>1233.91486846077</v>
      </c>
      <c r="BR111" s="48" t="n">
        <f aca="false">BR83+BR110+BR94+BR104+BR105+BR52+BR59</f>
        <v>1235.34423771828</v>
      </c>
      <c r="BS111" s="48" t="n">
        <f aca="false">BS83+BS110+BS94+BS104+BS105+BS52+BS59</f>
        <v>1228.95254850136</v>
      </c>
      <c r="BT111" s="48" t="n">
        <f aca="false">BT83+BT110+BT94+BT104+BT105+BT52+BT59</f>
        <v>1255.26904628876</v>
      </c>
      <c r="BU111" s="48" t="n">
        <f aca="false">BU83+BU110+BU94+BU104+BU105+BU52+BU59</f>
        <v>1281.71943489215</v>
      </c>
      <c r="BV111" s="48" t="n">
        <f aca="false">BV83+BV110+BV94+BV104+BV105+BV52+BV59</f>
        <v>1283.62572331767</v>
      </c>
      <c r="BW111" s="48" t="n">
        <f aca="false">BW83+BW110+BW94+BW104+BW105+BW52+BW59</f>
        <v>1277.43856996463</v>
      </c>
      <c r="BX111" s="48" t="n">
        <f aca="false">BX83+BX110+BX94+BX104+BX105+BX52+BX59</f>
        <v>1304.354433437</v>
      </c>
      <c r="BY111" s="48" t="n">
        <f aca="false">BY83+BY110+BY94+BY104+BY105+BY52+BY59</f>
        <v>1331.4110088381</v>
      </c>
      <c r="BZ111" s="48" t="n">
        <f aca="false">BZ83+BZ110+BZ94+BZ104+BZ105+BZ52+BZ59</f>
        <v>1333.82118895041</v>
      </c>
      <c r="CA111" s="48" t="n">
        <f aca="false">CA83+CA110+CA94+CA104+CA105+CA52+CA59</f>
        <v>1343.57231788703</v>
      </c>
      <c r="CB111" s="48" t="n">
        <f aca="false">CB83+CB110+CB94+CB104+CB105+CB52+CB59</f>
        <v>1355.40276151424</v>
      </c>
      <c r="CC111" s="48" t="n">
        <f aca="false">CC83+CC110+CC94+CC104+CC105+CC52+CC59</f>
        <v>1383.09049697558</v>
      </c>
      <c r="CD111" s="48" t="n">
        <f aca="false">CD83+CD110+CD94+CD104+CD105+CD52+CD59</f>
        <v>1386.03292686203</v>
      </c>
      <c r="CE111" s="48" t="n">
        <f aca="false">CE83+CE110+CE94+CE104+CE105+CE52+CE59</f>
        <v>1380.32920670573</v>
      </c>
      <c r="CF111" s="48" t="n">
        <f aca="false">CF83+CF110+CF94+CF104+CF105+CF52+CF59</f>
        <v>1408.51898783809</v>
      </c>
      <c r="CG111" s="48" t="n">
        <f aca="false">CG83+CG110+CG94+CG104+CG105+CG52+CG59</f>
        <v>1436.86418333999</v>
      </c>
      <c r="CH111" s="48" t="n">
        <f aca="false">CH83+CH110+CH94+CH104+CH105+CH52+CH59</f>
        <v>1440.36867717893</v>
      </c>
      <c r="CI111" s="48" t="n">
        <f aca="false">CI83+CI110+CI94+CI104+CI105+CI52+CI59</f>
        <v>1422.04139193661</v>
      </c>
      <c r="CJ111" s="48" t="n">
        <f aca="false">CJ83+CJ110+CJ94+CJ104+CJ105+CJ52+CJ59</f>
        <v>1437.84185184702</v>
      </c>
      <c r="CK111" s="48" t="n">
        <f aca="false">CK83+CK110+CK94+CK104+CK105+CK52+CK59</f>
        <v>1453.64231175743</v>
      </c>
      <c r="CL111" s="48" t="n">
        <f aca="false">CL83+CL110+CL94+CL104+CL105+CL52+CL59</f>
        <v>1444.34494770862</v>
      </c>
      <c r="CM111" s="48" t="n">
        <f aca="false">CM83+CM110+CM94+CM104+CM105+CM52+CM59</f>
        <v>1425.67049862352</v>
      </c>
      <c r="CN111" s="48" t="n">
        <f aca="false">CN83+CN110+CN94+CN104+CN105+CN52+CN59</f>
        <v>1441.51128194156</v>
      </c>
      <c r="CO111" s="48" t="n">
        <f aca="false">CO83+CO110+CO94+CO104+CO105+CO52+CO59</f>
        <v>1457.3520652596</v>
      </c>
      <c r="CP111" s="48" t="n">
        <f aca="false">CP83+CP110+CP94+CP104+CP105+CP52+CP59</f>
        <v>1447.99863566011</v>
      </c>
      <c r="CQ111" s="48" t="n">
        <f aca="false">CQ83+CQ110+CQ94+CQ104+CQ105+CQ52+CQ59</f>
        <v>1444.85121070055</v>
      </c>
      <c r="CR111" s="48" t="n">
        <f aca="false">CR83+CR110+CR94+CR104+CR105+CR52+CR59</f>
        <v>1444.85121070055</v>
      </c>
      <c r="CS111" s="48" t="n">
        <f aca="false">CS83+CS110+CS94+CS104+CS105+CS52+CS59</f>
        <v>1460.72869653242</v>
      </c>
      <c r="CT111" s="48" t="n">
        <f aca="false">CT83+CT110+CT94+CT104+CT105+CT52+CT59</f>
        <v>1451.31907734169</v>
      </c>
      <c r="CU111" s="48" t="n">
        <f aca="false">CU83+CU110+CU94+CU104+CU105+CU52+CU59</f>
        <v>1431.94036090531</v>
      </c>
      <c r="CV111" s="48" t="n">
        <f aca="false">CV83+CV110+CV94+CV104+CV105+CV52+CV59</f>
        <v>1447.85080935981</v>
      </c>
      <c r="CW111" s="48" t="n">
        <f aca="false">CW83+CW110+CW94+CW104+CW105+CW52+CW59</f>
        <v>1463.76125781432</v>
      </c>
      <c r="CX111" s="48" t="n">
        <f aca="false">CX83+CX110+CX94+CX104+CX105+CX52+CX59</f>
        <v>1454.29532974987</v>
      </c>
      <c r="CY111" s="48" t="n">
        <f aca="false">CY83+CY110+CY94+CY104+CY105+CY52+CY59</f>
        <v>1434.55941677741</v>
      </c>
      <c r="CZ111" s="48" t="n">
        <f aca="false">CZ83+CZ110+CZ94+CZ104+CZ105+CZ52+CZ59</f>
        <v>1450.49896585272</v>
      </c>
      <c r="DA111" s="48" t="n">
        <f aca="false">DA83+DA110+DA94+DA104+DA105+DA52+DA59</f>
        <v>1466.43851492802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502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1161.08643742634</v>
      </c>
      <c r="T112" s="18" t="n">
        <f aca="false">S116</f>
        <v>1317.59402148047</v>
      </c>
      <c r="U112" s="18" t="n">
        <f aca="false">T116</f>
        <v>1455.93002362403</v>
      </c>
      <c r="V112" s="18" t="n">
        <f aca="false">U116</f>
        <v>1585.72077844869</v>
      </c>
      <c r="W112" s="18" t="n">
        <f aca="false">V116</f>
        <v>1705.33550106093</v>
      </c>
      <c r="X112" s="18" t="n">
        <f aca="false">W116</f>
        <v>1813.43702066827</v>
      </c>
      <c r="Y112" s="18" t="n">
        <f aca="false">X116</f>
        <v>1912.89305865171</v>
      </c>
      <c r="Z112" s="18" t="n">
        <f aca="false">Y116</f>
        <v>2003.37659696283</v>
      </c>
      <c r="AA112" s="18" t="n">
        <f aca="false">Z116</f>
        <v>1617.12689544177</v>
      </c>
      <c r="AB112" s="18" t="n">
        <f aca="false">AA116</f>
        <v>1234.19399889981</v>
      </c>
      <c r="AC112" s="18" t="n">
        <f aca="false">AB116</f>
        <v>840.926129825485</v>
      </c>
      <c r="AD112" s="18" t="n">
        <f aca="false">AC116</f>
        <v>437.284532179296</v>
      </c>
      <c r="AE112" s="18" t="n">
        <f aca="false">AD116</f>
        <v>34.7014856300324</v>
      </c>
      <c r="AF112" s="18" t="n">
        <f aca="false">AE116</f>
        <v>0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503</v>
      </c>
      <c r="D113" s="11" t="s">
        <v>33</v>
      </c>
      <c r="I113" s="48" t="n">
        <f aca="false">SUM(J113:EO113)</f>
        <v>2003.37659696283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928.575842568013</v>
      </c>
      <c r="S113" s="48" t="n">
        <f aca="false">MAX(0,-S111)</f>
        <v>156.507584054135</v>
      </c>
      <c r="T113" s="48" t="n">
        <f aca="false">MAX(0,-T111)</f>
        <v>138.336002143563</v>
      </c>
      <c r="U113" s="48" t="n">
        <f aca="false">MAX(0,-U111)</f>
        <v>129.790754824659</v>
      </c>
      <c r="V113" s="48" t="n">
        <f aca="false">MAX(0,-V111)</f>
        <v>119.614722612237</v>
      </c>
      <c r="W113" s="48" t="n">
        <f aca="false">MAX(0,-W111)</f>
        <v>108.101519607337</v>
      </c>
      <c r="X113" s="48" t="n">
        <f aca="false">MAX(0,-X111)</f>
        <v>99.4560379834396</v>
      </c>
      <c r="Y113" s="48" t="n">
        <f aca="false">MAX(0,-Y111)</f>
        <v>90.4835383111278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504</v>
      </c>
      <c r="D114" s="11" t="s">
        <v>33</v>
      </c>
      <c r="I114" s="48" t="n">
        <f aca="false">SUM(J114:EO114)</f>
        <v>-2003.37659696283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-386.249701521069</v>
      </c>
      <c r="AA114" s="48" t="n">
        <f aca="false">-MIN(AA112,In_Loss_Cap*MAX(0,AA111))</f>
        <v>-382.932896541952</v>
      </c>
      <c r="AB114" s="48" t="n">
        <f aca="false">-MIN(AB112,In_Loss_Cap*MAX(0,AB111))</f>
        <v>-393.267869074329</v>
      </c>
      <c r="AC114" s="48" t="n">
        <f aca="false">-MIN(AC112,In_Loss_Cap*MAX(0,AC111))</f>
        <v>-403.64159764619</v>
      </c>
      <c r="AD114" s="48" t="n">
        <f aca="false">-MIN(AD112,In_Loss_Cap*MAX(0,AD111))</f>
        <v>-402.583046549263</v>
      </c>
      <c r="AE114" s="48" t="n">
        <f aca="false">-MIN(AE112,In_Loss_Cap*MAX(0,AE111))</f>
        <v>-34.7014856300324</v>
      </c>
      <c r="AF114" s="48" t="n">
        <f aca="false">-MIN(AF112,In_Loss_Cap*MAX(0,AF111))</f>
        <v>-0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505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506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1161.08643742634</v>
      </c>
      <c r="S116" s="48" t="n">
        <f aca="false">SUM(S112:S115)</f>
        <v>1317.59402148047</v>
      </c>
      <c r="T116" s="48" t="n">
        <f aca="false">SUM(T112:T115)</f>
        <v>1455.93002362403</v>
      </c>
      <c r="U116" s="48" t="n">
        <f aca="false">SUM(U112:U115)</f>
        <v>1585.72077844869</v>
      </c>
      <c r="V116" s="48" t="n">
        <f aca="false">SUM(V112:V115)</f>
        <v>1705.33550106093</v>
      </c>
      <c r="W116" s="48" t="n">
        <f aca="false">SUM(W112:W115)</f>
        <v>1813.43702066827</v>
      </c>
      <c r="X116" s="48" t="n">
        <f aca="false">SUM(X112:X115)</f>
        <v>1912.89305865171</v>
      </c>
      <c r="Y116" s="48" t="n">
        <f aca="false">SUM(Y112:Y115)</f>
        <v>2003.37659696283</v>
      </c>
      <c r="Z116" s="48" t="n">
        <f aca="false">SUM(Z112:Z115)</f>
        <v>1617.12689544177</v>
      </c>
      <c r="AA116" s="48" t="n">
        <f aca="false">SUM(AA112:AA115)</f>
        <v>1234.19399889981</v>
      </c>
      <c r="AB116" s="48" t="n">
        <f aca="false">SUM(AB112:AB115)</f>
        <v>840.926129825485</v>
      </c>
      <c r="AC116" s="48" t="n">
        <f aca="false">SUM(AC112:AC115)</f>
        <v>437.284532179296</v>
      </c>
      <c r="AD116" s="48" t="n">
        <f aca="false">SUM(AD112:AD115)</f>
        <v>34.7014856300324</v>
      </c>
      <c r="AE116" s="48" t="n">
        <f aca="false">SUM(AE112:AE115)</f>
        <v>0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507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-57.9374552281603</v>
      </c>
      <c r="AA117" s="48" t="n">
        <f aca="false">-In_CIT*(MAX(0,AA111)+AA114)-In_RH_On*In_RH_Rate*MAX(0,AA111)</f>
        <v>-57.4399344812928</v>
      </c>
      <c r="AB117" s="48" t="n">
        <f aca="false">-In_CIT*(MAX(0,AB111)+AB114)-In_RH_On*In_RH_Rate*MAX(0,AB111)</f>
        <v>-58.9901803611493</v>
      </c>
      <c r="AC117" s="48" t="n">
        <f aca="false">-In_CIT*(MAX(0,AC111)+AC114)-In_RH_On*In_RH_Rate*MAX(0,AC111)</f>
        <v>-60.5462396469284</v>
      </c>
      <c r="AD117" s="48" t="n">
        <f aca="false">-In_CIT*(MAX(0,AD111)+AD114)-In_RH_On*In_RH_Rate*MAX(0,AD111)</f>
        <v>-60.3874569823895</v>
      </c>
      <c r="AE117" s="48" t="n">
        <f aca="false">-In_CIT*(MAX(0,AE111)+AE114)-In_RH_On*In_RH_Rate*MAX(0,AE111)</f>
        <v>-116.758734103684</v>
      </c>
      <c r="AF117" s="48" t="n">
        <f aca="false">-In_CIT*(MAX(0,AF111)+AF114)-In_RH_On*In_RH_Rate*MAX(0,AF111)</f>
        <v>-122.941488443531</v>
      </c>
      <c r="AG117" s="48" t="n">
        <f aca="false">-In_CIT*(MAX(0,AG111)+AG114)-In_RH_On*In_RH_Rate*MAX(0,AG111)</f>
        <v>-126.11392454692</v>
      </c>
      <c r="AH117" s="48" t="n">
        <f aca="false">-In_CIT*(MAX(0,AH111)+AH114)-In_RH_On*In_RH_Rate*MAX(0,AH111)</f>
        <v>-125.836878321305</v>
      </c>
      <c r="AI117" s="48" t="n">
        <f aca="false">-In_CIT*(MAX(0,AI111)+AI114)-In_RH_On*In_RH_Rate*MAX(0,AI111)</f>
        <v>-124.846614179757</v>
      </c>
      <c r="AJ117" s="48" t="n">
        <f aca="false">-In_CIT*(MAX(0,AJ111)+AJ114)-In_RH_On*In_RH_Rate*MAX(0,AJ111)</f>
        <v>-133.041969458097</v>
      </c>
      <c r="AK117" s="48" t="n">
        <f aca="false">-In_CIT*(MAX(0,AK111)+AK114)-In_RH_On*In_RH_Rate*MAX(0,AK111)</f>
        <v>-136.331494967991</v>
      </c>
      <c r="AL117" s="48" t="n">
        <f aca="false">-In_CIT*(MAX(0,AL111)+AL114)-In_RH_On*In_RH_Rate*MAX(0,AL111)</f>
        <v>-136.097415863805</v>
      </c>
      <c r="AM117" s="48" t="n">
        <f aca="false">-In_CIT*(MAX(0,AM111)+AM114)-In_RH_On*In_RH_Rate*MAX(0,AM111)</f>
        <v>-135.003321800434</v>
      </c>
      <c r="AN117" s="48" t="n">
        <f aca="false">-In_CIT*(MAX(0,AN111)+AN114)-In_RH_On*In_RH_Rate*MAX(0,AN111)</f>
        <v>-138.34402136973</v>
      </c>
      <c r="AO117" s="48" t="n">
        <f aca="false">-In_CIT*(MAX(0,AO111)+AO114)-In_RH_On*In_RH_Rate*MAX(0,AO111)</f>
        <v>-141.698216813403</v>
      </c>
      <c r="AP117" s="48" t="n">
        <f aca="false">-In_CIT*(MAX(0,AP111)+AP114)-In_RH_On*In_RH_Rate*MAX(0,AP111)</f>
        <v>-141.509679351696</v>
      </c>
      <c r="AQ117" s="48" t="n">
        <f aca="false">-In_CIT*(MAX(0,AQ111)+AQ114)-In_RH_On*In_RH_Rate*MAX(0,AQ111)</f>
        <v>-140.423277039126</v>
      </c>
      <c r="AR117" s="48" t="n">
        <f aca="false">-In_CIT*(MAX(0,AR111)+AR114)-In_RH_On*In_RH_Rate*MAX(0,AR111)</f>
        <v>-143.830309905448</v>
      </c>
      <c r="AS117" s="48" t="n">
        <f aca="false">-In_CIT*(MAX(0,AS111)+AS114)-In_RH_On*In_RH_Rate*MAX(0,AS111)</f>
        <v>-147.251526198013</v>
      </c>
      <c r="AT117" s="48" t="n">
        <f aca="false">-In_CIT*(MAX(0,AT111)+AT114)-In_RH_On*In_RH_Rate*MAX(0,AT111)</f>
        <v>-147.111237842595</v>
      </c>
      <c r="AU117" s="48" t="n">
        <f aca="false">-In_CIT*(MAX(0,AU111)+AU114)-In_RH_On*In_RH_Rate*MAX(0,AU111)</f>
        <v>-148.31820028279</v>
      </c>
      <c r="AV117" s="48" t="n">
        <f aca="false">-In_CIT*(MAX(0,AV111)+AV114)-In_RH_On*In_RH_Rate*MAX(0,AV111)</f>
        <v>-149.510680736508</v>
      </c>
      <c r="AW117" s="48" t="n">
        <f aca="false">-In_CIT*(MAX(0,AW111)+AW114)-In_RH_On*In_RH_Rate*MAX(0,AW111)</f>
        <v>-153.001393612611</v>
      </c>
      <c r="AX117" s="48" t="n">
        <f aca="false">-In_CIT*(MAX(0,AX111)+AX114)-In_RH_On*In_RH_Rate*MAX(0,AX111)</f>
        <v>-152.912201537361</v>
      </c>
      <c r="AY117" s="48" t="n">
        <f aca="false">-In_CIT*(MAX(0,AY111)+AY114)-In_RH_On*In_RH_Rate*MAX(0,AY111)</f>
        <v>-151.84835794014</v>
      </c>
      <c r="AZ117" s="48" t="n">
        <f aca="false">-In_CIT*(MAX(0,AZ111)+AZ114)-In_RH_On*In_RH_Rate*MAX(0,AZ111)</f>
        <v>-155.395509224558</v>
      </c>
      <c r="BA117" s="48" t="n">
        <f aca="false">-In_CIT*(MAX(0,BA111)+BA114)-In_RH_On*In_RH_Rate*MAX(0,BA111)</f>
        <v>-158.958325906128</v>
      </c>
      <c r="BB117" s="48" t="n">
        <f aca="false">-In_CIT*(MAX(0,BB111)+BB114)-In_RH_On*In_RH_Rate*MAX(0,BB111)</f>
        <v>-158.923224106642</v>
      </c>
      <c r="BC117" s="48" t="n">
        <f aca="false">-In_CIT*(MAX(0,BC111)+BC114)-In_RH_On*In_RH_Rate*MAX(0,BC111)</f>
        <v>-157.874525472005</v>
      </c>
      <c r="BD117" s="48" t="n">
        <f aca="false">-In_CIT*(MAX(0,BD111)+BD114)-In_RH_On*In_RH_Rate*MAX(0,BD111)</f>
        <v>-161.495728208429</v>
      </c>
      <c r="BE117" s="48" t="n">
        <f aca="false">-In_CIT*(MAX(0,BE111)+BE114)-In_RH_On*In_RH_Rate*MAX(0,BE111)</f>
        <v>-165.133394420941</v>
      </c>
      <c r="BF117" s="48" t="n">
        <f aca="false">-In_CIT*(MAX(0,BF111)+BF114)-In_RH_On*In_RH_Rate*MAX(0,BF111)</f>
        <v>-165.155531188027</v>
      </c>
      <c r="BG117" s="48" t="n">
        <f aca="false">-In_CIT*(MAX(0,BG111)+BG114)-In_RH_On*In_RH_Rate*MAX(0,BG111)</f>
        <v>-164.124752085069</v>
      </c>
      <c r="BH117" s="48" t="n">
        <f aca="false">-In_CIT*(MAX(0,BH111)+BH114)-In_RH_On*In_RH_Rate*MAX(0,BH111)</f>
        <v>-167.822857226847</v>
      </c>
      <c r="BI117" s="48" t="n">
        <f aca="false">-In_CIT*(MAX(0,BI111)+BI114)-In_RH_On*In_RH_Rate*MAX(0,BI111)</f>
        <v>-171.53826458205</v>
      </c>
      <c r="BJ117" s="48" t="n">
        <f aca="false">-In_CIT*(MAX(0,BJ111)+BJ114)-In_RH_On*In_RH_Rate*MAX(0,BJ111)</f>
        <v>-171.620950355506</v>
      </c>
      <c r="BK117" s="48" t="n">
        <f aca="false">-In_CIT*(MAX(0,BK111)+BK114)-In_RH_On*In_RH_Rate*MAX(0,BK111)</f>
        <v>-172.934338809386</v>
      </c>
      <c r="BL117" s="48" t="n">
        <f aca="false">-In_CIT*(MAX(0,BL111)+BL114)-In_RH_On*In_RH_Rate*MAX(0,BL111)</f>
        <v>-174.389033250717</v>
      </c>
      <c r="BM117" s="48" t="n">
        <f aca="false">-In_CIT*(MAX(0,BM111)+BM114)-In_RH_On*In_RH_Rate*MAX(0,BM111)</f>
        <v>-178.185227014745</v>
      </c>
      <c r="BN117" s="48" t="n">
        <f aca="false">-In_CIT*(MAX(0,BN111)+BN114)-In_RH_On*In_RH_Rate*MAX(0,BN111)</f>
        <v>-178.331942636776</v>
      </c>
      <c r="BO117" s="48" t="n">
        <f aca="false">-In_CIT*(MAX(0,BO111)+BO114)-In_RH_On*In_RH_Rate*MAX(0,BO111)</f>
        <v>-177.345965789915</v>
      </c>
      <c r="BP117" s="48" t="n">
        <f aca="false">-In_CIT*(MAX(0,BP111)+BP114)-In_RH_On*In_RH_Rate*MAX(0,BP111)</f>
        <v>-181.207043002392</v>
      </c>
      <c r="BQ117" s="48" t="n">
        <f aca="false">-In_CIT*(MAX(0,BQ111)+BQ114)-In_RH_On*In_RH_Rate*MAX(0,BQ111)</f>
        <v>-185.087230269116</v>
      </c>
      <c r="BR117" s="48" t="n">
        <f aca="false">-In_CIT*(MAX(0,BR111)+BR114)-In_RH_On*In_RH_Rate*MAX(0,BR111)</f>
        <v>-185.301635657742</v>
      </c>
      <c r="BS117" s="48" t="n">
        <f aca="false">-In_CIT*(MAX(0,BS111)+BS114)-In_RH_On*In_RH_Rate*MAX(0,BS111)</f>
        <v>-184.342882275204</v>
      </c>
      <c r="BT117" s="48" t="n">
        <f aca="false">-In_CIT*(MAX(0,BT111)+BT114)-In_RH_On*In_RH_Rate*MAX(0,BT111)</f>
        <v>-188.290356943314</v>
      </c>
      <c r="BU117" s="48" t="n">
        <f aca="false">-In_CIT*(MAX(0,BU111)+BU114)-In_RH_On*In_RH_Rate*MAX(0,BU111)</f>
        <v>-192.257915233823</v>
      </c>
      <c r="BV117" s="48" t="n">
        <f aca="false">-In_CIT*(MAX(0,BV111)+BV114)-In_RH_On*In_RH_Rate*MAX(0,BV111)</f>
        <v>-192.543858497651</v>
      </c>
      <c r="BW117" s="48" t="n">
        <f aca="false">-In_CIT*(MAX(0,BW111)+BW114)-In_RH_On*In_RH_Rate*MAX(0,BW111)</f>
        <v>-191.615785494695</v>
      </c>
      <c r="BX117" s="48" t="n">
        <f aca="false">-In_CIT*(MAX(0,BX111)+BX114)-In_RH_On*In_RH_Rate*MAX(0,BX111)</f>
        <v>-195.653165015551</v>
      </c>
      <c r="BY117" s="48" t="n">
        <f aca="false">-In_CIT*(MAX(0,BY111)+BY114)-In_RH_On*In_RH_Rate*MAX(0,BY111)</f>
        <v>-199.711651325715</v>
      </c>
      <c r="BZ117" s="48" t="n">
        <f aca="false">-In_CIT*(MAX(0,BZ111)+BZ114)-In_RH_On*In_RH_Rate*MAX(0,BZ111)</f>
        <v>-200.073178342561</v>
      </c>
      <c r="CA117" s="48" t="n">
        <f aca="false">-In_CIT*(MAX(0,CA111)+CA114)-In_RH_On*In_RH_Rate*MAX(0,CA111)</f>
        <v>-201.535847683055</v>
      </c>
      <c r="CB117" s="48" t="n">
        <f aca="false">-In_CIT*(MAX(0,CB111)+CB114)-In_RH_On*In_RH_Rate*MAX(0,CB111)</f>
        <v>-203.310414227136</v>
      </c>
      <c r="CC117" s="48" t="n">
        <f aca="false">-In_CIT*(MAX(0,CC111)+CC114)-In_RH_On*In_RH_Rate*MAX(0,CC111)</f>
        <v>-207.463574546337</v>
      </c>
      <c r="CD117" s="48" t="n">
        <f aca="false">-In_CIT*(MAX(0,CD111)+CD114)-In_RH_On*In_RH_Rate*MAX(0,CD111)</f>
        <v>-207.904939029305</v>
      </c>
      <c r="CE117" s="48" t="n">
        <f aca="false">-In_CIT*(MAX(0,CE111)+CE114)-In_RH_On*In_RH_Rate*MAX(0,CE111)</f>
        <v>-207.049381005859</v>
      </c>
      <c r="CF117" s="48" t="n">
        <f aca="false">-In_CIT*(MAX(0,CF111)+CF114)-In_RH_On*In_RH_Rate*MAX(0,CF111)</f>
        <v>-211.277848175713</v>
      </c>
      <c r="CG117" s="48" t="n">
        <f aca="false">-In_CIT*(MAX(0,CG111)+CG114)-In_RH_On*In_RH_Rate*MAX(0,CG111)</f>
        <v>-215.529627500998</v>
      </c>
      <c r="CH117" s="48" t="n">
        <f aca="false">-In_CIT*(MAX(0,CH111)+CH114)-In_RH_On*In_RH_Rate*MAX(0,CH111)</f>
        <v>-216.055301576839</v>
      </c>
      <c r="CI117" s="48" t="n">
        <f aca="false">-In_CIT*(MAX(0,CI111)+CI114)-In_RH_On*In_RH_Rate*MAX(0,CI111)</f>
        <v>-213.306208790492</v>
      </c>
      <c r="CJ117" s="48" t="n">
        <f aca="false">-In_CIT*(MAX(0,CJ111)+CJ114)-In_RH_On*In_RH_Rate*MAX(0,CJ111)</f>
        <v>-215.676277777053</v>
      </c>
      <c r="CK117" s="48" t="n">
        <f aca="false">-In_CIT*(MAX(0,CK111)+CK114)-In_RH_On*In_RH_Rate*MAX(0,CK111)</f>
        <v>-218.046346763614</v>
      </c>
      <c r="CL117" s="48" t="n">
        <f aca="false">-In_CIT*(MAX(0,CL111)+CL114)-In_RH_On*In_RH_Rate*MAX(0,CL111)</f>
        <v>-216.651742156292</v>
      </c>
      <c r="CM117" s="48" t="n">
        <f aca="false">-In_CIT*(MAX(0,CM111)+CM114)-In_RH_On*In_RH_Rate*MAX(0,CM111)</f>
        <v>-213.850574793528</v>
      </c>
      <c r="CN117" s="48" t="n">
        <f aca="false">-In_CIT*(MAX(0,CN111)+CN114)-In_RH_On*In_RH_Rate*MAX(0,CN111)</f>
        <v>-216.226692291234</v>
      </c>
      <c r="CO117" s="48" t="n">
        <f aca="false">-In_CIT*(MAX(0,CO111)+CO114)-In_RH_On*In_RH_Rate*MAX(0,CO111)</f>
        <v>-218.60280978894</v>
      </c>
      <c r="CP117" s="48" t="n">
        <f aca="false">-In_CIT*(MAX(0,CP111)+CP114)-In_RH_On*In_RH_Rate*MAX(0,CP111)</f>
        <v>-217.199795349016</v>
      </c>
      <c r="CQ117" s="48" t="n">
        <f aca="false">-In_CIT*(MAX(0,CQ111)+CQ114)-In_RH_On*In_RH_Rate*MAX(0,CQ111)</f>
        <v>-216.727681605082</v>
      </c>
      <c r="CR117" s="48" t="n">
        <f aca="false">-In_CIT*(MAX(0,CR111)+CR114)-In_RH_On*In_RH_Rate*MAX(0,CR111)</f>
        <v>-216.727681605082</v>
      </c>
      <c r="CS117" s="48" t="n">
        <f aca="false">-In_CIT*(MAX(0,CS111)+CS114)-In_RH_On*In_RH_Rate*MAX(0,CS111)</f>
        <v>-219.109304479863</v>
      </c>
      <c r="CT117" s="48" t="n">
        <f aca="false">-In_CIT*(MAX(0,CT111)+CT114)-In_RH_On*In_RH_Rate*MAX(0,CT111)</f>
        <v>-217.697861601253</v>
      </c>
      <c r="CU117" s="48" t="n">
        <f aca="false">-In_CIT*(MAX(0,CU111)+CU114)-In_RH_On*In_RH_Rate*MAX(0,CU111)</f>
        <v>-214.791054135796</v>
      </c>
      <c r="CV117" s="48" t="n">
        <f aca="false">-In_CIT*(MAX(0,CV111)+CV114)-In_RH_On*In_RH_Rate*MAX(0,CV111)</f>
        <v>-217.177621403972</v>
      </c>
      <c r="CW117" s="48" t="n">
        <f aca="false">-In_CIT*(MAX(0,CW111)+CW114)-In_RH_On*In_RH_Rate*MAX(0,CW111)</f>
        <v>-219.564188672147</v>
      </c>
      <c r="CX117" s="48" t="n">
        <f aca="false">-In_CIT*(MAX(0,CX111)+CX114)-In_RH_On*In_RH_Rate*MAX(0,CX111)</f>
        <v>-218.144299462481</v>
      </c>
      <c r="CY117" s="48" t="n">
        <f aca="false">-In_CIT*(MAX(0,CY111)+CY114)-In_RH_On*In_RH_Rate*MAX(0,CY111)</f>
        <v>-215.183912516612</v>
      </c>
      <c r="CZ117" s="48" t="n">
        <f aca="false">-In_CIT*(MAX(0,CZ111)+CZ114)-In_RH_On*In_RH_Rate*MAX(0,CZ111)</f>
        <v>-217.574844877908</v>
      </c>
      <c r="DA117" s="48" t="n">
        <f aca="false">-In_CIT*(MAX(0,DA111)+DA114)-In_RH_On*In_RH_Rate*MAX(0,DA111)</f>
        <v>-219.965777239204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508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3107.96939753469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85084.1342995161</v>
      </c>
    </row>
    <row r="129" customFormat="false" ht="15" hidden="false" customHeight="false" outlineLevel="0" collapsed="false">
      <c r="C129" s="0" t="s">
        <v>510</v>
      </c>
      <c r="D129" s="11" t="s">
        <v>33</v>
      </c>
      <c r="E129" s="48" t="n">
        <f aca="false">$E128-$E103</f>
        <v>41686.7978709354</v>
      </c>
      <c r="F129" s="48" t="n">
        <f aca="false">$E129+$E106</f>
        <v>42719.2174705056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0.510052041850856</v>
      </c>
    </row>
    <row r="131" customFormat="false" ht="15" hidden="false" customHeight="false" outlineLevel="0" collapsed="false">
      <c r="C131" s="0" t="s">
        <v>511</v>
      </c>
      <c r="D131" s="11" t="s">
        <v>33</v>
      </c>
      <c r="E131" s="48" t="n">
        <f aca="false">$E88*In_DSCR/In_DSCR_Max_Low</f>
        <v>84663.6095819607</v>
      </c>
      <c r="F131" s="48" t="n">
        <f aca="false">$E88*In_DSCR/In_DSCR_Max_High</f>
        <v>77608.308783464</v>
      </c>
    </row>
    <row r="132" customFormat="false" ht="15" hidden="false" customHeight="false" outlineLevel="0" collapsed="false">
      <c r="C132" s="0" t="s">
        <v>512</v>
      </c>
      <c r="D132" s="11" t="s">
        <v>27</v>
      </c>
      <c r="E132" s="49" t="n">
        <f aca="false">$E131/$E128</f>
        <v>0.995057542501695</v>
      </c>
      <c r="F132" s="49" t="n">
        <f aca="false">$F131/$E128</f>
        <v>0.912136080626554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513</v>
      </c>
      <c r="D135" s="11" t="s">
        <v>33</v>
      </c>
      <c r="I135" s="48" t="n">
        <f aca="false">SUM(J135:EO135)</f>
        <v>-41686.7978709354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-4598.78508914336</v>
      </c>
      <c r="S135" s="48" t="n">
        <f aca="false">(S63+S70+S100+S104+S105+S83)*(S$4&lt;=In_COD)</f>
        <v>-7416.60009090345</v>
      </c>
      <c r="T135" s="48" t="n">
        <f aca="false">(T63+T70+T100+T104+T105+T83)*(T$4&lt;=In_COD)</f>
        <v>-3768.65166995178</v>
      </c>
      <c r="U135" s="48" t="n">
        <f aca="false">(U63+U70+U100+U104+U105+U83)*(U$4&lt;=In_COD)</f>
        <v>-3800.0000014</v>
      </c>
      <c r="V135" s="48" t="n">
        <f aca="false">(V63+V70+V100+V104+V105+V83)*(V$4&lt;=In_COD)</f>
        <v>-3789.82396918758</v>
      </c>
      <c r="W135" s="48" t="n">
        <f aca="false">(W63+W70+W100+W104+W105+W83)*(W$4&lt;=In_COD)</f>
        <v>-3698.52360864843</v>
      </c>
      <c r="X135" s="48" t="n">
        <f aca="false">(X63+X70+X100+X104+X105+X83)*(X$4&lt;=In_COD)</f>
        <v>-3729.77170579166</v>
      </c>
      <c r="Y135" s="48" t="n">
        <f aca="false">(Y63+Y70+Y100+Y104+Y105+Y83)*(Y$4&lt;=In_COD)</f>
        <v>-4885.69278488647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514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515</v>
      </c>
      <c r="D137" s="11" t="s">
        <v>33</v>
      </c>
      <c r="E137" s="48" t="n">
        <f aca="false">$E136+$I62-$E103-In_Sale_Costs</f>
        <v>71077.6635714193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516</v>
      </c>
      <c r="D139" s="11" t="s">
        <v>33</v>
      </c>
      <c r="I139" s="57" t="n">
        <f aca="false">SUM(J139:EO139)</f>
        <v>29390.8657004839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-4598.78508914336</v>
      </c>
      <c r="S139" s="57" t="n">
        <f aca="false">S135+($E137+$E138)*S14</f>
        <v>-7416.60009090345</v>
      </c>
      <c r="T139" s="57" t="n">
        <f aca="false">T135+($E137+$E138)*T14</f>
        <v>-3768.65166995178</v>
      </c>
      <c r="U139" s="57" t="n">
        <f aca="false">U135+($E137+$E138)*U14</f>
        <v>-3800.0000014</v>
      </c>
      <c r="V139" s="57" t="n">
        <f aca="false">V135+($E137+$E138)*V14</f>
        <v>-3789.82396918758</v>
      </c>
      <c r="W139" s="57" t="n">
        <f aca="false">W135+($E137+$E138)*W14</f>
        <v>-3698.52360864843</v>
      </c>
      <c r="X139" s="57" t="n">
        <f aca="false">X135+($E137+$E138)*X14</f>
        <v>-3729.77170579166</v>
      </c>
      <c r="Y139" s="57" t="n">
        <f aca="false">Y135+($E137+$E138)*Y14</f>
        <v>66191.9707865328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0.410318082809979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1.70504013744302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18560.4545699145</v>
      </c>
    </row>
    <row r="143" customFormat="false" ht="15" hidden="false" customHeight="false" outlineLevel="0" collapsed="false">
      <c r="A143" s="61"/>
      <c r="B143" s="61"/>
      <c r="C143" s="61" t="s">
        <v>517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518</v>
      </c>
      <c r="D144" s="11" t="s">
        <v>33</v>
      </c>
      <c r="I144" s="48" t="n">
        <f aca="false">SUM(J144:EO144)</f>
        <v>151643.518574165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2303.35715537998</v>
      </c>
      <c r="AA144" s="48" t="n">
        <f aca="false">(AA83+AA59+AA62+AA117)*(AA$4&gt;In_COD)-($E136+$I62)*AA14</f>
        <v>2268.35038320381</v>
      </c>
      <c r="AB144" s="48" t="n">
        <f aca="false">(AB83+AB59+AB62+AB117)*(AB$4&gt;In_COD)-($E136+$I62)*AB14</f>
        <v>2292.6422519649</v>
      </c>
      <c r="AC144" s="48" t="n">
        <f aca="false">(AC83+AC59+AC62+AC117)*(AC$4&gt;In_COD)-($E136+$I62)*AC14</f>
        <v>2316.92830732007</v>
      </c>
      <c r="AD144" s="48" t="n">
        <f aca="false">(AD83+AD59+AD62+AD117)*(AD$4&gt;In_COD)-($E136+$I62)*AD14</f>
        <v>2308.61302841445</v>
      </c>
      <c r="AE144" s="48" t="n">
        <f aca="false">(AE83+AE59+AE62+AE117)*(AE$4&gt;In_COD)-($E136+$I62)*AE14</f>
        <v>2242.35914725381</v>
      </c>
      <c r="AF144" s="48" t="n">
        <f aca="false">(AF83+AF59+AF62+AF117)*(AF$4&gt;In_COD)-($E136+$I62)*AF14</f>
        <v>2236.17639291396</v>
      </c>
      <c r="AG144" s="48" t="n">
        <f aca="false">(AG83+AG59+AG62+AG117)*(AG$4&gt;In_COD)-($E136+$I62)*AG14</f>
        <v>2258.92832913318</v>
      </c>
      <c r="AH144" s="48" t="n">
        <f aca="false">(AH83+AH59+AH62+AH117)*(AH$4&gt;In_COD)-($E136+$I62)*AH14</f>
        <v>2250.67758370789</v>
      </c>
      <c r="AI144" s="48" t="n">
        <f aca="false">(AI83+AI59+AI62+AI117)*(AI$4&gt;In_COD)-($E136+$I62)*AI14</f>
        <v>2215.55548809498</v>
      </c>
      <c r="AJ144" s="48" t="n">
        <f aca="false">(AJ83+AJ59+AJ62+AJ117)*(AJ$4&gt;In_COD)-($E136+$I62)*AJ14</f>
        <v>2266.52008945437</v>
      </c>
      <c r="AK144" s="48" t="n">
        <f aca="false">(AK83+AK59+AK62+AK117)*(AK$4&gt;In_COD)-($E136+$I62)*AK14</f>
        <v>2289.59937777868</v>
      </c>
      <c r="AL144" s="48" t="n">
        <f aca="false">(AL83+AL59+AL62+AL117)*(AL$4&gt;In_COD)-($E136+$I62)*AL14</f>
        <v>2281.25175624472</v>
      </c>
      <c r="AM144" s="48" t="n">
        <f aca="false">(AM83+AM59+AM62+AM117)*(AM$4&gt;In_COD)-($E136+$I62)*AM14</f>
        <v>2245.19668015561</v>
      </c>
      <c r="AN144" s="48" t="n">
        <f aca="false">(AN83+AN59+AN62+AN117)*(AN$4&gt;In_COD)-($E136+$I62)*AN14</f>
        <v>2268.30264727472</v>
      </c>
      <c r="AO144" s="48" t="n">
        <f aca="false">(AO83+AO59+AO62+AO117)*(AO$4&gt;In_COD)-($E136+$I62)*AO14</f>
        <v>2291.39511851944</v>
      </c>
      <c r="AP144" s="48" t="n">
        <f aca="false">(AP83+AP59+AP62+AP117)*(AP$4&gt;In_COD)-($E136+$I62)*AP14</f>
        <v>2282.94787025475</v>
      </c>
      <c r="AQ144" s="48" t="n">
        <f aca="false">(AQ83+AQ59+AQ62+AQ117)*(AQ$4&gt;In_COD)-($E136+$I62)*AQ14</f>
        <v>2246.57421351491</v>
      </c>
      <c r="AR144" s="48" t="n">
        <f aca="false">(AR83+AR59+AR62+AR117)*(AR$4&gt;In_COD)-($E136+$I62)*AR14</f>
        <v>2269.68937498808</v>
      </c>
      <c r="AS144" s="48" t="n">
        <f aca="false">(AS83+AS59+AS62+AS117)*(AS$4&gt;In_COD)-($E136+$I62)*AS14</f>
        <v>2292.790353035</v>
      </c>
      <c r="AT144" s="48" t="n">
        <f aca="false">(AT83+AT59+AT62+AT117)*(AT$4&gt;In_COD)-($E136+$I62)*AT14</f>
        <v>2284.24059738931</v>
      </c>
      <c r="AU144" s="48" t="n">
        <f aca="false">(AU83+AU59+AU62+AU117)*(AU$4&gt;In_COD)-($E136+$I62)*AU14</f>
        <v>2271.85519217145</v>
      </c>
      <c r="AV144" s="48" t="n">
        <f aca="false">(AV83+AV59+AV62+AV117)*(AV$4&gt;In_COD)-($E136+$I62)*AV14</f>
        <v>2270.66271171773</v>
      </c>
      <c r="AW144" s="48" t="n">
        <f aca="false">(AW83+AW59+AW62+AW117)*(AW$4&gt;In_COD)-($E136+$I62)*AW14</f>
        <v>2293.76731084662</v>
      </c>
      <c r="AX144" s="48" t="n">
        <f aca="false">(AX83+AX59+AX62+AX117)*(AX$4&gt;In_COD)-($E136+$I62)*AX14</f>
        <v>2285.112030486</v>
      </c>
      <c r="AY144" s="48" t="n">
        <f aca="false">(AY83+AY59+AY62+AY117)*(AY$4&gt;In_COD)-($E136+$I62)*AY14</f>
        <v>2248.08557981454</v>
      </c>
      <c r="AZ144" s="48" t="n">
        <f aca="false">(AZ83+AZ59+AZ62+AZ117)*(AZ$4&gt;In_COD)-($E136+$I62)*AZ14</f>
        <v>2271.20436117184</v>
      </c>
      <c r="BA144" s="48" t="n">
        <f aca="false">(BA83+BA59+BA62+BA117)*(BA$4&gt;In_COD)-($E136+$I62)*BA14</f>
        <v>2294.30747713199</v>
      </c>
      <c r="BB144" s="48" t="n">
        <f aca="false">(BB83+BB59+BB62+BB117)*(BB$4&gt;In_COD)-($E136+$I62)*BB14</f>
        <v>2285.5435110418</v>
      </c>
      <c r="BC144" s="48" t="n">
        <f aca="false">(BC83+BC59+BC62+BC117)*(BC$4&gt;In_COD)-($E136+$I62)*BC14</f>
        <v>2248.1824945666</v>
      </c>
      <c r="BD144" s="48" t="n">
        <f aca="false">(BD83+BD59+BD62+BD117)*(BD$4&gt;In_COD)-($E136+$I62)*BD14</f>
        <v>2271.2952587195</v>
      </c>
      <c r="BE144" s="48" t="n">
        <f aca="false">(BE83+BE59+BE62+BE117)*(BE$4&gt;In_COD)-($E136+$I62)*BE14</f>
        <v>2294.3915593963</v>
      </c>
      <c r="BF144" s="48" t="n">
        <f aca="false">(BF83+BF59+BF62+BF117)*(BF$4&gt;In_COD)-($E136+$I62)*BF14</f>
        <v>2285.51559552519</v>
      </c>
      <c r="BG144" s="48" t="n">
        <f aca="false">(BG83+BG59+BG62+BG117)*(BG$4&gt;In_COD)-($E136+$I62)*BG14</f>
        <v>2247.81431903396</v>
      </c>
      <c r="BH144" s="48" t="n">
        <f aca="false">(BH83+BH59+BH62+BH117)*(BH$4&gt;In_COD)-($E136+$I62)*BH14</f>
        <v>2270.91553690461</v>
      </c>
      <c r="BI144" s="48" t="n">
        <f aca="false">(BI83+BI59+BI62+BI117)*(BI$4&gt;In_COD)-($E136+$I62)*BI14</f>
        <v>2293.99945256184</v>
      </c>
      <c r="BJ144" s="48" t="n">
        <f aca="false">(BJ83+BJ59+BJ62+BJ117)*(BJ$4&gt;In_COD)-($E136+$I62)*BJ14</f>
        <v>2285.00802008832</v>
      </c>
      <c r="BK144" s="48" t="n">
        <f aca="false">(BK83+BK59+BK62+BK117)*(BK$4&gt;In_COD)-($E136+$I62)*BK14</f>
        <v>2271.49918376209</v>
      </c>
      <c r="BL144" s="48" t="n">
        <f aca="false">(BL83+BL59+BL62+BL117)*(BL$4&gt;In_COD)-($E136+$I62)*BL14</f>
        <v>2270.04448932076</v>
      </c>
      <c r="BM144" s="48" t="n">
        <f aca="false">(BM83+BM59+BM62+BM117)*(BM$4&gt;In_COD)-($E136+$I62)*BM14</f>
        <v>2293.11020239817</v>
      </c>
      <c r="BN144" s="48" t="n">
        <f aca="false">(BN83+BN59+BN62+BN117)*(BN$4&gt;In_COD)-($E136+$I62)*BN14</f>
        <v>2283.99966360055</v>
      </c>
      <c r="BO144" s="48" t="n">
        <f aca="false">(BO83+BO59+BO62+BO117)*(BO$4&gt;In_COD)-($E136+$I62)*BO14</f>
        <v>2245.59998826718</v>
      </c>
      <c r="BP144" s="48" t="n">
        <f aca="false">(BP83+BP59+BP62+BP117)*(BP$4&gt;In_COD)-($E136+$I62)*BP14</f>
        <v>2268.66053276645</v>
      </c>
      <c r="BQ144" s="48" t="n">
        <f aca="false">(BQ83+BQ59+BQ62+BQ117)*(BQ$4&gt;In_COD)-($E136+$I62)*BQ14</f>
        <v>2291.70196721147</v>
      </c>
      <c r="BR144" s="48" t="n">
        <f aca="false">(BR83+BR59+BR62+BR117)*(BR$4&gt;In_COD)-($E136+$I62)*BR14</f>
        <v>2282.46850892087</v>
      </c>
      <c r="BS144" s="48" t="n">
        <f aca="false">(BS83+BS59+BS62+BS117)*(BS$4&gt;In_COD)-($E136+$I62)*BS14</f>
        <v>2243.71027386286</v>
      </c>
      <c r="BT144" s="48" t="n">
        <f aca="false">(BT83+BT59+BT62+BT117)*(BT$4&gt;In_COD)-($E136+$I62)*BT14</f>
        <v>2266.74116759628</v>
      </c>
      <c r="BU144" s="48" t="n">
        <f aca="false">(BU83+BU59+BU62+BU117)*(BU$4&gt;In_COD)-($E136+$I62)*BU14</f>
        <v>2289.75197770731</v>
      </c>
      <c r="BV144" s="48" t="n">
        <f aca="false">(BV83+BV59+BV62+BV117)*(BV$4&gt;In_COD)-($E136+$I62)*BV14</f>
        <v>2280.39160232237</v>
      </c>
      <c r="BW144" s="48" t="n">
        <f aca="false">(BW83+BW59+BW62+BW117)*(BW$4&gt;In_COD)-($E136+$I62)*BW14</f>
        <v>2241.26827063169</v>
      </c>
      <c r="BX144" s="48" t="n">
        <f aca="false">(BX83+BX59+BX62+BX117)*(BX$4&gt;In_COD)-($E136+$I62)*BX14</f>
        <v>2264.2629361789</v>
      </c>
      <c r="BY144" s="48" t="n">
        <f aca="false">(BY83+BY59+BY62+BY117)*(BY$4&gt;In_COD)-($E136+$I62)*BY14</f>
        <v>2287.23649493681</v>
      </c>
      <c r="BZ144" s="48" t="n">
        <f aca="false">(BZ83+BZ59+BZ62+BZ117)*(BZ$4&gt;In_COD)-($E136+$I62)*BZ14</f>
        <v>2277.74501097784</v>
      </c>
      <c r="CA144" s="48" t="n">
        <f aca="false">(CA83+CA59+CA62+CA117)*(CA$4&gt;In_COD)-($E136+$I62)*CA14</f>
        <v>2262.97594591279</v>
      </c>
      <c r="CB144" s="48" t="n">
        <f aca="false">(CB83+CB59+CB62+CB117)*(CB$4&gt;In_COD)-($E136+$I62)*CB14</f>
        <v>2261.2013793687</v>
      </c>
      <c r="CC144" s="48" t="n">
        <f aca="false">(CC83+CC59+CC62+CC117)*(CC$4&gt;In_COD)-($E136+$I62)*CC14</f>
        <v>2284.13076623188</v>
      </c>
      <c r="CD144" s="48" t="n">
        <f aca="false">(CD83+CD59+CD62+CD117)*(CD$4&gt;In_COD)-($E136+$I62)*CD14</f>
        <v>2274.50377841065</v>
      </c>
      <c r="CE144" s="48" t="n">
        <f aca="false">(CE83+CE59+CE62+CE117)*(CE$4&gt;In_COD)-($E136+$I62)*CE14</f>
        <v>2234.62969060064</v>
      </c>
      <c r="CF144" s="48" t="n">
        <f aca="false">(CF83+CF59+CF62+CF117)*(CF$4&gt;In_COD)-($E136+$I62)*CF14</f>
        <v>2257.53099089308</v>
      </c>
      <c r="CG144" s="48" t="n">
        <f aca="false">(CG83+CG59+CG62+CG117)*(CG$4&gt;In_COD)-($E136+$I62)*CG14</f>
        <v>2280.40897903009</v>
      </c>
      <c r="CH144" s="48" t="n">
        <f aca="false">(CH83+CH59+CH62+CH117)*(CH$4&gt;In_COD)-($E136+$I62)*CH14</f>
        <v>2270.64187781084</v>
      </c>
      <c r="CI144" s="48" t="n">
        <f aca="false">(CI83+CI59+CI62+CI117)*(CI$4&gt;In_COD)-($E136+$I62)*CI14</f>
        <v>2232.31741356772</v>
      </c>
      <c r="CJ144" s="48" t="n">
        <f aca="false">(CJ83+CJ59+CJ62+CJ117)*(CJ$4&gt;In_COD)-($E136+$I62)*CJ14</f>
        <v>2257.12094038514</v>
      </c>
      <c r="CK144" s="48" t="n">
        <f aca="false">(CK83+CK59+CK62+CK117)*(CK$4&gt;In_COD)-($E136+$I62)*CK14</f>
        <v>2281.92446720256</v>
      </c>
      <c r="CL144" s="48" t="n">
        <f aca="false">(CL83+CL59+CL62+CL117)*(CL$4&gt;In_COD)-($E136+$I62)*CL14</f>
        <v>2274.02170776107</v>
      </c>
      <c r="CM144" s="48" t="n">
        <f aca="false">(CM83+CM59+CM62+CM117)*(CM$4&gt;In_COD)-($E136+$I62)*CM14</f>
        <v>2235.40215425159</v>
      </c>
      <c r="CN144" s="48" t="n">
        <f aca="false">(CN83+CN59+CN62+CN117)*(CN$4&gt;In_COD)-($E136+$I62)*CN14</f>
        <v>2260.2399559655</v>
      </c>
      <c r="CO144" s="48" t="n">
        <f aca="false">(CO83+CO59+CO62+CO117)*(CO$4&gt;In_COD)-($E136+$I62)*CO14</f>
        <v>2285.07775767941</v>
      </c>
      <c r="CP144" s="48" t="n">
        <f aca="false">(CP83+CP59+CP62+CP117)*(CP$4&gt;In_COD)-($E136+$I62)*CP14</f>
        <v>2277.12734251984</v>
      </c>
      <c r="CQ144" s="48" t="n">
        <f aca="false">(CQ83+CQ59+CQ62+CQ117)*(CQ$4&gt;In_COD)-($E136+$I62)*CQ14</f>
        <v>2263.07889541064</v>
      </c>
      <c r="CR144" s="48" t="n">
        <f aca="false">(CR83+CR59+CR62+CR117)*(CR$4&gt;In_COD)-($E136+$I62)*CR14</f>
        <v>2263.07889541064</v>
      </c>
      <c r="CS144" s="48" t="n">
        <f aca="false">(CS83+CS59+CS62+CS117)*(CS$4&gt;In_COD)-($E136+$I62)*CS14</f>
        <v>2287.94789426131</v>
      </c>
      <c r="CT144" s="48" t="n">
        <f aca="false">(CT83+CT59+CT62+CT117)*(CT$4&gt;In_COD)-($E136+$I62)*CT14</f>
        <v>2279.94971794918</v>
      </c>
      <c r="CU144" s="48" t="n">
        <f aca="false">(CU83+CU59+CU62+CU117)*(CU$4&gt;In_COD)-($E136+$I62)*CU14</f>
        <v>2240.73153719111</v>
      </c>
      <c r="CV144" s="48" t="n">
        <f aca="false">(CV83+CV59+CV62+CV117)*(CV$4&gt;In_COD)-($E136+$I62)*CV14</f>
        <v>2265.62855427102</v>
      </c>
      <c r="CW144" s="48" t="n">
        <f aca="false">(CW83+CW59+CW62+CW117)*(CW$4&gt;In_COD)-($E136+$I62)*CW14</f>
        <v>2290.52557135092</v>
      </c>
      <c r="CX144" s="48" t="n">
        <f aca="false">(CX83+CX59+CX62+CX117)*(CX$4&gt;In_COD)-($E136+$I62)*CX14</f>
        <v>2282.47953249614</v>
      </c>
      <c r="CY144" s="48" t="n">
        <f aca="false">(CY83+CY59+CY62+CY117)*(CY$4&gt;In_COD)-($E136+$I62)*CY14</f>
        <v>2242.9577346824</v>
      </c>
      <c r="CZ144" s="48" t="n">
        <f aca="false">(CZ83+CZ59+CZ62+CZ117)*(CZ$4&gt;In_COD)-($E136+$I62)*CZ14</f>
        <v>2267.87948728999</v>
      </c>
      <c r="DA144" s="48" t="n">
        <f aca="false">(DA83+DA59+DA62+DA117)*(DA$4&gt;In_COD)-($E136+$I62)*DA14</f>
        <v>2292.80123989757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0.0695907325382153</v>
      </c>
    </row>
    <row r="146" customFormat="false" ht="15" hidden="false" customHeight="false" outlineLevel="0" collapsed="false">
      <c r="C146" s="0" t="s">
        <v>519</v>
      </c>
      <c r="D146" s="11" t="s">
        <v>33</v>
      </c>
      <c r="I146" s="48" t="n">
        <f aca="false">SUM(J146:EO146)</f>
        <v>133095.679028538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-72610.0831709894</v>
      </c>
      <c r="Z146" s="48" t="n">
        <f aca="false">Z144+Z98+Z106+$E103*Z14</f>
        <v>1270.93755580986</v>
      </c>
      <c r="AA146" s="48" t="n">
        <f aca="false">AA144+AA98+AA106+$E103*AA14</f>
        <v>1235.93078363369</v>
      </c>
      <c r="AB146" s="48" t="n">
        <f aca="false">AB144+AB98+AB106+$E103*AB14</f>
        <v>1260.22265239478</v>
      </c>
      <c r="AC146" s="48" t="n">
        <f aca="false">AC144+AC98+AC106+$E103*AC14</f>
        <v>1284.50870774994</v>
      </c>
      <c r="AD146" s="48" t="n">
        <f aca="false">AD144+AD98+AD106+$E103*AD14</f>
        <v>1276.19342884433</v>
      </c>
      <c r="AE146" s="48" t="n">
        <f aca="false">AE144+AE98+AE106+$E103*AE14</f>
        <v>1209.93954768368</v>
      </c>
      <c r="AF146" s="48" t="n">
        <f aca="false">AF144+AF98+AF106+$E103*AF14</f>
        <v>1203.75679334384</v>
      </c>
      <c r="AG146" s="48" t="n">
        <f aca="false">AG144+AG98+AG106+$E103*AG14</f>
        <v>1226.50872956306</v>
      </c>
      <c r="AH146" s="48" t="n">
        <f aca="false">AH144+AH98+AH106+$E103*AH14</f>
        <v>1218.25798413776</v>
      </c>
      <c r="AI146" s="48" t="n">
        <f aca="false">AI144+AI98+AI106+$E103*AI14</f>
        <v>1183.13588852486</v>
      </c>
      <c r="AJ146" s="48" t="n">
        <f aca="false">AJ144+AJ98+AJ106+$E103*AJ14</f>
        <v>1234.10048988425</v>
      </c>
      <c r="AK146" s="48" t="n">
        <f aca="false">AK144+AK98+AK106+$E103*AK14</f>
        <v>1257.17977820856</v>
      </c>
      <c r="AL146" s="48" t="n">
        <f aca="false">AL144+AL98+AL106+$E103*AL14</f>
        <v>1248.8321566746</v>
      </c>
      <c r="AM146" s="48" t="n">
        <f aca="false">AM144+AM98+AM106+$E103*AM14</f>
        <v>1212.77708058549</v>
      </c>
      <c r="AN146" s="48" t="n">
        <f aca="false">AN144+AN98+AN106+$E103*AN14</f>
        <v>1235.88304770459</v>
      </c>
      <c r="AO146" s="48" t="n">
        <f aca="false">AO144+AO98+AO106+$E103*AO14</f>
        <v>1258.97551894932</v>
      </c>
      <c r="AP146" s="48" t="n">
        <f aca="false">AP144+AP98+AP106+$E103*AP14</f>
        <v>1250.52827068462</v>
      </c>
      <c r="AQ146" s="48" t="n">
        <f aca="false">AQ144+AQ98+AQ106+$E103*AQ14</f>
        <v>1214.15461394479</v>
      </c>
      <c r="AR146" s="48" t="n">
        <f aca="false">AR144+AR98+AR106+$E103*AR14</f>
        <v>1237.26977541795</v>
      </c>
      <c r="AS146" s="48" t="n">
        <f aca="false">AS144+AS98+AS106+$E103*AS14</f>
        <v>1260.37075346488</v>
      </c>
      <c r="AT146" s="48" t="n">
        <f aca="false">AT144+AT98+AT106+$E103*AT14</f>
        <v>1251.82099781918</v>
      </c>
      <c r="AU146" s="48" t="n">
        <f aca="false">AU144+AU98+AU106+$E103*AU14</f>
        <v>1239.43559260133</v>
      </c>
      <c r="AV146" s="48" t="n">
        <f aca="false">AV144+AV98+AV106+$E103*AV14</f>
        <v>1238.24311214761</v>
      </c>
      <c r="AW146" s="48" t="n">
        <f aca="false">AW144+AW98+AW106+$E103*AW14</f>
        <v>1261.3477112765</v>
      </c>
      <c r="AX146" s="48" t="n">
        <f aca="false">AX144+AX98+AX106+$E103*AX14</f>
        <v>1252.69243091587</v>
      </c>
      <c r="AY146" s="48" t="n">
        <f aca="false">AY144+AY98+AY106+$E103*AY14</f>
        <v>1215.66598024441</v>
      </c>
      <c r="AZ146" s="48" t="n">
        <f aca="false">AZ144+AZ98+AZ106+$E103*AZ14</f>
        <v>1238.78476160171</v>
      </c>
      <c r="BA146" s="48" t="n">
        <f aca="false">BA144+BA98+BA106+$E103*BA14</f>
        <v>1261.88787756186</v>
      </c>
      <c r="BB146" s="48" t="n">
        <f aca="false">BB144+BB98+BB106+$E103*BB14</f>
        <v>1253.12391147167</v>
      </c>
      <c r="BC146" s="48" t="n">
        <f aca="false">BC144+BC98+BC106+$E103*BC14</f>
        <v>1215.76289499648</v>
      </c>
      <c r="BD146" s="48" t="n">
        <f aca="false">BD144+BD98+BD106+$E103*BD14</f>
        <v>1238.87565914937</v>
      </c>
      <c r="BE146" s="48" t="n">
        <f aca="false">BE144+BE98+BE106+$E103*BE14</f>
        <v>1261.97195982618</v>
      </c>
      <c r="BF146" s="48" t="n">
        <f aca="false">BF144+BF98+BF106+$E103*BF14</f>
        <v>1253.09599595507</v>
      </c>
      <c r="BG146" s="48" t="n">
        <f aca="false">BG144+BG98+BG106+$E103*BG14</f>
        <v>1215.39471946384</v>
      </c>
      <c r="BH146" s="48" t="n">
        <f aca="false">BH144+BH98+BH106+$E103*BH14</f>
        <v>1238.49593733449</v>
      </c>
      <c r="BI146" s="48" t="n">
        <f aca="false">BI144+BI98+BI106+$E103*BI14</f>
        <v>1261.57985299172</v>
      </c>
      <c r="BJ146" s="48" t="n">
        <f aca="false">BJ144+BJ98+BJ106+$E103*BJ14</f>
        <v>1252.58842051819</v>
      </c>
      <c r="BK146" s="48" t="n">
        <f aca="false">BK144+BK98+BK106+$E103*BK14</f>
        <v>1239.07958419196</v>
      </c>
      <c r="BL146" s="48" t="n">
        <f aca="false">BL144+BL98+BL106+$E103*BL14</f>
        <v>1237.62488975063</v>
      </c>
      <c r="BM146" s="48" t="n">
        <f aca="false">BM144+BM98+BM106+$E103*BM14</f>
        <v>1260.69060282805</v>
      </c>
      <c r="BN146" s="48" t="n">
        <f aca="false">BN144+BN98+BN106+$E103*BN14</f>
        <v>1251.58006403042</v>
      </c>
      <c r="BO146" s="48" t="n">
        <f aca="false">BO144+BO98+BO106+$E103*BO14</f>
        <v>1213.18038869706</v>
      </c>
      <c r="BP146" s="48" t="n">
        <f aca="false">BP144+BP98+BP106+$E103*BP14</f>
        <v>1236.24093319633</v>
      </c>
      <c r="BQ146" s="48" t="n">
        <f aca="false">BQ144+BQ98+BQ106+$E103*BQ14</f>
        <v>1259.28236764135</v>
      </c>
      <c r="BR146" s="48" t="n">
        <f aca="false">BR144+BR98+BR106+$E103*BR14</f>
        <v>1250.04890935074</v>
      </c>
      <c r="BS146" s="48" t="n">
        <f aca="false">BS144+BS98+BS106+$E103*BS14</f>
        <v>1211.29067429273</v>
      </c>
      <c r="BT146" s="48" t="n">
        <f aca="false">BT144+BT98+BT106+$E103*BT14</f>
        <v>1234.32156802616</v>
      </c>
      <c r="BU146" s="48" t="n">
        <f aca="false">BU144+BU98+BU106+$E103*BU14</f>
        <v>1257.33237813718</v>
      </c>
      <c r="BV146" s="48" t="n">
        <f aca="false">BV144+BV98+BV106+$E103*BV14</f>
        <v>1247.97200275225</v>
      </c>
      <c r="BW146" s="48" t="n">
        <f aca="false">BW144+BW98+BW106+$E103*BW14</f>
        <v>1208.84867106156</v>
      </c>
      <c r="BX146" s="48" t="n">
        <f aca="false">BX144+BX98+BX106+$E103*BX14</f>
        <v>1231.84333660878</v>
      </c>
      <c r="BY146" s="48" t="n">
        <f aca="false">BY144+BY98+BY106+$E103*BY14</f>
        <v>1254.81689536668</v>
      </c>
      <c r="BZ146" s="48" t="n">
        <f aca="false">BZ144+BZ98+BZ106+$E103*BZ14</f>
        <v>1245.32541140771</v>
      </c>
      <c r="CA146" s="48" t="n">
        <f aca="false">CA144+CA98+CA106+$E103*CA14</f>
        <v>1230.55634634266</v>
      </c>
      <c r="CB146" s="48" t="n">
        <f aca="false">CB144+CB98+CB106+$E103*CB14</f>
        <v>1228.78177979858</v>
      </c>
      <c r="CC146" s="48" t="n">
        <f aca="false">CC144+CC98+CC106+$E103*CC14</f>
        <v>1251.71116666175</v>
      </c>
      <c r="CD146" s="48" t="n">
        <f aca="false">CD144+CD98+CD106+$E103*CD14</f>
        <v>1242.08417884053</v>
      </c>
      <c r="CE146" s="48" t="n">
        <f aca="false">CE144+CE98+CE106+$E103*CE14</f>
        <v>1202.21009103051</v>
      </c>
      <c r="CF146" s="48" t="n">
        <f aca="false">CF144+CF98+CF106+$E103*CF14</f>
        <v>1225.11139132295</v>
      </c>
      <c r="CG146" s="48" t="n">
        <f aca="false">CG144+CG98+CG106+$E103*CG14</f>
        <v>2280.4089790301</v>
      </c>
      <c r="CH146" s="48" t="n">
        <f aca="false">CH144+CH98+CH106+$E103*CH14</f>
        <v>2270.64187781084</v>
      </c>
      <c r="CI146" s="48" t="n">
        <f aca="false">CI144+CI98+CI106+$E103*CI14</f>
        <v>2232.31741356772</v>
      </c>
      <c r="CJ146" s="48" t="n">
        <f aca="false">CJ144+CJ98+CJ106+$E103*CJ14</f>
        <v>2257.12094038514</v>
      </c>
      <c r="CK146" s="48" t="n">
        <f aca="false">CK144+CK98+CK106+$E103*CK14</f>
        <v>2281.92446720256</v>
      </c>
      <c r="CL146" s="48" t="n">
        <f aca="false">CL144+CL98+CL106+$E103*CL14</f>
        <v>2274.02170776107</v>
      </c>
      <c r="CM146" s="48" t="n">
        <f aca="false">CM144+CM98+CM106+$E103*CM14</f>
        <v>2235.40215425159</v>
      </c>
      <c r="CN146" s="48" t="n">
        <f aca="false">CN144+CN98+CN106+$E103*CN14</f>
        <v>2260.2399559655</v>
      </c>
      <c r="CO146" s="48" t="n">
        <f aca="false">CO144+CO98+CO106+$E103*CO14</f>
        <v>2285.07775767941</v>
      </c>
      <c r="CP146" s="48" t="n">
        <f aca="false">CP144+CP98+CP106+$E103*CP14</f>
        <v>2277.12734251984</v>
      </c>
      <c r="CQ146" s="48" t="n">
        <f aca="false">CQ144+CQ98+CQ106+$E103*CQ14</f>
        <v>2263.07889541064</v>
      </c>
      <c r="CR146" s="48" t="n">
        <f aca="false">CR144+CR98+CR106+$E103*CR14</f>
        <v>2263.07889541064</v>
      </c>
      <c r="CS146" s="48" t="n">
        <f aca="false">CS144+CS98+CS106+$E103*CS14</f>
        <v>2287.94789426131</v>
      </c>
      <c r="CT146" s="48" t="n">
        <f aca="false">CT144+CT98+CT106+$E103*CT14</f>
        <v>2279.94971794918</v>
      </c>
      <c r="CU146" s="48" t="n">
        <f aca="false">CU144+CU98+CU106+$E103*CU14</f>
        <v>2240.73153719111</v>
      </c>
      <c r="CV146" s="48" t="n">
        <f aca="false">CV144+CV98+CV106+$E103*CV14</f>
        <v>2265.62855427102</v>
      </c>
      <c r="CW146" s="48" t="n">
        <f aca="false">CW144+CW98+CW106+$E103*CW14</f>
        <v>2290.52557135092</v>
      </c>
      <c r="CX146" s="48" t="n">
        <f aca="false">CX144+CX98+CX106+$E103*CX14</f>
        <v>2282.47953249614</v>
      </c>
      <c r="CY146" s="48" t="n">
        <f aca="false">CY144+CY98+CY106+$E103*CY14</f>
        <v>2242.9577346824</v>
      </c>
      <c r="CZ146" s="48" t="n">
        <f aca="false">CZ144+CZ98+CZ106+$E103*CZ14</f>
        <v>2267.87948728999</v>
      </c>
      <c r="DA146" s="48" t="n">
        <f aca="false">DA144+DA98+DA106+$E103*DA14</f>
        <v>2292.80123989757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520</v>
      </c>
      <c r="D147" s="11" t="s">
        <v>27</v>
      </c>
      <c r="E147" s="33" t="n">
        <f aca="false">XIRR(INDEX($J146:$EO146,$E15):$EO146,INDEX($J$4:$EO$4,$E15):$EO$4)</f>
        <v>0.0744377625136832</v>
      </c>
    </row>
    <row r="149" customFormat="false" ht="15" hidden="false" customHeight="false" outlineLevel="0" collapsed="false">
      <c r="A149" s="9" t="s">
        <v>13</v>
      </c>
      <c r="B149" s="9"/>
      <c r="C149" s="9" t="s">
        <v>521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522</v>
      </c>
      <c r="D150" s="11" t="s">
        <v>33</v>
      </c>
      <c r="I150" s="48" t="n">
        <f aca="false">SUM(J150:EO150)</f>
        <v>184642.353672183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2303.35715537998</v>
      </c>
      <c r="AA150" s="48" t="n">
        <f aca="false">AA63+AA70+AA83+AA62+AA117</f>
        <v>2268.35038320381</v>
      </c>
      <c r="AB150" s="48" t="n">
        <f aca="false">AB63+AB70+AB83+AB62+AB117</f>
        <v>2292.6422519649</v>
      </c>
      <c r="AC150" s="48" t="n">
        <f aca="false">AC63+AC70+AC83+AC62+AC117</f>
        <v>2316.92830732007</v>
      </c>
      <c r="AD150" s="48" t="n">
        <f aca="false">AD63+AD70+AD83+AD62+AD117</f>
        <v>2308.61302841445</v>
      </c>
      <c r="AE150" s="48" t="n">
        <f aca="false">AE63+AE70+AE83+AE62+AE117</f>
        <v>2242.35914725381</v>
      </c>
      <c r="AF150" s="48" t="n">
        <f aca="false">AF63+AF70+AF83+AF62+AF117</f>
        <v>2236.17639291396</v>
      </c>
      <c r="AG150" s="48" t="n">
        <f aca="false">AG63+AG70+AG83+AG62+AG117</f>
        <v>2258.92832913318</v>
      </c>
      <c r="AH150" s="48" t="n">
        <f aca="false">AH63+AH70+AH83+AH62+AH117</f>
        <v>2250.67758370789</v>
      </c>
      <c r="AI150" s="48" t="n">
        <f aca="false">AI63+AI70+AI83+AI62+AI117</f>
        <v>2215.55548809498</v>
      </c>
      <c r="AJ150" s="48" t="n">
        <f aca="false">AJ63+AJ70+AJ83+AJ62+AJ117</f>
        <v>2266.52008945437</v>
      </c>
      <c r="AK150" s="48" t="n">
        <f aca="false">AK63+AK70+AK83+AK62+AK117</f>
        <v>2289.59937777868</v>
      </c>
      <c r="AL150" s="48" t="n">
        <f aca="false">AL63+AL70+AL83+AL62+AL117</f>
        <v>2281.25175624472</v>
      </c>
      <c r="AM150" s="48" t="n">
        <f aca="false">AM63+AM70+AM83+AM62+AM117</f>
        <v>2245.19668015561</v>
      </c>
      <c r="AN150" s="48" t="n">
        <f aca="false">AN63+AN70+AN83+AN62+AN117</f>
        <v>2268.30264727472</v>
      </c>
      <c r="AO150" s="48" t="n">
        <f aca="false">AO63+AO70+AO83+AO62+AO117</f>
        <v>2291.39511851944</v>
      </c>
      <c r="AP150" s="48" t="n">
        <f aca="false">AP63+AP70+AP83+AP62+AP117</f>
        <v>2282.94787025475</v>
      </c>
      <c r="AQ150" s="48" t="n">
        <f aca="false">AQ63+AQ70+AQ83+AQ62+AQ117</f>
        <v>2246.57421351491</v>
      </c>
      <c r="AR150" s="48" t="n">
        <f aca="false">AR63+AR70+AR83+AR62+AR117</f>
        <v>2269.68937498808</v>
      </c>
      <c r="AS150" s="48" t="n">
        <f aca="false">AS63+AS70+AS83+AS62+AS117</f>
        <v>2292.790353035</v>
      </c>
      <c r="AT150" s="48" t="n">
        <f aca="false">AT63+AT70+AT83+AT62+AT117</f>
        <v>2284.24059738931</v>
      </c>
      <c r="AU150" s="48" t="n">
        <f aca="false">AU63+AU70+AU83+AU62+AU117</f>
        <v>2271.85519217145</v>
      </c>
      <c r="AV150" s="48" t="n">
        <f aca="false">AV63+AV70+AV83+AV62+AV117</f>
        <v>2270.66271171773</v>
      </c>
      <c r="AW150" s="48" t="n">
        <f aca="false">AW63+AW70+AW83+AW62+AW117</f>
        <v>2293.76731084662</v>
      </c>
      <c r="AX150" s="48" t="n">
        <f aca="false">AX63+AX70+AX83+AX62+AX117</f>
        <v>2285.112030486</v>
      </c>
      <c r="AY150" s="48" t="n">
        <f aca="false">AY63+AY70+AY83+AY62+AY117</f>
        <v>2248.08557981454</v>
      </c>
      <c r="AZ150" s="48" t="n">
        <f aca="false">AZ63+AZ70+AZ83+AZ62+AZ117</f>
        <v>2271.20436117184</v>
      </c>
      <c r="BA150" s="48" t="n">
        <f aca="false">BA63+BA70+BA83+BA62+BA117</f>
        <v>2294.30747713199</v>
      </c>
      <c r="BB150" s="48" t="n">
        <f aca="false">BB63+BB70+BB83+BB62+BB117</f>
        <v>2285.5435110418</v>
      </c>
      <c r="BC150" s="48" t="n">
        <f aca="false">BC63+BC70+BC83+BC62+BC117</f>
        <v>2248.1824945666</v>
      </c>
      <c r="BD150" s="48" t="n">
        <f aca="false">BD63+BD70+BD83+BD62+BD117</f>
        <v>2271.2952587195</v>
      </c>
      <c r="BE150" s="48" t="n">
        <f aca="false">BE63+BE70+BE83+BE62+BE117</f>
        <v>2294.3915593963</v>
      </c>
      <c r="BF150" s="48" t="n">
        <f aca="false">BF63+BF70+BF83+BF62+BF117</f>
        <v>2285.51559552519</v>
      </c>
      <c r="BG150" s="48" t="n">
        <f aca="false">BG63+BG70+BG83+BG62+BG117</f>
        <v>2247.81431903396</v>
      </c>
      <c r="BH150" s="48" t="n">
        <f aca="false">BH63+BH70+BH83+BH62+BH117</f>
        <v>2270.91553690461</v>
      </c>
      <c r="BI150" s="48" t="n">
        <f aca="false">BI63+BI70+BI83+BI62+BI117</f>
        <v>2293.99945256184</v>
      </c>
      <c r="BJ150" s="48" t="n">
        <f aca="false">BJ63+BJ70+BJ83+BJ62+BJ117</f>
        <v>2285.00802008832</v>
      </c>
      <c r="BK150" s="48" t="n">
        <f aca="false">BK63+BK70+BK83+BK62+BK117</f>
        <v>2271.49918376209</v>
      </c>
      <c r="BL150" s="48" t="n">
        <f aca="false">BL63+BL70+BL83+BL62+BL117</f>
        <v>2270.04448932076</v>
      </c>
      <c r="BM150" s="48" t="n">
        <f aca="false">BM63+BM70+BM83+BM62+BM117</f>
        <v>2293.11020239817</v>
      </c>
      <c r="BN150" s="48" t="n">
        <f aca="false">BN63+BN70+BN83+BN62+BN117</f>
        <v>2283.99966360055</v>
      </c>
      <c r="BO150" s="48" t="n">
        <f aca="false">BO63+BO70+BO83+BO62+BO117</f>
        <v>2245.59998826718</v>
      </c>
      <c r="BP150" s="48" t="n">
        <f aca="false">BP63+BP70+BP83+BP62+BP117</f>
        <v>2268.66053276645</v>
      </c>
      <c r="BQ150" s="48" t="n">
        <f aca="false">BQ63+BQ70+BQ83+BQ62+BQ117</f>
        <v>2291.70196721147</v>
      </c>
      <c r="BR150" s="48" t="n">
        <f aca="false">BR63+BR70+BR83+BR62+BR117</f>
        <v>2282.46850892087</v>
      </c>
      <c r="BS150" s="48" t="n">
        <f aca="false">BS63+BS70+BS83+BS62+BS117</f>
        <v>2243.71027386286</v>
      </c>
      <c r="BT150" s="48" t="n">
        <f aca="false">BT63+BT70+BT83+BT62+BT117</f>
        <v>2266.74116759628</v>
      </c>
      <c r="BU150" s="48" t="n">
        <f aca="false">BU63+BU70+BU83+BU62+BU117</f>
        <v>2289.75197770731</v>
      </c>
      <c r="BV150" s="48" t="n">
        <f aca="false">BV63+BV70+BV83+BV62+BV117</f>
        <v>2280.39160232237</v>
      </c>
      <c r="BW150" s="48" t="n">
        <f aca="false">BW63+BW70+BW83+BW62+BW117</f>
        <v>2241.26827063169</v>
      </c>
      <c r="BX150" s="48" t="n">
        <f aca="false">BX63+BX70+BX83+BX62+BX117</f>
        <v>2264.2629361789</v>
      </c>
      <c r="BY150" s="48" t="n">
        <f aca="false">BY63+BY70+BY83+BY62+BY117</f>
        <v>2287.23649493681</v>
      </c>
      <c r="BZ150" s="48" t="n">
        <f aca="false">BZ63+BZ70+BZ83+BZ62+BZ117</f>
        <v>2277.74501097784</v>
      </c>
      <c r="CA150" s="48" t="n">
        <f aca="false">CA63+CA70+CA83+CA62+CA117</f>
        <v>2262.97594591279</v>
      </c>
      <c r="CB150" s="48" t="n">
        <f aca="false">CB63+CB70+CB83+CB62+CB117</f>
        <v>2261.2013793687</v>
      </c>
      <c r="CC150" s="48" t="n">
        <f aca="false">CC63+CC70+CC83+CC62+CC117</f>
        <v>2284.13076623188</v>
      </c>
      <c r="CD150" s="48" t="n">
        <f aca="false">CD63+CD70+CD83+CD62+CD117</f>
        <v>2274.50377841065</v>
      </c>
      <c r="CE150" s="48" t="n">
        <f aca="false">CE63+CE70+CE83+CE62+CE117</f>
        <v>2234.62969060064</v>
      </c>
      <c r="CF150" s="48" t="n">
        <f aca="false">CF63+CF70+CF83+CF62+CF117</f>
        <v>2257.53099089308</v>
      </c>
      <c r="CG150" s="48" t="n">
        <f aca="false">CG63+CG70+CG83+CG62+CG117</f>
        <v>2280.40897903009</v>
      </c>
      <c r="CH150" s="48" t="n">
        <f aca="false">CH63+CH70+CH83+CH62+CH117</f>
        <v>2270.64187781084</v>
      </c>
      <c r="CI150" s="48" t="n">
        <f aca="false">CI63+CI70+CI83+CI62+CI117</f>
        <v>2232.31741356772</v>
      </c>
      <c r="CJ150" s="48" t="n">
        <f aca="false">CJ63+CJ70+CJ83+CJ62+CJ117</f>
        <v>2257.12094038514</v>
      </c>
      <c r="CK150" s="48" t="n">
        <f aca="false">CK63+CK70+CK83+CK62+CK117</f>
        <v>2281.92446720256</v>
      </c>
      <c r="CL150" s="48" t="n">
        <f aca="false">CL63+CL70+CL83+CL62+CL117</f>
        <v>2274.02170776107</v>
      </c>
      <c r="CM150" s="48" t="n">
        <f aca="false">CM63+CM70+CM83+CM62+CM117</f>
        <v>2235.40215425159</v>
      </c>
      <c r="CN150" s="48" t="n">
        <f aca="false">CN63+CN70+CN83+CN62+CN117</f>
        <v>2260.2399559655</v>
      </c>
      <c r="CO150" s="48" t="n">
        <f aca="false">CO63+CO70+CO83+CO62+CO117</f>
        <v>2285.07775767941</v>
      </c>
      <c r="CP150" s="48" t="n">
        <f aca="false">CP63+CP70+CP83+CP62+CP117</f>
        <v>2277.12734251984</v>
      </c>
      <c r="CQ150" s="48" t="n">
        <f aca="false">CQ63+CQ70+CQ83+CQ62+CQ117</f>
        <v>2263.07889541064</v>
      </c>
      <c r="CR150" s="48" t="n">
        <f aca="false">CR63+CR70+CR83+CR62+CR117</f>
        <v>2263.07889541064</v>
      </c>
      <c r="CS150" s="48" t="n">
        <f aca="false">CS63+CS70+CS83+CS62+CS117</f>
        <v>2287.94789426131</v>
      </c>
      <c r="CT150" s="48" t="n">
        <f aca="false">CT63+CT70+CT83+CT62+CT117</f>
        <v>2279.94971794918</v>
      </c>
      <c r="CU150" s="48" t="n">
        <f aca="false">CU63+CU70+CU83+CU62+CU117</f>
        <v>2240.73153719111</v>
      </c>
      <c r="CV150" s="48" t="n">
        <f aca="false">CV63+CV70+CV83+CV62+CV117</f>
        <v>2265.62855427102</v>
      </c>
      <c r="CW150" s="48" t="n">
        <f aca="false">CW63+CW70+CW83+CW62+CW117</f>
        <v>2290.52557135092</v>
      </c>
      <c r="CX150" s="48" t="n">
        <f aca="false">CX63+CX70+CX83+CX62+CX117</f>
        <v>2282.47953249614</v>
      </c>
      <c r="CY150" s="48" t="n">
        <f aca="false">CY63+CY70+CY83+CY62+CY117</f>
        <v>2242.9577346824</v>
      </c>
      <c r="CZ150" s="48" t="n">
        <f aca="false">CZ63+CZ70+CZ83+CZ62+CZ117</f>
        <v>2267.87948728999</v>
      </c>
      <c r="DA150" s="48" t="n">
        <f aca="false">DA63+DA70+DA83+DA62+DA117</f>
        <v>2292.80123989757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0.0959991268999354</v>
      </c>
    </row>
    <row r="152" customFormat="false" ht="15" hidden="false" customHeight="false" outlineLevel="0" collapsed="false">
      <c r="C152" s="25" t="s">
        <v>523</v>
      </c>
      <c r="D152" s="11" t="s">
        <v>33</v>
      </c>
      <c r="I152" s="57" t="n">
        <f aca="false">SUM(J152:EO152)</f>
        <v>162986.544729022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-4598.78508914336</v>
      </c>
      <c r="S152" s="57" t="n">
        <f aca="false">S63+S70+S100+S104+S105+S83+S98+S106+S62+S117</f>
        <v>-7416.60009090345</v>
      </c>
      <c r="T152" s="57" t="n">
        <f aca="false">T63+T70+T100+T104+T105+T83+T98+T106+T62+T117</f>
        <v>-3768.65166995178</v>
      </c>
      <c r="U152" s="57" t="n">
        <f aca="false">U63+U70+U100+U104+U105+U83+U98+U106+U62+U117</f>
        <v>-3800.0000014</v>
      </c>
      <c r="V152" s="57" t="n">
        <f aca="false">V63+V70+V100+V104+V105+V83+V98+V106+V62+V117</f>
        <v>-3789.82396918758</v>
      </c>
      <c r="W152" s="57" t="n">
        <f aca="false">W63+W70+W100+W104+W105+W83+W98+W106+W62+W117</f>
        <v>-3698.52360864843</v>
      </c>
      <c r="X152" s="57" t="n">
        <f aca="false">X63+X70+X100+X104+X105+X83+X98+X106+X62+X117</f>
        <v>-3729.77170579166</v>
      </c>
      <c r="Y152" s="57" t="n">
        <f aca="false">Y63+Y70+Y100+Y104+Y105+Y83+Y98+Y106+Y62+Y117</f>
        <v>-5918.1123844566</v>
      </c>
      <c r="Z152" s="57" t="n">
        <f aca="false">Z63+Z70+Z100+Z104+Z105+Z83+Z98+Z106+Z62+Z117</f>
        <v>1270.93755580986</v>
      </c>
      <c r="AA152" s="57" t="n">
        <f aca="false">AA63+AA70+AA100+AA104+AA105+AA83+AA98+AA106+AA62+AA117</f>
        <v>1235.93078363369</v>
      </c>
      <c r="AB152" s="57" t="n">
        <f aca="false">AB63+AB70+AB100+AB104+AB105+AB83+AB98+AB106+AB62+AB117</f>
        <v>1260.22265239478</v>
      </c>
      <c r="AC152" s="57" t="n">
        <f aca="false">AC63+AC70+AC100+AC104+AC105+AC83+AC98+AC106+AC62+AC117</f>
        <v>1284.50870774994</v>
      </c>
      <c r="AD152" s="57" t="n">
        <f aca="false">AD63+AD70+AD100+AD104+AD105+AD83+AD98+AD106+AD62+AD117</f>
        <v>1276.19342884433</v>
      </c>
      <c r="AE152" s="57" t="n">
        <f aca="false">AE63+AE70+AE100+AE104+AE105+AE83+AE98+AE106+AE62+AE117</f>
        <v>1209.93954768368</v>
      </c>
      <c r="AF152" s="57" t="n">
        <f aca="false">AF63+AF70+AF100+AF104+AF105+AF83+AF98+AF106+AF62+AF117</f>
        <v>1203.75679334384</v>
      </c>
      <c r="AG152" s="57" t="n">
        <f aca="false">AG63+AG70+AG100+AG104+AG105+AG83+AG98+AG106+AG62+AG117</f>
        <v>1226.50872956306</v>
      </c>
      <c r="AH152" s="57" t="n">
        <f aca="false">AH63+AH70+AH100+AH104+AH105+AH83+AH98+AH106+AH62+AH117</f>
        <v>1218.25798413776</v>
      </c>
      <c r="AI152" s="57" t="n">
        <f aca="false">AI63+AI70+AI100+AI104+AI105+AI83+AI98+AI106+AI62+AI117</f>
        <v>1183.13588852486</v>
      </c>
      <c r="AJ152" s="57" t="n">
        <f aca="false">AJ63+AJ70+AJ100+AJ104+AJ105+AJ83+AJ98+AJ106+AJ62+AJ117</f>
        <v>1234.10048988425</v>
      </c>
      <c r="AK152" s="57" t="n">
        <f aca="false">AK63+AK70+AK100+AK104+AK105+AK83+AK98+AK106+AK62+AK117</f>
        <v>1257.17977820856</v>
      </c>
      <c r="AL152" s="57" t="n">
        <f aca="false">AL63+AL70+AL100+AL104+AL105+AL83+AL98+AL106+AL62+AL117</f>
        <v>1248.8321566746</v>
      </c>
      <c r="AM152" s="57" t="n">
        <f aca="false">AM63+AM70+AM100+AM104+AM105+AM83+AM98+AM106+AM62+AM117</f>
        <v>1212.77708058549</v>
      </c>
      <c r="AN152" s="57" t="n">
        <f aca="false">AN63+AN70+AN100+AN104+AN105+AN83+AN98+AN106+AN62+AN117</f>
        <v>1235.88304770459</v>
      </c>
      <c r="AO152" s="57" t="n">
        <f aca="false">AO63+AO70+AO100+AO104+AO105+AO83+AO98+AO106+AO62+AO117</f>
        <v>1258.97551894932</v>
      </c>
      <c r="AP152" s="57" t="n">
        <f aca="false">AP63+AP70+AP100+AP104+AP105+AP83+AP98+AP106+AP62+AP117</f>
        <v>1250.52827068462</v>
      </c>
      <c r="AQ152" s="57" t="n">
        <f aca="false">AQ63+AQ70+AQ100+AQ104+AQ105+AQ83+AQ98+AQ106+AQ62+AQ117</f>
        <v>1214.15461394479</v>
      </c>
      <c r="AR152" s="57" t="n">
        <f aca="false">AR63+AR70+AR100+AR104+AR105+AR83+AR98+AR106+AR62+AR117</f>
        <v>1237.26977541795</v>
      </c>
      <c r="AS152" s="57" t="n">
        <f aca="false">AS63+AS70+AS100+AS104+AS105+AS83+AS98+AS106+AS62+AS117</f>
        <v>1260.37075346488</v>
      </c>
      <c r="AT152" s="57" t="n">
        <f aca="false">AT63+AT70+AT100+AT104+AT105+AT83+AT98+AT106+AT62+AT117</f>
        <v>1251.82099781918</v>
      </c>
      <c r="AU152" s="57" t="n">
        <f aca="false">AU63+AU70+AU100+AU104+AU105+AU83+AU98+AU106+AU62+AU117</f>
        <v>1239.43559260133</v>
      </c>
      <c r="AV152" s="57" t="n">
        <f aca="false">AV63+AV70+AV100+AV104+AV105+AV83+AV98+AV106+AV62+AV117</f>
        <v>1238.24311214761</v>
      </c>
      <c r="AW152" s="57" t="n">
        <f aca="false">AW63+AW70+AW100+AW104+AW105+AW83+AW98+AW106+AW62+AW117</f>
        <v>1261.3477112765</v>
      </c>
      <c r="AX152" s="57" t="n">
        <f aca="false">AX63+AX70+AX100+AX104+AX105+AX83+AX98+AX106+AX62+AX117</f>
        <v>1252.69243091587</v>
      </c>
      <c r="AY152" s="57" t="n">
        <f aca="false">AY63+AY70+AY100+AY104+AY105+AY83+AY98+AY106+AY62+AY117</f>
        <v>1215.66598024441</v>
      </c>
      <c r="AZ152" s="57" t="n">
        <f aca="false">AZ63+AZ70+AZ100+AZ104+AZ105+AZ83+AZ98+AZ106+AZ62+AZ117</f>
        <v>1238.78476160171</v>
      </c>
      <c r="BA152" s="57" t="n">
        <f aca="false">BA63+BA70+BA100+BA104+BA105+BA83+BA98+BA106+BA62+BA117</f>
        <v>1261.88787756186</v>
      </c>
      <c r="BB152" s="57" t="n">
        <f aca="false">BB63+BB70+BB100+BB104+BB105+BB83+BB98+BB106+BB62+BB117</f>
        <v>1253.12391147167</v>
      </c>
      <c r="BC152" s="57" t="n">
        <f aca="false">BC63+BC70+BC100+BC104+BC105+BC83+BC98+BC106+BC62+BC117</f>
        <v>1215.76289499648</v>
      </c>
      <c r="BD152" s="57" t="n">
        <f aca="false">BD63+BD70+BD100+BD104+BD105+BD83+BD98+BD106+BD62+BD117</f>
        <v>1238.87565914937</v>
      </c>
      <c r="BE152" s="57" t="n">
        <f aca="false">BE63+BE70+BE100+BE104+BE105+BE83+BE98+BE106+BE62+BE117</f>
        <v>1261.97195982618</v>
      </c>
      <c r="BF152" s="57" t="n">
        <f aca="false">BF63+BF70+BF100+BF104+BF105+BF83+BF98+BF106+BF62+BF117</f>
        <v>1253.09599595507</v>
      </c>
      <c r="BG152" s="57" t="n">
        <f aca="false">BG63+BG70+BG100+BG104+BG105+BG83+BG98+BG106+BG62+BG117</f>
        <v>1215.39471946384</v>
      </c>
      <c r="BH152" s="57" t="n">
        <f aca="false">BH63+BH70+BH100+BH104+BH105+BH83+BH98+BH106+BH62+BH117</f>
        <v>1238.49593733449</v>
      </c>
      <c r="BI152" s="57" t="n">
        <f aca="false">BI63+BI70+BI100+BI104+BI105+BI83+BI98+BI106+BI62+BI117</f>
        <v>1261.57985299172</v>
      </c>
      <c r="BJ152" s="57" t="n">
        <f aca="false">BJ63+BJ70+BJ100+BJ104+BJ105+BJ83+BJ98+BJ106+BJ62+BJ117</f>
        <v>1252.58842051819</v>
      </c>
      <c r="BK152" s="57" t="n">
        <f aca="false">BK63+BK70+BK100+BK104+BK105+BK83+BK98+BK106+BK62+BK117</f>
        <v>1239.07958419196</v>
      </c>
      <c r="BL152" s="57" t="n">
        <f aca="false">BL63+BL70+BL100+BL104+BL105+BL83+BL98+BL106+BL62+BL117</f>
        <v>1237.62488975063</v>
      </c>
      <c r="BM152" s="57" t="n">
        <f aca="false">BM63+BM70+BM100+BM104+BM105+BM83+BM98+BM106+BM62+BM117</f>
        <v>1260.69060282805</v>
      </c>
      <c r="BN152" s="57" t="n">
        <f aca="false">BN63+BN70+BN100+BN104+BN105+BN83+BN98+BN106+BN62+BN117</f>
        <v>1251.58006403042</v>
      </c>
      <c r="BO152" s="57" t="n">
        <f aca="false">BO63+BO70+BO100+BO104+BO105+BO83+BO98+BO106+BO62+BO117</f>
        <v>1213.18038869706</v>
      </c>
      <c r="BP152" s="57" t="n">
        <f aca="false">BP63+BP70+BP100+BP104+BP105+BP83+BP98+BP106+BP62+BP117</f>
        <v>1236.24093319633</v>
      </c>
      <c r="BQ152" s="57" t="n">
        <f aca="false">BQ63+BQ70+BQ100+BQ104+BQ105+BQ83+BQ98+BQ106+BQ62+BQ117</f>
        <v>1259.28236764135</v>
      </c>
      <c r="BR152" s="57" t="n">
        <f aca="false">BR63+BR70+BR100+BR104+BR105+BR83+BR98+BR106+BR62+BR117</f>
        <v>1250.04890935074</v>
      </c>
      <c r="BS152" s="57" t="n">
        <f aca="false">BS63+BS70+BS100+BS104+BS105+BS83+BS98+BS106+BS62+BS117</f>
        <v>1211.29067429273</v>
      </c>
      <c r="BT152" s="57" t="n">
        <f aca="false">BT63+BT70+BT100+BT104+BT105+BT83+BT98+BT106+BT62+BT117</f>
        <v>1234.32156802616</v>
      </c>
      <c r="BU152" s="57" t="n">
        <f aca="false">BU63+BU70+BU100+BU104+BU105+BU83+BU98+BU106+BU62+BU117</f>
        <v>1257.33237813718</v>
      </c>
      <c r="BV152" s="57" t="n">
        <f aca="false">BV63+BV70+BV100+BV104+BV105+BV83+BV98+BV106+BV62+BV117</f>
        <v>1247.97200275225</v>
      </c>
      <c r="BW152" s="57" t="n">
        <f aca="false">BW63+BW70+BW100+BW104+BW105+BW83+BW98+BW106+BW62+BW117</f>
        <v>1208.84867106156</v>
      </c>
      <c r="BX152" s="57" t="n">
        <f aca="false">BX63+BX70+BX100+BX104+BX105+BX83+BX98+BX106+BX62+BX117</f>
        <v>1231.84333660878</v>
      </c>
      <c r="BY152" s="57" t="n">
        <f aca="false">BY63+BY70+BY100+BY104+BY105+BY83+BY98+BY106+BY62+BY117</f>
        <v>1254.81689536668</v>
      </c>
      <c r="BZ152" s="57" t="n">
        <f aca="false">BZ63+BZ70+BZ100+BZ104+BZ105+BZ83+BZ98+BZ106+BZ62+BZ117</f>
        <v>1245.32541140772</v>
      </c>
      <c r="CA152" s="57" t="n">
        <f aca="false">CA63+CA70+CA100+CA104+CA105+CA83+CA98+CA106+CA62+CA117</f>
        <v>1230.55634634266</v>
      </c>
      <c r="CB152" s="57" t="n">
        <f aca="false">CB63+CB70+CB100+CB104+CB105+CB83+CB98+CB106+CB62+CB117</f>
        <v>1228.78177979858</v>
      </c>
      <c r="CC152" s="57" t="n">
        <f aca="false">CC63+CC70+CC100+CC104+CC105+CC83+CC98+CC106+CC62+CC117</f>
        <v>1251.71116666175</v>
      </c>
      <c r="CD152" s="57" t="n">
        <f aca="false">CD63+CD70+CD100+CD104+CD105+CD83+CD98+CD106+CD62+CD117</f>
        <v>1242.08417884053</v>
      </c>
      <c r="CE152" s="57" t="n">
        <f aca="false">CE63+CE70+CE100+CE104+CE105+CE83+CE98+CE106+CE62+CE117</f>
        <v>1202.21009103051</v>
      </c>
      <c r="CF152" s="57" t="n">
        <f aca="false">CF63+CF70+CF100+CF104+CF105+CF83+CF98+CF106+CF62+CF117</f>
        <v>1225.11139132295</v>
      </c>
      <c r="CG152" s="57" t="n">
        <f aca="false">CG63+CG70+CG100+CG104+CG105+CG83+CG98+CG106+CG62+CG117</f>
        <v>2280.4089790301</v>
      </c>
      <c r="CH152" s="57" t="n">
        <f aca="false">CH63+CH70+CH100+CH104+CH105+CH83+CH98+CH106+CH62+CH117</f>
        <v>2270.64187781084</v>
      </c>
      <c r="CI152" s="57" t="n">
        <f aca="false">CI63+CI70+CI100+CI104+CI105+CI83+CI98+CI106+CI62+CI117</f>
        <v>2232.31741356772</v>
      </c>
      <c r="CJ152" s="57" t="n">
        <f aca="false">CJ63+CJ70+CJ100+CJ104+CJ105+CJ83+CJ98+CJ106+CJ62+CJ117</f>
        <v>2257.12094038514</v>
      </c>
      <c r="CK152" s="57" t="n">
        <f aca="false">CK63+CK70+CK100+CK104+CK105+CK83+CK98+CK106+CK62+CK117</f>
        <v>2281.92446720256</v>
      </c>
      <c r="CL152" s="57" t="n">
        <f aca="false">CL63+CL70+CL100+CL104+CL105+CL83+CL98+CL106+CL62+CL117</f>
        <v>2274.02170776107</v>
      </c>
      <c r="CM152" s="57" t="n">
        <f aca="false">CM63+CM70+CM100+CM104+CM105+CM83+CM98+CM106+CM62+CM117</f>
        <v>2235.40215425159</v>
      </c>
      <c r="CN152" s="57" t="n">
        <f aca="false">CN63+CN70+CN100+CN104+CN105+CN83+CN98+CN106+CN62+CN117</f>
        <v>2260.2399559655</v>
      </c>
      <c r="CO152" s="57" t="n">
        <f aca="false">CO63+CO70+CO100+CO104+CO105+CO83+CO98+CO106+CO62+CO117</f>
        <v>2285.07775767941</v>
      </c>
      <c r="CP152" s="57" t="n">
        <f aca="false">CP63+CP70+CP100+CP104+CP105+CP83+CP98+CP106+CP62+CP117</f>
        <v>2277.12734251984</v>
      </c>
      <c r="CQ152" s="57" t="n">
        <f aca="false">CQ63+CQ70+CQ100+CQ104+CQ105+CQ83+CQ98+CQ106+CQ62+CQ117</f>
        <v>2263.07889541064</v>
      </c>
      <c r="CR152" s="57" t="n">
        <f aca="false">CR63+CR70+CR100+CR104+CR105+CR83+CR98+CR106+CR62+CR117</f>
        <v>2263.07889541064</v>
      </c>
      <c r="CS152" s="57" t="n">
        <f aca="false">CS63+CS70+CS100+CS104+CS105+CS83+CS98+CS106+CS62+CS117</f>
        <v>2287.94789426131</v>
      </c>
      <c r="CT152" s="57" t="n">
        <f aca="false">CT63+CT70+CT100+CT104+CT105+CT83+CT98+CT106+CT62+CT117</f>
        <v>2279.94971794918</v>
      </c>
      <c r="CU152" s="57" t="n">
        <f aca="false">CU63+CU70+CU100+CU104+CU105+CU83+CU98+CU106+CU62+CU117</f>
        <v>2240.73153719111</v>
      </c>
      <c r="CV152" s="57" t="n">
        <f aca="false">CV63+CV70+CV100+CV104+CV105+CV83+CV98+CV106+CV62+CV117</f>
        <v>2265.62855427102</v>
      </c>
      <c r="CW152" s="57" t="n">
        <f aca="false">CW63+CW70+CW100+CW104+CW105+CW83+CW98+CW106+CW62+CW117</f>
        <v>2290.52557135092</v>
      </c>
      <c r="CX152" s="57" t="n">
        <f aca="false">CX63+CX70+CX100+CX104+CX105+CX83+CX98+CX106+CX62+CX117</f>
        <v>2282.47953249614</v>
      </c>
      <c r="CY152" s="57" t="n">
        <f aca="false">CY63+CY70+CY100+CY104+CY105+CY83+CY98+CY106+CY62+CY117</f>
        <v>2242.9577346824</v>
      </c>
      <c r="CZ152" s="57" t="n">
        <f aca="false">CZ63+CZ70+CZ100+CZ104+CZ105+CZ83+CZ98+CZ106+CZ62+CZ117</f>
        <v>2267.87948728999</v>
      </c>
      <c r="DA152" s="57" t="n">
        <f aca="false">DA63+DA70+DA100+DA104+DA105+DA83+DA98+DA106+DA62+DA117</f>
        <v>2292.80123989757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0.113692971306157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4.8152979942002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15737.1730773708</v>
      </c>
    </row>
    <row r="157" customFormat="false" ht="15" hidden="false" customHeight="false" outlineLevel="0" collapsed="false">
      <c r="C157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411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524</v>
      </c>
      <c r="F9" s="8" t="s">
        <v>525</v>
      </c>
    </row>
    <row r="11" customFormat="false" ht="15" hidden="false" customHeight="false" outlineLevel="0" collapsed="false">
      <c r="A11" s="9" t="s">
        <v>13</v>
      </c>
      <c r="B11" s="9"/>
      <c r="C11" s="9" t="s">
        <v>526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527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528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529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530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531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532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533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534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535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536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537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538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539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540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541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542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543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544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186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2026-10-15T12:20:00Z</dcterms:created>
  <dc:creator>openpyxl</dc:creator>
  <dc:description/>
  <dc:language>en-US</dc:language>
  <cp:lastModifiedBy/>
  <dcterms:modified xsi:type="dcterms:W3CDTF">2026-10-15T12:20:06Z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